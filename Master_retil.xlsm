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uru\Documents\guvi\final project\excel\"/>
    </mc:Choice>
  </mc:AlternateContent>
  <xr:revisionPtr revIDLastSave="0" documentId="13_ncr:1_{3770D06A-C30B-49D4-A715-0BEC4C318FE4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Pivottable " sheetId="13" r:id="rId1"/>
    <sheet name="Stats " sheetId="14" r:id="rId2"/>
    <sheet name="Brands" sheetId="2" r:id="rId3"/>
    <sheet name="Categories" sheetId="4" r:id="rId4"/>
    <sheet name="Customers" sheetId="5" r:id="rId5"/>
    <sheet name="Order_items" sheetId="6" r:id="rId6"/>
    <sheet name="Orders" sheetId="8" r:id="rId7"/>
    <sheet name="Products" sheetId="9" r:id="rId8"/>
    <sheet name="Staffs" sheetId="10" r:id="rId9"/>
    <sheet name="Stocks" sheetId="11" r:id="rId10"/>
    <sheet name="Stores" sheetId="12" r:id="rId11"/>
  </sheets>
  <definedNames>
    <definedName name="ExternalData_1" localSheetId="2" hidden="1">Brands!$A$1:$B$10</definedName>
    <definedName name="ExternalData_1" localSheetId="3" hidden="1">'Categories'!$A$1:$B$8</definedName>
    <definedName name="ExternalData_1" localSheetId="4" hidden="1">'Customers'!$A$1:$I$1446</definedName>
    <definedName name="ExternalData_1" localSheetId="5" hidden="1">Order_items!$A$1:$H$4723</definedName>
    <definedName name="ExternalData_1" localSheetId="6" hidden="1">Orders!$A$1:$H$1616</definedName>
    <definedName name="ExternalData_1" localSheetId="7" hidden="1">Products!$A$1:$F$322</definedName>
    <definedName name="ExternalData_1" localSheetId="8" hidden="1">Staffs!$A$1:$H$11</definedName>
    <definedName name="ExternalData_1" localSheetId="9" hidden="1">Stocks!$A$1:$C$940</definedName>
    <definedName name="ExternalData_1" localSheetId="10" hidden="1">Stores!$A$1:$H$4</definedName>
  </definedNames>
  <calcPr calcId="181029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14" l="1"/>
  <c r="E9" i="14"/>
  <c r="E8" i="14"/>
  <c r="E7" i="14"/>
  <c r="I2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I3005" i="6"/>
  <c r="I3006" i="6"/>
  <c r="I3007" i="6"/>
  <c r="I3008" i="6"/>
  <c r="I3009" i="6"/>
  <c r="I3010" i="6"/>
  <c r="I3011" i="6"/>
  <c r="I3012" i="6"/>
  <c r="I3013" i="6"/>
  <c r="I3014" i="6"/>
  <c r="I3015" i="6"/>
  <c r="I3016" i="6"/>
  <c r="I3017" i="6"/>
  <c r="I3018" i="6"/>
  <c r="I3019" i="6"/>
  <c r="I3020" i="6"/>
  <c r="I3021" i="6"/>
  <c r="I3022" i="6"/>
  <c r="I3023" i="6"/>
  <c r="I3024" i="6"/>
  <c r="I3025" i="6"/>
  <c r="I3026" i="6"/>
  <c r="I3027" i="6"/>
  <c r="I3028" i="6"/>
  <c r="I3029" i="6"/>
  <c r="I3030" i="6"/>
  <c r="I3031" i="6"/>
  <c r="I3032" i="6"/>
  <c r="I3033" i="6"/>
  <c r="I3034" i="6"/>
  <c r="I3035" i="6"/>
  <c r="I3036" i="6"/>
  <c r="I3037" i="6"/>
  <c r="I3038" i="6"/>
  <c r="I3039" i="6"/>
  <c r="I3040" i="6"/>
  <c r="I3041" i="6"/>
  <c r="I3042" i="6"/>
  <c r="I3043" i="6"/>
  <c r="I3044" i="6"/>
  <c r="I3045" i="6"/>
  <c r="I3046" i="6"/>
  <c r="I3047" i="6"/>
  <c r="I3048" i="6"/>
  <c r="I3049" i="6"/>
  <c r="I3050" i="6"/>
  <c r="I3051" i="6"/>
  <c r="I3052" i="6"/>
  <c r="I3053" i="6"/>
  <c r="I3054" i="6"/>
  <c r="I3055" i="6"/>
  <c r="I3056" i="6"/>
  <c r="I3057" i="6"/>
  <c r="I3058" i="6"/>
  <c r="I3059" i="6"/>
  <c r="I3060" i="6"/>
  <c r="I3061" i="6"/>
  <c r="I3062" i="6"/>
  <c r="I3063" i="6"/>
  <c r="I3064" i="6"/>
  <c r="I3065" i="6"/>
  <c r="I3066" i="6"/>
  <c r="I3067" i="6"/>
  <c r="I3068" i="6"/>
  <c r="I3069" i="6"/>
  <c r="I3070" i="6"/>
  <c r="I3071" i="6"/>
  <c r="I3072" i="6"/>
  <c r="I3073" i="6"/>
  <c r="I3074" i="6"/>
  <c r="I3075" i="6"/>
  <c r="I3076" i="6"/>
  <c r="I3077" i="6"/>
  <c r="I3078" i="6"/>
  <c r="I3079" i="6"/>
  <c r="I3080" i="6"/>
  <c r="I3081" i="6"/>
  <c r="I3082" i="6"/>
  <c r="I3083" i="6"/>
  <c r="I3084" i="6"/>
  <c r="I3085" i="6"/>
  <c r="I3086" i="6"/>
  <c r="I3087" i="6"/>
  <c r="I3088" i="6"/>
  <c r="I3089" i="6"/>
  <c r="I3090" i="6"/>
  <c r="I3091" i="6"/>
  <c r="I3092" i="6"/>
  <c r="I3093" i="6"/>
  <c r="I3094" i="6"/>
  <c r="I3095" i="6"/>
  <c r="I3096" i="6"/>
  <c r="I3097" i="6"/>
  <c r="I3098" i="6"/>
  <c r="I3099" i="6"/>
  <c r="I3100" i="6"/>
  <c r="I3101" i="6"/>
  <c r="I3102" i="6"/>
  <c r="I3103" i="6"/>
  <c r="I3104" i="6"/>
  <c r="I3105" i="6"/>
  <c r="I3106" i="6"/>
  <c r="I3107" i="6"/>
  <c r="I3108" i="6"/>
  <c r="I3109" i="6"/>
  <c r="I3110" i="6"/>
  <c r="I3111" i="6"/>
  <c r="I3112" i="6"/>
  <c r="I3113" i="6"/>
  <c r="I3114" i="6"/>
  <c r="I3115" i="6"/>
  <c r="I3116" i="6"/>
  <c r="I3117" i="6"/>
  <c r="I3118" i="6"/>
  <c r="I3119" i="6"/>
  <c r="I3120" i="6"/>
  <c r="I3121" i="6"/>
  <c r="I3122" i="6"/>
  <c r="I3123" i="6"/>
  <c r="I3124" i="6"/>
  <c r="I3125" i="6"/>
  <c r="I3126" i="6"/>
  <c r="I3127" i="6"/>
  <c r="I3128" i="6"/>
  <c r="I3129" i="6"/>
  <c r="I3130" i="6"/>
  <c r="I3131" i="6"/>
  <c r="I3132" i="6"/>
  <c r="I3133" i="6"/>
  <c r="I3134" i="6"/>
  <c r="I3135" i="6"/>
  <c r="I3136" i="6"/>
  <c r="I3137" i="6"/>
  <c r="I3138" i="6"/>
  <c r="I3139" i="6"/>
  <c r="I3140" i="6"/>
  <c r="I3141" i="6"/>
  <c r="I3142" i="6"/>
  <c r="I3143" i="6"/>
  <c r="I3144" i="6"/>
  <c r="I3145" i="6"/>
  <c r="I3146" i="6"/>
  <c r="I3147" i="6"/>
  <c r="I3148" i="6"/>
  <c r="I3149" i="6"/>
  <c r="I3150" i="6"/>
  <c r="I3151" i="6"/>
  <c r="I3152" i="6"/>
  <c r="I3153" i="6"/>
  <c r="I3154" i="6"/>
  <c r="I3155" i="6"/>
  <c r="I3156" i="6"/>
  <c r="I3157" i="6"/>
  <c r="I3158" i="6"/>
  <c r="I3159" i="6"/>
  <c r="I3160" i="6"/>
  <c r="I3161" i="6"/>
  <c r="I3162" i="6"/>
  <c r="I3163" i="6"/>
  <c r="I3164" i="6"/>
  <c r="I3165" i="6"/>
  <c r="I3166" i="6"/>
  <c r="I3167" i="6"/>
  <c r="I3168" i="6"/>
  <c r="I3169" i="6"/>
  <c r="I3170" i="6"/>
  <c r="I3171" i="6"/>
  <c r="I3172" i="6"/>
  <c r="I3173" i="6"/>
  <c r="I3174" i="6"/>
  <c r="I3175" i="6"/>
  <c r="I3176" i="6"/>
  <c r="I3177" i="6"/>
  <c r="I3178" i="6"/>
  <c r="I3179" i="6"/>
  <c r="I3180" i="6"/>
  <c r="I3181" i="6"/>
  <c r="I3182" i="6"/>
  <c r="I3183" i="6"/>
  <c r="I3184" i="6"/>
  <c r="I3185" i="6"/>
  <c r="I3186" i="6"/>
  <c r="I3187" i="6"/>
  <c r="I3188" i="6"/>
  <c r="I3189" i="6"/>
  <c r="I3190" i="6"/>
  <c r="I3191" i="6"/>
  <c r="I3192" i="6"/>
  <c r="I3193" i="6"/>
  <c r="I3194" i="6"/>
  <c r="I3195" i="6"/>
  <c r="I3196" i="6"/>
  <c r="I3197" i="6"/>
  <c r="I3198" i="6"/>
  <c r="I3199" i="6"/>
  <c r="I3200" i="6"/>
  <c r="I3201" i="6"/>
  <c r="I3202" i="6"/>
  <c r="I3203" i="6"/>
  <c r="I3204" i="6"/>
  <c r="I3205" i="6"/>
  <c r="I3206" i="6"/>
  <c r="I3207" i="6"/>
  <c r="I3208" i="6"/>
  <c r="I3209" i="6"/>
  <c r="I3210" i="6"/>
  <c r="I3211" i="6"/>
  <c r="I3212" i="6"/>
  <c r="I3213" i="6"/>
  <c r="I3214" i="6"/>
  <c r="I3215" i="6"/>
  <c r="I3216" i="6"/>
  <c r="I3217" i="6"/>
  <c r="I3218" i="6"/>
  <c r="I3219" i="6"/>
  <c r="I3220" i="6"/>
  <c r="I3221" i="6"/>
  <c r="I3222" i="6"/>
  <c r="I3223" i="6"/>
  <c r="I3224" i="6"/>
  <c r="I3225" i="6"/>
  <c r="I3226" i="6"/>
  <c r="I3227" i="6"/>
  <c r="I3228" i="6"/>
  <c r="I3229" i="6"/>
  <c r="I3230" i="6"/>
  <c r="I3231" i="6"/>
  <c r="I3232" i="6"/>
  <c r="I3233" i="6"/>
  <c r="I3234" i="6"/>
  <c r="I3235" i="6"/>
  <c r="I3236" i="6"/>
  <c r="I3237" i="6"/>
  <c r="I3238" i="6"/>
  <c r="I3239" i="6"/>
  <c r="I3240" i="6"/>
  <c r="I3241" i="6"/>
  <c r="I3242" i="6"/>
  <c r="I3243" i="6"/>
  <c r="I3244" i="6"/>
  <c r="I3245" i="6"/>
  <c r="I3246" i="6"/>
  <c r="I3247" i="6"/>
  <c r="I3248" i="6"/>
  <c r="I3249" i="6"/>
  <c r="I3250" i="6"/>
  <c r="I3251" i="6"/>
  <c r="I3252" i="6"/>
  <c r="I3253" i="6"/>
  <c r="I3254" i="6"/>
  <c r="I3255" i="6"/>
  <c r="I3256" i="6"/>
  <c r="I3257" i="6"/>
  <c r="I3258" i="6"/>
  <c r="I3259" i="6"/>
  <c r="I3260" i="6"/>
  <c r="I3261" i="6"/>
  <c r="I3262" i="6"/>
  <c r="I3263" i="6"/>
  <c r="I3264" i="6"/>
  <c r="I3265" i="6"/>
  <c r="I3266" i="6"/>
  <c r="I3267" i="6"/>
  <c r="I3268" i="6"/>
  <c r="I3269" i="6"/>
  <c r="I3270" i="6"/>
  <c r="I3271" i="6"/>
  <c r="I3272" i="6"/>
  <c r="I3273" i="6"/>
  <c r="I3274" i="6"/>
  <c r="I3275" i="6"/>
  <c r="I3276" i="6"/>
  <c r="I3277" i="6"/>
  <c r="I3278" i="6"/>
  <c r="I3279" i="6"/>
  <c r="I3280" i="6"/>
  <c r="I3281" i="6"/>
  <c r="I3282" i="6"/>
  <c r="I3283" i="6"/>
  <c r="I3284" i="6"/>
  <c r="I3285" i="6"/>
  <c r="I3286" i="6"/>
  <c r="I3287" i="6"/>
  <c r="I3288" i="6"/>
  <c r="I3289" i="6"/>
  <c r="I3290" i="6"/>
  <c r="I3291" i="6"/>
  <c r="I3292" i="6"/>
  <c r="I3293" i="6"/>
  <c r="I3294" i="6"/>
  <c r="I3295" i="6"/>
  <c r="I3296" i="6"/>
  <c r="I3297" i="6"/>
  <c r="I3298" i="6"/>
  <c r="I3299" i="6"/>
  <c r="I3300" i="6"/>
  <c r="I3301" i="6"/>
  <c r="I3302" i="6"/>
  <c r="I3303" i="6"/>
  <c r="I3304" i="6"/>
  <c r="I3305" i="6"/>
  <c r="I3306" i="6"/>
  <c r="I3307" i="6"/>
  <c r="I3308" i="6"/>
  <c r="I3309" i="6"/>
  <c r="I3310" i="6"/>
  <c r="I3311" i="6"/>
  <c r="I3312" i="6"/>
  <c r="I3313" i="6"/>
  <c r="I3314" i="6"/>
  <c r="I3315" i="6"/>
  <c r="I3316" i="6"/>
  <c r="I3317" i="6"/>
  <c r="I3318" i="6"/>
  <c r="I3319" i="6"/>
  <c r="I3320" i="6"/>
  <c r="I3321" i="6"/>
  <c r="I3322" i="6"/>
  <c r="I3323" i="6"/>
  <c r="I3324" i="6"/>
  <c r="I3325" i="6"/>
  <c r="I3326" i="6"/>
  <c r="I3327" i="6"/>
  <c r="I3328" i="6"/>
  <c r="I3329" i="6"/>
  <c r="I3330" i="6"/>
  <c r="I3331" i="6"/>
  <c r="I3332" i="6"/>
  <c r="I3333" i="6"/>
  <c r="I3334" i="6"/>
  <c r="I3335" i="6"/>
  <c r="I3336" i="6"/>
  <c r="I3337" i="6"/>
  <c r="I3338" i="6"/>
  <c r="I3339" i="6"/>
  <c r="I3340" i="6"/>
  <c r="I3341" i="6"/>
  <c r="I3342" i="6"/>
  <c r="I3343" i="6"/>
  <c r="I3344" i="6"/>
  <c r="I3345" i="6"/>
  <c r="I3346" i="6"/>
  <c r="I3347" i="6"/>
  <c r="I3348" i="6"/>
  <c r="I3349" i="6"/>
  <c r="I3350" i="6"/>
  <c r="I3351" i="6"/>
  <c r="I3352" i="6"/>
  <c r="I3353" i="6"/>
  <c r="I3354" i="6"/>
  <c r="I3355" i="6"/>
  <c r="I3356" i="6"/>
  <c r="I3357" i="6"/>
  <c r="I3358" i="6"/>
  <c r="I3359" i="6"/>
  <c r="I3360" i="6"/>
  <c r="I3361" i="6"/>
  <c r="I3362" i="6"/>
  <c r="I3363" i="6"/>
  <c r="I3364" i="6"/>
  <c r="I3365" i="6"/>
  <c r="I3366" i="6"/>
  <c r="I3367" i="6"/>
  <c r="I3368" i="6"/>
  <c r="I3369" i="6"/>
  <c r="I3370" i="6"/>
  <c r="I3371" i="6"/>
  <c r="I3372" i="6"/>
  <c r="I3373" i="6"/>
  <c r="I3374" i="6"/>
  <c r="I3375" i="6"/>
  <c r="I3376" i="6"/>
  <c r="I3377" i="6"/>
  <c r="I3378" i="6"/>
  <c r="I3379" i="6"/>
  <c r="I3380" i="6"/>
  <c r="I3381" i="6"/>
  <c r="I3382" i="6"/>
  <c r="I3383" i="6"/>
  <c r="I3384" i="6"/>
  <c r="I3385" i="6"/>
  <c r="I3386" i="6"/>
  <c r="I3387" i="6"/>
  <c r="I3388" i="6"/>
  <c r="I3389" i="6"/>
  <c r="I3390" i="6"/>
  <c r="I3391" i="6"/>
  <c r="I3392" i="6"/>
  <c r="I3393" i="6"/>
  <c r="I3394" i="6"/>
  <c r="I3395" i="6"/>
  <c r="I3396" i="6"/>
  <c r="I3397" i="6"/>
  <c r="I3398" i="6"/>
  <c r="I3399" i="6"/>
  <c r="I3400" i="6"/>
  <c r="I3401" i="6"/>
  <c r="I3402" i="6"/>
  <c r="I3403" i="6"/>
  <c r="I3404" i="6"/>
  <c r="I3405" i="6"/>
  <c r="I3406" i="6"/>
  <c r="I3407" i="6"/>
  <c r="I3408" i="6"/>
  <c r="I3409" i="6"/>
  <c r="I3410" i="6"/>
  <c r="I3411" i="6"/>
  <c r="I3412" i="6"/>
  <c r="I3413" i="6"/>
  <c r="I3414" i="6"/>
  <c r="I3415" i="6"/>
  <c r="I3416" i="6"/>
  <c r="I3417" i="6"/>
  <c r="I3418" i="6"/>
  <c r="I3419" i="6"/>
  <c r="I3420" i="6"/>
  <c r="I3421" i="6"/>
  <c r="I3422" i="6"/>
  <c r="I3423" i="6"/>
  <c r="I3424" i="6"/>
  <c r="I3425" i="6"/>
  <c r="I3426" i="6"/>
  <c r="I3427" i="6"/>
  <c r="I3428" i="6"/>
  <c r="I3429" i="6"/>
  <c r="I3430" i="6"/>
  <c r="I3431" i="6"/>
  <c r="I3432" i="6"/>
  <c r="I3433" i="6"/>
  <c r="I3434" i="6"/>
  <c r="I3435" i="6"/>
  <c r="I3436" i="6"/>
  <c r="I3437" i="6"/>
  <c r="I3438" i="6"/>
  <c r="I3439" i="6"/>
  <c r="I3440" i="6"/>
  <c r="I3441" i="6"/>
  <c r="I3442" i="6"/>
  <c r="I3443" i="6"/>
  <c r="I3444" i="6"/>
  <c r="I3445" i="6"/>
  <c r="I3446" i="6"/>
  <c r="I3447" i="6"/>
  <c r="I3448" i="6"/>
  <c r="I3449" i="6"/>
  <c r="I3450" i="6"/>
  <c r="I3451" i="6"/>
  <c r="I3452" i="6"/>
  <c r="I3453" i="6"/>
  <c r="I3454" i="6"/>
  <c r="I3455" i="6"/>
  <c r="I3456" i="6"/>
  <c r="I3457" i="6"/>
  <c r="I3458" i="6"/>
  <c r="I3459" i="6"/>
  <c r="I3460" i="6"/>
  <c r="I3461" i="6"/>
  <c r="I3462" i="6"/>
  <c r="I3463" i="6"/>
  <c r="I3464" i="6"/>
  <c r="I3465" i="6"/>
  <c r="I3466" i="6"/>
  <c r="I3467" i="6"/>
  <c r="I3468" i="6"/>
  <c r="I3469" i="6"/>
  <c r="I3470" i="6"/>
  <c r="I3471" i="6"/>
  <c r="I3472" i="6"/>
  <c r="I3473" i="6"/>
  <c r="I3474" i="6"/>
  <c r="I3475" i="6"/>
  <c r="I3476" i="6"/>
  <c r="I3477" i="6"/>
  <c r="I3478" i="6"/>
  <c r="I3479" i="6"/>
  <c r="I3480" i="6"/>
  <c r="I3481" i="6"/>
  <c r="I3482" i="6"/>
  <c r="I3483" i="6"/>
  <c r="I3484" i="6"/>
  <c r="I3485" i="6"/>
  <c r="I3486" i="6"/>
  <c r="I3487" i="6"/>
  <c r="I3488" i="6"/>
  <c r="I3489" i="6"/>
  <c r="I3490" i="6"/>
  <c r="I3491" i="6"/>
  <c r="I3492" i="6"/>
  <c r="I3493" i="6"/>
  <c r="I3494" i="6"/>
  <c r="I3495" i="6"/>
  <c r="I3496" i="6"/>
  <c r="I3497" i="6"/>
  <c r="I3498" i="6"/>
  <c r="I3499" i="6"/>
  <c r="I3500" i="6"/>
  <c r="I3501" i="6"/>
  <c r="I3502" i="6"/>
  <c r="I3503" i="6"/>
  <c r="I3504" i="6"/>
  <c r="I3505" i="6"/>
  <c r="I3506" i="6"/>
  <c r="I3507" i="6"/>
  <c r="I3508" i="6"/>
  <c r="I3509" i="6"/>
  <c r="I3510" i="6"/>
  <c r="I3511" i="6"/>
  <c r="I3512" i="6"/>
  <c r="I3513" i="6"/>
  <c r="I3514" i="6"/>
  <c r="I3515" i="6"/>
  <c r="I3516" i="6"/>
  <c r="I3517" i="6"/>
  <c r="I3518" i="6"/>
  <c r="I3519" i="6"/>
  <c r="I3520" i="6"/>
  <c r="I3521" i="6"/>
  <c r="I3522" i="6"/>
  <c r="I3523" i="6"/>
  <c r="I3524" i="6"/>
  <c r="I3525" i="6"/>
  <c r="I3526" i="6"/>
  <c r="I3527" i="6"/>
  <c r="I3528" i="6"/>
  <c r="I3529" i="6"/>
  <c r="I3530" i="6"/>
  <c r="I3531" i="6"/>
  <c r="I3532" i="6"/>
  <c r="I3533" i="6"/>
  <c r="I3534" i="6"/>
  <c r="I3535" i="6"/>
  <c r="I3536" i="6"/>
  <c r="I3537" i="6"/>
  <c r="I3538" i="6"/>
  <c r="I3539" i="6"/>
  <c r="I3540" i="6"/>
  <c r="I3541" i="6"/>
  <c r="I3542" i="6"/>
  <c r="I3543" i="6"/>
  <c r="I3544" i="6"/>
  <c r="I3545" i="6"/>
  <c r="I3546" i="6"/>
  <c r="I3547" i="6"/>
  <c r="I3548" i="6"/>
  <c r="I3549" i="6"/>
  <c r="I3550" i="6"/>
  <c r="I3551" i="6"/>
  <c r="I3552" i="6"/>
  <c r="I3553" i="6"/>
  <c r="I3554" i="6"/>
  <c r="I3555" i="6"/>
  <c r="I3556" i="6"/>
  <c r="I3557" i="6"/>
  <c r="I3558" i="6"/>
  <c r="I3559" i="6"/>
  <c r="I3560" i="6"/>
  <c r="I3561" i="6"/>
  <c r="I3562" i="6"/>
  <c r="I3563" i="6"/>
  <c r="I3564" i="6"/>
  <c r="I3565" i="6"/>
  <c r="I3566" i="6"/>
  <c r="I3567" i="6"/>
  <c r="I3568" i="6"/>
  <c r="I3569" i="6"/>
  <c r="I3570" i="6"/>
  <c r="I3571" i="6"/>
  <c r="I3572" i="6"/>
  <c r="I3573" i="6"/>
  <c r="I3574" i="6"/>
  <c r="I3575" i="6"/>
  <c r="I3576" i="6"/>
  <c r="I3577" i="6"/>
  <c r="I3578" i="6"/>
  <c r="I3579" i="6"/>
  <c r="I3580" i="6"/>
  <c r="I3581" i="6"/>
  <c r="I3582" i="6"/>
  <c r="I3583" i="6"/>
  <c r="I3584" i="6"/>
  <c r="I3585" i="6"/>
  <c r="I3586" i="6"/>
  <c r="I3587" i="6"/>
  <c r="I3588" i="6"/>
  <c r="I3589" i="6"/>
  <c r="I3590" i="6"/>
  <c r="I3591" i="6"/>
  <c r="I3592" i="6"/>
  <c r="I3593" i="6"/>
  <c r="I3594" i="6"/>
  <c r="I3595" i="6"/>
  <c r="I3596" i="6"/>
  <c r="I3597" i="6"/>
  <c r="I3598" i="6"/>
  <c r="I3599" i="6"/>
  <c r="I3600" i="6"/>
  <c r="I3601" i="6"/>
  <c r="I3602" i="6"/>
  <c r="I3603" i="6"/>
  <c r="I3604" i="6"/>
  <c r="I3605" i="6"/>
  <c r="I3606" i="6"/>
  <c r="I3607" i="6"/>
  <c r="I3608" i="6"/>
  <c r="I3609" i="6"/>
  <c r="I3610" i="6"/>
  <c r="I3611" i="6"/>
  <c r="I3612" i="6"/>
  <c r="I3613" i="6"/>
  <c r="I3614" i="6"/>
  <c r="I3615" i="6"/>
  <c r="I3616" i="6"/>
  <c r="I3617" i="6"/>
  <c r="I3618" i="6"/>
  <c r="I3619" i="6"/>
  <c r="I3620" i="6"/>
  <c r="I3621" i="6"/>
  <c r="I3622" i="6"/>
  <c r="I3623" i="6"/>
  <c r="I3624" i="6"/>
  <c r="I3625" i="6"/>
  <c r="I3626" i="6"/>
  <c r="I3627" i="6"/>
  <c r="I3628" i="6"/>
  <c r="I3629" i="6"/>
  <c r="I3630" i="6"/>
  <c r="I3631" i="6"/>
  <c r="I3632" i="6"/>
  <c r="I3633" i="6"/>
  <c r="I3634" i="6"/>
  <c r="I3635" i="6"/>
  <c r="I3636" i="6"/>
  <c r="I3637" i="6"/>
  <c r="I3638" i="6"/>
  <c r="I3639" i="6"/>
  <c r="I3640" i="6"/>
  <c r="I3641" i="6"/>
  <c r="I3642" i="6"/>
  <c r="I3643" i="6"/>
  <c r="I3644" i="6"/>
  <c r="I3645" i="6"/>
  <c r="I3646" i="6"/>
  <c r="I3647" i="6"/>
  <c r="I3648" i="6"/>
  <c r="I3649" i="6"/>
  <c r="I3650" i="6"/>
  <c r="I3651" i="6"/>
  <c r="I3652" i="6"/>
  <c r="I3653" i="6"/>
  <c r="I3654" i="6"/>
  <c r="I3655" i="6"/>
  <c r="I3656" i="6"/>
  <c r="I3657" i="6"/>
  <c r="I3658" i="6"/>
  <c r="I3659" i="6"/>
  <c r="I3660" i="6"/>
  <c r="I3661" i="6"/>
  <c r="I3662" i="6"/>
  <c r="I3663" i="6"/>
  <c r="I3664" i="6"/>
  <c r="I3665" i="6"/>
  <c r="I3666" i="6"/>
  <c r="I3667" i="6"/>
  <c r="I3668" i="6"/>
  <c r="I3669" i="6"/>
  <c r="I3670" i="6"/>
  <c r="I3671" i="6"/>
  <c r="I3672" i="6"/>
  <c r="I3673" i="6"/>
  <c r="I3674" i="6"/>
  <c r="I3675" i="6"/>
  <c r="I3676" i="6"/>
  <c r="I3677" i="6"/>
  <c r="I3678" i="6"/>
  <c r="I3679" i="6"/>
  <c r="I3680" i="6"/>
  <c r="I3681" i="6"/>
  <c r="I3682" i="6"/>
  <c r="I3683" i="6"/>
  <c r="I3684" i="6"/>
  <c r="I3685" i="6"/>
  <c r="I3686" i="6"/>
  <c r="I3687" i="6"/>
  <c r="I3688" i="6"/>
  <c r="I3689" i="6"/>
  <c r="I3690" i="6"/>
  <c r="I3691" i="6"/>
  <c r="I3692" i="6"/>
  <c r="I3693" i="6"/>
  <c r="I3694" i="6"/>
  <c r="I3695" i="6"/>
  <c r="I3696" i="6"/>
  <c r="I3697" i="6"/>
  <c r="I3698" i="6"/>
  <c r="I3699" i="6"/>
  <c r="I3700" i="6"/>
  <c r="I3701" i="6"/>
  <c r="I3702" i="6"/>
  <c r="I3703" i="6"/>
  <c r="I3704" i="6"/>
  <c r="I3705" i="6"/>
  <c r="I3706" i="6"/>
  <c r="I3707" i="6"/>
  <c r="I3708" i="6"/>
  <c r="I3709" i="6"/>
  <c r="I3710" i="6"/>
  <c r="I3711" i="6"/>
  <c r="I3712" i="6"/>
  <c r="I3713" i="6"/>
  <c r="I3714" i="6"/>
  <c r="I3715" i="6"/>
  <c r="I3716" i="6"/>
  <c r="I3717" i="6"/>
  <c r="I3718" i="6"/>
  <c r="I3719" i="6"/>
  <c r="I3720" i="6"/>
  <c r="I3721" i="6"/>
  <c r="I3722" i="6"/>
  <c r="I3723" i="6"/>
  <c r="I3724" i="6"/>
  <c r="I3725" i="6"/>
  <c r="I3726" i="6"/>
  <c r="I3727" i="6"/>
  <c r="I3728" i="6"/>
  <c r="I3729" i="6"/>
  <c r="I3730" i="6"/>
  <c r="I3731" i="6"/>
  <c r="I3732" i="6"/>
  <c r="I3733" i="6"/>
  <c r="I3734" i="6"/>
  <c r="I3735" i="6"/>
  <c r="I3736" i="6"/>
  <c r="I3737" i="6"/>
  <c r="I3738" i="6"/>
  <c r="I3739" i="6"/>
  <c r="I3740" i="6"/>
  <c r="I3741" i="6"/>
  <c r="I3742" i="6"/>
  <c r="I3743" i="6"/>
  <c r="I3744" i="6"/>
  <c r="I3745" i="6"/>
  <c r="I3746" i="6"/>
  <c r="I3747" i="6"/>
  <c r="I3748" i="6"/>
  <c r="I3749" i="6"/>
  <c r="I3750" i="6"/>
  <c r="I3751" i="6"/>
  <c r="I3752" i="6"/>
  <c r="I3753" i="6"/>
  <c r="I3754" i="6"/>
  <c r="I3755" i="6"/>
  <c r="I3756" i="6"/>
  <c r="I3757" i="6"/>
  <c r="I3758" i="6"/>
  <c r="I3759" i="6"/>
  <c r="I3760" i="6"/>
  <c r="I3761" i="6"/>
  <c r="I3762" i="6"/>
  <c r="I3763" i="6"/>
  <c r="I3764" i="6"/>
  <c r="I3765" i="6"/>
  <c r="I3766" i="6"/>
  <c r="I3767" i="6"/>
  <c r="I3768" i="6"/>
  <c r="I3769" i="6"/>
  <c r="I3770" i="6"/>
  <c r="I3771" i="6"/>
  <c r="I3772" i="6"/>
  <c r="I3773" i="6"/>
  <c r="I3774" i="6"/>
  <c r="I3775" i="6"/>
  <c r="I3776" i="6"/>
  <c r="I3777" i="6"/>
  <c r="I3778" i="6"/>
  <c r="I3779" i="6"/>
  <c r="I3780" i="6"/>
  <c r="I3781" i="6"/>
  <c r="I3782" i="6"/>
  <c r="I3783" i="6"/>
  <c r="I3784" i="6"/>
  <c r="I3785" i="6"/>
  <c r="I3786" i="6"/>
  <c r="I3787" i="6"/>
  <c r="I3788" i="6"/>
  <c r="I3789" i="6"/>
  <c r="I3790" i="6"/>
  <c r="I3791" i="6"/>
  <c r="I3792" i="6"/>
  <c r="I3793" i="6"/>
  <c r="I3794" i="6"/>
  <c r="I3795" i="6"/>
  <c r="I3796" i="6"/>
  <c r="I3797" i="6"/>
  <c r="I3798" i="6"/>
  <c r="I3799" i="6"/>
  <c r="I3800" i="6"/>
  <c r="I3801" i="6"/>
  <c r="I3802" i="6"/>
  <c r="I3803" i="6"/>
  <c r="I3804" i="6"/>
  <c r="I3805" i="6"/>
  <c r="I3806" i="6"/>
  <c r="I3807" i="6"/>
  <c r="I3808" i="6"/>
  <c r="I3809" i="6"/>
  <c r="I3810" i="6"/>
  <c r="I3811" i="6"/>
  <c r="I3812" i="6"/>
  <c r="I3813" i="6"/>
  <c r="I3814" i="6"/>
  <c r="I3815" i="6"/>
  <c r="I3816" i="6"/>
  <c r="I3817" i="6"/>
  <c r="I3818" i="6"/>
  <c r="I3819" i="6"/>
  <c r="I3820" i="6"/>
  <c r="I3821" i="6"/>
  <c r="I3822" i="6"/>
  <c r="I3823" i="6"/>
  <c r="I3824" i="6"/>
  <c r="I3825" i="6"/>
  <c r="I3826" i="6"/>
  <c r="I3827" i="6"/>
  <c r="I3828" i="6"/>
  <c r="I3829" i="6"/>
  <c r="I3830" i="6"/>
  <c r="I3831" i="6"/>
  <c r="I3832" i="6"/>
  <c r="I3833" i="6"/>
  <c r="I3834" i="6"/>
  <c r="I3835" i="6"/>
  <c r="I3836" i="6"/>
  <c r="I3837" i="6"/>
  <c r="I3838" i="6"/>
  <c r="I3839" i="6"/>
  <c r="I3840" i="6"/>
  <c r="I3841" i="6"/>
  <c r="I3842" i="6"/>
  <c r="I3843" i="6"/>
  <c r="I3844" i="6"/>
  <c r="I3845" i="6"/>
  <c r="I3846" i="6"/>
  <c r="I3847" i="6"/>
  <c r="I3848" i="6"/>
  <c r="I3849" i="6"/>
  <c r="I3850" i="6"/>
  <c r="I3851" i="6"/>
  <c r="I3852" i="6"/>
  <c r="I3853" i="6"/>
  <c r="I3854" i="6"/>
  <c r="I3855" i="6"/>
  <c r="I3856" i="6"/>
  <c r="I3857" i="6"/>
  <c r="I3858" i="6"/>
  <c r="I3859" i="6"/>
  <c r="I3860" i="6"/>
  <c r="I3861" i="6"/>
  <c r="I3862" i="6"/>
  <c r="I3863" i="6"/>
  <c r="I3864" i="6"/>
  <c r="I3865" i="6"/>
  <c r="I3866" i="6"/>
  <c r="I3867" i="6"/>
  <c r="I3868" i="6"/>
  <c r="I3869" i="6"/>
  <c r="I3870" i="6"/>
  <c r="I3871" i="6"/>
  <c r="I3872" i="6"/>
  <c r="I3873" i="6"/>
  <c r="I3874" i="6"/>
  <c r="I3875" i="6"/>
  <c r="I3876" i="6"/>
  <c r="I3877" i="6"/>
  <c r="I3878" i="6"/>
  <c r="I3879" i="6"/>
  <c r="I3880" i="6"/>
  <c r="I3881" i="6"/>
  <c r="I3882" i="6"/>
  <c r="I3883" i="6"/>
  <c r="I3884" i="6"/>
  <c r="I3885" i="6"/>
  <c r="I3886" i="6"/>
  <c r="I3887" i="6"/>
  <c r="I3888" i="6"/>
  <c r="I3889" i="6"/>
  <c r="I3890" i="6"/>
  <c r="I3891" i="6"/>
  <c r="I3892" i="6"/>
  <c r="I3893" i="6"/>
  <c r="I3894" i="6"/>
  <c r="I3895" i="6"/>
  <c r="I3896" i="6"/>
  <c r="I3897" i="6"/>
  <c r="I3898" i="6"/>
  <c r="I3899" i="6"/>
  <c r="I3900" i="6"/>
  <c r="I3901" i="6"/>
  <c r="I3902" i="6"/>
  <c r="I3903" i="6"/>
  <c r="I3904" i="6"/>
  <c r="I3905" i="6"/>
  <c r="I3906" i="6"/>
  <c r="I3907" i="6"/>
  <c r="I3908" i="6"/>
  <c r="I3909" i="6"/>
  <c r="I3910" i="6"/>
  <c r="I3911" i="6"/>
  <c r="I3912" i="6"/>
  <c r="I3913" i="6"/>
  <c r="I3914" i="6"/>
  <c r="I3915" i="6"/>
  <c r="I3916" i="6"/>
  <c r="I3917" i="6"/>
  <c r="I3918" i="6"/>
  <c r="I3919" i="6"/>
  <c r="I3920" i="6"/>
  <c r="I3921" i="6"/>
  <c r="I3922" i="6"/>
  <c r="I3923" i="6"/>
  <c r="I3924" i="6"/>
  <c r="I3925" i="6"/>
  <c r="I3926" i="6"/>
  <c r="I3927" i="6"/>
  <c r="I3928" i="6"/>
  <c r="I3929" i="6"/>
  <c r="I3930" i="6"/>
  <c r="I3931" i="6"/>
  <c r="I3932" i="6"/>
  <c r="I3933" i="6"/>
  <c r="I3934" i="6"/>
  <c r="I3935" i="6"/>
  <c r="I3936" i="6"/>
  <c r="I3937" i="6"/>
  <c r="I3938" i="6"/>
  <c r="I3939" i="6"/>
  <c r="I3940" i="6"/>
  <c r="I3941" i="6"/>
  <c r="I3942" i="6"/>
  <c r="I3943" i="6"/>
  <c r="I3944" i="6"/>
  <c r="I3945" i="6"/>
  <c r="I3946" i="6"/>
  <c r="I3947" i="6"/>
  <c r="I3948" i="6"/>
  <c r="I3949" i="6"/>
  <c r="I3950" i="6"/>
  <c r="I3951" i="6"/>
  <c r="I3952" i="6"/>
  <c r="I3953" i="6"/>
  <c r="I3954" i="6"/>
  <c r="I3955" i="6"/>
  <c r="I3956" i="6"/>
  <c r="I3957" i="6"/>
  <c r="I3958" i="6"/>
  <c r="I3959" i="6"/>
  <c r="I3960" i="6"/>
  <c r="I3961" i="6"/>
  <c r="I3962" i="6"/>
  <c r="I3963" i="6"/>
  <c r="I3964" i="6"/>
  <c r="I3965" i="6"/>
  <c r="I3966" i="6"/>
  <c r="I3967" i="6"/>
  <c r="I3968" i="6"/>
  <c r="I3969" i="6"/>
  <c r="I3970" i="6"/>
  <c r="I3971" i="6"/>
  <c r="I3972" i="6"/>
  <c r="I3973" i="6"/>
  <c r="I3974" i="6"/>
  <c r="I3975" i="6"/>
  <c r="I3976" i="6"/>
  <c r="I3977" i="6"/>
  <c r="I3978" i="6"/>
  <c r="I3979" i="6"/>
  <c r="I3980" i="6"/>
  <c r="I3981" i="6"/>
  <c r="I3982" i="6"/>
  <c r="I3983" i="6"/>
  <c r="I3984" i="6"/>
  <c r="I3985" i="6"/>
  <c r="I3986" i="6"/>
  <c r="I3987" i="6"/>
  <c r="I3988" i="6"/>
  <c r="I3989" i="6"/>
  <c r="I3990" i="6"/>
  <c r="I3991" i="6"/>
  <c r="I3992" i="6"/>
  <c r="I3993" i="6"/>
  <c r="I3994" i="6"/>
  <c r="I3995" i="6"/>
  <c r="I3996" i="6"/>
  <c r="I3997" i="6"/>
  <c r="I3998" i="6"/>
  <c r="I3999" i="6"/>
  <c r="I4000" i="6"/>
  <c r="I4001" i="6"/>
  <c r="I4002" i="6"/>
  <c r="I4003" i="6"/>
  <c r="I4004" i="6"/>
  <c r="I4005" i="6"/>
  <c r="I4006" i="6"/>
  <c r="I4007" i="6"/>
  <c r="I4008" i="6"/>
  <c r="I4009" i="6"/>
  <c r="I4010" i="6"/>
  <c r="I4011" i="6"/>
  <c r="I4012" i="6"/>
  <c r="I4013" i="6"/>
  <c r="I4014" i="6"/>
  <c r="I4015" i="6"/>
  <c r="I4016" i="6"/>
  <c r="I4017" i="6"/>
  <c r="I4018" i="6"/>
  <c r="I4019" i="6"/>
  <c r="I4020" i="6"/>
  <c r="I4021" i="6"/>
  <c r="I4022" i="6"/>
  <c r="I4023" i="6"/>
  <c r="I4024" i="6"/>
  <c r="I4025" i="6"/>
  <c r="I4026" i="6"/>
  <c r="I4027" i="6"/>
  <c r="I4028" i="6"/>
  <c r="I4029" i="6"/>
  <c r="I4030" i="6"/>
  <c r="I4031" i="6"/>
  <c r="I4032" i="6"/>
  <c r="I4033" i="6"/>
  <c r="I4034" i="6"/>
  <c r="I4035" i="6"/>
  <c r="I4036" i="6"/>
  <c r="I4037" i="6"/>
  <c r="I4038" i="6"/>
  <c r="I4039" i="6"/>
  <c r="I4040" i="6"/>
  <c r="I4041" i="6"/>
  <c r="I4042" i="6"/>
  <c r="I4043" i="6"/>
  <c r="I4044" i="6"/>
  <c r="I4045" i="6"/>
  <c r="I4046" i="6"/>
  <c r="I4047" i="6"/>
  <c r="I4048" i="6"/>
  <c r="I4049" i="6"/>
  <c r="I4050" i="6"/>
  <c r="I4051" i="6"/>
  <c r="I4052" i="6"/>
  <c r="I4053" i="6"/>
  <c r="I4054" i="6"/>
  <c r="I4055" i="6"/>
  <c r="I4056" i="6"/>
  <c r="I4057" i="6"/>
  <c r="I4058" i="6"/>
  <c r="I4059" i="6"/>
  <c r="I4060" i="6"/>
  <c r="I4061" i="6"/>
  <c r="I4062" i="6"/>
  <c r="I4063" i="6"/>
  <c r="I4064" i="6"/>
  <c r="I4065" i="6"/>
  <c r="I4066" i="6"/>
  <c r="I4067" i="6"/>
  <c r="I4068" i="6"/>
  <c r="I4069" i="6"/>
  <c r="I4070" i="6"/>
  <c r="I4071" i="6"/>
  <c r="I4072" i="6"/>
  <c r="I4073" i="6"/>
  <c r="I4074" i="6"/>
  <c r="I4075" i="6"/>
  <c r="I4076" i="6"/>
  <c r="I4077" i="6"/>
  <c r="I4078" i="6"/>
  <c r="I4079" i="6"/>
  <c r="I4080" i="6"/>
  <c r="I4081" i="6"/>
  <c r="I4082" i="6"/>
  <c r="I4083" i="6"/>
  <c r="I4084" i="6"/>
  <c r="I4085" i="6"/>
  <c r="I4086" i="6"/>
  <c r="I4087" i="6"/>
  <c r="I4088" i="6"/>
  <c r="I4089" i="6"/>
  <c r="I4090" i="6"/>
  <c r="I4091" i="6"/>
  <c r="I4092" i="6"/>
  <c r="I4093" i="6"/>
  <c r="I4094" i="6"/>
  <c r="I4095" i="6"/>
  <c r="I4096" i="6"/>
  <c r="I4097" i="6"/>
  <c r="I4098" i="6"/>
  <c r="I4099" i="6"/>
  <c r="I4100" i="6"/>
  <c r="I4101" i="6"/>
  <c r="I4102" i="6"/>
  <c r="I4103" i="6"/>
  <c r="I4104" i="6"/>
  <c r="I4105" i="6"/>
  <c r="I4106" i="6"/>
  <c r="I4107" i="6"/>
  <c r="I4108" i="6"/>
  <c r="I4109" i="6"/>
  <c r="I4110" i="6"/>
  <c r="I4111" i="6"/>
  <c r="I4112" i="6"/>
  <c r="I4113" i="6"/>
  <c r="I4114" i="6"/>
  <c r="I4115" i="6"/>
  <c r="I4116" i="6"/>
  <c r="I4117" i="6"/>
  <c r="I4118" i="6"/>
  <c r="I4119" i="6"/>
  <c r="I4120" i="6"/>
  <c r="I4121" i="6"/>
  <c r="I4122" i="6"/>
  <c r="I4123" i="6"/>
  <c r="I4124" i="6"/>
  <c r="I4125" i="6"/>
  <c r="I4126" i="6"/>
  <c r="I4127" i="6"/>
  <c r="I4128" i="6"/>
  <c r="I4129" i="6"/>
  <c r="I4130" i="6"/>
  <c r="I4131" i="6"/>
  <c r="I4132" i="6"/>
  <c r="I4133" i="6"/>
  <c r="I4134" i="6"/>
  <c r="I4135" i="6"/>
  <c r="I4136" i="6"/>
  <c r="I4137" i="6"/>
  <c r="I4138" i="6"/>
  <c r="I4139" i="6"/>
  <c r="I4140" i="6"/>
  <c r="I4141" i="6"/>
  <c r="I4142" i="6"/>
  <c r="I4143" i="6"/>
  <c r="I4144" i="6"/>
  <c r="I4145" i="6"/>
  <c r="I4146" i="6"/>
  <c r="I4147" i="6"/>
  <c r="I4148" i="6"/>
  <c r="I4149" i="6"/>
  <c r="I4150" i="6"/>
  <c r="I4151" i="6"/>
  <c r="I4152" i="6"/>
  <c r="I4153" i="6"/>
  <c r="I4154" i="6"/>
  <c r="I4155" i="6"/>
  <c r="I4156" i="6"/>
  <c r="I4157" i="6"/>
  <c r="I4158" i="6"/>
  <c r="I4159" i="6"/>
  <c r="I4160" i="6"/>
  <c r="I4161" i="6"/>
  <c r="I4162" i="6"/>
  <c r="I4163" i="6"/>
  <c r="I4164" i="6"/>
  <c r="I4165" i="6"/>
  <c r="I4166" i="6"/>
  <c r="I4167" i="6"/>
  <c r="I4168" i="6"/>
  <c r="I4169" i="6"/>
  <c r="I4170" i="6"/>
  <c r="I4171" i="6"/>
  <c r="I4172" i="6"/>
  <c r="I4173" i="6"/>
  <c r="I4174" i="6"/>
  <c r="I4175" i="6"/>
  <c r="I4176" i="6"/>
  <c r="I4177" i="6"/>
  <c r="I4178" i="6"/>
  <c r="I4179" i="6"/>
  <c r="I4180" i="6"/>
  <c r="I4181" i="6"/>
  <c r="I4182" i="6"/>
  <c r="I4183" i="6"/>
  <c r="I4184" i="6"/>
  <c r="I4185" i="6"/>
  <c r="I4186" i="6"/>
  <c r="I4187" i="6"/>
  <c r="I4188" i="6"/>
  <c r="I4189" i="6"/>
  <c r="I4190" i="6"/>
  <c r="I4191" i="6"/>
  <c r="I4192" i="6"/>
  <c r="I4193" i="6"/>
  <c r="I4194" i="6"/>
  <c r="I4195" i="6"/>
  <c r="I4196" i="6"/>
  <c r="I4197" i="6"/>
  <c r="I4198" i="6"/>
  <c r="I4199" i="6"/>
  <c r="I4200" i="6"/>
  <c r="I4201" i="6"/>
  <c r="I4202" i="6"/>
  <c r="I4203" i="6"/>
  <c r="I4204" i="6"/>
  <c r="I4205" i="6"/>
  <c r="I4206" i="6"/>
  <c r="I4207" i="6"/>
  <c r="I4208" i="6"/>
  <c r="I4209" i="6"/>
  <c r="I4210" i="6"/>
  <c r="I4211" i="6"/>
  <c r="I4212" i="6"/>
  <c r="I4213" i="6"/>
  <c r="I4214" i="6"/>
  <c r="I4215" i="6"/>
  <c r="I4216" i="6"/>
  <c r="I4217" i="6"/>
  <c r="I4218" i="6"/>
  <c r="I4219" i="6"/>
  <c r="I4220" i="6"/>
  <c r="I4221" i="6"/>
  <c r="I4222" i="6"/>
  <c r="I4223" i="6"/>
  <c r="I4224" i="6"/>
  <c r="I4225" i="6"/>
  <c r="I4226" i="6"/>
  <c r="I4227" i="6"/>
  <c r="I4228" i="6"/>
  <c r="I4229" i="6"/>
  <c r="I4230" i="6"/>
  <c r="I4231" i="6"/>
  <c r="I4232" i="6"/>
  <c r="I4233" i="6"/>
  <c r="I4234" i="6"/>
  <c r="I4235" i="6"/>
  <c r="I4236" i="6"/>
  <c r="I4237" i="6"/>
  <c r="I4238" i="6"/>
  <c r="I4239" i="6"/>
  <c r="I4240" i="6"/>
  <c r="I4241" i="6"/>
  <c r="I4242" i="6"/>
  <c r="I4243" i="6"/>
  <c r="I4244" i="6"/>
  <c r="I4245" i="6"/>
  <c r="I4246" i="6"/>
  <c r="I4247" i="6"/>
  <c r="I4248" i="6"/>
  <c r="I4249" i="6"/>
  <c r="I4250" i="6"/>
  <c r="I4251" i="6"/>
  <c r="I4252" i="6"/>
  <c r="I4253" i="6"/>
  <c r="I4254" i="6"/>
  <c r="I4255" i="6"/>
  <c r="I4256" i="6"/>
  <c r="I4257" i="6"/>
  <c r="I4258" i="6"/>
  <c r="I4259" i="6"/>
  <c r="I4260" i="6"/>
  <c r="I4261" i="6"/>
  <c r="I4262" i="6"/>
  <c r="I4263" i="6"/>
  <c r="I4264" i="6"/>
  <c r="I4265" i="6"/>
  <c r="I4266" i="6"/>
  <c r="I4267" i="6"/>
  <c r="I4268" i="6"/>
  <c r="I4269" i="6"/>
  <c r="I4270" i="6"/>
  <c r="I4271" i="6"/>
  <c r="I4272" i="6"/>
  <c r="I4273" i="6"/>
  <c r="I4274" i="6"/>
  <c r="I4275" i="6"/>
  <c r="I4276" i="6"/>
  <c r="I4277" i="6"/>
  <c r="I4278" i="6"/>
  <c r="I4279" i="6"/>
  <c r="I4280" i="6"/>
  <c r="I4281" i="6"/>
  <c r="I4282" i="6"/>
  <c r="I4283" i="6"/>
  <c r="I4284" i="6"/>
  <c r="I4285" i="6"/>
  <c r="I4286" i="6"/>
  <c r="I4287" i="6"/>
  <c r="I4288" i="6"/>
  <c r="I4289" i="6"/>
  <c r="I4290" i="6"/>
  <c r="I4291" i="6"/>
  <c r="I4292" i="6"/>
  <c r="I4293" i="6"/>
  <c r="I4294" i="6"/>
  <c r="I4295" i="6"/>
  <c r="I4296" i="6"/>
  <c r="I4297" i="6"/>
  <c r="I4298" i="6"/>
  <c r="I4299" i="6"/>
  <c r="I4300" i="6"/>
  <c r="I4301" i="6"/>
  <c r="I4302" i="6"/>
  <c r="I4303" i="6"/>
  <c r="I4304" i="6"/>
  <c r="I4305" i="6"/>
  <c r="I4306" i="6"/>
  <c r="I4307" i="6"/>
  <c r="I4308" i="6"/>
  <c r="I4309" i="6"/>
  <c r="I4310" i="6"/>
  <c r="I4311" i="6"/>
  <c r="I4312" i="6"/>
  <c r="I4313" i="6"/>
  <c r="I4314" i="6"/>
  <c r="I4315" i="6"/>
  <c r="I4316" i="6"/>
  <c r="I4317" i="6"/>
  <c r="I4318" i="6"/>
  <c r="I4319" i="6"/>
  <c r="I4320" i="6"/>
  <c r="I4321" i="6"/>
  <c r="I4322" i="6"/>
  <c r="I4323" i="6"/>
  <c r="I4324" i="6"/>
  <c r="I4325" i="6"/>
  <c r="I4326" i="6"/>
  <c r="I4327" i="6"/>
  <c r="I4328" i="6"/>
  <c r="I4329" i="6"/>
  <c r="I4330" i="6"/>
  <c r="I4331" i="6"/>
  <c r="I4332" i="6"/>
  <c r="I4333" i="6"/>
  <c r="I4334" i="6"/>
  <c r="I4335" i="6"/>
  <c r="I4336" i="6"/>
  <c r="I4337" i="6"/>
  <c r="I4338" i="6"/>
  <c r="I4339" i="6"/>
  <c r="I4340" i="6"/>
  <c r="I4341" i="6"/>
  <c r="I4342" i="6"/>
  <c r="I4343" i="6"/>
  <c r="I4344" i="6"/>
  <c r="I4345" i="6"/>
  <c r="I4346" i="6"/>
  <c r="I4347" i="6"/>
  <c r="I4348" i="6"/>
  <c r="I4349" i="6"/>
  <c r="I4350" i="6"/>
  <c r="I4351" i="6"/>
  <c r="I4352" i="6"/>
  <c r="I4353" i="6"/>
  <c r="I4354" i="6"/>
  <c r="I4355" i="6"/>
  <c r="I4356" i="6"/>
  <c r="I4357" i="6"/>
  <c r="I4358" i="6"/>
  <c r="I4359" i="6"/>
  <c r="I4360" i="6"/>
  <c r="I4361" i="6"/>
  <c r="I4362" i="6"/>
  <c r="I4363" i="6"/>
  <c r="I4364" i="6"/>
  <c r="I4365" i="6"/>
  <c r="I4366" i="6"/>
  <c r="I4367" i="6"/>
  <c r="I4368" i="6"/>
  <c r="I4369" i="6"/>
  <c r="I4370" i="6"/>
  <c r="I4371" i="6"/>
  <c r="I4372" i="6"/>
  <c r="I4373" i="6"/>
  <c r="I4374" i="6"/>
  <c r="I4375" i="6"/>
  <c r="I4376" i="6"/>
  <c r="I4377" i="6"/>
  <c r="I4378" i="6"/>
  <c r="I4379" i="6"/>
  <c r="I4380" i="6"/>
  <c r="I4381" i="6"/>
  <c r="I4382" i="6"/>
  <c r="I4383" i="6"/>
  <c r="I4384" i="6"/>
  <c r="I4385" i="6"/>
  <c r="I4386" i="6"/>
  <c r="I4387" i="6"/>
  <c r="I4388" i="6"/>
  <c r="I4389" i="6"/>
  <c r="I4390" i="6"/>
  <c r="I4391" i="6"/>
  <c r="I4392" i="6"/>
  <c r="I4393" i="6"/>
  <c r="I4394" i="6"/>
  <c r="I4395" i="6"/>
  <c r="I4396" i="6"/>
  <c r="I4397" i="6"/>
  <c r="I4398" i="6"/>
  <c r="I4399" i="6"/>
  <c r="I4400" i="6"/>
  <c r="I4401" i="6"/>
  <c r="I4402" i="6"/>
  <c r="I4403" i="6"/>
  <c r="I4404" i="6"/>
  <c r="I4405" i="6"/>
  <c r="I4406" i="6"/>
  <c r="I4407" i="6"/>
  <c r="I4408" i="6"/>
  <c r="I4409" i="6"/>
  <c r="I4410" i="6"/>
  <c r="I4411" i="6"/>
  <c r="I4412" i="6"/>
  <c r="I4413" i="6"/>
  <c r="I4414" i="6"/>
  <c r="I4415" i="6"/>
  <c r="I4416" i="6"/>
  <c r="I4417" i="6"/>
  <c r="I4418" i="6"/>
  <c r="I4419" i="6"/>
  <c r="I4420" i="6"/>
  <c r="I4421" i="6"/>
  <c r="I4422" i="6"/>
  <c r="I4423" i="6"/>
  <c r="I4424" i="6"/>
  <c r="I4425" i="6"/>
  <c r="I4426" i="6"/>
  <c r="I4427" i="6"/>
  <c r="I4428" i="6"/>
  <c r="I4429" i="6"/>
  <c r="I4430" i="6"/>
  <c r="I4431" i="6"/>
  <c r="I4432" i="6"/>
  <c r="I4433" i="6"/>
  <c r="I4434" i="6"/>
  <c r="I4435" i="6"/>
  <c r="I4436" i="6"/>
  <c r="I4437" i="6"/>
  <c r="I4438" i="6"/>
  <c r="I4439" i="6"/>
  <c r="I4440" i="6"/>
  <c r="I4441" i="6"/>
  <c r="I4442" i="6"/>
  <c r="I4443" i="6"/>
  <c r="I4444" i="6"/>
  <c r="I4445" i="6"/>
  <c r="I4446" i="6"/>
  <c r="I4447" i="6"/>
  <c r="I4448" i="6"/>
  <c r="I4449" i="6"/>
  <c r="I4450" i="6"/>
  <c r="I4451" i="6"/>
  <c r="I4452" i="6"/>
  <c r="I4453" i="6"/>
  <c r="I4454" i="6"/>
  <c r="I4455" i="6"/>
  <c r="I4456" i="6"/>
  <c r="I4457" i="6"/>
  <c r="I4458" i="6"/>
  <c r="I4459" i="6"/>
  <c r="I4460" i="6"/>
  <c r="I4461" i="6"/>
  <c r="I4462" i="6"/>
  <c r="I4463" i="6"/>
  <c r="I4464" i="6"/>
  <c r="I4465" i="6"/>
  <c r="I4466" i="6"/>
  <c r="I4467" i="6"/>
  <c r="I4468" i="6"/>
  <c r="I4469" i="6"/>
  <c r="I4470" i="6"/>
  <c r="I4471" i="6"/>
  <c r="I4472" i="6"/>
  <c r="I4473" i="6"/>
  <c r="I4474" i="6"/>
  <c r="I4475" i="6"/>
  <c r="I4476" i="6"/>
  <c r="I4477" i="6"/>
  <c r="I4478" i="6"/>
  <c r="I4479" i="6"/>
  <c r="I4480" i="6"/>
  <c r="I4481" i="6"/>
  <c r="I4482" i="6"/>
  <c r="I4483" i="6"/>
  <c r="I4484" i="6"/>
  <c r="I4485" i="6"/>
  <c r="I4486" i="6"/>
  <c r="I4487" i="6"/>
  <c r="I4488" i="6"/>
  <c r="I4489" i="6"/>
  <c r="I4490" i="6"/>
  <c r="I4491" i="6"/>
  <c r="I4492" i="6"/>
  <c r="I4493" i="6"/>
  <c r="I4494" i="6"/>
  <c r="I4495" i="6"/>
  <c r="I4496" i="6"/>
  <c r="I4497" i="6"/>
  <c r="I4498" i="6"/>
  <c r="I4499" i="6"/>
  <c r="I4500" i="6"/>
  <c r="I4501" i="6"/>
  <c r="I4502" i="6"/>
  <c r="I4503" i="6"/>
  <c r="I4504" i="6"/>
  <c r="I4505" i="6"/>
  <c r="I4506" i="6"/>
  <c r="I4507" i="6"/>
  <c r="I4508" i="6"/>
  <c r="I4509" i="6"/>
  <c r="I4510" i="6"/>
  <c r="I4511" i="6"/>
  <c r="I4512" i="6"/>
  <c r="I4513" i="6"/>
  <c r="I4514" i="6"/>
  <c r="I4515" i="6"/>
  <c r="I4516" i="6"/>
  <c r="I4517" i="6"/>
  <c r="I4518" i="6"/>
  <c r="I4519" i="6"/>
  <c r="I4520" i="6"/>
  <c r="I4521" i="6"/>
  <c r="I4522" i="6"/>
  <c r="I4523" i="6"/>
  <c r="I4524" i="6"/>
  <c r="I4525" i="6"/>
  <c r="I4526" i="6"/>
  <c r="I4527" i="6"/>
  <c r="I4528" i="6"/>
  <c r="I4529" i="6"/>
  <c r="I4530" i="6"/>
  <c r="I4531" i="6"/>
  <c r="I4532" i="6"/>
  <c r="I4533" i="6"/>
  <c r="I4534" i="6"/>
  <c r="I4535" i="6"/>
  <c r="I4536" i="6"/>
  <c r="I4537" i="6"/>
  <c r="I4538" i="6"/>
  <c r="I4539" i="6"/>
  <c r="I4540" i="6"/>
  <c r="I4541" i="6"/>
  <c r="I4542" i="6"/>
  <c r="I4543" i="6"/>
  <c r="I4544" i="6"/>
  <c r="I4545" i="6"/>
  <c r="I4546" i="6"/>
  <c r="I4547" i="6"/>
  <c r="I4548" i="6"/>
  <c r="I4549" i="6"/>
  <c r="I4550" i="6"/>
  <c r="I4551" i="6"/>
  <c r="I4552" i="6"/>
  <c r="I4553" i="6"/>
  <c r="I4554" i="6"/>
  <c r="I4555" i="6"/>
  <c r="I4556" i="6"/>
  <c r="I4557" i="6"/>
  <c r="I4558" i="6"/>
  <c r="I4559" i="6"/>
  <c r="I4560" i="6"/>
  <c r="I4561" i="6"/>
  <c r="I4562" i="6"/>
  <c r="I4563" i="6"/>
  <c r="I4564" i="6"/>
  <c r="I4565" i="6"/>
  <c r="I4566" i="6"/>
  <c r="I4567" i="6"/>
  <c r="I4568" i="6"/>
  <c r="I4569" i="6"/>
  <c r="I4570" i="6"/>
  <c r="I4571" i="6"/>
  <c r="I4572" i="6"/>
  <c r="I4573" i="6"/>
  <c r="I4574" i="6"/>
  <c r="I4575" i="6"/>
  <c r="I4576" i="6"/>
  <c r="I4577" i="6"/>
  <c r="I4578" i="6"/>
  <c r="I4579" i="6"/>
  <c r="I4580" i="6"/>
  <c r="I4581" i="6"/>
  <c r="I4582" i="6"/>
  <c r="I4583" i="6"/>
  <c r="I4584" i="6"/>
  <c r="I4585" i="6"/>
  <c r="I4586" i="6"/>
  <c r="I4587" i="6"/>
  <c r="I4588" i="6"/>
  <c r="I4589" i="6"/>
  <c r="I4590" i="6"/>
  <c r="I4591" i="6"/>
  <c r="I4592" i="6"/>
  <c r="I4593" i="6"/>
  <c r="I4594" i="6"/>
  <c r="I4595" i="6"/>
  <c r="I4596" i="6"/>
  <c r="I4597" i="6"/>
  <c r="I4598" i="6"/>
  <c r="I4599" i="6"/>
  <c r="I4600" i="6"/>
  <c r="I4601" i="6"/>
  <c r="I4602" i="6"/>
  <c r="I4603" i="6"/>
  <c r="I4604" i="6"/>
  <c r="I4605" i="6"/>
  <c r="I4606" i="6"/>
  <c r="I4607" i="6"/>
  <c r="I4608" i="6"/>
  <c r="I4609" i="6"/>
  <c r="I4610" i="6"/>
  <c r="I4611" i="6"/>
  <c r="I4612" i="6"/>
  <c r="I4613" i="6"/>
  <c r="I4614" i="6"/>
  <c r="I4615" i="6"/>
  <c r="I4616" i="6"/>
  <c r="I4617" i="6"/>
  <c r="I4618" i="6"/>
  <c r="I4619" i="6"/>
  <c r="I4620" i="6"/>
  <c r="I4621" i="6"/>
  <c r="I4622" i="6"/>
  <c r="I4623" i="6"/>
  <c r="I4624" i="6"/>
  <c r="I4625" i="6"/>
  <c r="I4626" i="6"/>
  <c r="I4627" i="6"/>
  <c r="I4628" i="6"/>
  <c r="I4629" i="6"/>
  <c r="I4630" i="6"/>
  <c r="I4631" i="6"/>
  <c r="I4632" i="6"/>
  <c r="I4633" i="6"/>
  <c r="I4634" i="6"/>
  <c r="I4635" i="6"/>
  <c r="I4636" i="6"/>
  <c r="I4637" i="6"/>
  <c r="I4638" i="6"/>
  <c r="I4639" i="6"/>
  <c r="I4640" i="6"/>
  <c r="I4641" i="6"/>
  <c r="I4642" i="6"/>
  <c r="I4643" i="6"/>
  <c r="I4644" i="6"/>
  <c r="I4645" i="6"/>
  <c r="I4646" i="6"/>
  <c r="I4647" i="6"/>
  <c r="I4648" i="6"/>
  <c r="I4649" i="6"/>
  <c r="I4650" i="6"/>
  <c r="I4651" i="6"/>
  <c r="I4652" i="6"/>
  <c r="I4653" i="6"/>
  <c r="I4654" i="6"/>
  <c r="I4655" i="6"/>
  <c r="I4656" i="6"/>
  <c r="I4657" i="6"/>
  <c r="I4658" i="6"/>
  <c r="I4659" i="6"/>
  <c r="I4660" i="6"/>
  <c r="I4661" i="6"/>
  <c r="I4662" i="6"/>
  <c r="I4663" i="6"/>
  <c r="I4664" i="6"/>
  <c r="I4665" i="6"/>
  <c r="I4666" i="6"/>
  <c r="I4667" i="6"/>
  <c r="I4668" i="6"/>
  <c r="I4669" i="6"/>
  <c r="I4670" i="6"/>
  <c r="I4671" i="6"/>
  <c r="I4672" i="6"/>
  <c r="I4673" i="6"/>
  <c r="I4674" i="6"/>
  <c r="I4675" i="6"/>
  <c r="I4676" i="6"/>
  <c r="I4677" i="6"/>
  <c r="I4678" i="6"/>
  <c r="I4679" i="6"/>
  <c r="I4680" i="6"/>
  <c r="I4681" i="6"/>
  <c r="I4682" i="6"/>
  <c r="I4683" i="6"/>
  <c r="I4684" i="6"/>
  <c r="I4685" i="6"/>
  <c r="I4686" i="6"/>
  <c r="I4687" i="6"/>
  <c r="I4688" i="6"/>
  <c r="I4689" i="6"/>
  <c r="I4690" i="6"/>
  <c r="I4691" i="6"/>
  <c r="I4692" i="6"/>
  <c r="I4693" i="6"/>
  <c r="I4694" i="6"/>
  <c r="I4695" i="6"/>
  <c r="I4696" i="6"/>
  <c r="I4697" i="6"/>
  <c r="I4698" i="6"/>
  <c r="I4699" i="6"/>
  <c r="I4700" i="6"/>
  <c r="I4701" i="6"/>
  <c r="I4702" i="6"/>
  <c r="I4703" i="6"/>
  <c r="I4704" i="6"/>
  <c r="I4705" i="6"/>
  <c r="I4706" i="6"/>
  <c r="I4707" i="6"/>
  <c r="I4708" i="6"/>
  <c r="I4709" i="6"/>
  <c r="I4710" i="6"/>
  <c r="I4711" i="6"/>
  <c r="I4712" i="6"/>
  <c r="I4713" i="6"/>
  <c r="I4714" i="6"/>
  <c r="I4715" i="6"/>
  <c r="I4716" i="6"/>
  <c r="I4717" i="6"/>
  <c r="I4718" i="6"/>
  <c r="I4719" i="6"/>
  <c r="I4720" i="6"/>
  <c r="I4721" i="6"/>
  <c r="I4722" i="6"/>
  <c r="I4723" i="6"/>
  <c r="K2" i="6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390" i="6"/>
  <c r="K391" i="6"/>
  <c r="K392" i="6"/>
  <c r="K393" i="6"/>
  <c r="K394" i="6"/>
  <c r="K395" i="6"/>
  <c r="K396" i="6"/>
  <c r="K397" i="6"/>
  <c r="K398" i="6"/>
  <c r="K399" i="6"/>
  <c r="K400" i="6"/>
  <c r="K401" i="6"/>
  <c r="K402" i="6"/>
  <c r="K403" i="6"/>
  <c r="K404" i="6"/>
  <c r="K405" i="6"/>
  <c r="K406" i="6"/>
  <c r="K407" i="6"/>
  <c r="K408" i="6"/>
  <c r="K409" i="6"/>
  <c r="K410" i="6"/>
  <c r="K411" i="6"/>
  <c r="K412" i="6"/>
  <c r="K413" i="6"/>
  <c r="K414" i="6"/>
  <c r="K415" i="6"/>
  <c r="K416" i="6"/>
  <c r="K417" i="6"/>
  <c r="K418" i="6"/>
  <c r="K419" i="6"/>
  <c r="K420" i="6"/>
  <c r="K421" i="6"/>
  <c r="K422" i="6"/>
  <c r="K423" i="6"/>
  <c r="K424" i="6"/>
  <c r="K425" i="6"/>
  <c r="K426" i="6"/>
  <c r="K427" i="6"/>
  <c r="K428" i="6"/>
  <c r="K429" i="6"/>
  <c r="K430" i="6"/>
  <c r="K431" i="6"/>
  <c r="K432" i="6"/>
  <c r="K433" i="6"/>
  <c r="K434" i="6"/>
  <c r="K435" i="6"/>
  <c r="K436" i="6"/>
  <c r="K437" i="6"/>
  <c r="K438" i="6"/>
  <c r="K439" i="6"/>
  <c r="K440" i="6"/>
  <c r="K441" i="6"/>
  <c r="K442" i="6"/>
  <c r="K443" i="6"/>
  <c r="K444" i="6"/>
  <c r="K445" i="6"/>
  <c r="K446" i="6"/>
  <c r="K447" i="6"/>
  <c r="K448" i="6"/>
  <c r="K449" i="6"/>
  <c r="K450" i="6"/>
  <c r="K451" i="6"/>
  <c r="K452" i="6"/>
  <c r="K453" i="6"/>
  <c r="K454" i="6"/>
  <c r="K455" i="6"/>
  <c r="K456" i="6"/>
  <c r="K457" i="6"/>
  <c r="K458" i="6"/>
  <c r="K459" i="6"/>
  <c r="K460" i="6"/>
  <c r="K461" i="6"/>
  <c r="K462" i="6"/>
  <c r="K463" i="6"/>
  <c r="K464" i="6"/>
  <c r="K465" i="6"/>
  <c r="K466" i="6"/>
  <c r="K467" i="6"/>
  <c r="K468" i="6"/>
  <c r="K469" i="6"/>
  <c r="K470" i="6"/>
  <c r="K471" i="6"/>
  <c r="K472" i="6"/>
  <c r="K473" i="6"/>
  <c r="K474" i="6"/>
  <c r="K475" i="6"/>
  <c r="K476" i="6"/>
  <c r="K477" i="6"/>
  <c r="K478" i="6"/>
  <c r="K479" i="6"/>
  <c r="K480" i="6"/>
  <c r="K481" i="6"/>
  <c r="K482" i="6"/>
  <c r="K483" i="6"/>
  <c r="K484" i="6"/>
  <c r="K485" i="6"/>
  <c r="K486" i="6"/>
  <c r="K487" i="6"/>
  <c r="K488" i="6"/>
  <c r="K489" i="6"/>
  <c r="K490" i="6"/>
  <c r="K491" i="6"/>
  <c r="K492" i="6"/>
  <c r="K493" i="6"/>
  <c r="K494" i="6"/>
  <c r="K495" i="6"/>
  <c r="K496" i="6"/>
  <c r="K497" i="6"/>
  <c r="K498" i="6"/>
  <c r="K499" i="6"/>
  <c r="K500" i="6"/>
  <c r="K501" i="6"/>
  <c r="K502" i="6"/>
  <c r="K503" i="6"/>
  <c r="K504" i="6"/>
  <c r="K505" i="6"/>
  <c r="K506" i="6"/>
  <c r="K507" i="6"/>
  <c r="K508" i="6"/>
  <c r="K509" i="6"/>
  <c r="K510" i="6"/>
  <c r="K511" i="6"/>
  <c r="K512" i="6"/>
  <c r="K513" i="6"/>
  <c r="K514" i="6"/>
  <c r="K515" i="6"/>
  <c r="K516" i="6"/>
  <c r="K517" i="6"/>
  <c r="K518" i="6"/>
  <c r="K519" i="6"/>
  <c r="K520" i="6"/>
  <c r="K521" i="6"/>
  <c r="K522" i="6"/>
  <c r="K523" i="6"/>
  <c r="K524" i="6"/>
  <c r="K525" i="6"/>
  <c r="K526" i="6"/>
  <c r="K527" i="6"/>
  <c r="K528" i="6"/>
  <c r="K529" i="6"/>
  <c r="K530" i="6"/>
  <c r="K531" i="6"/>
  <c r="K532" i="6"/>
  <c r="K533" i="6"/>
  <c r="K534" i="6"/>
  <c r="K535" i="6"/>
  <c r="K536" i="6"/>
  <c r="K537" i="6"/>
  <c r="K538" i="6"/>
  <c r="K539" i="6"/>
  <c r="K540" i="6"/>
  <c r="K541" i="6"/>
  <c r="K542" i="6"/>
  <c r="K543" i="6"/>
  <c r="K544" i="6"/>
  <c r="K545" i="6"/>
  <c r="K546" i="6"/>
  <c r="K547" i="6"/>
  <c r="K548" i="6"/>
  <c r="K549" i="6"/>
  <c r="K550" i="6"/>
  <c r="K551" i="6"/>
  <c r="K552" i="6"/>
  <c r="K553" i="6"/>
  <c r="K554" i="6"/>
  <c r="K555" i="6"/>
  <c r="K556" i="6"/>
  <c r="K557" i="6"/>
  <c r="K558" i="6"/>
  <c r="K559" i="6"/>
  <c r="K560" i="6"/>
  <c r="K561" i="6"/>
  <c r="K562" i="6"/>
  <c r="K563" i="6"/>
  <c r="K564" i="6"/>
  <c r="K565" i="6"/>
  <c r="K566" i="6"/>
  <c r="K567" i="6"/>
  <c r="K568" i="6"/>
  <c r="K569" i="6"/>
  <c r="K570" i="6"/>
  <c r="K571" i="6"/>
  <c r="K572" i="6"/>
  <c r="K573" i="6"/>
  <c r="K574" i="6"/>
  <c r="K575" i="6"/>
  <c r="K576" i="6"/>
  <c r="K577" i="6"/>
  <c r="K578" i="6"/>
  <c r="K579" i="6"/>
  <c r="K580" i="6"/>
  <c r="K581" i="6"/>
  <c r="K582" i="6"/>
  <c r="K583" i="6"/>
  <c r="K584" i="6"/>
  <c r="K585" i="6"/>
  <c r="K586" i="6"/>
  <c r="K587" i="6"/>
  <c r="K588" i="6"/>
  <c r="K589" i="6"/>
  <c r="K590" i="6"/>
  <c r="K591" i="6"/>
  <c r="K592" i="6"/>
  <c r="K593" i="6"/>
  <c r="K594" i="6"/>
  <c r="K595" i="6"/>
  <c r="K596" i="6"/>
  <c r="K597" i="6"/>
  <c r="K598" i="6"/>
  <c r="K599" i="6"/>
  <c r="K600" i="6"/>
  <c r="K601" i="6"/>
  <c r="K602" i="6"/>
  <c r="K603" i="6"/>
  <c r="K604" i="6"/>
  <c r="K605" i="6"/>
  <c r="K606" i="6"/>
  <c r="K607" i="6"/>
  <c r="K608" i="6"/>
  <c r="K609" i="6"/>
  <c r="K610" i="6"/>
  <c r="K611" i="6"/>
  <c r="K612" i="6"/>
  <c r="K613" i="6"/>
  <c r="K614" i="6"/>
  <c r="K615" i="6"/>
  <c r="K616" i="6"/>
  <c r="K617" i="6"/>
  <c r="K618" i="6"/>
  <c r="K619" i="6"/>
  <c r="K620" i="6"/>
  <c r="K621" i="6"/>
  <c r="K622" i="6"/>
  <c r="K623" i="6"/>
  <c r="K624" i="6"/>
  <c r="K625" i="6"/>
  <c r="K626" i="6"/>
  <c r="K627" i="6"/>
  <c r="K628" i="6"/>
  <c r="K629" i="6"/>
  <c r="K630" i="6"/>
  <c r="K631" i="6"/>
  <c r="K632" i="6"/>
  <c r="K633" i="6"/>
  <c r="K634" i="6"/>
  <c r="K635" i="6"/>
  <c r="K636" i="6"/>
  <c r="K637" i="6"/>
  <c r="K638" i="6"/>
  <c r="K639" i="6"/>
  <c r="K640" i="6"/>
  <c r="K641" i="6"/>
  <c r="K642" i="6"/>
  <c r="K643" i="6"/>
  <c r="K644" i="6"/>
  <c r="K645" i="6"/>
  <c r="K646" i="6"/>
  <c r="K647" i="6"/>
  <c r="K648" i="6"/>
  <c r="K649" i="6"/>
  <c r="K650" i="6"/>
  <c r="K651" i="6"/>
  <c r="K652" i="6"/>
  <c r="K653" i="6"/>
  <c r="K654" i="6"/>
  <c r="K655" i="6"/>
  <c r="K656" i="6"/>
  <c r="K657" i="6"/>
  <c r="K658" i="6"/>
  <c r="K659" i="6"/>
  <c r="K660" i="6"/>
  <c r="K661" i="6"/>
  <c r="K662" i="6"/>
  <c r="K663" i="6"/>
  <c r="K664" i="6"/>
  <c r="K665" i="6"/>
  <c r="K666" i="6"/>
  <c r="K667" i="6"/>
  <c r="K668" i="6"/>
  <c r="K669" i="6"/>
  <c r="K670" i="6"/>
  <c r="K671" i="6"/>
  <c r="K672" i="6"/>
  <c r="K673" i="6"/>
  <c r="K674" i="6"/>
  <c r="K675" i="6"/>
  <c r="K676" i="6"/>
  <c r="K677" i="6"/>
  <c r="K678" i="6"/>
  <c r="K679" i="6"/>
  <c r="K680" i="6"/>
  <c r="K681" i="6"/>
  <c r="K682" i="6"/>
  <c r="K683" i="6"/>
  <c r="K684" i="6"/>
  <c r="K685" i="6"/>
  <c r="K686" i="6"/>
  <c r="K687" i="6"/>
  <c r="K688" i="6"/>
  <c r="K689" i="6"/>
  <c r="K690" i="6"/>
  <c r="K691" i="6"/>
  <c r="K692" i="6"/>
  <c r="K693" i="6"/>
  <c r="K694" i="6"/>
  <c r="K695" i="6"/>
  <c r="K696" i="6"/>
  <c r="K697" i="6"/>
  <c r="K698" i="6"/>
  <c r="K699" i="6"/>
  <c r="K700" i="6"/>
  <c r="K701" i="6"/>
  <c r="K702" i="6"/>
  <c r="K703" i="6"/>
  <c r="K704" i="6"/>
  <c r="K705" i="6"/>
  <c r="K706" i="6"/>
  <c r="K707" i="6"/>
  <c r="K708" i="6"/>
  <c r="K709" i="6"/>
  <c r="K710" i="6"/>
  <c r="K711" i="6"/>
  <c r="K712" i="6"/>
  <c r="K713" i="6"/>
  <c r="K714" i="6"/>
  <c r="K715" i="6"/>
  <c r="K716" i="6"/>
  <c r="K717" i="6"/>
  <c r="K718" i="6"/>
  <c r="K719" i="6"/>
  <c r="K720" i="6"/>
  <c r="K721" i="6"/>
  <c r="K722" i="6"/>
  <c r="K723" i="6"/>
  <c r="K724" i="6"/>
  <c r="K725" i="6"/>
  <c r="K726" i="6"/>
  <c r="K727" i="6"/>
  <c r="K728" i="6"/>
  <c r="K729" i="6"/>
  <c r="K730" i="6"/>
  <c r="K731" i="6"/>
  <c r="K732" i="6"/>
  <c r="K733" i="6"/>
  <c r="K734" i="6"/>
  <c r="K735" i="6"/>
  <c r="K736" i="6"/>
  <c r="K737" i="6"/>
  <c r="K738" i="6"/>
  <c r="K739" i="6"/>
  <c r="K740" i="6"/>
  <c r="K741" i="6"/>
  <c r="K742" i="6"/>
  <c r="K743" i="6"/>
  <c r="K744" i="6"/>
  <c r="K745" i="6"/>
  <c r="K746" i="6"/>
  <c r="K747" i="6"/>
  <c r="K748" i="6"/>
  <c r="K749" i="6"/>
  <c r="K750" i="6"/>
  <c r="K751" i="6"/>
  <c r="K752" i="6"/>
  <c r="K753" i="6"/>
  <c r="K754" i="6"/>
  <c r="K755" i="6"/>
  <c r="K756" i="6"/>
  <c r="K757" i="6"/>
  <c r="K758" i="6"/>
  <c r="K759" i="6"/>
  <c r="K760" i="6"/>
  <c r="K761" i="6"/>
  <c r="K762" i="6"/>
  <c r="K763" i="6"/>
  <c r="K764" i="6"/>
  <c r="K765" i="6"/>
  <c r="K766" i="6"/>
  <c r="K767" i="6"/>
  <c r="K768" i="6"/>
  <c r="K769" i="6"/>
  <c r="K770" i="6"/>
  <c r="K771" i="6"/>
  <c r="K772" i="6"/>
  <c r="K773" i="6"/>
  <c r="K774" i="6"/>
  <c r="K775" i="6"/>
  <c r="K776" i="6"/>
  <c r="K777" i="6"/>
  <c r="K778" i="6"/>
  <c r="K779" i="6"/>
  <c r="K780" i="6"/>
  <c r="K781" i="6"/>
  <c r="K782" i="6"/>
  <c r="K783" i="6"/>
  <c r="K784" i="6"/>
  <c r="K785" i="6"/>
  <c r="K786" i="6"/>
  <c r="K787" i="6"/>
  <c r="K788" i="6"/>
  <c r="K789" i="6"/>
  <c r="K790" i="6"/>
  <c r="K791" i="6"/>
  <c r="K792" i="6"/>
  <c r="K793" i="6"/>
  <c r="K794" i="6"/>
  <c r="K795" i="6"/>
  <c r="K796" i="6"/>
  <c r="K797" i="6"/>
  <c r="K798" i="6"/>
  <c r="K799" i="6"/>
  <c r="K800" i="6"/>
  <c r="K801" i="6"/>
  <c r="K802" i="6"/>
  <c r="K803" i="6"/>
  <c r="K804" i="6"/>
  <c r="K805" i="6"/>
  <c r="K806" i="6"/>
  <c r="K807" i="6"/>
  <c r="K808" i="6"/>
  <c r="K809" i="6"/>
  <c r="K810" i="6"/>
  <c r="K811" i="6"/>
  <c r="K812" i="6"/>
  <c r="K813" i="6"/>
  <c r="K814" i="6"/>
  <c r="K815" i="6"/>
  <c r="K816" i="6"/>
  <c r="K817" i="6"/>
  <c r="K818" i="6"/>
  <c r="K819" i="6"/>
  <c r="K820" i="6"/>
  <c r="K821" i="6"/>
  <c r="K822" i="6"/>
  <c r="K823" i="6"/>
  <c r="K824" i="6"/>
  <c r="K825" i="6"/>
  <c r="K826" i="6"/>
  <c r="K827" i="6"/>
  <c r="K828" i="6"/>
  <c r="K829" i="6"/>
  <c r="K830" i="6"/>
  <c r="K831" i="6"/>
  <c r="K832" i="6"/>
  <c r="K833" i="6"/>
  <c r="K834" i="6"/>
  <c r="K835" i="6"/>
  <c r="K836" i="6"/>
  <c r="K837" i="6"/>
  <c r="K838" i="6"/>
  <c r="K839" i="6"/>
  <c r="K840" i="6"/>
  <c r="K841" i="6"/>
  <c r="K842" i="6"/>
  <c r="K843" i="6"/>
  <c r="K844" i="6"/>
  <c r="K845" i="6"/>
  <c r="K846" i="6"/>
  <c r="K847" i="6"/>
  <c r="K848" i="6"/>
  <c r="K849" i="6"/>
  <c r="K850" i="6"/>
  <c r="K851" i="6"/>
  <c r="K852" i="6"/>
  <c r="K853" i="6"/>
  <c r="K854" i="6"/>
  <c r="K855" i="6"/>
  <c r="K856" i="6"/>
  <c r="K857" i="6"/>
  <c r="K858" i="6"/>
  <c r="K859" i="6"/>
  <c r="K860" i="6"/>
  <c r="K861" i="6"/>
  <c r="K862" i="6"/>
  <c r="K863" i="6"/>
  <c r="K864" i="6"/>
  <c r="K865" i="6"/>
  <c r="K866" i="6"/>
  <c r="K867" i="6"/>
  <c r="K868" i="6"/>
  <c r="K869" i="6"/>
  <c r="K870" i="6"/>
  <c r="K871" i="6"/>
  <c r="K872" i="6"/>
  <c r="K873" i="6"/>
  <c r="K874" i="6"/>
  <c r="K875" i="6"/>
  <c r="K876" i="6"/>
  <c r="K877" i="6"/>
  <c r="K878" i="6"/>
  <c r="K879" i="6"/>
  <c r="K880" i="6"/>
  <c r="K881" i="6"/>
  <c r="K882" i="6"/>
  <c r="K883" i="6"/>
  <c r="K884" i="6"/>
  <c r="K885" i="6"/>
  <c r="K886" i="6"/>
  <c r="K887" i="6"/>
  <c r="K888" i="6"/>
  <c r="K889" i="6"/>
  <c r="K890" i="6"/>
  <c r="K891" i="6"/>
  <c r="K892" i="6"/>
  <c r="K893" i="6"/>
  <c r="K894" i="6"/>
  <c r="K895" i="6"/>
  <c r="K896" i="6"/>
  <c r="K897" i="6"/>
  <c r="K898" i="6"/>
  <c r="K899" i="6"/>
  <c r="K900" i="6"/>
  <c r="K901" i="6"/>
  <c r="K902" i="6"/>
  <c r="K903" i="6"/>
  <c r="K904" i="6"/>
  <c r="K905" i="6"/>
  <c r="K906" i="6"/>
  <c r="K907" i="6"/>
  <c r="K908" i="6"/>
  <c r="K909" i="6"/>
  <c r="K910" i="6"/>
  <c r="K911" i="6"/>
  <c r="K912" i="6"/>
  <c r="K913" i="6"/>
  <c r="K914" i="6"/>
  <c r="K915" i="6"/>
  <c r="K916" i="6"/>
  <c r="K917" i="6"/>
  <c r="K918" i="6"/>
  <c r="K919" i="6"/>
  <c r="K920" i="6"/>
  <c r="K921" i="6"/>
  <c r="K922" i="6"/>
  <c r="K923" i="6"/>
  <c r="K924" i="6"/>
  <c r="K925" i="6"/>
  <c r="K926" i="6"/>
  <c r="K927" i="6"/>
  <c r="K928" i="6"/>
  <c r="K929" i="6"/>
  <c r="K930" i="6"/>
  <c r="K931" i="6"/>
  <c r="K932" i="6"/>
  <c r="K933" i="6"/>
  <c r="K934" i="6"/>
  <c r="K935" i="6"/>
  <c r="K936" i="6"/>
  <c r="K937" i="6"/>
  <c r="K938" i="6"/>
  <c r="K939" i="6"/>
  <c r="K940" i="6"/>
  <c r="K941" i="6"/>
  <c r="K942" i="6"/>
  <c r="K943" i="6"/>
  <c r="K944" i="6"/>
  <c r="K945" i="6"/>
  <c r="K946" i="6"/>
  <c r="K947" i="6"/>
  <c r="K948" i="6"/>
  <c r="K949" i="6"/>
  <c r="K950" i="6"/>
  <c r="K951" i="6"/>
  <c r="K952" i="6"/>
  <c r="K953" i="6"/>
  <c r="K954" i="6"/>
  <c r="K955" i="6"/>
  <c r="K956" i="6"/>
  <c r="K957" i="6"/>
  <c r="K958" i="6"/>
  <c r="K959" i="6"/>
  <c r="K960" i="6"/>
  <c r="K961" i="6"/>
  <c r="K962" i="6"/>
  <c r="K963" i="6"/>
  <c r="K964" i="6"/>
  <c r="K965" i="6"/>
  <c r="K966" i="6"/>
  <c r="K967" i="6"/>
  <c r="K968" i="6"/>
  <c r="K969" i="6"/>
  <c r="K970" i="6"/>
  <c r="K971" i="6"/>
  <c r="K972" i="6"/>
  <c r="K973" i="6"/>
  <c r="K974" i="6"/>
  <c r="K975" i="6"/>
  <c r="K976" i="6"/>
  <c r="K977" i="6"/>
  <c r="K978" i="6"/>
  <c r="K979" i="6"/>
  <c r="K980" i="6"/>
  <c r="K981" i="6"/>
  <c r="K982" i="6"/>
  <c r="K983" i="6"/>
  <c r="K984" i="6"/>
  <c r="K985" i="6"/>
  <c r="K986" i="6"/>
  <c r="K987" i="6"/>
  <c r="K988" i="6"/>
  <c r="K989" i="6"/>
  <c r="K990" i="6"/>
  <c r="K991" i="6"/>
  <c r="K992" i="6"/>
  <c r="K993" i="6"/>
  <c r="K994" i="6"/>
  <c r="K995" i="6"/>
  <c r="K996" i="6"/>
  <c r="K997" i="6"/>
  <c r="K998" i="6"/>
  <c r="K999" i="6"/>
  <c r="K1000" i="6"/>
  <c r="K1001" i="6"/>
  <c r="K1002" i="6"/>
  <c r="K1003" i="6"/>
  <c r="K1004" i="6"/>
  <c r="K1005" i="6"/>
  <c r="K1006" i="6"/>
  <c r="K1007" i="6"/>
  <c r="K1008" i="6"/>
  <c r="K1009" i="6"/>
  <c r="K1010" i="6"/>
  <c r="K1011" i="6"/>
  <c r="K1012" i="6"/>
  <c r="K1013" i="6"/>
  <c r="K1014" i="6"/>
  <c r="K1015" i="6"/>
  <c r="K1016" i="6"/>
  <c r="K1017" i="6"/>
  <c r="K1018" i="6"/>
  <c r="K1019" i="6"/>
  <c r="K1020" i="6"/>
  <c r="K1021" i="6"/>
  <c r="K1022" i="6"/>
  <c r="K1023" i="6"/>
  <c r="K1024" i="6"/>
  <c r="K1025" i="6"/>
  <c r="K1026" i="6"/>
  <c r="K1027" i="6"/>
  <c r="K1028" i="6"/>
  <c r="K1029" i="6"/>
  <c r="K1030" i="6"/>
  <c r="K1031" i="6"/>
  <c r="K1032" i="6"/>
  <c r="K1033" i="6"/>
  <c r="K1034" i="6"/>
  <c r="K1035" i="6"/>
  <c r="K1036" i="6"/>
  <c r="K1037" i="6"/>
  <c r="K1038" i="6"/>
  <c r="K1039" i="6"/>
  <c r="K1040" i="6"/>
  <c r="K1041" i="6"/>
  <c r="K1042" i="6"/>
  <c r="K1043" i="6"/>
  <c r="K1044" i="6"/>
  <c r="K1045" i="6"/>
  <c r="K1046" i="6"/>
  <c r="K1047" i="6"/>
  <c r="K1048" i="6"/>
  <c r="K1049" i="6"/>
  <c r="K1050" i="6"/>
  <c r="K1051" i="6"/>
  <c r="K1052" i="6"/>
  <c r="K1053" i="6"/>
  <c r="K1054" i="6"/>
  <c r="K1055" i="6"/>
  <c r="K1056" i="6"/>
  <c r="K1057" i="6"/>
  <c r="K1058" i="6"/>
  <c r="K1059" i="6"/>
  <c r="K1060" i="6"/>
  <c r="K1061" i="6"/>
  <c r="K1062" i="6"/>
  <c r="K1063" i="6"/>
  <c r="K1064" i="6"/>
  <c r="K1065" i="6"/>
  <c r="K1066" i="6"/>
  <c r="K1067" i="6"/>
  <c r="K1068" i="6"/>
  <c r="K1069" i="6"/>
  <c r="K1070" i="6"/>
  <c r="K1071" i="6"/>
  <c r="K1072" i="6"/>
  <c r="K1073" i="6"/>
  <c r="K1074" i="6"/>
  <c r="K1075" i="6"/>
  <c r="K1076" i="6"/>
  <c r="K1077" i="6"/>
  <c r="K1078" i="6"/>
  <c r="K1079" i="6"/>
  <c r="K1080" i="6"/>
  <c r="K1081" i="6"/>
  <c r="K1082" i="6"/>
  <c r="K1083" i="6"/>
  <c r="K1084" i="6"/>
  <c r="K1085" i="6"/>
  <c r="K1086" i="6"/>
  <c r="K1087" i="6"/>
  <c r="K1088" i="6"/>
  <c r="K1089" i="6"/>
  <c r="K1090" i="6"/>
  <c r="K1091" i="6"/>
  <c r="K1092" i="6"/>
  <c r="K1093" i="6"/>
  <c r="K1094" i="6"/>
  <c r="K1095" i="6"/>
  <c r="K1096" i="6"/>
  <c r="K1097" i="6"/>
  <c r="K1098" i="6"/>
  <c r="K1099" i="6"/>
  <c r="K1100" i="6"/>
  <c r="K1101" i="6"/>
  <c r="K1102" i="6"/>
  <c r="K1103" i="6"/>
  <c r="K1104" i="6"/>
  <c r="K1105" i="6"/>
  <c r="K1106" i="6"/>
  <c r="K1107" i="6"/>
  <c r="K1108" i="6"/>
  <c r="K1109" i="6"/>
  <c r="K1110" i="6"/>
  <c r="K1111" i="6"/>
  <c r="K1112" i="6"/>
  <c r="K1113" i="6"/>
  <c r="K1114" i="6"/>
  <c r="K1115" i="6"/>
  <c r="K1116" i="6"/>
  <c r="K1117" i="6"/>
  <c r="K1118" i="6"/>
  <c r="K1119" i="6"/>
  <c r="K1120" i="6"/>
  <c r="K1121" i="6"/>
  <c r="K1122" i="6"/>
  <c r="K1123" i="6"/>
  <c r="K1124" i="6"/>
  <c r="K1125" i="6"/>
  <c r="K1126" i="6"/>
  <c r="K1127" i="6"/>
  <c r="K1128" i="6"/>
  <c r="K1129" i="6"/>
  <c r="K1130" i="6"/>
  <c r="K1131" i="6"/>
  <c r="K1132" i="6"/>
  <c r="K1133" i="6"/>
  <c r="K1134" i="6"/>
  <c r="K1135" i="6"/>
  <c r="K1136" i="6"/>
  <c r="K1137" i="6"/>
  <c r="K1138" i="6"/>
  <c r="K1139" i="6"/>
  <c r="K1140" i="6"/>
  <c r="K1141" i="6"/>
  <c r="K1142" i="6"/>
  <c r="K1143" i="6"/>
  <c r="K1144" i="6"/>
  <c r="K1145" i="6"/>
  <c r="K1146" i="6"/>
  <c r="K1147" i="6"/>
  <c r="K1148" i="6"/>
  <c r="K1149" i="6"/>
  <c r="K1150" i="6"/>
  <c r="K1151" i="6"/>
  <c r="K1152" i="6"/>
  <c r="K1153" i="6"/>
  <c r="K1154" i="6"/>
  <c r="K1155" i="6"/>
  <c r="K1156" i="6"/>
  <c r="K1157" i="6"/>
  <c r="K1158" i="6"/>
  <c r="K1159" i="6"/>
  <c r="K1160" i="6"/>
  <c r="K1161" i="6"/>
  <c r="K1162" i="6"/>
  <c r="K1163" i="6"/>
  <c r="K1164" i="6"/>
  <c r="K1165" i="6"/>
  <c r="K1166" i="6"/>
  <c r="K1167" i="6"/>
  <c r="K1168" i="6"/>
  <c r="K1169" i="6"/>
  <c r="K1170" i="6"/>
  <c r="K1171" i="6"/>
  <c r="K1172" i="6"/>
  <c r="K1173" i="6"/>
  <c r="K1174" i="6"/>
  <c r="K1175" i="6"/>
  <c r="K1176" i="6"/>
  <c r="K1177" i="6"/>
  <c r="K1178" i="6"/>
  <c r="K1179" i="6"/>
  <c r="K1180" i="6"/>
  <c r="K1181" i="6"/>
  <c r="K1182" i="6"/>
  <c r="K1183" i="6"/>
  <c r="K1184" i="6"/>
  <c r="K1185" i="6"/>
  <c r="K1186" i="6"/>
  <c r="K1187" i="6"/>
  <c r="K1188" i="6"/>
  <c r="K1189" i="6"/>
  <c r="K1190" i="6"/>
  <c r="K1191" i="6"/>
  <c r="K1192" i="6"/>
  <c r="K1193" i="6"/>
  <c r="K1194" i="6"/>
  <c r="K1195" i="6"/>
  <c r="K1196" i="6"/>
  <c r="K1197" i="6"/>
  <c r="K1198" i="6"/>
  <c r="K1199" i="6"/>
  <c r="K1200" i="6"/>
  <c r="K1201" i="6"/>
  <c r="K1202" i="6"/>
  <c r="K1203" i="6"/>
  <c r="K1204" i="6"/>
  <c r="K1205" i="6"/>
  <c r="K1206" i="6"/>
  <c r="K1207" i="6"/>
  <c r="K1208" i="6"/>
  <c r="K1209" i="6"/>
  <c r="K1210" i="6"/>
  <c r="K1211" i="6"/>
  <c r="K1212" i="6"/>
  <c r="K1213" i="6"/>
  <c r="K1214" i="6"/>
  <c r="K1215" i="6"/>
  <c r="K1216" i="6"/>
  <c r="K1217" i="6"/>
  <c r="K1218" i="6"/>
  <c r="K1219" i="6"/>
  <c r="K1220" i="6"/>
  <c r="K1221" i="6"/>
  <c r="K1222" i="6"/>
  <c r="K1223" i="6"/>
  <c r="K1224" i="6"/>
  <c r="K1225" i="6"/>
  <c r="K1226" i="6"/>
  <c r="K1227" i="6"/>
  <c r="K1228" i="6"/>
  <c r="K1229" i="6"/>
  <c r="K1230" i="6"/>
  <c r="K1231" i="6"/>
  <c r="K1232" i="6"/>
  <c r="K1233" i="6"/>
  <c r="K1234" i="6"/>
  <c r="K1235" i="6"/>
  <c r="K1236" i="6"/>
  <c r="K1237" i="6"/>
  <c r="K1238" i="6"/>
  <c r="K1239" i="6"/>
  <c r="K1240" i="6"/>
  <c r="K1241" i="6"/>
  <c r="K1242" i="6"/>
  <c r="K1243" i="6"/>
  <c r="K1244" i="6"/>
  <c r="K1245" i="6"/>
  <c r="K1246" i="6"/>
  <c r="K1247" i="6"/>
  <c r="K1248" i="6"/>
  <c r="K1249" i="6"/>
  <c r="K1250" i="6"/>
  <c r="K1251" i="6"/>
  <c r="K1252" i="6"/>
  <c r="K1253" i="6"/>
  <c r="K1254" i="6"/>
  <c r="K1255" i="6"/>
  <c r="K1256" i="6"/>
  <c r="K1257" i="6"/>
  <c r="K1258" i="6"/>
  <c r="K1259" i="6"/>
  <c r="K1260" i="6"/>
  <c r="K1261" i="6"/>
  <c r="K1262" i="6"/>
  <c r="K1263" i="6"/>
  <c r="K1264" i="6"/>
  <c r="K1265" i="6"/>
  <c r="K1266" i="6"/>
  <c r="K1267" i="6"/>
  <c r="K1268" i="6"/>
  <c r="K1269" i="6"/>
  <c r="K1270" i="6"/>
  <c r="K1271" i="6"/>
  <c r="K1272" i="6"/>
  <c r="K1273" i="6"/>
  <c r="K1274" i="6"/>
  <c r="K1275" i="6"/>
  <c r="K1276" i="6"/>
  <c r="K1277" i="6"/>
  <c r="K1278" i="6"/>
  <c r="K1279" i="6"/>
  <c r="K1280" i="6"/>
  <c r="K1281" i="6"/>
  <c r="K1282" i="6"/>
  <c r="K1283" i="6"/>
  <c r="K1284" i="6"/>
  <c r="K1285" i="6"/>
  <c r="K1286" i="6"/>
  <c r="K1287" i="6"/>
  <c r="K1288" i="6"/>
  <c r="K1289" i="6"/>
  <c r="K1290" i="6"/>
  <c r="K1291" i="6"/>
  <c r="K1292" i="6"/>
  <c r="K1293" i="6"/>
  <c r="K1294" i="6"/>
  <c r="K1295" i="6"/>
  <c r="K1296" i="6"/>
  <c r="K1297" i="6"/>
  <c r="K1298" i="6"/>
  <c r="K1299" i="6"/>
  <c r="K1300" i="6"/>
  <c r="K1301" i="6"/>
  <c r="K1302" i="6"/>
  <c r="K1303" i="6"/>
  <c r="K1304" i="6"/>
  <c r="K1305" i="6"/>
  <c r="K1306" i="6"/>
  <c r="K1307" i="6"/>
  <c r="K1308" i="6"/>
  <c r="K1309" i="6"/>
  <c r="K1310" i="6"/>
  <c r="K1311" i="6"/>
  <c r="K1312" i="6"/>
  <c r="K1313" i="6"/>
  <c r="K1314" i="6"/>
  <c r="K1315" i="6"/>
  <c r="K1316" i="6"/>
  <c r="K1317" i="6"/>
  <c r="K1318" i="6"/>
  <c r="K1319" i="6"/>
  <c r="K1320" i="6"/>
  <c r="K1321" i="6"/>
  <c r="K1322" i="6"/>
  <c r="K1323" i="6"/>
  <c r="K1324" i="6"/>
  <c r="K1325" i="6"/>
  <c r="K1326" i="6"/>
  <c r="K1327" i="6"/>
  <c r="K1328" i="6"/>
  <c r="K1329" i="6"/>
  <c r="K1330" i="6"/>
  <c r="K1331" i="6"/>
  <c r="K1332" i="6"/>
  <c r="K1333" i="6"/>
  <c r="K1334" i="6"/>
  <c r="K1335" i="6"/>
  <c r="K1336" i="6"/>
  <c r="K1337" i="6"/>
  <c r="K1338" i="6"/>
  <c r="K1339" i="6"/>
  <c r="K1340" i="6"/>
  <c r="K1341" i="6"/>
  <c r="K1342" i="6"/>
  <c r="K1343" i="6"/>
  <c r="K1344" i="6"/>
  <c r="K1345" i="6"/>
  <c r="K1346" i="6"/>
  <c r="K1347" i="6"/>
  <c r="K1348" i="6"/>
  <c r="K1349" i="6"/>
  <c r="K1350" i="6"/>
  <c r="K1351" i="6"/>
  <c r="K1352" i="6"/>
  <c r="K1353" i="6"/>
  <c r="K1354" i="6"/>
  <c r="K1355" i="6"/>
  <c r="K1356" i="6"/>
  <c r="K1357" i="6"/>
  <c r="K1358" i="6"/>
  <c r="K1359" i="6"/>
  <c r="K1360" i="6"/>
  <c r="K1361" i="6"/>
  <c r="K1362" i="6"/>
  <c r="K1363" i="6"/>
  <c r="K1364" i="6"/>
  <c r="K1365" i="6"/>
  <c r="K1366" i="6"/>
  <c r="K1367" i="6"/>
  <c r="K1368" i="6"/>
  <c r="K1369" i="6"/>
  <c r="K1370" i="6"/>
  <c r="K1371" i="6"/>
  <c r="K1372" i="6"/>
  <c r="K1373" i="6"/>
  <c r="K1374" i="6"/>
  <c r="K1375" i="6"/>
  <c r="K1376" i="6"/>
  <c r="K1377" i="6"/>
  <c r="K1378" i="6"/>
  <c r="K1379" i="6"/>
  <c r="K1380" i="6"/>
  <c r="K1381" i="6"/>
  <c r="K1382" i="6"/>
  <c r="K1383" i="6"/>
  <c r="K1384" i="6"/>
  <c r="K1385" i="6"/>
  <c r="K1386" i="6"/>
  <c r="K1387" i="6"/>
  <c r="K1388" i="6"/>
  <c r="K1389" i="6"/>
  <c r="K1390" i="6"/>
  <c r="K1391" i="6"/>
  <c r="K1392" i="6"/>
  <c r="K1393" i="6"/>
  <c r="K1394" i="6"/>
  <c r="K1395" i="6"/>
  <c r="K1396" i="6"/>
  <c r="K1397" i="6"/>
  <c r="K1398" i="6"/>
  <c r="K1399" i="6"/>
  <c r="K1400" i="6"/>
  <c r="K1401" i="6"/>
  <c r="K1402" i="6"/>
  <c r="K1403" i="6"/>
  <c r="K1404" i="6"/>
  <c r="K1405" i="6"/>
  <c r="K1406" i="6"/>
  <c r="K1407" i="6"/>
  <c r="K1408" i="6"/>
  <c r="K1409" i="6"/>
  <c r="K1410" i="6"/>
  <c r="K1411" i="6"/>
  <c r="K1412" i="6"/>
  <c r="K1413" i="6"/>
  <c r="K1414" i="6"/>
  <c r="K1415" i="6"/>
  <c r="K1416" i="6"/>
  <c r="K1417" i="6"/>
  <c r="K1418" i="6"/>
  <c r="K1419" i="6"/>
  <c r="K1420" i="6"/>
  <c r="K1421" i="6"/>
  <c r="K1422" i="6"/>
  <c r="K1423" i="6"/>
  <c r="K1424" i="6"/>
  <c r="K1425" i="6"/>
  <c r="K1426" i="6"/>
  <c r="K1427" i="6"/>
  <c r="K1428" i="6"/>
  <c r="K1429" i="6"/>
  <c r="K1430" i="6"/>
  <c r="K1431" i="6"/>
  <c r="K1432" i="6"/>
  <c r="K1433" i="6"/>
  <c r="K1434" i="6"/>
  <c r="K1435" i="6"/>
  <c r="K1436" i="6"/>
  <c r="K1437" i="6"/>
  <c r="K1438" i="6"/>
  <c r="K1439" i="6"/>
  <c r="K1440" i="6"/>
  <c r="K1441" i="6"/>
  <c r="K1442" i="6"/>
  <c r="K1443" i="6"/>
  <c r="K1444" i="6"/>
  <c r="K1445" i="6"/>
  <c r="K1446" i="6"/>
  <c r="K1447" i="6"/>
  <c r="K1448" i="6"/>
  <c r="K1449" i="6"/>
  <c r="K1450" i="6"/>
  <c r="K1451" i="6"/>
  <c r="K1452" i="6"/>
  <c r="K1453" i="6"/>
  <c r="K1454" i="6"/>
  <c r="K1455" i="6"/>
  <c r="K1456" i="6"/>
  <c r="K1457" i="6"/>
  <c r="K1458" i="6"/>
  <c r="K1459" i="6"/>
  <c r="K1460" i="6"/>
  <c r="K1461" i="6"/>
  <c r="K1462" i="6"/>
  <c r="K1463" i="6"/>
  <c r="K1464" i="6"/>
  <c r="K1465" i="6"/>
  <c r="K1466" i="6"/>
  <c r="K1467" i="6"/>
  <c r="K1468" i="6"/>
  <c r="K1469" i="6"/>
  <c r="K1470" i="6"/>
  <c r="K1471" i="6"/>
  <c r="K1472" i="6"/>
  <c r="K1473" i="6"/>
  <c r="K1474" i="6"/>
  <c r="K1475" i="6"/>
  <c r="K1476" i="6"/>
  <c r="K1477" i="6"/>
  <c r="K1478" i="6"/>
  <c r="K1479" i="6"/>
  <c r="K1480" i="6"/>
  <c r="K1481" i="6"/>
  <c r="K1482" i="6"/>
  <c r="K1483" i="6"/>
  <c r="K1484" i="6"/>
  <c r="K1485" i="6"/>
  <c r="K1486" i="6"/>
  <c r="K1487" i="6"/>
  <c r="K1488" i="6"/>
  <c r="K1489" i="6"/>
  <c r="K1490" i="6"/>
  <c r="K1491" i="6"/>
  <c r="K1492" i="6"/>
  <c r="K1493" i="6"/>
  <c r="K1494" i="6"/>
  <c r="K1495" i="6"/>
  <c r="K1496" i="6"/>
  <c r="K1497" i="6"/>
  <c r="K1498" i="6"/>
  <c r="K1499" i="6"/>
  <c r="K1500" i="6"/>
  <c r="K1501" i="6"/>
  <c r="K1502" i="6"/>
  <c r="K1503" i="6"/>
  <c r="K1504" i="6"/>
  <c r="K1505" i="6"/>
  <c r="K1506" i="6"/>
  <c r="K1507" i="6"/>
  <c r="K1508" i="6"/>
  <c r="K1509" i="6"/>
  <c r="K1510" i="6"/>
  <c r="K1511" i="6"/>
  <c r="K1512" i="6"/>
  <c r="K1513" i="6"/>
  <c r="K1514" i="6"/>
  <c r="K1515" i="6"/>
  <c r="K1516" i="6"/>
  <c r="K1517" i="6"/>
  <c r="K1518" i="6"/>
  <c r="K1519" i="6"/>
  <c r="K1520" i="6"/>
  <c r="K1521" i="6"/>
  <c r="K1522" i="6"/>
  <c r="K1523" i="6"/>
  <c r="K1524" i="6"/>
  <c r="K1525" i="6"/>
  <c r="K1526" i="6"/>
  <c r="K1527" i="6"/>
  <c r="K1528" i="6"/>
  <c r="K1529" i="6"/>
  <c r="K1530" i="6"/>
  <c r="K1531" i="6"/>
  <c r="K1532" i="6"/>
  <c r="K1533" i="6"/>
  <c r="K1534" i="6"/>
  <c r="K1535" i="6"/>
  <c r="K1536" i="6"/>
  <c r="K1537" i="6"/>
  <c r="K1538" i="6"/>
  <c r="K1539" i="6"/>
  <c r="K1540" i="6"/>
  <c r="K1541" i="6"/>
  <c r="K1542" i="6"/>
  <c r="K1543" i="6"/>
  <c r="K1544" i="6"/>
  <c r="K1545" i="6"/>
  <c r="K1546" i="6"/>
  <c r="K1547" i="6"/>
  <c r="K1548" i="6"/>
  <c r="K1549" i="6"/>
  <c r="K1550" i="6"/>
  <c r="K1551" i="6"/>
  <c r="K1552" i="6"/>
  <c r="K1553" i="6"/>
  <c r="K1554" i="6"/>
  <c r="K1555" i="6"/>
  <c r="K1556" i="6"/>
  <c r="K1557" i="6"/>
  <c r="K1558" i="6"/>
  <c r="K1559" i="6"/>
  <c r="K1560" i="6"/>
  <c r="K1561" i="6"/>
  <c r="K1562" i="6"/>
  <c r="K1563" i="6"/>
  <c r="K1564" i="6"/>
  <c r="K1565" i="6"/>
  <c r="K1566" i="6"/>
  <c r="K1567" i="6"/>
  <c r="K1568" i="6"/>
  <c r="K1569" i="6"/>
  <c r="K1570" i="6"/>
  <c r="K1571" i="6"/>
  <c r="K1572" i="6"/>
  <c r="K1573" i="6"/>
  <c r="K1574" i="6"/>
  <c r="K1575" i="6"/>
  <c r="K1576" i="6"/>
  <c r="K1577" i="6"/>
  <c r="K1578" i="6"/>
  <c r="K1579" i="6"/>
  <c r="K1580" i="6"/>
  <c r="K1581" i="6"/>
  <c r="K1582" i="6"/>
  <c r="K1583" i="6"/>
  <c r="K1584" i="6"/>
  <c r="K1585" i="6"/>
  <c r="K1586" i="6"/>
  <c r="K1587" i="6"/>
  <c r="K1588" i="6"/>
  <c r="K1589" i="6"/>
  <c r="K1590" i="6"/>
  <c r="K1591" i="6"/>
  <c r="K1592" i="6"/>
  <c r="K1593" i="6"/>
  <c r="K1594" i="6"/>
  <c r="K1595" i="6"/>
  <c r="K1596" i="6"/>
  <c r="K1597" i="6"/>
  <c r="K1598" i="6"/>
  <c r="K1599" i="6"/>
  <c r="K1600" i="6"/>
  <c r="K1601" i="6"/>
  <c r="K1602" i="6"/>
  <c r="K1603" i="6"/>
  <c r="K1604" i="6"/>
  <c r="K1605" i="6"/>
  <c r="K1606" i="6"/>
  <c r="K1607" i="6"/>
  <c r="K1608" i="6"/>
  <c r="K1609" i="6"/>
  <c r="K1610" i="6"/>
  <c r="K1611" i="6"/>
  <c r="K1612" i="6"/>
  <c r="K1613" i="6"/>
  <c r="K1614" i="6"/>
  <c r="K1615" i="6"/>
  <c r="K1616" i="6"/>
  <c r="K1617" i="6"/>
  <c r="K1618" i="6"/>
  <c r="K1619" i="6"/>
  <c r="K1620" i="6"/>
  <c r="K1621" i="6"/>
  <c r="K1622" i="6"/>
  <c r="K1623" i="6"/>
  <c r="K1624" i="6"/>
  <c r="K1625" i="6"/>
  <c r="K1626" i="6"/>
  <c r="K1627" i="6"/>
  <c r="K1628" i="6"/>
  <c r="K1629" i="6"/>
  <c r="K1630" i="6"/>
  <c r="K1631" i="6"/>
  <c r="K1632" i="6"/>
  <c r="K1633" i="6"/>
  <c r="K1634" i="6"/>
  <c r="K1635" i="6"/>
  <c r="K1636" i="6"/>
  <c r="K1637" i="6"/>
  <c r="K1638" i="6"/>
  <c r="K1639" i="6"/>
  <c r="K1640" i="6"/>
  <c r="K1641" i="6"/>
  <c r="K1642" i="6"/>
  <c r="K1643" i="6"/>
  <c r="K1644" i="6"/>
  <c r="K1645" i="6"/>
  <c r="K1646" i="6"/>
  <c r="K1647" i="6"/>
  <c r="K1648" i="6"/>
  <c r="K1649" i="6"/>
  <c r="K1650" i="6"/>
  <c r="K1651" i="6"/>
  <c r="K1652" i="6"/>
  <c r="K1653" i="6"/>
  <c r="K1654" i="6"/>
  <c r="K1655" i="6"/>
  <c r="K1656" i="6"/>
  <c r="K1657" i="6"/>
  <c r="K1658" i="6"/>
  <c r="K1659" i="6"/>
  <c r="K1660" i="6"/>
  <c r="K1661" i="6"/>
  <c r="K1662" i="6"/>
  <c r="K1663" i="6"/>
  <c r="K1664" i="6"/>
  <c r="K1665" i="6"/>
  <c r="K1666" i="6"/>
  <c r="K1667" i="6"/>
  <c r="K1668" i="6"/>
  <c r="K1669" i="6"/>
  <c r="K1670" i="6"/>
  <c r="K1671" i="6"/>
  <c r="K1672" i="6"/>
  <c r="K1673" i="6"/>
  <c r="K1674" i="6"/>
  <c r="K1675" i="6"/>
  <c r="K1676" i="6"/>
  <c r="K1677" i="6"/>
  <c r="K1678" i="6"/>
  <c r="K1679" i="6"/>
  <c r="K1680" i="6"/>
  <c r="K1681" i="6"/>
  <c r="K1682" i="6"/>
  <c r="K1683" i="6"/>
  <c r="K1684" i="6"/>
  <c r="K1685" i="6"/>
  <c r="K1686" i="6"/>
  <c r="K1687" i="6"/>
  <c r="K1688" i="6"/>
  <c r="K1689" i="6"/>
  <c r="K1690" i="6"/>
  <c r="K1691" i="6"/>
  <c r="K1692" i="6"/>
  <c r="K1693" i="6"/>
  <c r="K1694" i="6"/>
  <c r="K1695" i="6"/>
  <c r="K1696" i="6"/>
  <c r="K1697" i="6"/>
  <c r="K1698" i="6"/>
  <c r="K1699" i="6"/>
  <c r="K1700" i="6"/>
  <c r="K1701" i="6"/>
  <c r="K1702" i="6"/>
  <c r="K1703" i="6"/>
  <c r="K1704" i="6"/>
  <c r="K1705" i="6"/>
  <c r="K1706" i="6"/>
  <c r="K1707" i="6"/>
  <c r="K1708" i="6"/>
  <c r="K1709" i="6"/>
  <c r="K1710" i="6"/>
  <c r="K1711" i="6"/>
  <c r="K1712" i="6"/>
  <c r="K1713" i="6"/>
  <c r="K1714" i="6"/>
  <c r="K1715" i="6"/>
  <c r="K1716" i="6"/>
  <c r="K1717" i="6"/>
  <c r="K1718" i="6"/>
  <c r="K1719" i="6"/>
  <c r="K1720" i="6"/>
  <c r="K1721" i="6"/>
  <c r="K1722" i="6"/>
  <c r="K1723" i="6"/>
  <c r="K1724" i="6"/>
  <c r="K1725" i="6"/>
  <c r="K1726" i="6"/>
  <c r="K1727" i="6"/>
  <c r="K1728" i="6"/>
  <c r="K1729" i="6"/>
  <c r="K1730" i="6"/>
  <c r="K1731" i="6"/>
  <c r="K1732" i="6"/>
  <c r="K1733" i="6"/>
  <c r="K1734" i="6"/>
  <c r="K1735" i="6"/>
  <c r="K1736" i="6"/>
  <c r="K1737" i="6"/>
  <c r="K1738" i="6"/>
  <c r="K1739" i="6"/>
  <c r="K1740" i="6"/>
  <c r="K1741" i="6"/>
  <c r="K1742" i="6"/>
  <c r="K1743" i="6"/>
  <c r="K1744" i="6"/>
  <c r="K1745" i="6"/>
  <c r="K1746" i="6"/>
  <c r="K1747" i="6"/>
  <c r="K1748" i="6"/>
  <c r="K1749" i="6"/>
  <c r="K1750" i="6"/>
  <c r="K1751" i="6"/>
  <c r="K1752" i="6"/>
  <c r="K1753" i="6"/>
  <c r="K1754" i="6"/>
  <c r="K1755" i="6"/>
  <c r="K1756" i="6"/>
  <c r="K1757" i="6"/>
  <c r="K1758" i="6"/>
  <c r="K1759" i="6"/>
  <c r="K1760" i="6"/>
  <c r="K1761" i="6"/>
  <c r="K1762" i="6"/>
  <c r="K1763" i="6"/>
  <c r="K1764" i="6"/>
  <c r="K1765" i="6"/>
  <c r="K1766" i="6"/>
  <c r="K1767" i="6"/>
  <c r="K1768" i="6"/>
  <c r="K1769" i="6"/>
  <c r="K1770" i="6"/>
  <c r="K1771" i="6"/>
  <c r="K1772" i="6"/>
  <c r="K1773" i="6"/>
  <c r="K1774" i="6"/>
  <c r="K1775" i="6"/>
  <c r="K1776" i="6"/>
  <c r="K1777" i="6"/>
  <c r="K1778" i="6"/>
  <c r="K1779" i="6"/>
  <c r="K1780" i="6"/>
  <c r="K1781" i="6"/>
  <c r="K1782" i="6"/>
  <c r="K1783" i="6"/>
  <c r="K1784" i="6"/>
  <c r="K1785" i="6"/>
  <c r="K1786" i="6"/>
  <c r="K1787" i="6"/>
  <c r="K1788" i="6"/>
  <c r="K1789" i="6"/>
  <c r="K1790" i="6"/>
  <c r="K1791" i="6"/>
  <c r="K1792" i="6"/>
  <c r="K1793" i="6"/>
  <c r="K1794" i="6"/>
  <c r="K1795" i="6"/>
  <c r="K1796" i="6"/>
  <c r="K1797" i="6"/>
  <c r="K1798" i="6"/>
  <c r="K1799" i="6"/>
  <c r="K1800" i="6"/>
  <c r="K1801" i="6"/>
  <c r="K1802" i="6"/>
  <c r="K1803" i="6"/>
  <c r="K1804" i="6"/>
  <c r="K1805" i="6"/>
  <c r="K1806" i="6"/>
  <c r="K1807" i="6"/>
  <c r="K1808" i="6"/>
  <c r="K1809" i="6"/>
  <c r="K1810" i="6"/>
  <c r="K1811" i="6"/>
  <c r="K1812" i="6"/>
  <c r="K1813" i="6"/>
  <c r="K1814" i="6"/>
  <c r="K1815" i="6"/>
  <c r="K1816" i="6"/>
  <c r="K1817" i="6"/>
  <c r="K1818" i="6"/>
  <c r="K1819" i="6"/>
  <c r="K1820" i="6"/>
  <c r="K1821" i="6"/>
  <c r="K1822" i="6"/>
  <c r="K1823" i="6"/>
  <c r="K1824" i="6"/>
  <c r="K1825" i="6"/>
  <c r="K1826" i="6"/>
  <c r="K1827" i="6"/>
  <c r="K1828" i="6"/>
  <c r="K1829" i="6"/>
  <c r="K1830" i="6"/>
  <c r="K1831" i="6"/>
  <c r="K1832" i="6"/>
  <c r="K1833" i="6"/>
  <c r="K1834" i="6"/>
  <c r="K1835" i="6"/>
  <c r="K1836" i="6"/>
  <c r="K1837" i="6"/>
  <c r="K1838" i="6"/>
  <c r="K1839" i="6"/>
  <c r="K1840" i="6"/>
  <c r="K1841" i="6"/>
  <c r="K1842" i="6"/>
  <c r="K1843" i="6"/>
  <c r="K1844" i="6"/>
  <c r="K1845" i="6"/>
  <c r="K1846" i="6"/>
  <c r="K1847" i="6"/>
  <c r="K1848" i="6"/>
  <c r="K1849" i="6"/>
  <c r="K1850" i="6"/>
  <c r="K1851" i="6"/>
  <c r="K1852" i="6"/>
  <c r="K1853" i="6"/>
  <c r="K1854" i="6"/>
  <c r="K1855" i="6"/>
  <c r="K1856" i="6"/>
  <c r="K1857" i="6"/>
  <c r="K1858" i="6"/>
  <c r="K1859" i="6"/>
  <c r="K1860" i="6"/>
  <c r="K1861" i="6"/>
  <c r="K1862" i="6"/>
  <c r="K1863" i="6"/>
  <c r="K1864" i="6"/>
  <c r="K1865" i="6"/>
  <c r="K1866" i="6"/>
  <c r="K1867" i="6"/>
  <c r="K1868" i="6"/>
  <c r="K1869" i="6"/>
  <c r="K1870" i="6"/>
  <c r="K1871" i="6"/>
  <c r="K1872" i="6"/>
  <c r="K1873" i="6"/>
  <c r="K1874" i="6"/>
  <c r="K1875" i="6"/>
  <c r="K1876" i="6"/>
  <c r="K1877" i="6"/>
  <c r="K1878" i="6"/>
  <c r="K1879" i="6"/>
  <c r="K1880" i="6"/>
  <c r="K1881" i="6"/>
  <c r="K1882" i="6"/>
  <c r="K1883" i="6"/>
  <c r="K1884" i="6"/>
  <c r="K1885" i="6"/>
  <c r="K1886" i="6"/>
  <c r="K1887" i="6"/>
  <c r="K1888" i="6"/>
  <c r="K1889" i="6"/>
  <c r="K1890" i="6"/>
  <c r="K1891" i="6"/>
  <c r="K1892" i="6"/>
  <c r="K1893" i="6"/>
  <c r="K1894" i="6"/>
  <c r="K1895" i="6"/>
  <c r="K1896" i="6"/>
  <c r="K1897" i="6"/>
  <c r="K1898" i="6"/>
  <c r="K1899" i="6"/>
  <c r="K1900" i="6"/>
  <c r="K1901" i="6"/>
  <c r="K1902" i="6"/>
  <c r="K1903" i="6"/>
  <c r="K1904" i="6"/>
  <c r="K1905" i="6"/>
  <c r="K1906" i="6"/>
  <c r="K1907" i="6"/>
  <c r="K1908" i="6"/>
  <c r="K1909" i="6"/>
  <c r="K1910" i="6"/>
  <c r="K1911" i="6"/>
  <c r="K1912" i="6"/>
  <c r="K1913" i="6"/>
  <c r="K1914" i="6"/>
  <c r="K1915" i="6"/>
  <c r="K1916" i="6"/>
  <c r="K1917" i="6"/>
  <c r="K1918" i="6"/>
  <c r="K1919" i="6"/>
  <c r="K1920" i="6"/>
  <c r="K1921" i="6"/>
  <c r="K1922" i="6"/>
  <c r="K1923" i="6"/>
  <c r="K1924" i="6"/>
  <c r="K1925" i="6"/>
  <c r="K1926" i="6"/>
  <c r="K1927" i="6"/>
  <c r="K1928" i="6"/>
  <c r="K1929" i="6"/>
  <c r="K1930" i="6"/>
  <c r="K1931" i="6"/>
  <c r="K1932" i="6"/>
  <c r="K1933" i="6"/>
  <c r="K1934" i="6"/>
  <c r="K1935" i="6"/>
  <c r="K1936" i="6"/>
  <c r="K1937" i="6"/>
  <c r="K1938" i="6"/>
  <c r="K1939" i="6"/>
  <c r="K1940" i="6"/>
  <c r="K1941" i="6"/>
  <c r="K1942" i="6"/>
  <c r="K1943" i="6"/>
  <c r="K1944" i="6"/>
  <c r="K1945" i="6"/>
  <c r="K1946" i="6"/>
  <c r="K1947" i="6"/>
  <c r="K1948" i="6"/>
  <c r="K1949" i="6"/>
  <c r="K1950" i="6"/>
  <c r="K1951" i="6"/>
  <c r="K1952" i="6"/>
  <c r="K1953" i="6"/>
  <c r="K1954" i="6"/>
  <c r="K1955" i="6"/>
  <c r="K1956" i="6"/>
  <c r="K1957" i="6"/>
  <c r="K1958" i="6"/>
  <c r="K1959" i="6"/>
  <c r="K1960" i="6"/>
  <c r="K1961" i="6"/>
  <c r="K1962" i="6"/>
  <c r="K1963" i="6"/>
  <c r="K1964" i="6"/>
  <c r="K1965" i="6"/>
  <c r="K1966" i="6"/>
  <c r="K1967" i="6"/>
  <c r="K1968" i="6"/>
  <c r="K1969" i="6"/>
  <c r="K1970" i="6"/>
  <c r="K1971" i="6"/>
  <c r="K1972" i="6"/>
  <c r="K1973" i="6"/>
  <c r="K1974" i="6"/>
  <c r="K1975" i="6"/>
  <c r="K1976" i="6"/>
  <c r="K1977" i="6"/>
  <c r="K1978" i="6"/>
  <c r="K1979" i="6"/>
  <c r="K1980" i="6"/>
  <c r="K1981" i="6"/>
  <c r="K1982" i="6"/>
  <c r="K1983" i="6"/>
  <c r="K1984" i="6"/>
  <c r="K1985" i="6"/>
  <c r="K1986" i="6"/>
  <c r="K1987" i="6"/>
  <c r="K1988" i="6"/>
  <c r="K1989" i="6"/>
  <c r="K1990" i="6"/>
  <c r="K1991" i="6"/>
  <c r="K1992" i="6"/>
  <c r="K1993" i="6"/>
  <c r="K1994" i="6"/>
  <c r="K1995" i="6"/>
  <c r="K1996" i="6"/>
  <c r="K1997" i="6"/>
  <c r="K1998" i="6"/>
  <c r="K1999" i="6"/>
  <c r="K2000" i="6"/>
  <c r="K2001" i="6"/>
  <c r="K2002" i="6"/>
  <c r="K2003" i="6"/>
  <c r="K2004" i="6"/>
  <c r="K2005" i="6"/>
  <c r="K2006" i="6"/>
  <c r="K2007" i="6"/>
  <c r="K2008" i="6"/>
  <c r="K2009" i="6"/>
  <c r="K2010" i="6"/>
  <c r="K2011" i="6"/>
  <c r="K2012" i="6"/>
  <c r="K2013" i="6"/>
  <c r="K2014" i="6"/>
  <c r="K2015" i="6"/>
  <c r="K2016" i="6"/>
  <c r="K2017" i="6"/>
  <c r="K2018" i="6"/>
  <c r="K2019" i="6"/>
  <c r="K2020" i="6"/>
  <c r="K2021" i="6"/>
  <c r="K2022" i="6"/>
  <c r="K2023" i="6"/>
  <c r="K2024" i="6"/>
  <c r="K2025" i="6"/>
  <c r="K2026" i="6"/>
  <c r="K2027" i="6"/>
  <c r="K2028" i="6"/>
  <c r="K2029" i="6"/>
  <c r="K2030" i="6"/>
  <c r="K2031" i="6"/>
  <c r="K2032" i="6"/>
  <c r="K2033" i="6"/>
  <c r="K2034" i="6"/>
  <c r="K2035" i="6"/>
  <c r="K2036" i="6"/>
  <c r="K2037" i="6"/>
  <c r="K2038" i="6"/>
  <c r="K2039" i="6"/>
  <c r="K2040" i="6"/>
  <c r="K2041" i="6"/>
  <c r="K2042" i="6"/>
  <c r="K2043" i="6"/>
  <c r="K2044" i="6"/>
  <c r="K2045" i="6"/>
  <c r="K2046" i="6"/>
  <c r="K2047" i="6"/>
  <c r="K2048" i="6"/>
  <c r="K2049" i="6"/>
  <c r="K2050" i="6"/>
  <c r="K2051" i="6"/>
  <c r="K2052" i="6"/>
  <c r="K2053" i="6"/>
  <c r="K2054" i="6"/>
  <c r="K2055" i="6"/>
  <c r="K2056" i="6"/>
  <c r="K2057" i="6"/>
  <c r="K2058" i="6"/>
  <c r="K2059" i="6"/>
  <c r="K2060" i="6"/>
  <c r="K2061" i="6"/>
  <c r="K2062" i="6"/>
  <c r="K2063" i="6"/>
  <c r="K2064" i="6"/>
  <c r="K2065" i="6"/>
  <c r="K2066" i="6"/>
  <c r="K2067" i="6"/>
  <c r="K2068" i="6"/>
  <c r="K2069" i="6"/>
  <c r="K2070" i="6"/>
  <c r="K2071" i="6"/>
  <c r="K2072" i="6"/>
  <c r="K2073" i="6"/>
  <c r="K2074" i="6"/>
  <c r="K2075" i="6"/>
  <c r="K2076" i="6"/>
  <c r="K2077" i="6"/>
  <c r="K2078" i="6"/>
  <c r="K2079" i="6"/>
  <c r="K2080" i="6"/>
  <c r="K2081" i="6"/>
  <c r="K2082" i="6"/>
  <c r="K2083" i="6"/>
  <c r="K2084" i="6"/>
  <c r="K2085" i="6"/>
  <c r="K2086" i="6"/>
  <c r="K2087" i="6"/>
  <c r="K2088" i="6"/>
  <c r="K2089" i="6"/>
  <c r="K2090" i="6"/>
  <c r="K2091" i="6"/>
  <c r="K2092" i="6"/>
  <c r="K2093" i="6"/>
  <c r="K2094" i="6"/>
  <c r="K2095" i="6"/>
  <c r="K2096" i="6"/>
  <c r="K2097" i="6"/>
  <c r="K2098" i="6"/>
  <c r="K2099" i="6"/>
  <c r="K2100" i="6"/>
  <c r="K2101" i="6"/>
  <c r="K2102" i="6"/>
  <c r="K2103" i="6"/>
  <c r="K2104" i="6"/>
  <c r="K2105" i="6"/>
  <c r="K2106" i="6"/>
  <c r="K2107" i="6"/>
  <c r="K2108" i="6"/>
  <c r="K2109" i="6"/>
  <c r="K2110" i="6"/>
  <c r="K2111" i="6"/>
  <c r="K2112" i="6"/>
  <c r="K2113" i="6"/>
  <c r="K2114" i="6"/>
  <c r="K2115" i="6"/>
  <c r="K2116" i="6"/>
  <c r="K2117" i="6"/>
  <c r="K2118" i="6"/>
  <c r="K2119" i="6"/>
  <c r="K2120" i="6"/>
  <c r="K2121" i="6"/>
  <c r="K2122" i="6"/>
  <c r="K2123" i="6"/>
  <c r="K2124" i="6"/>
  <c r="K2125" i="6"/>
  <c r="K2126" i="6"/>
  <c r="K2127" i="6"/>
  <c r="K2128" i="6"/>
  <c r="K2129" i="6"/>
  <c r="K2130" i="6"/>
  <c r="K2131" i="6"/>
  <c r="K2132" i="6"/>
  <c r="K2133" i="6"/>
  <c r="K2134" i="6"/>
  <c r="K2135" i="6"/>
  <c r="K2136" i="6"/>
  <c r="K2137" i="6"/>
  <c r="K2138" i="6"/>
  <c r="K2139" i="6"/>
  <c r="K2140" i="6"/>
  <c r="K2141" i="6"/>
  <c r="K2142" i="6"/>
  <c r="K2143" i="6"/>
  <c r="K2144" i="6"/>
  <c r="K2145" i="6"/>
  <c r="K2146" i="6"/>
  <c r="K2147" i="6"/>
  <c r="K2148" i="6"/>
  <c r="K2149" i="6"/>
  <c r="K2150" i="6"/>
  <c r="K2151" i="6"/>
  <c r="K2152" i="6"/>
  <c r="K2153" i="6"/>
  <c r="K2154" i="6"/>
  <c r="K2155" i="6"/>
  <c r="K2156" i="6"/>
  <c r="K2157" i="6"/>
  <c r="K2158" i="6"/>
  <c r="K2159" i="6"/>
  <c r="K2160" i="6"/>
  <c r="K2161" i="6"/>
  <c r="K2162" i="6"/>
  <c r="K2163" i="6"/>
  <c r="K2164" i="6"/>
  <c r="K2165" i="6"/>
  <c r="K2166" i="6"/>
  <c r="K2167" i="6"/>
  <c r="K2168" i="6"/>
  <c r="K2169" i="6"/>
  <c r="K2170" i="6"/>
  <c r="K2171" i="6"/>
  <c r="K2172" i="6"/>
  <c r="K2173" i="6"/>
  <c r="K2174" i="6"/>
  <c r="K2175" i="6"/>
  <c r="K2176" i="6"/>
  <c r="K2177" i="6"/>
  <c r="K2178" i="6"/>
  <c r="K2179" i="6"/>
  <c r="K2180" i="6"/>
  <c r="K2181" i="6"/>
  <c r="K2182" i="6"/>
  <c r="K2183" i="6"/>
  <c r="K2184" i="6"/>
  <c r="K2185" i="6"/>
  <c r="K2186" i="6"/>
  <c r="K2187" i="6"/>
  <c r="K2188" i="6"/>
  <c r="K2189" i="6"/>
  <c r="K2190" i="6"/>
  <c r="K2191" i="6"/>
  <c r="K2192" i="6"/>
  <c r="K2193" i="6"/>
  <c r="K2194" i="6"/>
  <c r="K2195" i="6"/>
  <c r="K2196" i="6"/>
  <c r="K2197" i="6"/>
  <c r="K2198" i="6"/>
  <c r="K2199" i="6"/>
  <c r="K2200" i="6"/>
  <c r="K2201" i="6"/>
  <c r="K2202" i="6"/>
  <c r="K2203" i="6"/>
  <c r="K2204" i="6"/>
  <c r="K2205" i="6"/>
  <c r="K2206" i="6"/>
  <c r="K2207" i="6"/>
  <c r="K2208" i="6"/>
  <c r="K2209" i="6"/>
  <c r="K2210" i="6"/>
  <c r="K2211" i="6"/>
  <c r="K2212" i="6"/>
  <c r="K2213" i="6"/>
  <c r="K2214" i="6"/>
  <c r="K2215" i="6"/>
  <c r="K2216" i="6"/>
  <c r="K2217" i="6"/>
  <c r="K2218" i="6"/>
  <c r="K2219" i="6"/>
  <c r="K2220" i="6"/>
  <c r="K2221" i="6"/>
  <c r="K2222" i="6"/>
  <c r="K2223" i="6"/>
  <c r="K2224" i="6"/>
  <c r="K2225" i="6"/>
  <c r="K2226" i="6"/>
  <c r="K2227" i="6"/>
  <c r="K2228" i="6"/>
  <c r="K2229" i="6"/>
  <c r="K2230" i="6"/>
  <c r="K2231" i="6"/>
  <c r="K2232" i="6"/>
  <c r="K2233" i="6"/>
  <c r="K2234" i="6"/>
  <c r="K2235" i="6"/>
  <c r="K2236" i="6"/>
  <c r="K2237" i="6"/>
  <c r="K2238" i="6"/>
  <c r="K2239" i="6"/>
  <c r="K2240" i="6"/>
  <c r="K2241" i="6"/>
  <c r="K2242" i="6"/>
  <c r="K2243" i="6"/>
  <c r="K2244" i="6"/>
  <c r="K2245" i="6"/>
  <c r="K2246" i="6"/>
  <c r="K2247" i="6"/>
  <c r="K2248" i="6"/>
  <c r="K2249" i="6"/>
  <c r="K2250" i="6"/>
  <c r="K2251" i="6"/>
  <c r="K2252" i="6"/>
  <c r="K2253" i="6"/>
  <c r="K2254" i="6"/>
  <c r="K2255" i="6"/>
  <c r="K2256" i="6"/>
  <c r="K2257" i="6"/>
  <c r="K2258" i="6"/>
  <c r="K2259" i="6"/>
  <c r="K2260" i="6"/>
  <c r="K2261" i="6"/>
  <c r="K2262" i="6"/>
  <c r="K2263" i="6"/>
  <c r="K2264" i="6"/>
  <c r="K2265" i="6"/>
  <c r="K2266" i="6"/>
  <c r="K2267" i="6"/>
  <c r="K2268" i="6"/>
  <c r="K2269" i="6"/>
  <c r="K2270" i="6"/>
  <c r="K2271" i="6"/>
  <c r="K2272" i="6"/>
  <c r="K2273" i="6"/>
  <c r="K2274" i="6"/>
  <c r="K2275" i="6"/>
  <c r="K2276" i="6"/>
  <c r="K2277" i="6"/>
  <c r="K2278" i="6"/>
  <c r="K2279" i="6"/>
  <c r="K2280" i="6"/>
  <c r="K2281" i="6"/>
  <c r="K2282" i="6"/>
  <c r="K2283" i="6"/>
  <c r="K2284" i="6"/>
  <c r="K2285" i="6"/>
  <c r="K2286" i="6"/>
  <c r="K2287" i="6"/>
  <c r="K2288" i="6"/>
  <c r="K2289" i="6"/>
  <c r="K2290" i="6"/>
  <c r="K2291" i="6"/>
  <c r="K2292" i="6"/>
  <c r="K2293" i="6"/>
  <c r="K2294" i="6"/>
  <c r="K2295" i="6"/>
  <c r="K2296" i="6"/>
  <c r="K2297" i="6"/>
  <c r="K2298" i="6"/>
  <c r="K2299" i="6"/>
  <c r="K2300" i="6"/>
  <c r="K2301" i="6"/>
  <c r="K2302" i="6"/>
  <c r="K2303" i="6"/>
  <c r="K2304" i="6"/>
  <c r="K2305" i="6"/>
  <c r="K2306" i="6"/>
  <c r="K2307" i="6"/>
  <c r="K2308" i="6"/>
  <c r="K2309" i="6"/>
  <c r="K2310" i="6"/>
  <c r="K2311" i="6"/>
  <c r="K2312" i="6"/>
  <c r="K2313" i="6"/>
  <c r="K2314" i="6"/>
  <c r="K2315" i="6"/>
  <c r="K2316" i="6"/>
  <c r="K2317" i="6"/>
  <c r="K2318" i="6"/>
  <c r="K2319" i="6"/>
  <c r="K2320" i="6"/>
  <c r="K2321" i="6"/>
  <c r="K2322" i="6"/>
  <c r="K2323" i="6"/>
  <c r="K2324" i="6"/>
  <c r="K2325" i="6"/>
  <c r="K2326" i="6"/>
  <c r="K2327" i="6"/>
  <c r="K2328" i="6"/>
  <c r="K2329" i="6"/>
  <c r="K2330" i="6"/>
  <c r="K2331" i="6"/>
  <c r="K2332" i="6"/>
  <c r="K2333" i="6"/>
  <c r="K2334" i="6"/>
  <c r="K2335" i="6"/>
  <c r="K2336" i="6"/>
  <c r="K2337" i="6"/>
  <c r="K2338" i="6"/>
  <c r="K2339" i="6"/>
  <c r="K2340" i="6"/>
  <c r="K2341" i="6"/>
  <c r="K2342" i="6"/>
  <c r="K2343" i="6"/>
  <c r="K2344" i="6"/>
  <c r="K2345" i="6"/>
  <c r="K2346" i="6"/>
  <c r="K2347" i="6"/>
  <c r="K2348" i="6"/>
  <c r="K2349" i="6"/>
  <c r="K2350" i="6"/>
  <c r="K2351" i="6"/>
  <c r="K2352" i="6"/>
  <c r="K2353" i="6"/>
  <c r="K2354" i="6"/>
  <c r="K2355" i="6"/>
  <c r="K2356" i="6"/>
  <c r="K2357" i="6"/>
  <c r="K2358" i="6"/>
  <c r="K2359" i="6"/>
  <c r="K2360" i="6"/>
  <c r="K2361" i="6"/>
  <c r="K2362" i="6"/>
  <c r="K2363" i="6"/>
  <c r="K2364" i="6"/>
  <c r="K2365" i="6"/>
  <c r="K2366" i="6"/>
  <c r="K2367" i="6"/>
  <c r="K2368" i="6"/>
  <c r="K2369" i="6"/>
  <c r="K2370" i="6"/>
  <c r="K2371" i="6"/>
  <c r="K2372" i="6"/>
  <c r="K2373" i="6"/>
  <c r="K2374" i="6"/>
  <c r="K2375" i="6"/>
  <c r="K2376" i="6"/>
  <c r="K2377" i="6"/>
  <c r="K2378" i="6"/>
  <c r="K2379" i="6"/>
  <c r="K2380" i="6"/>
  <c r="K2381" i="6"/>
  <c r="K2382" i="6"/>
  <c r="K2383" i="6"/>
  <c r="K2384" i="6"/>
  <c r="K2385" i="6"/>
  <c r="K2386" i="6"/>
  <c r="K2387" i="6"/>
  <c r="K2388" i="6"/>
  <c r="K2389" i="6"/>
  <c r="K2390" i="6"/>
  <c r="K2391" i="6"/>
  <c r="K2392" i="6"/>
  <c r="K2393" i="6"/>
  <c r="K2394" i="6"/>
  <c r="K2395" i="6"/>
  <c r="K2396" i="6"/>
  <c r="K2397" i="6"/>
  <c r="K2398" i="6"/>
  <c r="K2399" i="6"/>
  <c r="K2400" i="6"/>
  <c r="K2401" i="6"/>
  <c r="K2402" i="6"/>
  <c r="K2403" i="6"/>
  <c r="K2404" i="6"/>
  <c r="K2405" i="6"/>
  <c r="K2406" i="6"/>
  <c r="K2407" i="6"/>
  <c r="K2408" i="6"/>
  <c r="K2409" i="6"/>
  <c r="K2410" i="6"/>
  <c r="K2411" i="6"/>
  <c r="K2412" i="6"/>
  <c r="K2413" i="6"/>
  <c r="K2414" i="6"/>
  <c r="K2415" i="6"/>
  <c r="K2416" i="6"/>
  <c r="K2417" i="6"/>
  <c r="K2418" i="6"/>
  <c r="K2419" i="6"/>
  <c r="K2420" i="6"/>
  <c r="K2421" i="6"/>
  <c r="K2422" i="6"/>
  <c r="K2423" i="6"/>
  <c r="K2424" i="6"/>
  <c r="K2425" i="6"/>
  <c r="K2426" i="6"/>
  <c r="K2427" i="6"/>
  <c r="K2428" i="6"/>
  <c r="K2429" i="6"/>
  <c r="K2430" i="6"/>
  <c r="K2431" i="6"/>
  <c r="K2432" i="6"/>
  <c r="K2433" i="6"/>
  <c r="K2434" i="6"/>
  <c r="K2435" i="6"/>
  <c r="K2436" i="6"/>
  <c r="K2437" i="6"/>
  <c r="K2438" i="6"/>
  <c r="K2439" i="6"/>
  <c r="K2440" i="6"/>
  <c r="K2441" i="6"/>
  <c r="K2442" i="6"/>
  <c r="K2443" i="6"/>
  <c r="K2444" i="6"/>
  <c r="K2445" i="6"/>
  <c r="K2446" i="6"/>
  <c r="K2447" i="6"/>
  <c r="K2448" i="6"/>
  <c r="K2449" i="6"/>
  <c r="K2450" i="6"/>
  <c r="K2451" i="6"/>
  <c r="K2452" i="6"/>
  <c r="K2453" i="6"/>
  <c r="K2454" i="6"/>
  <c r="K2455" i="6"/>
  <c r="K2456" i="6"/>
  <c r="K2457" i="6"/>
  <c r="K2458" i="6"/>
  <c r="K2459" i="6"/>
  <c r="K2460" i="6"/>
  <c r="K2461" i="6"/>
  <c r="K2462" i="6"/>
  <c r="K2463" i="6"/>
  <c r="K2464" i="6"/>
  <c r="K2465" i="6"/>
  <c r="K2466" i="6"/>
  <c r="K2467" i="6"/>
  <c r="K2468" i="6"/>
  <c r="K2469" i="6"/>
  <c r="K2470" i="6"/>
  <c r="K2471" i="6"/>
  <c r="K2472" i="6"/>
  <c r="K2473" i="6"/>
  <c r="K2474" i="6"/>
  <c r="K2475" i="6"/>
  <c r="K2476" i="6"/>
  <c r="K2477" i="6"/>
  <c r="K2478" i="6"/>
  <c r="K2479" i="6"/>
  <c r="K2480" i="6"/>
  <c r="K2481" i="6"/>
  <c r="K2482" i="6"/>
  <c r="K2483" i="6"/>
  <c r="K2484" i="6"/>
  <c r="K2485" i="6"/>
  <c r="K2486" i="6"/>
  <c r="K2487" i="6"/>
  <c r="K2488" i="6"/>
  <c r="K2489" i="6"/>
  <c r="K2490" i="6"/>
  <c r="K2491" i="6"/>
  <c r="K2492" i="6"/>
  <c r="K2493" i="6"/>
  <c r="K2494" i="6"/>
  <c r="K2495" i="6"/>
  <c r="K2496" i="6"/>
  <c r="K2497" i="6"/>
  <c r="K2498" i="6"/>
  <c r="K2499" i="6"/>
  <c r="K2500" i="6"/>
  <c r="K2501" i="6"/>
  <c r="K2502" i="6"/>
  <c r="K2503" i="6"/>
  <c r="K2504" i="6"/>
  <c r="K2505" i="6"/>
  <c r="K2506" i="6"/>
  <c r="K2507" i="6"/>
  <c r="K2508" i="6"/>
  <c r="K2509" i="6"/>
  <c r="K2510" i="6"/>
  <c r="K2511" i="6"/>
  <c r="K2512" i="6"/>
  <c r="K2513" i="6"/>
  <c r="K2514" i="6"/>
  <c r="K2515" i="6"/>
  <c r="K2516" i="6"/>
  <c r="K2517" i="6"/>
  <c r="K2518" i="6"/>
  <c r="K2519" i="6"/>
  <c r="K2520" i="6"/>
  <c r="K2521" i="6"/>
  <c r="K2522" i="6"/>
  <c r="K2523" i="6"/>
  <c r="K2524" i="6"/>
  <c r="K2525" i="6"/>
  <c r="K2526" i="6"/>
  <c r="K2527" i="6"/>
  <c r="K2528" i="6"/>
  <c r="K2529" i="6"/>
  <c r="K2530" i="6"/>
  <c r="K2531" i="6"/>
  <c r="K2532" i="6"/>
  <c r="K2533" i="6"/>
  <c r="K2534" i="6"/>
  <c r="K2535" i="6"/>
  <c r="K2536" i="6"/>
  <c r="K2537" i="6"/>
  <c r="K2538" i="6"/>
  <c r="K2539" i="6"/>
  <c r="K2540" i="6"/>
  <c r="K2541" i="6"/>
  <c r="K2542" i="6"/>
  <c r="K2543" i="6"/>
  <c r="K2544" i="6"/>
  <c r="K2545" i="6"/>
  <c r="K2546" i="6"/>
  <c r="K2547" i="6"/>
  <c r="K2548" i="6"/>
  <c r="K2549" i="6"/>
  <c r="K2550" i="6"/>
  <c r="K2551" i="6"/>
  <c r="K2552" i="6"/>
  <c r="K2553" i="6"/>
  <c r="K2554" i="6"/>
  <c r="K2555" i="6"/>
  <c r="K2556" i="6"/>
  <c r="K2557" i="6"/>
  <c r="K2558" i="6"/>
  <c r="K2559" i="6"/>
  <c r="K2560" i="6"/>
  <c r="K2561" i="6"/>
  <c r="K2562" i="6"/>
  <c r="K2563" i="6"/>
  <c r="K2564" i="6"/>
  <c r="K2565" i="6"/>
  <c r="K2566" i="6"/>
  <c r="K2567" i="6"/>
  <c r="K2568" i="6"/>
  <c r="K2569" i="6"/>
  <c r="K2570" i="6"/>
  <c r="K2571" i="6"/>
  <c r="K2572" i="6"/>
  <c r="K2573" i="6"/>
  <c r="K2574" i="6"/>
  <c r="K2575" i="6"/>
  <c r="K2576" i="6"/>
  <c r="K2577" i="6"/>
  <c r="K2578" i="6"/>
  <c r="K2579" i="6"/>
  <c r="K2580" i="6"/>
  <c r="K2581" i="6"/>
  <c r="K2582" i="6"/>
  <c r="K2583" i="6"/>
  <c r="K2584" i="6"/>
  <c r="K2585" i="6"/>
  <c r="K2586" i="6"/>
  <c r="K2587" i="6"/>
  <c r="K2588" i="6"/>
  <c r="K2589" i="6"/>
  <c r="K2590" i="6"/>
  <c r="K2591" i="6"/>
  <c r="K2592" i="6"/>
  <c r="K2593" i="6"/>
  <c r="K2594" i="6"/>
  <c r="K2595" i="6"/>
  <c r="K2596" i="6"/>
  <c r="K2597" i="6"/>
  <c r="K2598" i="6"/>
  <c r="K2599" i="6"/>
  <c r="K2600" i="6"/>
  <c r="K2601" i="6"/>
  <c r="K2602" i="6"/>
  <c r="K2603" i="6"/>
  <c r="K2604" i="6"/>
  <c r="K2605" i="6"/>
  <c r="K2606" i="6"/>
  <c r="K2607" i="6"/>
  <c r="K2608" i="6"/>
  <c r="K2609" i="6"/>
  <c r="K2610" i="6"/>
  <c r="K2611" i="6"/>
  <c r="K2612" i="6"/>
  <c r="K2613" i="6"/>
  <c r="K2614" i="6"/>
  <c r="K2615" i="6"/>
  <c r="K2616" i="6"/>
  <c r="K2617" i="6"/>
  <c r="K2618" i="6"/>
  <c r="K2619" i="6"/>
  <c r="K2620" i="6"/>
  <c r="K2621" i="6"/>
  <c r="K2622" i="6"/>
  <c r="K2623" i="6"/>
  <c r="K2624" i="6"/>
  <c r="K2625" i="6"/>
  <c r="K2626" i="6"/>
  <c r="K2627" i="6"/>
  <c r="K2628" i="6"/>
  <c r="K2629" i="6"/>
  <c r="K2630" i="6"/>
  <c r="K2631" i="6"/>
  <c r="K2632" i="6"/>
  <c r="K2633" i="6"/>
  <c r="K2634" i="6"/>
  <c r="K2635" i="6"/>
  <c r="K2636" i="6"/>
  <c r="K2637" i="6"/>
  <c r="K2638" i="6"/>
  <c r="K2639" i="6"/>
  <c r="K2640" i="6"/>
  <c r="K2641" i="6"/>
  <c r="K2642" i="6"/>
  <c r="K2643" i="6"/>
  <c r="K2644" i="6"/>
  <c r="K2645" i="6"/>
  <c r="K2646" i="6"/>
  <c r="K2647" i="6"/>
  <c r="K2648" i="6"/>
  <c r="K2649" i="6"/>
  <c r="K2650" i="6"/>
  <c r="K2651" i="6"/>
  <c r="K2652" i="6"/>
  <c r="K2653" i="6"/>
  <c r="K2654" i="6"/>
  <c r="K2655" i="6"/>
  <c r="K2656" i="6"/>
  <c r="K2657" i="6"/>
  <c r="K2658" i="6"/>
  <c r="K2659" i="6"/>
  <c r="K2660" i="6"/>
  <c r="K2661" i="6"/>
  <c r="K2662" i="6"/>
  <c r="K2663" i="6"/>
  <c r="K2664" i="6"/>
  <c r="K2665" i="6"/>
  <c r="K2666" i="6"/>
  <c r="K2667" i="6"/>
  <c r="K2668" i="6"/>
  <c r="K2669" i="6"/>
  <c r="K2670" i="6"/>
  <c r="K2671" i="6"/>
  <c r="K2672" i="6"/>
  <c r="K2673" i="6"/>
  <c r="K2674" i="6"/>
  <c r="K2675" i="6"/>
  <c r="K2676" i="6"/>
  <c r="K2677" i="6"/>
  <c r="K2678" i="6"/>
  <c r="K2679" i="6"/>
  <c r="K2680" i="6"/>
  <c r="K2681" i="6"/>
  <c r="K2682" i="6"/>
  <c r="K2683" i="6"/>
  <c r="K2684" i="6"/>
  <c r="K2685" i="6"/>
  <c r="K2686" i="6"/>
  <c r="K2687" i="6"/>
  <c r="K2688" i="6"/>
  <c r="K2689" i="6"/>
  <c r="K2690" i="6"/>
  <c r="K2691" i="6"/>
  <c r="K2692" i="6"/>
  <c r="K2693" i="6"/>
  <c r="K2694" i="6"/>
  <c r="K2695" i="6"/>
  <c r="K2696" i="6"/>
  <c r="K2697" i="6"/>
  <c r="K2698" i="6"/>
  <c r="K2699" i="6"/>
  <c r="K2700" i="6"/>
  <c r="K2701" i="6"/>
  <c r="K2702" i="6"/>
  <c r="K2703" i="6"/>
  <c r="K2704" i="6"/>
  <c r="K2705" i="6"/>
  <c r="K2706" i="6"/>
  <c r="K2707" i="6"/>
  <c r="K2708" i="6"/>
  <c r="K2709" i="6"/>
  <c r="K2710" i="6"/>
  <c r="K2711" i="6"/>
  <c r="K2712" i="6"/>
  <c r="K2713" i="6"/>
  <c r="K2714" i="6"/>
  <c r="K2715" i="6"/>
  <c r="K2716" i="6"/>
  <c r="K2717" i="6"/>
  <c r="K2718" i="6"/>
  <c r="K2719" i="6"/>
  <c r="K2720" i="6"/>
  <c r="K2721" i="6"/>
  <c r="K2722" i="6"/>
  <c r="K2723" i="6"/>
  <c r="K2724" i="6"/>
  <c r="K2725" i="6"/>
  <c r="K2726" i="6"/>
  <c r="K2727" i="6"/>
  <c r="K2728" i="6"/>
  <c r="K2729" i="6"/>
  <c r="K2730" i="6"/>
  <c r="K2731" i="6"/>
  <c r="K2732" i="6"/>
  <c r="K2733" i="6"/>
  <c r="K2734" i="6"/>
  <c r="K2735" i="6"/>
  <c r="K2736" i="6"/>
  <c r="K2737" i="6"/>
  <c r="K2738" i="6"/>
  <c r="K2739" i="6"/>
  <c r="K2740" i="6"/>
  <c r="K2741" i="6"/>
  <c r="K2742" i="6"/>
  <c r="K2743" i="6"/>
  <c r="K2744" i="6"/>
  <c r="K2745" i="6"/>
  <c r="K2746" i="6"/>
  <c r="K2747" i="6"/>
  <c r="K2748" i="6"/>
  <c r="K2749" i="6"/>
  <c r="K2750" i="6"/>
  <c r="K2751" i="6"/>
  <c r="K2752" i="6"/>
  <c r="K2753" i="6"/>
  <c r="K2754" i="6"/>
  <c r="K2755" i="6"/>
  <c r="K2756" i="6"/>
  <c r="K2757" i="6"/>
  <c r="K2758" i="6"/>
  <c r="K2759" i="6"/>
  <c r="K2760" i="6"/>
  <c r="K2761" i="6"/>
  <c r="K2762" i="6"/>
  <c r="K2763" i="6"/>
  <c r="K2764" i="6"/>
  <c r="K2765" i="6"/>
  <c r="K2766" i="6"/>
  <c r="K2767" i="6"/>
  <c r="K2768" i="6"/>
  <c r="K2769" i="6"/>
  <c r="K2770" i="6"/>
  <c r="K2771" i="6"/>
  <c r="K2772" i="6"/>
  <c r="K2773" i="6"/>
  <c r="K2774" i="6"/>
  <c r="K2775" i="6"/>
  <c r="K2776" i="6"/>
  <c r="K2777" i="6"/>
  <c r="K2778" i="6"/>
  <c r="K2779" i="6"/>
  <c r="K2780" i="6"/>
  <c r="K2781" i="6"/>
  <c r="K2782" i="6"/>
  <c r="K2783" i="6"/>
  <c r="K2784" i="6"/>
  <c r="K2785" i="6"/>
  <c r="K2786" i="6"/>
  <c r="K2787" i="6"/>
  <c r="K2788" i="6"/>
  <c r="K2789" i="6"/>
  <c r="K2790" i="6"/>
  <c r="K2791" i="6"/>
  <c r="K2792" i="6"/>
  <c r="K2793" i="6"/>
  <c r="K2794" i="6"/>
  <c r="K2795" i="6"/>
  <c r="K2796" i="6"/>
  <c r="K2797" i="6"/>
  <c r="K2798" i="6"/>
  <c r="K2799" i="6"/>
  <c r="K2800" i="6"/>
  <c r="K2801" i="6"/>
  <c r="K2802" i="6"/>
  <c r="K2803" i="6"/>
  <c r="K2804" i="6"/>
  <c r="K2805" i="6"/>
  <c r="K2806" i="6"/>
  <c r="K2807" i="6"/>
  <c r="K2808" i="6"/>
  <c r="K2809" i="6"/>
  <c r="K2810" i="6"/>
  <c r="K2811" i="6"/>
  <c r="K2812" i="6"/>
  <c r="K2813" i="6"/>
  <c r="K2814" i="6"/>
  <c r="K2815" i="6"/>
  <c r="K2816" i="6"/>
  <c r="K2817" i="6"/>
  <c r="K2818" i="6"/>
  <c r="K2819" i="6"/>
  <c r="K2820" i="6"/>
  <c r="K2821" i="6"/>
  <c r="K2822" i="6"/>
  <c r="K2823" i="6"/>
  <c r="K2824" i="6"/>
  <c r="K2825" i="6"/>
  <c r="K2826" i="6"/>
  <c r="K2827" i="6"/>
  <c r="K2828" i="6"/>
  <c r="K2829" i="6"/>
  <c r="K2830" i="6"/>
  <c r="K2831" i="6"/>
  <c r="K2832" i="6"/>
  <c r="K2833" i="6"/>
  <c r="K2834" i="6"/>
  <c r="K2835" i="6"/>
  <c r="K2836" i="6"/>
  <c r="K2837" i="6"/>
  <c r="K2838" i="6"/>
  <c r="K2839" i="6"/>
  <c r="K2840" i="6"/>
  <c r="K2841" i="6"/>
  <c r="K2842" i="6"/>
  <c r="K2843" i="6"/>
  <c r="K2844" i="6"/>
  <c r="K2845" i="6"/>
  <c r="K2846" i="6"/>
  <c r="K2847" i="6"/>
  <c r="K2848" i="6"/>
  <c r="K2849" i="6"/>
  <c r="K2850" i="6"/>
  <c r="K2851" i="6"/>
  <c r="K2852" i="6"/>
  <c r="K2853" i="6"/>
  <c r="K2854" i="6"/>
  <c r="K2855" i="6"/>
  <c r="K2856" i="6"/>
  <c r="K2857" i="6"/>
  <c r="K2858" i="6"/>
  <c r="K2859" i="6"/>
  <c r="K2860" i="6"/>
  <c r="K2861" i="6"/>
  <c r="K2862" i="6"/>
  <c r="K2863" i="6"/>
  <c r="K2864" i="6"/>
  <c r="K2865" i="6"/>
  <c r="K2866" i="6"/>
  <c r="K2867" i="6"/>
  <c r="K2868" i="6"/>
  <c r="K2869" i="6"/>
  <c r="K2870" i="6"/>
  <c r="K2871" i="6"/>
  <c r="K2872" i="6"/>
  <c r="K2873" i="6"/>
  <c r="K2874" i="6"/>
  <c r="K2875" i="6"/>
  <c r="K2876" i="6"/>
  <c r="K2877" i="6"/>
  <c r="K2878" i="6"/>
  <c r="K2879" i="6"/>
  <c r="K2880" i="6"/>
  <c r="K2881" i="6"/>
  <c r="K2882" i="6"/>
  <c r="K2883" i="6"/>
  <c r="K2884" i="6"/>
  <c r="K2885" i="6"/>
  <c r="K2886" i="6"/>
  <c r="K2887" i="6"/>
  <c r="K2888" i="6"/>
  <c r="K2889" i="6"/>
  <c r="K2890" i="6"/>
  <c r="K2891" i="6"/>
  <c r="K2892" i="6"/>
  <c r="K2893" i="6"/>
  <c r="K2894" i="6"/>
  <c r="K2895" i="6"/>
  <c r="K2896" i="6"/>
  <c r="K2897" i="6"/>
  <c r="K2898" i="6"/>
  <c r="K2899" i="6"/>
  <c r="K2900" i="6"/>
  <c r="K2901" i="6"/>
  <c r="K2902" i="6"/>
  <c r="K2903" i="6"/>
  <c r="K2904" i="6"/>
  <c r="K2905" i="6"/>
  <c r="K2906" i="6"/>
  <c r="K2907" i="6"/>
  <c r="K2908" i="6"/>
  <c r="K2909" i="6"/>
  <c r="K2910" i="6"/>
  <c r="K2911" i="6"/>
  <c r="K2912" i="6"/>
  <c r="K2913" i="6"/>
  <c r="K2914" i="6"/>
  <c r="K2915" i="6"/>
  <c r="K2916" i="6"/>
  <c r="K2917" i="6"/>
  <c r="K2918" i="6"/>
  <c r="K2919" i="6"/>
  <c r="K2920" i="6"/>
  <c r="K2921" i="6"/>
  <c r="K2922" i="6"/>
  <c r="K2923" i="6"/>
  <c r="K2924" i="6"/>
  <c r="K2925" i="6"/>
  <c r="K2926" i="6"/>
  <c r="K2927" i="6"/>
  <c r="K2928" i="6"/>
  <c r="K2929" i="6"/>
  <c r="K2930" i="6"/>
  <c r="K2931" i="6"/>
  <c r="K2932" i="6"/>
  <c r="K2933" i="6"/>
  <c r="K2934" i="6"/>
  <c r="K2935" i="6"/>
  <c r="K2936" i="6"/>
  <c r="K2937" i="6"/>
  <c r="K2938" i="6"/>
  <c r="K2939" i="6"/>
  <c r="K2940" i="6"/>
  <c r="K2941" i="6"/>
  <c r="K2942" i="6"/>
  <c r="K2943" i="6"/>
  <c r="K2944" i="6"/>
  <c r="K2945" i="6"/>
  <c r="K2946" i="6"/>
  <c r="K2947" i="6"/>
  <c r="K2948" i="6"/>
  <c r="K2949" i="6"/>
  <c r="K2950" i="6"/>
  <c r="K2951" i="6"/>
  <c r="K2952" i="6"/>
  <c r="K2953" i="6"/>
  <c r="K2954" i="6"/>
  <c r="K2955" i="6"/>
  <c r="K2956" i="6"/>
  <c r="K2957" i="6"/>
  <c r="K2958" i="6"/>
  <c r="K2959" i="6"/>
  <c r="K2960" i="6"/>
  <c r="K2961" i="6"/>
  <c r="K2962" i="6"/>
  <c r="K2963" i="6"/>
  <c r="K2964" i="6"/>
  <c r="K2965" i="6"/>
  <c r="K2966" i="6"/>
  <c r="K2967" i="6"/>
  <c r="K2968" i="6"/>
  <c r="K2969" i="6"/>
  <c r="K2970" i="6"/>
  <c r="K2971" i="6"/>
  <c r="K2972" i="6"/>
  <c r="K2973" i="6"/>
  <c r="K2974" i="6"/>
  <c r="K2975" i="6"/>
  <c r="K2976" i="6"/>
  <c r="K2977" i="6"/>
  <c r="K2978" i="6"/>
  <c r="K2979" i="6"/>
  <c r="K2980" i="6"/>
  <c r="K2981" i="6"/>
  <c r="K2982" i="6"/>
  <c r="K2983" i="6"/>
  <c r="K2984" i="6"/>
  <c r="K2985" i="6"/>
  <c r="K2986" i="6"/>
  <c r="K2987" i="6"/>
  <c r="K2988" i="6"/>
  <c r="K2989" i="6"/>
  <c r="K2990" i="6"/>
  <c r="K2991" i="6"/>
  <c r="K2992" i="6"/>
  <c r="K2993" i="6"/>
  <c r="K2994" i="6"/>
  <c r="K2995" i="6"/>
  <c r="K2996" i="6"/>
  <c r="K2997" i="6"/>
  <c r="K2998" i="6"/>
  <c r="K2999" i="6"/>
  <c r="K3000" i="6"/>
  <c r="K3001" i="6"/>
  <c r="K3002" i="6"/>
  <c r="K3003" i="6"/>
  <c r="K3004" i="6"/>
  <c r="K3005" i="6"/>
  <c r="K3006" i="6"/>
  <c r="K3007" i="6"/>
  <c r="K3008" i="6"/>
  <c r="K3009" i="6"/>
  <c r="K3010" i="6"/>
  <c r="K3011" i="6"/>
  <c r="K3012" i="6"/>
  <c r="K3013" i="6"/>
  <c r="K3014" i="6"/>
  <c r="K3015" i="6"/>
  <c r="K3016" i="6"/>
  <c r="K3017" i="6"/>
  <c r="K3018" i="6"/>
  <c r="K3019" i="6"/>
  <c r="K3020" i="6"/>
  <c r="K3021" i="6"/>
  <c r="K3022" i="6"/>
  <c r="K3023" i="6"/>
  <c r="K3024" i="6"/>
  <c r="K3025" i="6"/>
  <c r="K3026" i="6"/>
  <c r="K3027" i="6"/>
  <c r="K3028" i="6"/>
  <c r="K3029" i="6"/>
  <c r="K3030" i="6"/>
  <c r="K3031" i="6"/>
  <c r="K3032" i="6"/>
  <c r="K3033" i="6"/>
  <c r="K3034" i="6"/>
  <c r="K3035" i="6"/>
  <c r="K3036" i="6"/>
  <c r="K3037" i="6"/>
  <c r="K3038" i="6"/>
  <c r="K3039" i="6"/>
  <c r="K3040" i="6"/>
  <c r="K3041" i="6"/>
  <c r="K3042" i="6"/>
  <c r="K3043" i="6"/>
  <c r="K3044" i="6"/>
  <c r="K3045" i="6"/>
  <c r="K3046" i="6"/>
  <c r="K3047" i="6"/>
  <c r="K3048" i="6"/>
  <c r="K3049" i="6"/>
  <c r="K3050" i="6"/>
  <c r="K3051" i="6"/>
  <c r="K3052" i="6"/>
  <c r="K3053" i="6"/>
  <c r="K3054" i="6"/>
  <c r="K3055" i="6"/>
  <c r="K3056" i="6"/>
  <c r="K3057" i="6"/>
  <c r="K3058" i="6"/>
  <c r="K3059" i="6"/>
  <c r="K3060" i="6"/>
  <c r="K3061" i="6"/>
  <c r="K3062" i="6"/>
  <c r="K3063" i="6"/>
  <c r="K3064" i="6"/>
  <c r="K3065" i="6"/>
  <c r="K3066" i="6"/>
  <c r="K3067" i="6"/>
  <c r="K3068" i="6"/>
  <c r="K3069" i="6"/>
  <c r="K3070" i="6"/>
  <c r="K3071" i="6"/>
  <c r="K3072" i="6"/>
  <c r="K3073" i="6"/>
  <c r="K3074" i="6"/>
  <c r="K3075" i="6"/>
  <c r="K3076" i="6"/>
  <c r="K3077" i="6"/>
  <c r="K3078" i="6"/>
  <c r="K3079" i="6"/>
  <c r="K3080" i="6"/>
  <c r="K3081" i="6"/>
  <c r="K3082" i="6"/>
  <c r="K3083" i="6"/>
  <c r="K3084" i="6"/>
  <c r="K3085" i="6"/>
  <c r="K3086" i="6"/>
  <c r="K3087" i="6"/>
  <c r="K3088" i="6"/>
  <c r="K3089" i="6"/>
  <c r="K3090" i="6"/>
  <c r="K3091" i="6"/>
  <c r="K3092" i="6"/>
  <c r="K3093" i="6"/>
  <c r="K3094" i="6"/>
  <c r="K3095" i="6"/>
  <c r="K3096" i="6"/>
  <c r="K3097" i="6"/>
  <c r="K3098" i="6"/>
  <c r="K3099" i="6"/>
  <c r="K3100" i="6"/>
  <c r="K3101" i="6"/>
  <c r="K3102" i="6"/>
  <c r="K3103" i="6"/>
  <c r="K3104" i="6"/>
  <c r="K3105" i="6"/>
  <c r="K3106" i="6"/>
  <c r="K3107" i="6"/>
  <c r="K3108" i="6"/>
  <c r="K3109" i="6"/>
  <c r="K3110" i="6"/>
  <c r="K3111" i="6"/>
  <c r="K3112" i="6"/>
  <c r="K3113" i="6"/>
  <c r="K3114" i="6"/>
  <c r="K3115" i="6"/>
  <c r="K3116" i="6"/>
  <c r="K3117" i="6"/>
  <c r="K3118" i="6"/>
  <c r="K3119" i="6"/>
  <c r="K3120" i="6"/>
  <c r="K3121" i="6"/>
  <c r="K3122" i="6"/>
  <c r="K3123" i="6"/>
  <c r="K3124" i="6"/>
  <c r="K3125" i="6"/>
  <c r="K3126" i="6"/>
  <c r="K3127" i="6"/>
  <c r="K3128" i="6"/>
  <c r="K3129" i="6"/>
  <c r="K3130" i="6"/>
  <c r="K3131" i="6"/>
  <c r="K3132" i="6"/>
  <c r="K3133" i="6"/>
  <c r="K3134" i="6"/>
  <c r="K3135" i="6"/>
  <c r="K3136" i="6"/>
  <c r="K3137" i="6"/>
  <c r="K3138" i="6"/>
  <c r="K3139" i="6"/>
  <c r="K3140" i="6"/>
  <c r="K3141" i="6"/>
  <c r="K3142" i="6"/>
  <c r="K3143" i="6"/>
  <c r="K3144" i="6"/>
  <c r="K3145" i="6"/>
  <c r="K3146" i="6"/>
  <c r="K3147" i="6"/>
  <c r="K3148" i="6"/>
  <c r="K3149" i="6"/>
  <c r="K3150" i="6"/>
  <c r="K3151" i="6"/>
  <c r="K3152" i="6"/>
  <c r="K3153" i="6"/>
  <c r="K3154" i="6"/>
  <c r="K3155" i="6"/>
  <c r="K3156" i="6"/>
  <c r="K3157" i="6"/>
  <c r="K3158" i="6"/>
  <c r="K3159" i="6"/>
  <c r="K3160" i="6"/>
  <c r="K3161" i="6"/>
  <c r="K3162" i="6"/>
  <c r="K3163" i="6"/>
  <c r="K3164" i="6"/>
  <c r="K3165" i="6"/>
  <c r="K3166" i="6"/>
  <c r="K3167" i="6"/>
  <c r="K3168" i="6"/>
  <c r="K3169" i="6"/>
  <c r="K3170" i="6"/>
  <c r="K3171" i="6"/>
  <c r="K3172" i="6"/>
  <c r="K3173" i="6"/>
  <c r="K3174" i="6"/>
  <c r="K3175" i="6"/>
  <c r="K3176" i="6"/>
  <c r="K3177" i="6"/>
  <c r="K3178" i="6"/>
  <c r="K3179" i="6"/>
  <c r="K3180" i="6"/>
  <c r="K3181" i="6"/>
  <c r="K3182" i="6"/>
  <c r="K3183" i="6"/>
  <c r="K3184" i="6"/>
  <c r="K3185" i="6"/>
  <c r="K3186" i="6"/>
  <c r="K3187" i="6"/>
  <c r="K3188" i="6"/>
  <c r="K3189" i="6"/>
  <c r="K3190" i="6"/>
  <c r="K3191" i="6"/>
  <c r="K3192" i="6"/>
  <c r="K3193" i="6"/>
  <c r="K3194" i="6"/>
  <c r="K3195" i="6"/>
  <c r="K3196" i="6"/>
  <c r="K3197" i="6"/>
  <c r="K3198" i="6"/>
  <c r="K3199" i="6"/>
  <c r="K3200" i="6"/>
  <c r="K3201" i="6"/>
  <c r="K3202" i="6"/>
  <c r="K3203" i="6"/>
  <c r="K3204" i="6"/>
  <c r="K3205" i="6"/>
  <c r="K3206" i="6"/>
  <c r="K3207" i="6"/>
  <c r="K3208" i="6"/>
  <c r="K3209" i="6"/>
  <c r="K3210" i="6"/>
  <c r="K3211" i="6"/>
  <c r="K3212" i="6"/>
  <c r="K3213" i="6"/>
  <c r="K3214" i="6"/>
  <c r="K3215" i="6"/>
  <c r="K3216" i="6"/>
  <c r="K3217" i="6"/>
  <c r="K3218" i="6"/>
  <c r="K3219" i="6"/>
  <c r="K3220" i="6"/>
  <c r="K3221" i="6"/>
  <c r="K3222" i="6"/>
  <c r="K3223" i="6"/>
  <c r="K3224" i="6"/>
  <c r="K3225" i="6"/>
  <c r="K3226" i="6"/>
  <c r="K3227" i="6"/>
  <c r="K3228" i="6"/>
  <c r="K3229" i="6"/>
  <c r="K3230" i="6"/>
  <c r="K3231" i="6"/>
  <c r="K3232" i="6"/>
  <c r="K3233" i="6"/>
  <c r="K3234" i="6"/>
  <c r="K3235" i="6"/>
  <c r="K3236" i="6"/>
  <c r="K3237" i="6"/>
  <c r="K3238" i="6"/>
  <c r="K3239" i="6"/>
  <c r="K3240" i="6"/>
  <c r="K3241" i="6"/>
  <c r="K3242" i="6"/>
  <c r="K3243" i="6"/>
  <c r="K3244" i="6"/>
  <c r="K3245" i="6"/>
  <c r="K3246" i="6"/>
  <c r="K3247" i="6"/>
  <c r="K3248" i="6"/>
  <c r="K3249" i="6"/>
  <c r="K3250" i="6"/>
  <c r="K3251" i="6"/>
  <c r="K3252" i="6"/>
  <c r="K3253" i="6"/>
  <c r="K3254" i="6"/>
  <c r="K3255" i="6"/>
  <c r="K3256" i="6"/>
  <c r="K3257" i="6"/>
  <c r="K3258" i="6"/>
  <c r="K3259" i="6"/>
  <c r="K3260" i="6"/>
  <c r="K3261" i="6"/>
  <c r="K3262" i="6"/>
  <c r="K3263" i="6"/>
  <c r="K3264" i="6"/>
  <c r="K3265" i="6"/>
  <c r="K3266" i="6"/>
  <c r="K3267" i="6"/>
  <c r="K3268" i="6"/>
  <c r="K3269" i="6"/>
  <c r="K3270" i="6"/>
  <c r="K3271" i="6"/>
  <c r="K3272" i="6"/>
  <c r="K3273" i="6"/>
  <c r="K3274" i="6"/>
  <c r="K3275" i="6"/>
  <c r="K3276" i="6"/>
  <c r="K3277" i="6"/>
  <c r="K3278" i="6"/>
  <c r="K3279" i="6"/>
  <c r="K3280" i="6"/>
  <c r="K3281" i="6"/>
  <c r="K3282" i="6"/>
  <c r="K3283" i="6"/>
  <c r="K3284" i="6"/>
  <c r="K3285" i="6"/>
  <c r="K3286" i="6"/>
  <c r="K3287" i="6"/>
  <c r="K3288" i="6"/>
  <c r="K3289" i="6"/>
  <c r="K3290" i="6"/>
  <c r="K3291" i="6"/>
  <c r="K3292" i="6"/>
  <c r="K3293" i="6"/>
  <c r="K3294" i="6"/>
  <c r="K3295" i="6"/>
  <c r="K3296" i="6"/>
  <c r="K3297" i="6"/>
  <c r="K3298" i="6"/>
  <c r="K3299" i="6"/>
  <c r="K3300" i="6"/>
  <c r="K3301" i="6"/>
  <c r="K3302" i="6"/>
  <c r="K3303" i="6"/>
  <c r="K3304" i="6"/>
  <c r="K3305" i="6"/>
  <c r="K3306" i="6"/>
  <c r="K3307" i="6"/>
  <c r="K3308" i="6"/>
  <c r="K3309" i="6"/>
  <c r="K3310" i="6"/>
  <c r="K3311" i="6"/>
  <c r="K3312" i="6"/>
  <c r="K3313" i="6"/>
  <c r="K3314" i="6"/>
  <c r="K3315" i="6"/>
  <c r="K3316" i="6"/>
  <c r="K3317" i="6"/>
  <c r="K3318" i="6"/>
  <c r="K3319" i="6"/>
  <c r="K3320" i="6"/>
  <c r="K3321" i="6"/>
  <c r="K3322" i="6"/>
  <c r="K3323" i="6"/>
  <c r="K3324" i="6"/>
  <c r="K3325" i="6"/>
  <c r="K3326" i="6"/>
  <c r="K3327" i="6"/>
  <c r="K3328" i="6"/>
  <c r="K3329" i="6"/>
  <c r="K3330" i="6"/>
  <c r="K3331" i="6"/>
  <c r="K3332" i="6"/>
  <c r="K3333" i="6"/>
  <c r="K3334" i="6"/>
  <c r="K3335" i="6"/>
  <c r="K3336" i="6"/>
  <c r="K3337" i="6"/>
  <c r="K3338" i="6"/>
  <c r="K3339" i="6"/>
  <c r="K3340" i="6"/>
  <c r="K3341" i="6"/>
  <c r="K3342" i="6"/>
  <c r="K3343" i="6"/>
  <c r="K3344" i="6"/>
  <c r="K3345" i="6"/>
  <c r="K3346" i="6"/>
  <c r="K3347" i="6"/>
  <c r="K3348" i="6"/>
  <c r="K3349" i="6"/>
  <c r="K3350" i="6"/>
  <c r="K3351" i="6"/>
  <c r="K3352" i="6"/>
  <c r="K3353" i="6"/>
  <c r="K3354" i="6"/>
  <c r="K3355" i="6"/>
  <c r="K3356" i="6"/>
  <c r="K3357" i="6"/>
  <c r="K3358" i="6"/>
  <c r="K3359" i="6"/>
  <c r="K3360" i="6"/>
  <c r="K3361" i="6"/>
  <c r="K3362" i="6"/>
  <c r="K3363" i="6"/>
  <c r="K3364" i="6"/>
  <c r="K3365" i="6"/>
  <c r="K3366" i="6"/>
  <c r="K3367" i="6"/>
  <c r="K3368" i="6"/>
  <c r="K3369" i="6"/>
  <c r="K3370" i="6"/>
  <c r="K3371" i="6"/>
  <c r="K3372" i="6"/>
  <c r="K3373" i="6"/>
  <c r="K3374" i="6"/>
  <c r="K3375" i="6"/>
  <c r="K3376" i="6"/>
  <c r="K3377" i="6"/>
  <c r="K3378" i="6"/>
  <c r="K3379" i="6"/>
  <c r="K3380" i="6"/>
  <c r="K3381" i="6"/>
  <c r="K3382" i="6"/>
  <c r="K3383" i="6"/>
  <c r="K3384" i="6"/>
  <c r="K3385" i="6"/>
  <c r="K3386" i="6"/>
  <c r="K3387" i="6"/>
  <c r="K3388" i="6"/>
  <c r="K3389" i="6"/>
  <c r="K3390" i="6"/>
  <c r="K3391" i="6"/>
  <c r="K3392" i="6"/>
  <c r="K3393" i="6"/>
  <c r="K3394" i="6"/>
  <c r="K3395" i="6"/>
  <c r="K3396" i="6"/>
  <c r="K3397" i="6"/>
  <c r="K3398" i="6"/>
  <c r="K3399" i="6"/>
  <c r="K3400" i="6"/>
  <c r="K3401" i="6"/>
  <c r="K3402" i="6"/>
  <c r="K3403" i="6"/>
  <c r="K3404" i="6"/>
  <c r="K3405" i="6"/>
  <c r="K3406" i="6"/>
  <c r="K3407" i="6"/>
  <c r="K3408" i="6"/>
  <c r="K3409" i="6"/>
  <c r="K3410" i="6"/>
  <c r="K3411" i="6"/>
  <c r="K3412" i="6"/>
  <c r="K3413" i="6"/>
  <c r="K3414" i="6"/>
  <c r="K3415" i="6"/>
  <c r="K3416" i="6"/>
  <c r="K3417" i="6"/>
  <c r="K3418" i="6"/>
  <c r="K3419" i="6"/>
  <c r="K3420" i="6"/>
  <c r="K3421" i="6"/>
  <c r="K3422" i="6"/>
  <c r="K3423" i="6"/>
  <c r="K3424" i="6"/>
  <c r="K3425" i="6"/>
  <c r="K3426" i="6"/>
  <c r="K3427" i="6"/>
  <c r="K3428" i="6"/>
  <c r="K3429" i="6"/>
  <c r="K3430" i="6"/>
  <c r="K3431" i="6"/>
  <c r="K3432" i="6"/>
  <c r="K3433" i="6"/>
  <c r="K3434" i="6"/>
  <c r="K3435" i="6"/>
  <c r="K3436" i="6"/>
  <c r="K3437" i="6"/>
  <c r="K3438" i="6"/>
  <c r="K3439" i="6"/>
  <c r="K3440" i="6"/>
  <c r="K3441" i="6"/>
  <c r="K3442" i="6"/>
  <c r="K3443" i="6"/>
  <c r="K3444" i="6"/>
  <c r="K3445" i="6"/>
  <c r="K3446" i="6"/>
  <c r="K3447" i="6"/>
  <c r="K3448" i="6"/>
  <c r="K3449" i="6"/>
  <c r="K3450" i="6"/>
  <c r="K3451" i="6"/>
  <c r="K3452" i="6"/>
  <c r="K3453" i="6"/>
  <c r="K3454" i="6"/>
  <c r="K3455" i="6"/>
  <c r="K3456" i="6"/>
  <c r="K3457" i="6"/>
  <c r="K3458" i="6"/>
  <c r="K3459" i="6"/>
  <c r="K3460" i="6"/>
  <c r="K3461" i="6"/>
  <c r="K3462" i="6"/>
  <c r="K3463" i="6"/>
  <c r="K3464" i="6"/>
  <c r="K3465" i="6"/>
  <c r="K3466" i="6"/>
  <c r="K3467" i="6"/>
  <c r="K3468" i="6"/>
  <c r="K3469" i="6"/>
  <c r="K3470" i="6"/>
  <c r="K3471" i="6"/>
  <c r="K3472" i="6"/>
  <c r="K3473" i="6"/>
  <c r="K3474" i="6"/>
  <c r="K3475" i="6"/>
  <c r="K3476" i="6"/>
  <c r="K3477" i="6"/>
  <c r="K3478" i="6"/>
  <c r="K3479" i="6"/>
  <c r="K3480" i="6"/>
  <c r="K3481" i="6"/>
  <c r="K3482" i="6"/>
  <c r="K3483" i="6"/>
  <c r="K3484" i="6"/>
  <c r="K3485" i="6"/>
  <c r="K3486" i="6"/>
  <c r="K3487" i="6"/>
  <c r="K3488" i="6"/>
  <c r="K3489" i="6"/>
  <c r="K3490" i="6"/>
  <c r="K3491" i="6"/>
  <c r="K3492" i="6"/>
  <c r="K3493" i="6"/>
  <c r="K3494" i="6"/>
  <c r="K3495" i="6"/>
  <c r="K3496" i="6"/>
  <c r="K3497" i="6"/>
  <c r="K3498" i="6"/>
  <c r="K3499" i="6"/>
  <c r="K3500" i="6"/>
  <c r="K3501" i="6"/>
  <c r="K3502" i="6"/>
  <c r="K3503" i="6"/>
  <c r="K3504" i="6"/>
  <c r="K3505" i="6"/>
  <c r="K3506" i="6"/>
  <c r="K3507" i="6"/>
  <c r="K3508" i="6"/>
  <c r="K3509" i="6"/>
  <c r="K3510" i="6"/>
  <c r="K3511" i="6"/>
  <c r="K3512" i="6"/>
  <c r="K3513" i="6"/>
  <c r="K3514" i="6"/>
  <c r="K3515" i="6"/>
  <c r="K3516" i="6"/>
  <c r="K3517" i="6"/>
  <c r="K3518" i="6"/>
  <c r="K3519" i="6"/>
  <c r="K3520" i="6"/>
  <c r="K3521" i="6"/>
  <c r="K3522" i="6"/>
  <c r="K3523" i="6"/>
  <c r="K3524" i="6"/>
  <c r="K3525" i="6"/>
  <c r="K3526" i="6"/>
  <c r="K3527" i="6"/>
  <c r="K3528" i="6"/>
  <c r="K3529" i="6"/>
  <c r="K3530" i="6"/>
  <c r="K3531" i="6"/>
  <c r="K3532" i="6"/>
  <c r="K3533" i="6"/>
  <c r="K3534" i="6"/>
  <c r="K3535" i="6"/>
  <c r="K3536" i="6"/>
  <c r="K3537" i="6"/>
  <c r="K3538" i="6"/>
  <c r="K3539" i="6"/>
  <c r="K3540" i="6"/>
  <c r="K3541" i="6"/>
  <c r="K3542" i="6"/>
  <c r="K3543" i="6"/>
  <c r="K3544" i="6"/>
  <c r="K3545" i="6"/>
  <c r="K3546" i="6"/>
  <c r="K3547" i="6"/>
  <c r="K3548" i="6"/>
  <c r="K3549" i="6"/>
  <c r="K3550" i="6"/>
  <c r="K3551" i="6"/>
  <c r="K3552" i="6"/>
  <c r="K3553" i="6"/>
  <c r="K3554" i="6"/>
  <c r="K3555" i="6"/>
  <c r="K3556" i="6"/>
  <c r="K3557" i="6"/>
  <c r="K3558" i="6"/>
  <c r="K3559" i="6"/>
  <c r="K3560" i="6"/>
  <c r="K3561" i="6"/>
  <c r="K3562" i="6"/>
  <c r="K3563" i="6"/>
  <c r="K3564" i="6"/>
  <c r="K3565" i="6"/>
  <c r="K3566" i="6"/>
  <c r="K3567" i="6"/>
  <c r="K3568" i="6"/>
  <c r="K3569" i="6"/>
  <c r="K3570" i="6"/>
  <c r="K3571" i="6"/>
  <c r="K3572" i="6"/>
  <c r="K3573" i="6"/>
  <c r="K3574" i="6"/>
  <c r="K3575" i="6"/>
  <c r="K3576" i="6"/>
  <c r="K3577" i="6"/>
  <c r="K3578" i="6"/>
  <c r="K3579" i="6"/>
  <c r="K3580" i="6"/>
  <c r="K3581" i="6"/>
  <c r="K3582" i="6"/>
  <c r="K3583" i="6"/>
  <c r="K3584" i="6"/>
  <c r="K3585" i="6"/>
  <c r="K3586" i="6"/>
  <c r="K3587" i="6"/>
  <c r="K3588" i="6"/>
  <c r="K3589" i="6"/>
  <c r="K3590" i="6"/>
  <c r="K3591" i="6"/>
  <c r="K3592" i="6"/>
  <c r="K3593" i="6"/>
  <c r="K3594" i="6"/>
  <c r="K3595" i="6"/>
  <c r="K3596" i="6"/>
  <c r="K3597" i="6"/>
  <c r="K3598" i="6"/>
  <c r="K3599" i="6"/>
  <c r="K3600" i="6"/>
  <c r="K3601" i="6"/>
  <c r="K3602" i="6"/>
  <c r="K3603" i="6"/>
  <c r="K3604" i="6"/>
  <c r="K3605" i="6"/>
  <c r="K3606" i="6"/>
  <c r="K3607" i="6"/>
  <c r="K3608" i="6"/>
  <c r="K3609" i="6"/>
  <c r="K3610" i="6"/>
  <c r="K3611" i="6"/>
  <c r="K3612" i="6"/>
  <c r="K3613" i="6"/>
  <c r="K3614" i="6"/>
  <c r="K3615" i="6"/>
  <c r="K3616" i="6"/>
  <c r="K3617" i="6"/>
  <c r="K3618" i="6"/>
  <c r="K3619" i="6"/>
  <c r="K3620" i="6"/>
  <c r="K3621" i="6"/>
  <c r="K3622" i="6"/>
  <c r="K3623" i="6"/>
  <c r="K3624" i="6"/>
  <c r="K3625" i="6"/>
  <c r="K3626" i="6"/>
  <c r="K3627" i="6"/>
  <c r="K3628" i="6"/>
  <c r="K3629" i="6"/>
  <c r="K3630" i="6"/>
  <c r="K3631" i="6"/>
  <c r="K3632" i="6"/>
  <c r="K3633" i="6"/>
  <c r="K3634" i="6"/>
  <c r="K3635" i="6"/>
  <c r="K3636" i="6"/>
  <c r="K3637" i="6"/>
  <c r="K3638" i="6"/>
  <c r="K3639" i="6"/>
  <c r="K3640" i="6"/>
  <c r="K3641" i="6"/>
  <c r="K3642" i="6"/>
  <c r="K3643" i="6"/>
  <c r="K3644" i="6"/>
  <c r="K3645" i="6"/>
  <c r="K3646" i="6"/>
  <c r="K3647" i="6"/>
  <c r="K3648" i="6"/>
  <c r="K3649" i="6"/>
  <c r="K3650" i="6"/>
  <c r="K3651" i="6"/>
  <c r="K3652" i="6"/>
  <c r="K3653" i="6"/>
  <c r="K3654" i="6"/>
  <c r="K3655" i="6"/>
  <c r="K3656" i="6"/>
  <c r="K3657" i="6"/>
  <c r="K3658" i="6"/>
  <c r="K3659" i="6"/>
  <c r="K3660" i="6"/>
  <c r="K3661" i="6"/>
  <c r="K3662" i="6"/>
  <c r="K3663" i="6"/>
  <c r="K3664" i="6"/>
  <c r="K3665" i="6"/>
  <c r="K3666" i="6"/>
  <c r="K3667" i="6"/>
  <c r="K3668" i="6"/>
  <c r="K3669" i="6"/>
  <c r="K3670" i="6"/>
  <c r="K3671" i="6"/>
  <c r="K3672" i="6"/>
  <c r="K3673" i="6"/>
  <c r="K3674" i="6"/>
  <c r="K3675" i="6"/>
  <c r="K3676" i="6"/>
  <c r="K3677" i="6"/>
  <c r="K3678" i="6"/>
  <c r="K3679" i="6"/>
  <c r="K3680" i="6"/>
  <c r="K3681" i="6"/>
  <c r="K3682" i="6"/>
  <c r="K3683" i="6"/>
  <c r="K3684" i="6"/>
  <c r="K3685" i="6"/>
  <c r="K3686" i="6"/>
  <c r="K3687" i="6"/>
  <c r="K3688" i="6"/>
  <c r="K3689" i="6"/>
  <c r="K3690" i="6"/>
  <c r="K3691" i="6"/>
  <c r="K3692" i="6"/>
  <c r="K3693" i="6"/>
  <c r="K3694" i="6"/>
  <c r="K3695" i="6"/>
  <c r="K3696" i="6"/>
  <c r="K3697" i="6"/>
  <c r="K3698" i="6"/>
  <c r="K3699" i="6"/>
  <c r="K3700" i="6"/>
  <c r="K3701" i="6"/>
  <c r="K3702" i="6"/>
  <c r="K3703" i="6"/>
  <c r="K3704" i="6"/>
  <c r="K3705" i="6"/>
  <c r="K3706" i="6"/>
  <c r="K3707" i="6"/>
  <c r="K3708" i="6"/>
  <c r="K3709" i="6"/>
  <c r="K3710" i="6"/>
  <c r="K3711" i="6"/>
  <c r="K3712" i="6"/>
  <c r="K3713" i="6"/>
  <c r="K3714" i="6"/>
  <c r="K3715" i="6"/>
  <c r="K3716" i="6"/>
  <c r="K3717" i="6"/>
  <c r="K3718" i="6"/>
  <c r="K3719" i="6"/>
  <c r="K3720" i="6"/>
  <c r="K3721" i="6"/>
  <c r="K3722" i="6"/>
  <c r="K3723" i="6"/>
  <c r="K3724" i="6"/>
  <c r="K3725" i="6"/>
  <c r="K3726" i="6"/>
  <c r="K3727" i="6"/>
  <c r="K3728" i="6"/>
  <c r="K3729" i="6"/>
  <c r="K3730" i="6"/>
  <c r="K3731" i="6"/>
  <c r="K3732" i="6"/>
  <c r="K3733" i="6"/>
  <c r="K3734" i="6"/>
  <c r="K3735" i="6"/>
  <c r="K3736" i="6"/>
  <c r="K3737" i="6"/>
  <c r="K3738" i="6"/>
  <c r="K3739" i="6"/>
  <c r="K3740" i="6"/>
  <c r="K3741" i="6"/>
  <c r="K3742" i="6"/>
  <c r="K3743" i="6"/>
  <c r="K3744" i="6"/>
  <c r="K3745" i="6"/>
  <c r="K3746" i="6"/>
  <c r="K3747" i="6"/>
  <c r="K3748" i="6"/>
  <c r="K3749" i="6"/>
  <c r="K3750" i="6"/>
  <c r="K3751" i="6"/>
  <c r="K3752" i="6"/>
  <c r="K3753" i="6"/>
  <c r="K3754" i="6"/>
  <c r="K3755" i="6"/>
  <c r="K3756" i="6"/>
  <c r="K3757" i="6"/>
  <c r="K3758" i="6"/>
  <c r="K3759" i="6"/>
  <c r="K3760" i="6"/>
  <c r="K3761" i="6"/>
  <c r="K3762" i="6"/>
  <c r="K3763" i="6"/>
  <c r="K3764" i="6"/>
  <c r="K3765" i="6"/>
  <c r="K3766" i="6"/>
  <c r="K3767" i="6"/>
  <c r="K3768" i="6"/>
  <c r="K3769" i="6"/>
  <c r="K3770" i="6"/>
  <c r="K3771" i="6"/>
  <c r="K3772" i="6"/>
  <c r="K3773" i="6"/>
  <c r="K3774" i="6"/>
  <c r="K3775" i="6"/>
  <c r="K3776" i="6"/>
  <c r="K3777" i="6"/>
  <c r="K3778" i="6"/>
  <c r="K3779" i="6"/>
  <c r="K3780" i="6"/>
  <c r="K3781" i="6"/>
  <c r="K3782" i="6"/>
  <c r="K3783" i="6"/>
  <c r="K3784" i="6"/>
  <c r="K3785" i="6"/>
  <c r="K3786" i="6"/>
  <c r="K3787" i="6"/>
  <c r="K3788" i="6"/>
  <c r="K3789" i="6"/>
  <c r="K3790" i="6"/>
  <c r="K3791" i="6"/>
  <c r="K3792" i="6"/>
  <c r="K3793" i="6"/>
  <c r="K3794" i="6"/>
  <c r="K3795" i="6"/>
  <c r="K3796" i="6"/>
  <c r="K3797" i="6"/>
  <c r="K3798" i="6"/>
  <c r="K3799" i="6"/>
  <c r="K3800" i="6"/>
  <c r="K3801" i="6"/>
  <c r="K3802" i="6"/>
  <c r="K3803" i="6"/>
  <c r="K3804" i="6"/>
  <c r="K3805" i="6"/>
  <c r="K3806" i="6"/>
  <c r="K3807" i="6"/>
  <c r="K3808" i="6"/>
  <c r="K3809" i="6"/>
  <c r="K3810" i="6"/>
  <c r="K3811" i="6"/>
  <c r="K3812" i="6"/>
  <c r="K3813" i="6"/>
  <c r="K3814" i="6"/>
  <c r="K3815" i="6"/>
  <c r="K3816" i="6"/>
  <c r="K3817" i="6"/>
  <c r="K3818" i="6"/>
  <c r="K3819" i="6"/>
  <c r="K3820" i="6"/>
  <c r="K3821" i="6"/>
  <c r="K3822" i="6"/>
  <c r="K3823" i="6"/>
  <c r="K3824" i="6"/>
  <c r="K3825" i="6"/>
  <c r="K3826" i="6"/>
  <c r="K3827" i="6"/>
  <c r="K3828" i="6"/>
  <c r="K3829" i="6"/>
  <c r="K3830" i="6"/>
  <c r="K3831" i="6"/>
  <c r="K3832" i="6"/>
  <c r="K3833" i="6"/>
  <c r="K3834" i="6"/>
  <c r="K3835" i="6"/>
  <c r="K3836" i="6"/>
  <c r="K3837" i="6"/>
  <c r="K3838" i="6"/>
  <c r="K3839" i="6"/>
  <c r="K3840" i="6"/>
  <c r="K3841" i="6"/>
  <c r="K3842" i="6"/>
  <c r="K3843" i="6"/>
  <c r="K3844" i="6"/>
  <c r="K3845" i="6"/>
  <c r="K3846" i="6"/>
  <c r="K3847" i="6"/>
  <c r="K3848" i="6"/>
  <c r="K3849" i="6"/>
  <c r="K3850" i="6"/>
  <c r="K3851" i="6"/>
  <c r="K3852" i="6"/>
  <c r="K3853" i="6"/>
  <c r="K3854" i="6"/>
  <c r="K3855" i="6"/>
  <c r="K3856" i="6"/>
  <c r="K3857" i="6"/>
  <c r="K3858" i="6"/>
  <c r="K3859" i="6"/>
  <c r="K3860" i="6"/>
  <c r="K3861" i="6"/>
  <c r="K3862" i="6"/>
  <c r="K3863" i="6"/>
  <c r="K3864" i="6"/>
  <c r="K3865" i="6"/>
  <c r="K3866" i="6"/>
  <c r="K3867" i="6"/>
  <c r="K3868" i="6"/>
  <c r="K3869" i="6"/>
  <c r="K3870" i="6"/>
  <c r="K3871" i="6"/>
  <c r="K3872" i="6"/>
  <c r="K3873" i="6"/>
  <c r="K3874" i="6"/>
  <c r="K3875" i="6"/>
  <c r="K3876" i="6"/>
  <c r="K3877" i="6"/>
  <c r="K3878" i="6"/>
  <c r="K3879" i="6"/>
  <c r="K3880" i="6"/>
  <c r="K3881" i="6"/>
  <c r="K3882" i="6"/>
  <c r="K3883" i="6"/>
  <c r="K3884" i="6"/>
  <c r="K3885" i="6"/>
  <c r="K3886" i="6"/>
  <c r="K3887" i="6"/>
  <c r="K3888" i="6"/>
  <c r="K3889" i="6"/>
  <c r="K3890" i="6"/>
  <c r="K3891" i="6"/>
  <c r="K3892" i="6"/>
  <c r="K3893" i="6"/>
  <c r="K3894" i="6"/>
  <c r="K3895" i="6"/>
  <c r="K3896" i="6"/>
  <c r="K3897" i="6"/>
  <c r="K3898" i="6"/>
  <c r="K3899" i="6"/>
  <c r="K3900" i="6"/>
  <c r="K3901" i="6"/>
  <c r="K3902" i="6"/>
  <c r="K3903" i="6"/>
  <c r="K3904" i="6"/>
  <c r="K3905" i="6"/>
  <c r="K3906" i="6"/>
  <c r="K3907" i="6"/>
  <c r="K3908" i="6"/>
  <c r="K3909" i="6"/>
  <c r="K3910" i="6"/>
  <c r="K3911" i="6"/>
  <c r="K3912" i="6"/>
  <c r="K3913" i="6"/>
  <c r="K3914" i="6"/>
  <c r="K3915" i="6"/>
  <c r="K3916" i="6"/>
  <c r="K3917" i="6"/>
  <c r="K3918" i="6"/>
  <c r="K3919" i="6"/>
  <c r="K3920" i="6"/>
  <c r="K3921" i="6"/>
  <c r="K3922" i="6"/>
  <c r="K3923" i="6"/>
  <c r="K3924" i="6"/>
  <c r="K3925" i="6"/>
  <c r="K3926" i="6"/>
  <c r="K3927" i="6"/>
  <c r="K3928" i="6"/>
  <c r="K3929" i="6"/>
  <c r="K3930" i="6"/>
  <c r="K3931" i="6"/>
  <c r="K3932" i="6"/>
  <c r="K3933" i="6"/>
  <c r="K3934" i="6"/>
  <c r="K3935" i="6"/>
  <c r="K3936" i="6"/>
  <c r="K3937" i="6"/>
  <c r="K3938" i="6"/>
  <c r="K3939" i="6"/>
  <c r="K3940" i="6"/>
  <c r="K3941" i="6"/>
  <c r="K3942" i="6"/>
  <c r="K3943" i="6"/>
  <c r="K3944" i="6"/>
  <c r="K3945" i="6"/>
  <c r="K3946" i="6"/>
  <c r="K3947" i="6"/>
  <c r="K3948" i="6"/>
  <c r="K3949" i="6"/>
  <c r="K3950" i="6"/>
  <c r="K3951" i="6"/>
  <c r="K3952" i="6"/>
  <c r="K3953" i="6"/>
  <c r="K3954" i="6"/>
  <c r="K3955" i="6"/>
  <c r="K3956" i="6"/>
  <c r="K3957" i="6"/>
  <c r="K3958" i="6"/>
  <c r="K3959" i="6"/>
  <c r="K3960" i="6"/>
  <c r="K3961" i="6"/>
  <c r="K3962" i="6"/>
  <c r="K3963" i="6"/>
  <c r="K3964" i="6"/>
  <c r="K3965" i="6"/>
  <c r="K3966" i="6"/>
  <c r="K3967" i="6"/>
  <c r="K3968" i="6"/>
  <c r="K3969" i="6"/>
  <c r="K3970" i="6"/>
  <c r="K3971" i="6"/>
  <c r="K3972" i="6"/>
  <c r="K3973" i="6"/>
  <c r="K3974" i="6"/>
  <c r="K3975" i="6"/>
  <c r="K3976" i="6"/>
  <c r="K3977" i="6"/>
  <c r="K3978" i="6"/>
  <c r="K3979" i="6"/>
  <c r="K3980" i="6"/>
  <c r="K3981" i="6"/>
  <c r="K3982" i="6"/>
  <c r="K3983" i="6"/>
  <c r="K3984" i="6"/>
  <c r="K3985" i="6"/>
  <c r="K3986" i="6"/>
  <c r="K3987" i="6"/>
  <c r="K3988" i="6"/>
  <c r="K3989" i="6"/>
  <c r="K3990" i="6"/>
  <c r="K3991" i="6"/>
  <c r="K3992" i="6"/>
  <c r="K3993" i="6"/>
  <c r="K3994" i="6"/>
  <c r="K3995" i="6"/>
  <c r="K3996" i="6"/>
  <c r="K3997" i="6"/>
  <c r="K3998" i="6"/>
  <c r="K3999" i="6"/>
  <c r="K4000" i="6"/>
  <c r="K4001" i="6"/>
  <c r="K4002" i="6"/>
  <c r="K4003" i="6"/>
  <c r="K4004" i="6"/>
  <c r="K4005" i="6"/>
  <c r="K4006" i="6"/>
  <c r="K4007" i="6"/>
  <c r="K4008" i="6"/>
  <c r="K4009" i="6"/>
  <c r="K4010" i="6"/>
  <c r="K4011" i="6"/>
  <c r="K4012" i="6"/>
  <c r="K4013" i="6"/>
  <c r="K4014" i="6"/>
  <c r="K4015" i="6"/>
  <c r="K4016" i="6"/>
  <c r="K4017" i="6"/>
  <c r="K4018" i="6"/>
  <c r="K4019" i="6"/>
  <c r="K4020" i="6"/>
  <c r="K4021" i="6"/>
  <c r="K4022" i="6"/>
  <c r="K4023" i="6"/>
  <c r="K4024" i="6"/>
  <c r="K4025" i="6"/>
  <c r="K4026" i="6"/>
  <c r="K4027" i="6"/>
  <c r="K4028" i="6"/>
  <c r="K4029" i="6"/>
  <c r="K4030" i="6"/>
  <c r="K4031" i="6"/>
  <c r="K4032" i="6"/>
  <c r="K4033" i="6"/>
  <c r="K4034" i="6"/>
  <c r="K4035" i="6"/>
  <c r="K4036" i="6"/>
  <c r="K4037" i="6"/>
  <c r="K4038" i="6"/>
  <c r="K4039" i="6"/>
  <c r="K4040" i="6"/>
  <c r="K4041" i="6"/>
  <c r="K4042" i="6"/>
  <c r="K4043" i="6"/>
  <c r="K4044" i="6"/>
  <c r="K4045" i="6"/>
  <c r="K4046" i="6"/>
  <c r="K4047" i="6"/>
  <c r="K4048" i="6"/>
  <c r="K4049" i="6"/>
  <c r="K4050" i="6"/>
  <c r="K4051" i="6"/>
  <c r="K4052" i="6"/>
  <c r="K4053" i="6"/>
  <c r="K4054" i="6"/>
  <c r="K4055" i="6"/>
  <c r="K4056" i="6"/>
  <c r="K4057" i="6"/>
  <c r="K4058" i="6"/>
  <c r="K4059" i="6"/>
  <c r="K4060" i="6"/>
  <c r="K4061" i="6"/>
  <c r="K4062" i="6"/>
  <c r="K4063" i="6"/>
  <c r="K4064" i="6"/>
  <c r="K4065" i="6"/>
  <c r="K4066" i="6"/>
  <c r="K4067" i="6"/>
  <c r="K4068" i="6"/>
  <c r="K4069" i="6"/>
  <c r="K4070" i="6"/>
  <c r="K4071" i="6"/>
  <c r="K4072" i="6"/>
  <c r="K4073" i="6"/>
  <c r="K4074" i="6"/>
  <c r="K4075" i="6"/>
  <c r="K4076" i="6"/>
  <c r="K4077" i="6"/>
  <c r="K4078" i="6"/>
  <c r="K4079" i="6"/>
  <c r="K4080" i="6"/>
  <c r="K4081" i="6"/>
  <c r="K4082" i="6"/>
  <c r="K4083" i="6"/>
  <c r="K4084" i="6"/>
  <c r="K4085" i="6"/>
  <c r="K4086" i="6"/>
  <c r="K4087" i="6"/>
  <c r="K4088" i="6"/>
  <c r="K4089" i="6"/>
  <c r="K4090" i="6"/>
  <c r="K4091" i="6"/>
  <c r="K4092" i="6"/>
  <c r="K4093" i="6"/>
  <c r="K4094" i="6"/>
  <c r="K4095" i="6"/>
  <c r="K4096" i="6"/>
  <c r="K4097" i="6"/>
  <c r="K4098" i="6"/>
  <c r="K4099" i="6"/>
  <c r="K4100" i="6"/>
  <c r="K4101" i="6"/>
  <c r="K4102" i="6"/>
  <c r="K4103" i="6"/>
  <c r="K4104" i="6"/>
  <c r="K4105" i="6"/>
  <c r="K4106" i="6"/>
  <c r="K4107" i="6"/>
  <c r="K4108" i="6"/>
  <c r="K4109" i="6"/>
  <c r="K4110" i="6"/>
  <c r="K4111" i="6"/>
  <c r="K4112" i="6"/>
  <c r="K4113" i="6"/>
  <c r="K4114" i="6"/>
  <c r="K4115" i="6"/>
  <c r="K4116" i="6"/>
  <c r="K4117" i="6"/>
  <c r="K4118" i="6"/>
  <c r="K4119" i="6"/>
  <c r="K4120" i="6"/>
  <c r="K4121" i="6"/>
  <c r="K4122" i="6"/>
  <c r="K4123" i="6"/>
  <c r="K4124" i="6"/>
  <c r="K4125" i="6"/>
  <c r="K4126" i="6"/>
  <c r="K4127" i="6"/>
  <c r="K4128" i="6"/>
  <c r="K4129" i="6"/>
  <c r="K4130" i="6"/>
  <c r="K4131" i="6"/>
  <c r="K4132" i="6"/>
  <c r="K4133" i="6"/>
  <c r="K4134" i="6"/>
  <c r="K4135" i="6"/>
  <c r="K4136" i="6"/>
  <c r="K4137" i="6"/>
  <c r="K4138" i="6"/>
  <c r="K4139" i="6"/>
  <c r="K4140" i="6"/>
  <c r="K4141" i="6"/>
  <c r="K4142" i="6"/>
  <c r="K4143" i="6"/>
  <c r="K4144" i="6"/>
  <c r="K4145" i="6"/>
  <c r="K4146" i="6"/>
  <c r="K4147" i="6"/>
  <c r="K4148" i="6"/>
  <c r="K4149" i="6"/>
  <c r="K4150" i="6"/>
  <c r="K4151" i="6"/>
  <c r="K4152" i="6"/>
  <c r="K4153" i="6"/>
  <c r="K4154" i="6"/>
  <c r="K4155" i="6"/>
  <c r="K4156" i="6"/>
  <c r="K4157" i="6"/>
  <c r="K4158" i="6"/>
  <c r="K4159" i="6"/>
  <c r="K4160" i="6"/>
  <c r="K4161" i="6"/>
  <c r="K4162" i="6"/>
  <c r="K4163" i="6"/>
  <c r="K4164" i="6"/>
  <c r="K4165" i="6"/>
  <c r="K4166" i="6"/>
  <c r="K4167" i="6"/>
  <c r="K4168" i="6"/>
  <c r="K4169" i="6"/>
  <c r="K4170" i="6"/>
  <c r="K4171" i="6"/>
  <c r="K4172" i="6"/>
  <c r="K4173" i="6"/>
  <c r="K4174" i="6"/>
  <c r="K4175" i="6"/>
  <c r="K4176" i="6"/>
  <c r="K4177" i="6"/>
  <c r="K4178" i="6"/>
  <c r="K4179" i="6"/>
  <c r="K4180" i="6"/>
  <c r="K4181" i="6"/>
  <c r="K4182" i="6"/>
  <c r="K4183" i="6"/>
  <c r="K4184" i="6"/>
  <c r="K4185" i="6"/>
  <c r="K4186" i="6"/>
  <c r="K4187" i="6"/>
  <c r="K4188" i="6"/>
  <c r="K4189" i="6"/>
  <c r="K4190" i="6"/>
  <c r="K4191" i="6"/>
  <c r="K4192" i="6"/>
  <c r="K4193" i="6"/>
  <c r="K4194" i="6"/>
  <c r="K4195" i="6"/>
  <c r="K4196" i="6"/>
  <c r="K4197" i="6"/>
  <c r="K4198" i="6"/>
  <c r="K4199" i="6"/>
  <c r="K4200" i="6"/>
  <c r="K4201" i="6"/>
  <c r="K4202" i="6"/>
  <c r="K4203" i="6"/>
  <c r="K4204" i="6"/>
  <c r="K4205" i="6"/>
  <c r="K4206" i="6"/>
  <c r="K4207" i="6"/>
  <c r="K4208" i="6"/>
  <c r="K4209" i="6"/>
  <c r="K4210" i="6"/>
  <c r="K4211" i="6"/>
  <c r="K4212" i="6"/>
  <c r="K4213" i="6"/>
  <c r="K4214" i="6"/>
  <c r="K4215" i="6"/>
  <c r="K4216" i="6"/>
  <c r="K4217" i="6"/>
  <c r="K4218" i="6"/>
  <c r="K4219" i="6"/>
  <c r="K4220" i="6"/>
  <c r="K4221" i="6"/>
  <c r="K4222" i="6"/>
  <c r="K4223" i="6"/>
  <c r="K4224" i="6"/>
  <c r="K4225" i="6"/>
  <c r="K4226" i="6"/>
  <c r="K4227" i="6"/>
  <c r="K4228" i="6"/>
  <c r="K4229" i="6"/>
  <c r="K4230" i="6"/>
  <c r="K4231" i="6"/>
  <c r="K4232" i="6"/>
  <c r="K4233" i="6"/>
  <c r="K4234" i="6"/>
  <c r="K4235" i="6"/>
  <c r="K4236" i="6"/>
  <c r="K4237" i="6"/>
  <c r="K4238" i="6"/>
  <c r="K4239" i="6"/>
  <c r="K4240" i="6"/>
  <c r="K4241" i="6"/>
  <c r="K4242" i="6"/>
  <c r="K4243" i="6"/>
  <c r="K4244" i="6"/>
  <c r="K4245" i="6"/>
  <c r="K4246" i="6"/>
  <c r="K4247" i="6"/>
  <c r="K4248" i="6"/>
  <c r="K4249" i="6"/>
  <c r="K4250" i="6"/>
  <c r="K4251" i="6"/>
  <c r="K4252" i="6"/>
  <c r="K4253" i="6"/>
  <c r="K4254" i="6"/>
  <c r="K4255" i="6"/>
  <c r="K4256" i="6"/>
  <c r="K4257" i="6"/>
  <c r="K4258" i="6"/>
  <c r="K4259" i="6"/>
  <c r="K4260" i="6"/>
  <c r="K4261" i="6"/>
  <c r="K4262" i="6"/>
  <c r="K4263" i="6"/>
  <c r="K4264" i="6"/>
  <c r="K4265" i="6"/>
  <c r="K4266" i="6"/>
  <c r="K4267" i="6"/>
  <c r="K4268" i="6"/>
  <c r="K4269" i="6"/>
  <c r="K4270" i="6"/>
  <c r="K4271" i="6"/>
  <c r="K4272" i="6"/>
  <c r="K4273" i="6"/>
  <c r="K4274" i="6"/>
  <c r="K4275" i="6"/>
  <c r="K4276" i="6"/>
  <c r="K4277" i="6"/>
  <c r="K4278" i="6"/>
  <c r="K4279" i="6"/>
  <c r="K4280" i="6"/>
  <c r="K4281" i="6"/>
  <c r="K4282" i="6"/>
  <c r="K4283" i="6"/>
  <c r="K4284" i="6"/>
  <c r="K4285" i="6"/>
  <c r="K4286" i="6"/>
  <c r="K4287" i="6"/>
  <c r="K4288" i="6"/>
  <c r="K4289" i="6"/>
  <c r="K4290" i="6"/>
  <c r="K4291" i="6"/>
  <c r="K4292" i="6"/>
  <c r="K4293" i="6"/>
  <c r="K4294" i="6"/>
  <c r="K4295" i="6"/>
  <c r="K4296" i="6"/>
  <c r="K4297" i="6"/>
  <c r="K4298" i="6"/>
  <c r="K4299" i="6"/>
  <c r="K4300" i="6"/>
  <c r="K4301" i="6"/>
  <c r="K4302" i="6"/>
  <c r="K4303" i="6"/>
  <c r="K4304" i="6"/>
  <c r="K4305" i="6"/>
  <c r="K4306" i="6"/>
  <c r="K4307" i="6"/>
  <c r="K4308" i="6"/>
  <c r="K4309" i="6"/>
  <c r="K4310" i="6"/>
  <c r="K4311" i="6"/>
  <c r="K4312" i="6"/>
  <c r="K4313" i="6"/>
  <c r="K4314" i="6"/>
  <c r="K4315" i="6"/>
  <c r="K4316" i="6"/>
  <c r="K4317" i="6"/>
  <c r="K4318" i="6"/>
  <c r="K4319" i="6"/>
  <c r="K4320" i="6"/>
  <c r="K4321" i="6"/>
  <c r="K4322" i="6"/>
  <c r="K4323" i="6"/>
  <c r="K4324" i="6"/>
  <c r="K4325" i="6"/>
  <c r="K4326" i="6"/>
  <c r="K4327" i="6"/>
  <c r="K4328" i="6"/>
  <c r="K4329" i="6"/>
  <c r="K4330" i="6"/>
  <c r="K4331" i="6"/>
  <c r="K4332" i="6"/>
  <c r="K4333" i="6"/>
  <c r="K4334" i="6"/>
  <c r="K4335" i="6"/>
  <c r="K4336" i="6"/>
  <c r="K4337" i="6"/>
  <c r="K4338" i="6"/>
  <c r="K4339" i="6"/>
  <c r="K4340" i="6"/>
  <c r="K4341" i="6"/>
  <c r="K4342" i="6"/>
  <c r="K4343" i="6"/>
  <c r="K4344" i="6"/>
  <c r="K4345" i="6"/>
  <c r="K4346" i="6"/>
  <c r="K4347" i="6"/>
  <c r="K4348" i="6"/>
  <c r="K4349" i="6"/>
  <c r="K4350" i="6"/>
  <c r="K4351" i="6"/>
  <c r="K4352" i="6"/>
  <c r="K4353" i="6"/>
  <c r="K4354" i="6"/>
  <c r="K4355" i="6"/>
  <c r="K4356" i="6"/>
  <c r="K4357" i="6"/>
  <c r="K4358" i="6"/>
  <c r="K4359" i="6"/>
  <c r="K4360" i="6"/>
  <c r="K4361" i="6"/>
  <c r="K4362" i="6"/>
  <c r="K4363" i="6"/>
  <c r="K4364" i="6"/>
  <c r="K4365" i="6"/>
  <c r="K4366" i="6"/>
  <c r="K4367" i="6"/>
  <c r="K4368" i="6"/>
  <c r="K4369" i="6"/>
  <c r="K4370" i="6"/>
  <c r="K4371" i="6"/>
  <c r="K4372" i="6"/>
  <c r="K4373" i="6"/>
  <c r="K4374" i="6"/>
  <c r="K4375" i="6"/>
  <c r="K4376" i="6"/>
  <c r="K4377" i="6"/>
  <c r="K4378" i="6"/>
  <c r="K4379" i="6"/>
  <c r="K4380" i="6"/>
  <c r="K4381" i="6"/>
  <c r="K4382" i="6"/>
  <c r="K4383" i="6"/>
  <c r="K4384" i="6"/>
  <c r="K4385" i="6"/>
  <c r="K4386" i="6"/>
  <c r="K4387" i="6"/>
  <c r="K4388" i="6"/>
  <c r="K4389" i="6"/>
  <c r="K4390" i="6"/>
  <c r="K4391" i="6"/>
  <c r="K4392" i="6"/>
  <c r="K4393" i="6"/>
  <c r="K4394" i="6"/>
  <c r="K4395" i="6"/>
  <c r="K4396" i="6"/>
  <c r="K4397" i="6"/>
  <c r="K4398" i="6"/>
  <c r="K4399" i="6"/>
  <c r="K4400" i="6"/>
  <c r="K4401" i="6"/>
  <c r="K4402" i="6"/>
  <c r="K4403" i="6"/>
  <c r="K4404" i="6"/>
  <c r="K4405" i="6"/>
  <c r="K4406" i="6"/>
  <c r="K4407" i="6"/>
  <c r="K4408" i="6"/>
  <c r="K4409" i="6"/>
  <c r="K4410" i="6"/>
  <c r="K4411" i="6"/>
  <c r="K4412" i="6"/>
  <c r="K4413" i="6"/>
  <c r="K4414" i="6"/>
  <c r="K4415" i="6"/>
  <c r="K4416" i="6"/>
  <c r="K4417" i="6"/>
  <c r="K4418" i="6"/>
  <c r="K4419" i="6"/>
  <c r="K4420" i="6"/>
  <c r="K4421" i="6"/>
  <c r="K4422" i="6"/>
  <c r="K4423" i="6"/>
  <c r="K4424" i="6"/>
  <c r="K4425" i="6"/>
  <c r="K4426" i="6"/>
  <c r="K4427" i="6"/>
  <c r="K4428" i="6"/>
  <c r="K4429" i="6"/>
  <c r="K4430" i="6"/>
  <c r="K4431" i="6"/>
  <c r="K4432" i="6"/>
  <c r="K4433" i="6"/>
  <c r="K4434" i="6"/>
  <c r="K4435" i="6"/>
  <c r="K4436" i="6"/>
  <c r="K4437" i="6"/>
  <c r="K4438" i="6"/>
  <c r="K4439" i="6"/>
  <c r="K4440" i="6"/>
  <c r="K4441" i="6"/>
  <c r="K4442" i="6"/>
  <c r="K4443" i="6"/>
  <c r="K4444" i="6"/>
  <c r="K4445" i="6"/>
  <c r="K4446" i="6"/>
  <c r="K4447" i="6"/>
  <c r="K4448" i="6"/>
  <c r="K4449" i="6"/>
  <c r="K4450" i="6"/>
  <c r="K4451" i="6"/>
  <c r="K4452" i="6"/>
  <c r="K4453" i="6"/>
  <c r="K4454" i="6"/>
  <c r="K4455" i="6"/>
  <c r="K4456" i="6"/>
  <c r="K4457" i="6"/>
  <c r="K4458" i="6"/>
  <c r="K4459" i="6"/>
  <c r="K4460" i="6"/>
  <c r="K4461" i="6"/>
  <c r="K4462" i="6"/>
  <c r="K4463" i="6"/>
  <c r="K4464" i="6"/>
  <c r="K4465" i="6"/>
  <c r="K4466" i="6"/>
  <c r="K4467" i="6"/>
  <c r="K4468" i="6"/>
  <c r="K4469" i="6"/>
  <c r="K4470" i="6"/>
  <c r="K4471" i="6"/>
  <c r="K4472" i="6"/>
  <c r="K4473" i="6"/>
  <c r="K4474" i="6"/>
  <c r="K4475" i="6"/>
  <c r="K4476" i="6"/>
  <c r="K4477" i="6"/>
  <c r="K4478" i="6"/>
  <c r="K4479" i="6"/>
  <c r="K4480" i="6"/>
  <c r="K4481" i="6"/>
  <c r="K4482" i="6"/>
  <c r="K4483" i="6"/>
  <c r="K4484" i="6"/>
  <c r="K4485" i="6"/>
  <c r="K4486" i="6"/>
  <c r="K4487" i="6"/>
  <c r="K4488" i="6"/>
  <c r="K4489" i="6"/>
  <c r="K4490" i="6"/>
  <c r="K4491" i="6"/>
  <c r="K4492" i="6"/>
  <c r="K4493" i="6"/>
  <c r="K4494" i="6"/>
  <c r="K4495" i="6"/>
  <c r="K4496" i="6"/>
  <c r="K4497" i="6"/>
  <c r="K4498" i="6"/>
  <c r="K4499" i="6"/>
  <c r="K4500" i="6"/>
  <c r="K4501" i="6"/>
  <c r="K4502" i="6"/>
  <c r="K4503" i="6"/>
  <c r="K4504" i="6"/>
  <c r="K4505" i="6"/>
  <c r="K4506" i="6"/>
  <c r="K4507" i="6"/>
  <c r="K4508" i="6"/>
  <c r="K4509" i="6"/>
  <c r="K4510" i="6"/>
  <c r="K4511" i="6"/>
  <c r="K4512" i="6"/>
  <c r="K4513" i="6"/>
  <c r="K4514" i="6"/>
  <c r="K4515" i="6"/>
  <c r="K4516" i="6"/>
  <c r="K4517" i="6"/>
  <c r="K4518" i="6"/>
  <c r="K4519" i="6"/>
  <c r="K4520" i="6"/>
  <c r="K4521" i="6"/>
  <c r="K4522" i="6"/>
  <c r="K4523" i="6"/>
  <c r="K4524" i="6"/>
  <c r="K4525" i="6"/>
  <c r="K4526" i="6"/>
  <c r="K4527" i="6"/>
  <c r="K4528" i="6"/>
  <c r="K4529" i="6"/>
  <c r="K4530" i="6"/>
  <c r="K4531" i="6"/>
  <c r="K4532" i="6"/>
  <c r="K4533" i="6"/>
  <c r="K4534" i="6"/>
  <c r="K4535" i="6"/>
  <c r="K4536" i="6"/>
  <c r="K4537" i="6"/>
  <c r="K4538" i="6"/>
  <c r="K4539" i="6"/>
  <c r="K4540" i="6"/>
  <c r="K4541" i="6"/>
  <c r="K4542" i="6"/>
  <c r="K4543" i="6"/>
  <c r="K4544" i="6"/>
  <c r="K4545" i="6"/>
  <c r="K4546" i="6"/>
  <c r="K4547" i="6"/>
  <c r="K4548" i="6"/>
  <c r="K4549" i="6"/>
  <c r="K4550" i="6"/>
  <c r="K4551" i="6"/>
  <c r="K4552" i="6"/>
  <c r="K4553" i="6"/>
  <c r="K4554" i="6"/>
  <c r="K4555" i="6"/>
  <c r="K4556" i="6"/>
  <c r="K4557" i="6"/>
  <c r="K4558" i="6"/>
  <c r="K4559" i="6"/>
  <c r="K4560" i="6"/>
  <c r="K4561" i="6"/>
  <c r="K4562" i="6"/>
  <c r="K4563" i="6"/>
  <c r="K4564" i="6"/>
  <c r="K4565" i="6"/>
  <c r="K4566" i="6"/>
  <c r="K4567" i="6"/>
  <c r="K4568" i="6"/>
  <c r="K4569" i="6"/>
  <c r="K4570" i="6"/>
  <c r="K4571" i="6"/>
  <c r="K4572" i="6"/>
  <c r="K4573" i="6"/>
  <c r="K4574" i="6"/>
  <c r="K4575" i="6"/>
  <c r="K4576" i="6"/>
  <c r="K4577" i="6"/>
  <c r="K4578" i="6"/>
  <c r="K4579" i="6"/>
  <c r="K4580" i="6"/>
  <c r="K4581" i="6"/>
  <c r="K4582" i="6"/>
  <c r="K4583" i="6"/>
  <c r="K4584" i="6"/>
  <c r="K4585" i="6"/>
  <c r="K4586" i="6"/>
  <c r="K4587" i="6"/>
  <c r="K4588" i="6"/>
  <c r="K4589" i="6"/>
  <c r="K4590" i="6"/>
  <c r="K4591" i="6"/>
  <c r="K4592" i="6"/>
  <c r="K4593" i="6"/>
  <c r="K4594" i="6"/>
  <c r="K4595" i="6"/>
  <c r="K4596" i="6"/>
  <c r="K4597" i="6"/>
  <c r="K4598" i="6"/>
  <c r="K4599" i="6"/>
  <c r="K4600" i="6"/>
  <c r="K4601" i="6"/>
  <c r="K4602" i="6"/>
  <c r="K4603" i="6"/>
  <c r="K4604" i="6"/>
  <c r="K4605" i="6"/>
  <c r="K4606" i="6"/>
  <c r="K4607" i="6"/>
  <c r="K4608" i="6"/>
  <c r="K4609" i="6"/>
  <c r="K4610" i="6"/>
  <c r="K4611" i="6"/>
  <c r="K4612" i="6"/>
  <c r="K4613" i="6"/>
  <c r="K4614" i="6"/>
  <c r="K4615" i="6"/>
  <c r="K4616" i="6"/>
  <c r="K4617" i="6"/>
  <c r="K4618" i="6"/>
  <c r="K4619" i="6"/>
  <c r="K4620" i="6"/>
  <c r="K4621" i="6"/>
  <c r="K4622" i="6"/>
  <c r="K4623" i="6"/>
  <c r="K4624" i="6"/>
  <c r="K4625" i="6"/>
  <c r="K4626" i="6"/>
  <c r="K4627" i="6"/>
  <c r="K4628" i="6"/>
  <c r="K4629" i="6"/>
  <c r="K4630" i="6"/>
  <c r="K4631" i="6"/>
  <c r="K4632" i="6"/>
  <c r="K4633" i="6"/>
  <c r="K4634" i="6"/>
  <c r="K4635" i="6"/>
  <c r="K4636" i="6"/>
  <c r="K4637" i="6"/>
  <c r="K4638" i="6"/>
  <c r="K4639" i="6"/>
  <c r="K4640" i="6"/>
  <c r="K4641" i="6"/>
  <c r="K4642" i="6"/>
  <c r="K4643" i="6"/>
  <c r="K4644" i="6"/>
  <c r="K4645" i="6"/>
  <c r="K4646" i="6"/>
  <c r="K4647" i="6"/>
  <c r="K4648" i="6"/>
  <c r="K4649" i="6"/>
  <c r="K4650" i="6"/>
  <c r="K4651" i="6"/>
  <c r="K4652" i="6"/>
  <c r="K4653" i="6"/>
  <c r="K4654" i="6"/>
  <c r="K4655" i="6"/>
  <c r="K4656" i="6"/>
  <c r="K4657" i="6"/>
  <c r="K4658" i="6"/>
  <c r="K4659" i="6"/>
  <c r="K4660" i="6"/>
  <c r="K4661" i="6"/>
  <c r="K4662" i="6"/>
  <c r="K4663" i="6"/>
  <c r="K4664" i="6"/>
  <c r="K4665" i="6"/>
  <c r="K4666" i="6"/>
  <c r="K4667" i="6"/>
  <c r="K4668" i="6"/>
  <c r="K4669" i="6"/>
  <c r="K4670" i="6"/>
  <c r="K4671" i="6"/>
  <c r="K4672" i="6"/>
  <c r="K4673" i="6"/>
  <c r="K4674" i="6"/>
  <c r="K4675" i="6"/>
  <c r="K4676" i="6"/>
  <c r="K4677" i="6"/>
  <c r="K4678" i="6"/>
  <c r="K4679" i="6"/>
  <c r="K4680" i="6"/>
  <c r="K4681" i="6"/>
  <c r="K4682" i="6"/>
  <c r="K4683" i="6"/>
  <c r="K4684" i="6"/>
  <c r="K4685" i="6"/>
  <c r="K4686" i="6"/>
  <c r="K4687" i="6"/>
  <c r="K4688" i="6"/>
  <c r="K4689" i="6"/>
  <c r="K4690" i="6"/>
  <c r="K4691" i="6"/>
  <c r="K4692" i="6"/>
  <c r="K4693" i="6"/>
  <c r="K4694" i="6"/>
  <c r="K4695" i="6"/>
  <c r="K4696" i="6"/>
  <c r="K4697" i="6"/>
  <c r="K4698" i="6"/>
  <c r="K4699" i="6"/>
  <c r="K4700" i="6"/>
  <c r="K4701" i="6"/>
  <c r="K4702" i="6"/>
  <c r="K4703" i="6"/>
  <c r="K4704" i="6"/>
  <c r="K4705" i="6"/>
  <c r="K4706" i="6"/>
  <c r="K4707" i="6"/>
  <c r="K4708" i="6"/>
  <c r="K4709" i="6"/>
  <c r="K4710" i="6"/>
  <c r="K4711" i="6"/>
  <c r="K4712" i="6"/>
  <c r="K4713" i="6"/>
  <c r="K4714" i="6"/>
  <c r="K4715" i="6"/>
  <c r="K4716" i="6"/>
  <c r="K4717" i="6"/>
  <c r="K4718" i="6"/>
  <c r="K4719" i="6"/>
  <c r="K4720" i="6"/>
  <c r="K4721" i="6"/>
  <c r="K4722" i="6"/>
  <c r="K4723" i="6"/>
  <c r="J2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J3005" i="6"/>
  <c r="J3006" i="6"/>
  <c r="J3007" i="6"/>
  <c r="J3008" i="6"/>
  <c r="J3009" i="6"/>
  <c r="J3010" i="6"/>
  <c r="J3011" i="6"/>
  <c r="J3012" i="6"/>
  <c r="J3013" i="6"/>
  <c r="J3014" i="6"/>
  <c r="J3015" i="6"/>
  <c r="J3016" i="6"/>
  <c r="J3017" i="6"/>
  <c r="J3018" i="6"/>
  <c r="J3019" i="6"/>
  <c r="J3020" i="6"/>
  <c r="J3021" i="6"/>
  <c r="J3022" i="6"/>
  <c r="J3023" i="6"/>
  <c r="J3024" i="6"/>
  <c r="J3025" i="6"/>
  <c r="J3026" i="6"/>
  <c r="J3027" i="6"/>
  <c r="J3028" i="6"/>
  <c r="J3029" i="6"/>
  <c r="J3030" i="6"/>
  <c r="J3031" i="6"/>
  <c r="J3032" i="6"/>
  <c r="J3033" i="6"/>
  <c r="J3034" i="6"/>
  <c r="J3035" i="6"/>
  <c r="J3036" i="6"/>
  <c r="J3037" i="6"/>
  <c r="J3038" i="6"/>
  <c r="J3039" i="6"/>
  <c r="J3040" i="6"/>
  <c r="J3041" i="6"/>
  <c r="J3042" i="6"/>
  <c r="J3043" i="6"/>
  <c r="J3044" i="6"/>
  <c r="J3045" i="6"/>
  <c r="J3046" i="6"/>
  <c r="J3047" i="6"/>
  <c r="J3048" i="6"/>
  <c r="J3049" i="6"/>
  <c r="J3050" i="6"/>
  <c r="J3051" i="6"/>
  <c r="J3052" i="6"/>
  <c r="J3053" i="6"/>
  <c r="J3054" i="6"/>
  <c r="J3055" i="6"/>
  <c r="J3056" i="6"/>
  <c r="J3057" i="6"/>
  <c r="J3058" i="6"/>
  <c r="J3059" i="6"/>
  <c r="J3060" i="6"/>
  <c r="J3061" i="6"/>
  <c r="J3062" i="6"/>
  <c r="J3063" i="6"/>
  <c r="J3064" i="6"/>
  <c r="J3065" i="6"/>
  <c r="J3066" i="6"/>
  <c r="J3067" i="6"/>
  <c r="J3068" i="6"/>
  <c r="J3069" i="6"/>
  <c r="J3070" i="6"/>
  <c r="J3071" i="6"/>
  <c r="J3072" i="6"/>
  <c r="J3073" i="6"/>
  <c r="J3074" i="6"/>
  <c r="J3075" i="6"/>
  <c r="J3076" i="6"/>
  <c r="J3077" i="6"/>
  <c r="J3078" i="6"/>
  <c r="J3079" i="6"/>
  <c r="J3080" i="6"/>
  <c r="J3081" i="6"/>
  <c r="J3082" i="6"/>
  <c r="J3083" i="6"/>
  <c r="J3084" i="6"/>
  <c r="J3085" i="6"/>
  <c r="J3086" i="6"/>
  <c r="J3087" i="6"/>
  <c r="J3088" i="6"/>
  <c r="J3089" i="6"/>
  <c r="J3090" i="6"/>
  <c r="J3091" i="6"/>
  <c r="J3092" i="6"/>
  <c r="J3093" i="6"/>
  <c r="J3094" i="6"/>
  <c r="J3095" i="6"/>
  <c r="J3096" i="6"/>
  <c r="J3097" i="6"/>
  <c r="J3098" i="6"/>
  <c r="J3099" i="6"/>
  <c r="J3100" i="6"/>
  <c r="J3101" i="6"/>
  <c r="J3102" i="6"/>
  <c r="J3103" i="6"/>
  <c r="J3104" i="6"/>
  <c r="J3105" i="6"/>
  <c r="J3106" i="6"/>
  <c r="J3107" i="6"/>
  <c r="J3108" i="6"/>
  <c r="J3109" i="6"/>
  <c r="J3110" i="6"/>
  <c r="J3111" i="6"/>
  <c r="J3112" i="6"/>
  <c r="J3113" i="6"/>
  <c r="J3114" i="6"/>
  <c r="J3115" i="6"/>
  <c r="J3116" i="6"/>
  <c r="J3117" i="6"/>
  <c r="J3118" i="6"/>
  <c r="J3119" i="6"/>
  <c r="J3120" i="6"/>
  <c r="J3121" i="6"/>
  <c r="J3122" i="6"/>
  <c r="J3123" i="6"/>
  <c r="J3124" i="6"/>
  <c r="J3125" i="6"/>
  <c r="J3126" i="6"/>
  <c r="J3127" i="6"/>
  <c r="J3128" i="6"/>
  <c r="J3129" i="6"/>
  <c r="J3130" i="6"/>
  <c r="J3131" i="6"/>
  <c r="J3132" i="6"/>
  <c r="J3133" i="6"/>
  <c r="J3134" i="6"/>
  <c r="J3135" i="6"/>
  <c r="J3136" i="6"/>
  <c r="J3137" i="6"/>
  <c r="J3138" i="6"/>
  <c r="J3139" i="6"/>
  <c r="J3140" i="6"/>
  <c r="J3141" i="6"/>
  <c r="J3142" i="6"/>
  <c r="J3143" i="6"/>
  <c r="J3144" i="6"/>
  <c r="J3145" i="6"/>
  <c r="J3146" i="6"/>
  <c r="J3147" i="6"/>
  <c r="J3148" i="6"/>
  <c r="J3149" i="6"/>
  <c r="J3150" i="6"/>
  <c r="J3151" i="6"/>
  <c r="J3152" i="6"/>
  <c r="J3153" i="6"/>
  <c r="J3154" i="6"/>
  <c r="J3155" i="6"/>
  <c r="J3156" i="6"/>
  <c r="J3157" i="6"/>
  <c r="J3158" i="6"/>
  <c r="J3159" i="6"/>
  <c r="J3160" i="6"/>
  <c r="J3161" i="6"/>
  <c r="J3162" i="6"/>
  <c r="J3163" i="6"/>
  <c r="J3164" i="6"/>
  <c r="J3165" i="6"/>
  <c r="J3166" i="6"/>
  <c r="J3167" i="6"/>
  <c r="J3168" i="6"/>
  <c r="J3169" i="6"/>
  <c r="J3170" i="6"/>
  <c r="J3171" i="6"/>
  <c r="J3172" i="6"/>
  <c r="J3173" i="6"/>
  <c r="J3174" i="6"/>
  <c r="J3175" i="6"/>
  <c r="J3176" i="6"/>
  <c r="J3177" i="6"/>
  <c r="J3178" i="6"/>
  <c r="J3179" i="6"/>
  <c r="J3180" i="6"/>
  <c r="J3181" i="6"/>
  <c r="J3182" i="6"/>
  <c r="J3183" i="6"/>
  <c r="J3184" i="6"/>
  <c r="J3185" i="6"/>
  <c r="J3186" i="6"/>
  <c r="J3187" i="6"/>
  <c r="J3188" i="6"/>
  <c r="J3189" i="6"/>
  <c r="J3190" i="6"/>
  <c r="J3191" i="6"/>
  <c r="J3192" i="6"/>
  <c r="J3193" i="6"/>
  <c r="J3194" i="6"/>
  <c r="J3195" i="6"/>
  <c r="J3196" i="6"/>
  <c r="J3197" i="6"/>
  <c r="J3198" i="6"/>
  <c r="J3199" i="6"/>
  <c r="J3200" i="6"/>
  <c r="J3201" i="6"/>
  <c r="J3202" i="6"/>
  <c r="J3203" i="6"/>
  <c r="J3204" i="6"/>
  <c r="J3205" i="6"/>
  <c r="J3206" i="6"/>
  <c r="J3207" i="6"/>
  <c r="J3208" i="6"/>
  <c r="J3209" i="6"/>
  <c r="J3210" i="6"/>
  <c r="J3211" i="6"/>
  <c r="J3212" i="6"/>
  <c r="J3213" i="6"/>
  <c r="J3214" i="6"/>
  <c r="J3215" i="6"/>
  <c r="J3216" i="6"/>
  <c r="J3217" i="6"/>
  <c r="J3218" i="6"/>
  <c r="J3219" i="6"/>
  <c r="J3220" i="6"/>
  <c r="J3221" i="6"/>
  <c r="J3222" i="6"/>
  <c r="J3223" i="6"/>
  <c r="J3224" i="6"/>
  <c r="J3225" i="6"/>
  <c r="J3226" i="6"/>
  <c r="J3227" i="6"/>
  <c r="J3228" i="6"/>
  <c r="J3229" i="6"/>
  <c r="J3230" i="6"/>
  <c r="J3231" i="6"/>
  <c r="J3232" i="6"/>
  <c r="J3233" i="6"/>
  <c r="J3234" i="6"/>
  <c r="J3235" i="6"/>
  <c r="J3236" i="6"/>
  <c r="J3237" i="6"/>
  <c r="J3238" i="6"/>
  <c r="J3239" i="6"/>
  <c r="J3240" i="6"/>
  <c r="J3241" i="6"/>
  <c r="J3242" i="6"/>
  <c r="J3243" i="6"/>
  <c r="J3244" i="6"/>
  <c r="J3245" i="6"/>
  <c r="J3246" i="6"/>
  <c r="J3247" i="6"/>
  <c r="J3248" i="6"/>
  <c r="J3249" i="6"/>
  <c r="J3250" i="6"/>
  <c r="J3251" i="6"/>
  <c r="J3252" i="6"/>
  <c r="J3253" i="6"/>
  <c r="J3254" i="6"/>
  <c r="J3255" i="6"/>
  <c r="J3256" i="6"/>
  <c r="J3257" i="6"/>
  <c r="J3258" i="6"/>
  <c r="J3259" i="6"/>
  <c r="J3260" i="6"/>
  <c r="J3261" i="6"/>
  <c r="J3262" i="6"/>
  <c r="J3263" i="6"/>
  <c r="J3264" i="6"/>
  <c r="J3265" i="6"/>
  <c r="J3266" i="6"/>
  <c r="J3267" i="6"/>
  <c r="J3268" i="6"/>
  <c r="J3269" i="6"/>
  <c r="J3270" i="6"/>
  <c r="J3271" i="6"/>
  <c r="J3272" i="6"/>
  <c r="J3273" i="6"/>
  <c r="J3274" i="6"/>
  <c r="J3275" i="6"/>
  <c r="J3276" i="6"/>
  <c r="J3277" i="6"/>
  <c r="J3278" i="6"/>
  <c r="J3279" i="6"/>
  <c r="J3280" i="6"/>
  <c r="J3281" i="6"/>
  <c r="J3282" i="6"/>
  <c r="J3283" i="6"/>
  <c r="J3284" i="6"/>
  <c r="J3285" i="6"/>
  <c r="J3286" i="6"/>
  <c r="J3287" i="6"/>
  <c r="J3288" i="6"/>
  <c r="J3289" i="6"/>
  <c r="J3290" i="6"/>
  <c r="J3291" i="6"/>
  <c r="J3292" i="6"/>
  <c r="J3293" i="6"/>
  <c r="J3294" i="6"/>
  <c r="J3295" i="6"/>
  <c r="J3296" i="6"/>
  <c r="J3297" i="6"/>
  <c r="J3298" i="6"/>
  <c r="J3299" i="6"/>
  <c r="J3300" i="6"/>
  <c r="J3301" i="6"/>
  <c r="J3302" i="6"/>
  <c r="J3303" i="6"/>
  <c r="J3304" i="6"/>
  <c r="J3305" i="6"/>
  <c r="J3306" i="6"/>
  <c r="J3307" i="6"/>
  <c r="J3308" i="6"/>
  <c r="J3309" i="6"/>
  <c r="J3310" i="6"/>
  <c r="J3311" i="6"/>
  <c r="J3312" i="6"/>
  <c r="J3313" i="6"/>
  <c r="J3314" i="6"/>
  <c r="J3315" i="6"/>
  <c r="J3316" i="6"/>
  <c r="J3317" i="6"/>
  <c r="J3318" i="6"/>
  <c r="J3319" i="6"/>
  <c r="J3320" i="6"/>
  <c r="J3321" i="6"/>
  <c r="J3322" i="6"/>
  <c r="J3323" i="6"/>
  <c r="J3324" i="6"/>
  <c r="J3325" i="6"/>
  <c r="J3326" i="6"/>
  <c r="J3327" i="6"/>
  <c r="J3328" i="6"/>
  <c r="J3329" i="6"/>
  <c r="J3330" i="6"/>
  <c r="J3331" i="6"/>
  <c r="J3332" i="6"/>
  <c r="J3333" i="6"/>
  <c r="J3334" i="6"/>
  <c r="J3335" i="6"/>
  <c r="J3336" i="6"/>
  <c r="J3337" i="6"/>
  <c r="J3338" i="6"/>
  <c r="J3339" i="6"/>
  <c r="J3340" i="6"/>
  <c r="J3341" i="6"/>
  <c r="J3342" i="6"/>
  <c r="J3343" i="6"/>
  <c r="J3344" i="6"/>
  <c r="J3345" i="6"/>
  <c r="J3346" i="6"/>
  <c r="J3347" i="6"/>
  <c r="J3348" i="6"/>
  <c r="J3349" i="6"/>
  <c r="J3350" i="6"/>
  <c r="J3351" i="6"/>
  <c r="J3352" i="6"/>
  <c r="J3353" i="6"/>
  <c r="J3354" i="6"/>
  <c r="J3355" i="6"/>
  <c r="J3356" i="6"/>
  <c r="J3357" i="6"/>
  <c r="J3358" i="6"/>
  <c r="J3359" i="6"/>
  <c r="J3360" i="6"/>
  <c r="J3361" i="6"/>
  <c r="J3362" i="6"/>
  <c r="J3363" i="6"/>
  <c r="J3364" i="6"/>
  <c r="J3365" i="6"/>
  <c r="J3366" i="6"/>
  <c r="J3367" i="6"/>
  <c r="J3368" i="6"/>
  <c r="J3369" i="6"/>
  <c r="J3370" i="6"/>
  <c r="J3371" i="6"/>
  <c r="J3372" i="6"/>
  <c r="J3373" i="6"/>
  <c r="J3374" i="6"/>
  <c r="J3375" i="6"/>
  <c r="J3376" i="6"/>
  <c r="J3377" i="6"/>
  <c r="J3378" i="6"/>
  <c r="J3379" i="6"/>
  <c r="J3380" i="6"/>
  <c r="J3381" i="6"/>
  <c r="J3382" i="6"/>
  <c r="J3383" i="6"/>
  <c r="J3384" i="6"/>
  <c r="J3385" i="6"/>
  <c r="J3386" i="6"/>
  <c r="J3387" i="6"/>
  <c r="J3388" i="6"/>
  <c r="J3389" i="6"/>
  <c r="J3390" i="6"/>
  <c r="J3391" i="6"/>
  <c r="J3392" i="6"/>
  <c r="J3393" i="6"/>
  <c r="J3394" i="6"/>
  <c r="J3395" i="6"/>
  <c r="J3396" i="6"/>
  <c r="J3397" i="6"/>
  <c r="J3398" i="6"/>
  <c r="J3399" i="6"/>
  <c r="J3400" i="6"/>
  <c r="J3401" i="6"/>
  <c r="J3402" i="6"/>
  <c r="J3403" i="6"/>
  <c r="J3404" i="6"/>
  <c r="J3405" i="6"/>
  <c r="J3406" i="6"/>
  <c r="J3407" i="6"/>
  <c r="J3408" i="6"/>
  <c r="J3409" i="6"/>
  <c r="J3410" i="6"/>
  <c r="J3411" i="6"/>
  <c r="J3412" i="6"/>
  <c r="J3413" i="6"/>
  <c r="J3414" i="6"/>
  <c r="J3415" i="6"/>
  <c r="J3416" i="6"/>
  <c r="J3417" i="6"/>
  <c r="J3418" i="6"/>
  <c r="J3419" i="6"/>
  <c r="J3420" i="6"/>
  <c r="J3421" i="6"/>
  <c r="J3422" i="6"/>
  <c r="J3423" i="6"/>
  <c r="J3424" i="6"/>
  <c r="J3425" i="6"/>
  <c r="J3426" i="6"/>
  <c r="J3427" i="6"/>
  <c r="J3428" i="6"/>
  <c r="J3429" i="6"/>
  <c r="J3430" i="6"/>
  <c r="J3431" i="6"/>
  <c r="J3432" i="6"/>
  <c r="J3433" i="6"/>
  <c r="J3434" i="6"/>
  <c r="J3435" i="6"/>
  <c r="J3436" i="6"/>
  <c r="J3437" i="6"/>
  <c r="J3438" i="6"/>
  <c r="J3439" i="6"/>
  <c r="J3440" i="6"/>
  <c r="J3441" i="6"/>
  <c r="J3442" i="6"/>
  <c r="J3443" i="6"/>
  <c r="J3444" i="6"/>
  <c r="J3445" i="6"/>
  <c r="J3446" i="6"/>
  <c r="J3447" i="6"/>
  <c r="J3448" i="6"/>
  <c r="J3449" i="6"/>
  <c r="J3450" i="6"/>
  <c r="J3451" i="6"/>
  <c r="J3452" i="6"/>
  <c r="J3453" i="6"/>
  <c r="J3454" i="6"/>
  <c r="J3455" i="6"/>
  <c r="J3456" i="6"/>
  <c r="J3457" i="6"/>
  <c r="J3458" i="6"/>
  <c r="J3459" i="6"/>
  <c r="J3460" i="6"/>
  <c r="J3461" i="6"/>
  <c r="J3462" i="6"/>
  <c r="J3463" i="6"/>
  <c r="J3464" i="6"/>
  <c r="J3465" i="6"/>
  <c r="J3466" i="6"/>
  <c r="J3467" i="6"/>
  <c r="J3468" i="6"/>
  <c r="J3469" i="6"/>
  <c r="J3470" i="6"/>
  <c r="J3471" i="6"/>
  <c r="J3472" i="6"/>
  <c r="J3473" i="6"/>
  <c r="J3474" i="6"/>
  <c r="J3475" i="6"/>
  <c r="J3476" i="6"/>
  <c r="J3477" i="6"/>
  <c r="J3478" i="6"/>
  <c r="J3479" i="6"/>
  <c r="J3480" i="6"/>
  <c r="J3481" i="6"/>
  <c r="J3482" i="6"/>
  <c r="J3483" i="6"/>
  <c r="J3484" i="6"/>
  <c r="J3485" i="6"/>
  <c r="J3486" i="6"/>
  <c r="J3487" i="6"/>
  <c r="J3488" i="6"/>
  <c r="J3489" i="6"/>
  <c r="J3490" i="6"/>
  <c r="J3491" i="6"/>
  <c r="J3492" i="6"/>
  <c r="J3493" i="6"/>
  <c r="J3494" i="6"/>
  <c r="J3495" i="6"/>
  <c r="J3496" i="6"/>
  <c r="J3497" i="6"/>
  <c r="J3498" i="6"/>
  <c r="J3499" i="6"/>
  <c r="J3500" i="6"/>
  <c r="J3501" i="6"/>
  <c r="J3502" i="6"/>
  <c r="J3503" i="6"/>
  <c r="J3504" i="6"/>
  <c r="J3505" i="6"/>
  <c r="J3506" i="6"/>
  <c r="J3507" i="6"/>
  <c r="J3508" i="6"/>
  <c r="J3509" i="6"/>
  <c r="J3510" i="6"/>
  <c r="J3511" i="6"/>
  <c r="J3512" i="6"/>
  <c r="J3513" i="6"/>
  <c r="J3514" i="6"/>
  <c r="J3515" i="6"/>
  <c r="J3516" i="6"/>
  <c r="J3517" i="6"/>
  <c r="J3518" i="6"/>
  <c r="J3519" i="6"/>
  <c r="J3520" i="6"/>
  <c r="J3521" i="6"/>
  <c r="J3522" i="6"/>
  <c r="J3523" i="6"/>
  <c r="J3524" i="6"/>
  <c r="J3525" i="6"/>
  <c r="J3526" i="6"/>
  <c r="J3527" i="6"/>
  <c r="J3528" i="6"/>
  <c r="J3529" i="6"/>
  <c r="J3530" i="6"/>
  <c r="J3531" i="6"/>
  <c r="J3532" i="6"/>
  <c r="J3533" i="6"/>
  <c r="J3534" i="6"/>
  <c r="J3535" i="6"/>
  <c r="J3536" i="6"/>
  <c r="J3537" i="6"/>
  <c r="J3538" i="6"/>
  <c r="J3539" i="6"/>
  <c r="J3540" i="6"/>
  <c r="J3541" i="6"/>
  <c r="J3542" i="6"/>
  <c r="J3543" i="6"/>
  <c r="J3544" i="6"/>
  <c r="J3545" i="6"/>
  <c r="J3546" i="6"/>
  <c r="J3547" i="6"/>
  <c r="J3548" i="6"/>
  <c r="J3549" i="6"/>
  <c r="J3550" i="6"/>
  <c r="J3551" i="6"/>
  <c r="J3552" i="6"/>
  <c r="J3553" i="6"/>
  <c r="J3554" i="6"/>
  <c r="J3555" i="6"/>
  <c r="J3556" i="6"/>
  <c r="J3557" i="6"/>
  <c r="J3558" i="6"/>
  <c r="J3559" i="6"/>
  <c r="J3560" i="6"/>
  <c r="J3561" i="6"/>
  <c r="J3562" i="6"/>
  <c r="J3563" i="6"/>
  <c r="J3564" i="6"/>
  <c r="J3565" i="6"/>
  <c r="J3566" i="6"/>
  <c r="J3567" i="6"/>
  <c r="J3568" i="6"/>
  <c r="J3569" i="6"/>
  <c r="J3570" i="6"/>
  <c r="J3571" i="6"/>
  <c r="J3572" i="6"/>
  <c r="J3573" i="6"/>
  <c r="J3574" i="6"/>
  <c r="J3575" i="6"/>
  <c r="J3576" i="6"/>
  <c r="J3577" i="6"/>
  <c r="J3578" i="6"/>
  <c r="J3579" i="6"/>
  <c r="J3580" i="6"/>
  <c r="J3581" i="6"/>
  <c r="J3582" i="6"/>
  <c r="J3583" i="6"/>
  <c r="J3584" i="6"/>
  <c r="J3585" i="6"/>
  <c r="J3586" i="6"/>
  <c r="J3587" i="6"/>
  <c r="J3588" i="6"/>
  <c r="J3589" i="6"/>
  <c r="J3590" i="6"/>
  <c r="J3591" i="6"/>
  <c r="J3592" i="6"/>
  <c r="J3593" i="6"/>
  <c r="J3594" i="6"/>
  <c r="J3595" i="6"/>
  <c r="J3596" i="6"/>
  <c r="J3597" i="6"/>
  <c r="J3598" i="6"/>
  <c r="J3599" i="6"/>
  <c r="J3600" i="6"/>
  <c r="J3601" i="6"/>
  <c r="J3602" i="6"/>
  <c r="J3603" i="6"/>
  <c r="J3604" i="6"/>
  <c r="J3605" i="6"/>
  <c r="J3606" i="6"/>
  <c r="J3607" i="6"/>
  <c r="J3608" i="6"/>
  <c r="J3609" i="6"/>
  <c r="J3610" i="6"/>
  <c r="J3611" i="6"/>
  <c r="J3612" i="6"/>
  <c r="J3613" i="6"/>
  <c r="J3614" i="6"/>
  <c r="J3615" i="6"/>
  <c r="J3616" i="6"/>
  <c r="J3617" i="6"/>
  <c r="J3618" i="6"/>
  <c r="J3619" i="6"/>
  <c r="J3620" i="6"/>
  <c r="J3621" i="6"/>
  <c r="J3622" i="6"/>
  <c r="J3623" i="6"/>
  <c r="J3624" i="6"/>
  <c r="J3625" i="6"/>
  <c r="J3626" i="6"/>
  <c r="J3627" i="6"/>
  <c r="J3628" i="6"/>
  <c r="J3629" i="6"/>
  <c r="J3630" i="6"/>
  <c r="J3631" i="6"/>
  <c r="J3632" i="6"/>
  <c r="J3633" i="6"/>
  <c r="J3634" i="6"/>
  <c r="J3635" i="6"/>
  <c r="J3636" i="6"/>
  <c r="J3637" i="6"/>
  <c r="J3638" i="6"/>
  <c r="J3639" i="6"/>
  <c r="J3640" i="6"/>
  <c r="J3641" i="6"/>
  <c r="J3642" i="6"/>
  <c r="J3643" i="6"/>
  <c r="J3644" i="6"/>
  <c r="J3645" i="6"/>
  <c r="J3646" i="6"/>
  <c r="J3647" i="6"/>
  <c r="J3648" i="6"/>
  <c r="J3649" i="6"/>
  <c r="J3650" i="6"/>
  <c r="J3651" i="6"/>
  <c r="J3652" i="6"/>
  <c r="J3653" i="6"/>
  <c r="J3654" i="6"/>
  <c r="J3655" i="6"/>
  <c r="J3656" i="6"/>
  <c r="J3657" i="6"/>
  <c r="J3658" i="6"/>
  <c r="J3659" i="6"/>
  <c r="J3660" i="6"/>
  <c r="J3661" i="6"/>
  <c r="J3662" i="6"/>
  <c r="J3663" i="6"/>
  <c r="J3664" i="6"/>
  <c r="J3665" i="6"/>
  <c r="J3666" i="6"/>
  <c r="J3667" i="6"/>
  <c r="J3668" i="6"/>
  <c r="J3669" i="6"/>
  <c r="J3670" i="6"/>
  <c r="J3671" i="6"/>
  <c r="J3672" i="6"/>
  <c r="J3673" i="6"/>
  <c r="J3674" i="6"/>
  <c r="J3675" i="6"/>
  <c r="J3676" i="6"/>
  <c r="J3677" i="6"/>
  <c r="J3678" i="6"/>
  <c r="J3679" i="6"/>
  <c r="J3680" i="6"/>
  <c r="J3681" i="6"/>
  <c r="J3682" i="6"/>
  <c r="J3683" i="6"/>
  <c r="J3684" i="6"/>
  <c r="J3685" i="6"/>
  <c r="J3686" i="6"/>
  <c r="J3687" i="6"/>
  <c r="J3688" i="6"/>
  <c r="J3689" i="6"/>
  <c r="J3690" i="6"/>
  <c r="J3691" i="6"/>
  <c r="J3692" i="6"/>
  <c r="J3693" i="6"/>
  <c r="J3694" i="6"/>
  <c r="J3695" i="6"/>
  <c r="J3696" i="6"/>
  <c r="J3697" i="6"/>
  <c r="J3698" i="6"/>
  <c r="J3699" i="6"/>
  <c r="J3700" i="6"/>
  <c r="J3701" i="6"/>
  <c r="J3702" i="6"/>
  <c r="J3703" i="6"/>
  <c r="J3704" i="6"/>
  <c r="J3705" i="6"/>
  <c r="J3706" i="6"/>
  <c r="J3707" i="6"/>
  <c r="J3708" i="6"/>
  <c r="J3709" i="6"/>
  <c r="J3710" i="6"/>
  <c r="J3711" i="6"/>
  <c r="J3712" i="6"/>
  <c r="J3713" i="6"/>
  <c r="J3714" i="6"/>
  <c r="J3715" i="6"/>
  <c r="J3716" i="6"/>
  <c r="J3717" i="6"/>
  <c r="J3718" i="6"/>
  <c r="J3719" i="6"/>
  <c r="J3720" i="6"/>
  <c r="J3721" i="6"/>
  <c r="J3722" i="6"/>
  <c r="J3723" i="6"/>
  <c r="J3724" i="6"/>
  <c r="J3725" i="6"/>
  <c r="J3726" i="6"/>
  <c r="J3727" i="6"/>
  <c r="J3728" i="6"/>
  <c r="J3729" i="6"/>
  <c r="J3730" i="6"/>
  <c r="J3731" i="6"/>
  <c r="J3732" i="6"/>
  <c r="J3733" i="6"/>
  <c r="J3734" i="6"/>
  <c r="J3735" i="6"/>
  <c r="J3736" i="6"/>
  <c r="J3737" i="6"/>
  <c r="J3738" i="6"/>
  <c r="J3739" i="6"/>
  <c r="J3740" i="6"/>
  <c r="J3741" i="6"/>
  <c r="J3742" i="6"/>
  <c r="J3743" i="6"/>
  <c r="J3744" i="6"/>
  <c r="J3745" i="6"/>
  <c r="J3746" i="6"/>
  <c r="J3747" i="6"/>
  <c r="J3748" i="6"/>
  <c r="J3749" i="6"/>
  <c r="J3750" i="6"/>
  <c r="J3751" i="6"/>
  <c r="J3752" i="6"/>
  <c r="J3753" i="6"/>
  <c r="J3754" i="6"/>
  <c r="J3755" i="6"/>
  <c r="J3756" i="6"/>
  <c r="J3757" i="6"/>
  <c r="J3758" i="6"/>
  <c r="J3759" i="6"/>
  <c r="J3760" i="6"/>
  <c r="J3761" i="6"/>
  <c r="J3762" i="6"/>
  <c r="J3763" i="6"/>
  <c r="J3764" i="6"/>
  <c r="J3765" i="6"/>
  <c r="J3766" i="6"/>
  <c r="J3767" i="6"/>
  <c r="J3768" i="6"/>
  <c r="J3769" i="6"/>
  <c r="J3770" i="6"/>
  <c r="J3771" i="6"/>
  <c r="J3772" i="6"/>
  <c r="J3773" i="6"/>
  <c r="J3774" i="6"/>
  <c r="J3775" i="6"/>
  <c r="J3776" i="6"/>
  <c r="J3777" i="6"/>
  <c r="J3778" i="6"/>
  <c r="J3779" i="6"/>
  <c r="J3780" i="6"/>
  <c r="J3781" i="6"/>
  <c r="J3782" i="6"/>
  <c r="J3783" i="6"/>
  <c r="J3784" i="6"/>
  <c r="J3785" i="6"/>
  <c r="J3786" i="6"/>
  <c r="J3787" i="6"/>
  <c r="J3788" i="6"/>
  <c r="J3789" i="6"/>
  <c r="J3790" i="6"/>
  <c r="J3791" i="6"/>
  <c r="J3792" i="6"/>
  <c r="J3793" i="6"/>
  <c r="J3794" i="6"/>
  <c r="J3795" i="6"/>
  <c r="J3796" i="6"/>
  <c r="J3797" i="6"/>
  <c r="J3798" i="6"/>
  <c r="J3799" i="6"/>
  <c r="J3800" i="6"/>
  <c r="J3801" i="6"/>
  <c r="J3802" i="6"/>
  <c r="J3803" i="6"/>
  <c r="J3804" i="6"/>
  <c r="J3805" i="6"/>
  <c r="J3806" i="6"/>
  <c r="J3807" i="6"/>
  <c r="J3808" i="6"/>
  <c r="J3809" i="6"/>
  <c r="J3810" i="6"/>
  <c r="J3811" i="6"/>
  <c r="J3812" i="6"/>
  <c r="J3813" i="6"/>
  <c r="J3814" i="6"/>
  <c r="J3815" i="6"/>
  <c r="J3816" i="6"/>
  <c r="J3817" i="6"/>
  <c r="J3818" i="6"/>
  <c r="J3819" i="6"/>
  <c r="J3820" i="6"/>
  <c r="J3821" i="6"/>
  <c r="J3822" i="6"/>
  <c r="J3823" i="6"/>
  <c r="J3824" i="6"/>
  <c r="J3825" i="6"/>
  <c r="J3826" i="6"/>
  <c r="J3827" i="6"/>
  <c r="J3828" i="6"/>
  <c r="J3829" i="6"/>
  <c r="J3830" i="6"/>
  <c r="J3831" i="6"/>
  <c r="J3832" i="6"/>
  <c r="J3833" i="6"/>
  <c r="J3834" i="6"/>
  <c r="J3835" i="6"/>
  <c r="J3836" i="6"/>
  <c r="J3837" i="6"/>
  <c r="J3838" i="6"/>
  <c r="J3839" i="6"/>
  <c r="J3840" i="6"/>
  <c r="J3841" i="6"/>
  <c r="J3842" i="6"/>
  <c r="J3843" i="6"/>
  <c r="J3844" i="6"/>
  <c r="J3845" i="6"/>
  <c r="J3846" i="6"/>
  <c r="J3847" i="6"/>
  <c r="J3848" i="6"/>
  <c r="J3849" i="6"/>
  <c r="J3850" i="6"/>
  <c r="J3851" i="6"/>
  <c r="J3852" i="6"/>
  <c r="J3853" i="6"/>
  <c r="J3854" i="6"/>
  <c r="J3855" i="6"/>
  <c r="J3856" i="6"/>
  <c r="J3857" i="6"/>
  <c r="J3858" i="6"/>
  <c r="J3859" i="6"/>
  <c r="J3860" i="6"/>
  <c r="J3861" i="6"/>
  <c r="J3862" i="6"/>
  <c r="J3863" i="6"/>
  <c r="J3864" i="6"/>
  <c r="J3865" i="6"/>
  <c r="J3866" i="6"/>
  <c r="J3867" i="6"/>
  <c r="J3868" i="6"/>
  <c r="J3869" i="6"/>
  <c r="J3870" i="6"/>
  <c r="J3871" i="6"/>
  <c r="J3872" i="6"/>
  <c r="J3873" i="6"/>
  <c r="J3874" i="6"/>
  <c r="J3875" i="6"/>
  <c r="J3876" i="6"/>
  <c r="J3877" i="6"/>
  <c r="J3878" i="6"/>
  <c r="J3879" i="6"/>
  <c r="J3880" i="6"/>
  <c r="J3881" i="6"/>
  <c r="J3882" i="6"/>
  <c r="J3883" i="6"/>
  <c r="J3884" i="6"/>
  <c r="J3885" i="6"/>
  <c r="J3886" i="6"/>
  <c r="J3887" i="6"/>
  <c r="J3888" i="6"/>
  <c r="J3889" i="6"/>
  <c r="J3890" i="6"/>
  <c r="J3891" i="6"/>
  <c r="J3892" i="6"/>
  <c r="J3893" i="6"/>
  <c r="J3894" i="6"/>
  <c r="J3895" i="6"/>
  <c r="J3896" i="6"/>
  <c r="J3897" i="6"/>
  <c r="J3898" i="6"/>
  <c r="J3899" i="6"/>
  <c r="J3900" i="6"/>
  <c r="J3901" i="6"/>
  <c r="J3902" i="6"/>
  <c r="J3903" i="6"/>
  <c r="J3904" i="6"/>
  <c r="J3905" i="6"/>
  <c r="J3906" i="6"/>
  <c r="J3907" i="6"/>
  <c r="J3908" i="6"/>
  <c r="J3909" i="6"/>
  <c r="J3910" i="6"/>
  <c r="J3911" i="6"/>
  <c r="J3912" i="6"/>
  <c r="J3913" i="6"/>
  <c r="J3914" i="6"/>
  <c r="J3915" i="6"/>
  <c r="J3916" i="6"/>
  <c r="J3917" i="6"/>
  <c r="J3918" i="6"/>
  <c r="J3919" i="6"/>
  <c r="J3920" i="6"/>
  <c r="J3921" i="6"/>
  <c r="J3922" i="6"/>
  <c r="J3923" i="6"/>
  <c r="J3924" i="6"/>
  <c r="J3925" i="6"/>
  <c r="J3926" i="6"/>
  <c r="J3927" i="6"/>
  <c r="J3928" i="6"/>
  <c r="J3929" i="6"/>
  <c r="J3930" i="6"/>
  <c r="J3931" i="6"/>
  <c r="J3932" i="6"/>
  <c r="J3933" i="6"/>
  <c r="J3934" i="6"/>
  <c r="J3935" i="6"/>
  <c r="J3936" i="6"/>
  <c r="J3937" i="6"/>
  <c r="J3938" i="6"/>
  <c r="J3939" i="6"/>
  <c r="J3940" i="6"/>
  <c r="J3941" i="6"/>
  <c r="J3942" i="6"/>
  <c r="J3943" i="6"/>
  <c r="J3944" i="6"/>
  <c r="J3945" i="6"/>
  <c r="J3946" i="6"/>
  <c r="J3947" i="6"/>
  <c r="J3948" i="6"/>
  <c r="J3949" i="6"/>
  <c r="J3950" i="6"/>
  <c r="J3951" i="6"/>
  <c r="J3952" i="6"/>
  <c r="J3953" i="6"/>
  <c r="J3954" i="6"/>
  <c r="J3955" i="6"/>
  <c r="J3956" i="6"/>
  <c r="J3957" i="6"/>
  <c r="J3958" i="6"/>
  <c r="J3959" i="6"/>
  <c r="J3960" i="6"/>
  <c r="J3961" i="6"/>
  <c r="J3962" i="6"/>
  <c r="J3963" i="6"/>
  <c r="J3964" i="6"/>
  <c r="J3965" i="6"/>
  <c r="J3966" i="6"/>
  <c r="J3967" i="6"/>
  <c r="J3968" i="6"/>
  <c r="J3969" i="6"/>
  <c r="J3970" i="6"/>
  <c r="J3971" i="6"/>
  <c r="J3972" i="6"/>
  <c r="J3973" i="6"/>
  <c r="J3974" i="6"/>
  <c r="J3975" i="6"/>
  <c r="J3976" i="6"/>
  <c r="J3977" i="6"/>
  <c r="J3978" i="6"/>
  <c r="J3979" i="6"/>
  <c r="J3980" i="6"/>
  <c r="J3981" i="6"/>
  <c r="J3982" i="6"/>
  <c r="J3983" i="6"/>
  <c r="J3984" i="6"/>
  <c r="J3985" i="6"/>
  <c r="J3986" i="6"/>
  <c r="J3987" i="6"/>
  <c r="J3988" i="6"/>
  <c r="J3989" i="6"/>
  <c r="J3990" i="6"/>
  <c r="J3991" i="6"/>
  <c r="J3992" i="6"/>
  <c r="J3993" i="6"/>
  <c r="J3994" i="6"/>
  <c r="J3995" i="6"/>
  <c r="J3996" i="6"/>
  <c r="J3997" i="6"/>
  <c r="J3998" i="6"/>
  <c r="J3999" i="6"/>
  <c r="J4000" i="6"/>
  <c r="J4001" i="6"/>
  <c r="J4002" i="6"/>
  <c r="J4003" i="6"/>
  <c r="J4004" i="6"/>
  <c r="J4005" i="6"/>
  <c r="J4006" i="6"/>
  <c r="J4007" i="6"/>
  <c r="J4008" i="6"/>
  <c r="J4009" i="6"/>
  <c r="J4010" i="6"/>
  <c r="J4011" i="6"/>
  <c r="J4012" i="6"/>
  <c r="J4013" i="6"/>
  <c r="J4014" i="6"/>
  <c r="J4015" i="6"/>
  <c r="J4016" i="6"/>
  <c r="J4017" i="6"/>
  <c r="J4018" i="6"/>
  <c r="J4019" i="6"/>
  <c r="J4020" i="6"/>
  <c r="J4021" i="6"/>
  <c r="J4022" i="6"/>
  <c r="J4023" i="6"/>
  <c r="J4024" i="6"/>
  <c r="J4025" i="6"/>
  <c r="J4026" i="6"/>
  <c r="J4027" i="6"/>
  <c r="J4028" i="6"/>
  <c r="J4029" i="6"/>
  <c r="J4030" i="6"/>
  <c r="J4031" i="6"/>
  <c r="J4032" i="6"/>
  <c r="J4033" i="6"/>
  <c r="J4034" i="6"/>
  <c r="J4035" i="6"/>
  <c r="J4036" i="6"/>
  <c r="J4037" i="6"/>
  <c r="J4038" i="6"/>
  <c r="J4039" i="6"/>
  <c r="J4040" i="6"/>
  <c r="J4041" i="6"/>
  <c r="J4042" i="6"/>
  <c r="J4043" i="6"/>
  <c r="J4044" i="6"/>
  <c r="J4045" i="6"/>
  <c r="J4046" i="6"/>
  <c r="J4047" i="6"/>
  <c r="J4048" i="6"/>
  <c r="J4049" i="6"/>
  <c r="J4050" i="6"/>
  <c r="J4051" i="6"/>
  <c r="J4052" i="6"/>
  <c r="J4053" i="6"/>
  <c r="J4054" i="6"/>
  <c r="J4055" i="6"/>
  <c r="J4056" i="6"/>
  <c r="J4057" i="6"/>
  <c r="J4058" i="6"/>
  <c r="J4059" i="6"/>
  <c r="J4060" i="6"/>
  <c r="J4061" i="6"/>
  <c r="J4062" i="6"/>
  <c r="J4063" i="6"/>
  <c r="J4064" i="6"/>
  <c r="J4065" i="6"/>
  <c r="J4066" i="6"/>
  <c r="J4067" i="6"/>
  <c r="J4068" i="6"/>
  <c r="J4069" i="6"/>
  <c r="J4070" i="6"/>
  <c r="J4071" i="6"/>
  <c r="J4072" i="6"/>
  <c r="J4073" i="6"/>
  <c r="J4074" i="6"/>
  <c r="J4075" i="6"/>
  <c r="J4076" i="6"/>
  <c r="J4077" i="6"/>
  <c r="J4078" i="6"/>
  <c r="J4079" i="6"/>
  <c r="J4080" i="6"/>
  <c r="J4081" i="6"/>
  <c r="J4082" i="6"/>
  <c r="J4083" i="6"/>
  <c r="J4084" i="6"/>
  <c r="J4085" i="6"/>
  <c r="J4086" i="6"/>
  <c r="J4087" i="6"/>
  <c r="J4088" i="6"/>
  <c r="J4089" i="6"/>
  <c r="J4090" i="6"/>
  <c r="J4091" i="6"/>
  <c r="J4092" i="6"/>
  <c r="J4093" i="6"/>
  <c r="J4094" i="6"/>
  <c r="J4095" i="6"/>
  <c r="J4096" i="6"/>
  <c r="J4097" i="6"/>
  <c r="J4098" i="6"/>
  <c r="J4099" i="6"/>
  <c r="J4100" i="6"/>
  <c r="J4101" i="6"/>
  <c r="J4102" i="6"/>
  <c r="J4103" i="6"/>
  <c r="J4104" i="6"/>
  <c r="J4105" i="6"/>
  <c r="J4106" i="6"/>
  <c r="J4107" i="6"/>
  <c r="J4108" i="6"/>
  <c r="J4109" i="6"/>
  <c r="J4110" i="6"/>
  <c r="J4111" i="6"/>
  <c r="J4112" i="6"/>
  <c r="J4113" i="6"/>
  <c r="J4114" i="6"/>
  <c r="J4115" i="6"/>
  <c r="J4116" i="6"/>
  <c r="J4117" i="6"/>
  <c r="J4118" i="6"/>
  <c r="J4119" i="6"/>
  <c r="J4120" i="6"/>
  <c r="J4121" i="6"/>
  <c r="J4122" i="6"/>
  <c r="J4123" i="6"/>
  <c r="J4124" i="6"/>
  <c r="J4125" i="6"/>
  <c r="J4126" i="6"/>
  <c r="J4127" i="6"/>
  <c r="J4128" i="6"/>
  <c r="J4129" i="6"/>
  <c r="J4130" i="6"/>
  <c r="J4131" i="6"/>
  <c r="J4132" i="6"/>
  <c r="J4133" i="6"/>
  <c r="J4134" i="6"/>
  <c r="J4135" i="6"/>
  <c r="J4136" i="6"/>
  <c r="J4137" i="6"/>
  <c r="J4138" i="6"/>
  <c r="J4139" i="6"/>
  <c r="J4140" i="6"/>
  <c r="J4141" i="6"/>
  <c r="J4142" i="6"/>
  <c r="J4143" i="6"/>
  <c r="J4144" i="6"/>
  <c r="J4145" i="6"/>
  <c r="J4146" i="6"/>
  <c r="J4147" i="6"/>
  <c r="J4148" i="6"/>
  <c r="J4149" i="6"/>
  <c r="J4150" i="6"/>
  <c r="J4151" i="6"/>
  <c r="J4152" i="6"/>
  <c r="J4153" i="6"/>
  <c r="J4154" i="6"/>
  <c r="J4155" i="6"/>
  <c r="J4156" i="6"/>
  <c r="J4157" i="6"/>
  <c r="J4158" i="6"/>
  <c r="J4159" i="6"/>
  <c r="J4160" i="6"/>
  <c r="J4161" i="6"/>
  <c r="J4162" i="6"/>
  <c r="J4163" i="6"/>
  <c r="J4164" i="6"/>
  <c r="J4165" i="6"/>
  <c r="J4166" i="6"/>
  <c r="J4167" i="6"/>
  <c r="J4168" i="6"/>
  <c r="J4169" i="6"/>
  <c r="J4170" i="6"/>
  <c r="J4171" i="6"/>
  <c r="J4172" i="6"/>
  <c r="J4173" i="6"/>
  <c r="J4174" i="6"/>
  <c r="J4175" i="6"/>
  <c r="J4176" i="6"/>
  <c r="J4177" i="6"/>
  <c r="J4178" i="6"/>
  <c r="J4179" i="6"/>
  <c r="J4180" i="6"/>
  <c r="J4181" i="6"/>
  <c r="J4182" i="6"/>
  <c r="J4183" i="6"/>
  <c r="J4184" i="6"/>
  <c r="J4185" i="6"/>
  <c r="J4186" i="6"/>
  <c r="J4187" i="6"/>
  <c r="J4188" i="6"/>
  <c r="J4189" i="6"/>
  <c r="J4190" i="6"/>
  <c r="J4191" i="6"/>
  <c r="J4192" i="6"/>
  <c r="J4193" i="6"/>
  <c r="J4194" i="6"/>
  <c r="J4195" i="6"/>
  <c r="J4196" i="6"/>
  <c r="J4197" i="6"/>
  <c r="J4198" i="6"/>
  <c r="J4199" i="6"/>
  <c r="J4200" i="6"/>
  <c r="J4201" i="6"/>
  <c r="J4202" i="6"/>
  <c r="J4203" i="6"/>
  <c r="J4204" i="6"/>
  <c r="J4205" i="6"/>
  <c r="J4206" i="6"/>
  <c r="J4207" i="6"/>
  <c r="J4208" i="6"/>
  <c r="J4209" i="6"/>
  <c r="J4210" i="6"/>
  <c r="J4211" i="6"/>
  <c r="J4212" i="6"/>
  <c r="J4213" i="6"/>
  <c r="J4214" i="6"/>
  <c r="J4215" i="6"/>
  <c r="J4216" i="6"/>
  <c r="J4217" i="6"/>
  <c r="J4218" i="6"/>
  <c r="J4219" i="6"/>
  <c r="J4220" i="6"/>
  <c r="J4221" i="6"/>
  <c r="J4222" i="6"/>
  <c r="J4223" i="6"/>
  <c r="J4224" i="6"/>
  <c r="J4225" i="6"/>
  <c r="J4226" i="6"/>
  <c r="J4227" i="6"/>
  <c r="J4228" i="6"/>
  <c r="J4229" i="6"/>
  <c r="J4230" i="6"/>
  <c r="J4231" i="6"/>
  <c r="J4232" i="6"/>
  <c r="J4233" i="6"/>
  <c r="J4234" i="6"/>
  <c r="J4235" i="6"/>
  <c r="J4236" i="6"/>
  <c r="J4237" i="6"/>
  <c r="J4238" i="6"/>
  <c r="J4239" i="6"/>
  <c r="J4240" i="6"/>
  <c r="J4241" i="6"/>
  <c r="J4242" i="6"/>
  <c r="J4243" i="6"/>
  <c r="J4244" i="6"/>
  <c r="J4245" i="6"/>
  <c r="J4246" i="6"/>
  <c r="J4247" i="6"/>
  <c r="J4248" i="6"/>
  <c r="J4249" i="6"/>
  <c r="J4250" i="6"/>
  <c r="J4251" i="6"/>
  <c r="J4252" i="6"/>
  <c r="J4253" i="6"/>
  <c r="J4254" i="6"/>
  <c r="J4255" i="6"/>
  <c r="J4256" i="6"/>
  <c r="J4257" i="6"/>
  <c r="J4258" i="6"/>
  <c r="J4259" i="6"/>
  <c r="J4260" i="6"/>
  <c r="J4261" i="6"/>
  <c r="J4262" i="6"/>
  <c r="J4263" i="6"/>
  <c r="J4264" i="6"/>
  <c r="J4265" i="6"/>
  <c r="J4266" i="6"/>
  <c r="J4267" i="6"/>
  <c r="J4268" i="6"/>
  <c r="J4269" i="6"/>
  <c r="J4270" i="6"/>
  <c r="J4271" i="6"/>
  <c r="J4272" i="6"/>
  <c r="J4273" i="6"/>
  <c r="J4274" i="6"/>
  <c r="J4275" i="6"/>
  <c r="J4276" i="6"/>
  <c r="J4277" i="6"/>
  <c r="J4278" i="6"/>
  <c r="J4279" i="6"/>
  <c r="J4280" i="6"/>
  <c r="J4281" i="6"/>
  <c r="J4282" i="6"/>
  <c r="J4283" i="6"/>
  <c r="J4284" i="6"/>
  <c r="J4285" i="6"/>
  <c r="J4286" i="6"/>
  <c r="J4287" i="6"/>
  <c r="J4288" i="6"/>
  <c r="J4289" i="6"/>
  <c r="J4290" i="6"/>
  <c r="J4291" i="6"/>
  <c r="J4292" i="6"/>
  <c r="J4293" i="6"/>
  <c r="J4294" i="6"/>
  <c r="J4295" i="6"/>
  <c r="J4296" i="6"/>
  <c r="J4297" i="6"/>
  <c r="J4298" i="6"/>
  <c r="J4299" i="6"/>
  <c r="J4300" i="6"/>
  <c r="J4301" i="6"/>
  <c r="J4302" i="6"/>
  <c r="J4303" i="6"/>
  <c r="J4304" i="6"/>
  <c r="J4305" i="6"/>
  <c r="J4306" i="6"/>
  <c r="J4307" i="6"/>
  <c r="J4308" i="6"/>
  <c r="J4309" i="6"/>
  <c r="J4310" i="6"/>
  <c r="J4311" i="6"/>
  <c r="J4312" i="6"/>
  <c r="J4313" i="6"/>
  <c r="J4314" i="6"/>
  <c r="J4315" i="6"/>
  <c r="J4316" i="6"/>
  <c r="J4317" i="6"/>
  <c r="J4318" i="6"/>
  <c r="J4319" i="6"/>
  <c r="J4320" i="6"/>
  <c r="J4321" i="6"/>
  <c r="J4322" i="6"/>
  <c r="J4323" i="6"/>
  <c r="J4324" i="6"/>
  <c r="J4325" i="6"/>
  <c r="J4326" i="6"/>
  <c r="J4327" i="6"/>
  <c r="J4328" i="6"/>
  <c r="J4329" i="6"/>
  <c r="J4330" i="6"/>
  <c r="J4331" i="6"/>
  <c r="J4332" i="6"/>
  <c r="J4333" i="6"/>
  <c r="J4334" i="6"/>
  <c r="J4335" i="6"/>
  <c r="J4336" i="6"/>
  <c r="J4337" i="6"/>
  <c r="J4338" i="6"/>
  <c r="J4339" i="6"/>
  <c r="J4340" i="6"/>
  <c r="J4341" i="6"/>
  <c r="J4342" i="6"/>
  <c r="J4343" i="6"/>
  <c r="J4344" i="6"/>
  <c r="J4345" i="6"/>
  <c r="J4346" i="6"/>
  <c r="J4347" i="6"/>
  <c r="J4348" i="6"/>
  <c r="J4349" i="6"/>
  <c r="J4350" i="6"/>
  <c r="J4351" i="6"/>
  <c r="J4352" i="6"/>
  <c r="J4353" i="6"/>
  <c r="J4354" i="6"/>
  <c r="J4355" i="6"/>
  <c r="J4356" i="6"/>
  <c r="J4357" i="6"/>
  <c r="J4358" i="6"/>
  <c r="J4359" i="6"/>
  <c r="J4360" i="6"/>
  <c r="J4361" i="6"/>
  <c r="J4362" i="6"/>
  <c r="J4363" i="6"/>
  <c r="J4364" i="6"/>
  <c r="J4365" i="6"/>
  <c r="J4366" i="6"/>
  <c r="J4367" i="6"/>
  <c r="J4368" i="6"/>
  <c r="J4369" i="6"/>
  <c r="J4370" i="6"/>
  <c r="J4371" i="6"/>
  <c r="J4372" i="6"/>
  <c r="J4373" i="6"/>
  <c r="J4374" i="6"/>
  <c r="J4375" i="6"/>
  <c r="J4376" i="6"/>
  <c r="J4377" i="6"/>
  <c r="J4378" i="6"/>
  <c r="J4379" i="6"/>
  <c r="J4380" i="6"/>
  <c r="J4381" i="6"/>
  <c r="J4382" i="6"/>
  <c r="J4383" i="6"/>
  <c r="J4384" i="6"/>
  <c r="J4385" i="6"/>
  <c r="J4386" i="6"/>
  <c r="J4387" i="6"/>
  <c r="J4388" i="6"/>
  <c r="J4389" i="6"/>
  <c r="J4390" i="6"/>
  <c r="J4391" i="6"/>
  <c r="J4392" i="6"/>
  <c r="J4393" i="6"/>
  <c r="J4394" i="6"/>
  <c r="J4395" i="6"/>
  <c r="J4396" i="6"/>
  <c r="J4397" i="6"/>
  <c r="J4398" i="6"/>
  <c r="J4399" i="6"/>
  <c r="J4400" i="6"/>
  <c r="J4401" i="6"/>
  <c r="J4402" i="6"/>
  <c r="J4403" i="6"/>
  <c r="J4404" i="6"/>
  <c r="J4405" i="6"/>
  <c r="J4406" i="6"/>
  <c r="J4407" i="6"/>
  <c r="J4408" i="6"/>
  <c r="J4409" i="6"/>
  <c r="J4410" i="6"/>
  <c r="J4411" i="6"/>
  <c r="J4412" i="6"/>
  <c r="J4413" i="6"/>
  <c r="J4414" i="6"/>
  <c r="J4415" i="6"/>
  <c r="J4416" i="6"/>
  <c r="J4417" i="6"/>
  <c r="J4418" i="6"/>
  <c r="J4419" i="6"/>
  <c r="J4420" i="6"/>
  <c r="J4421" i="6"/>
  <c r="J4422" i="6"/>
  <c r="J4423" i="6"/>
  <c r="J4424" i="6"/>
  <c r="J4425" i="6"/>
  <c r="J4426" i="6"/>
  <c r="J4427" i="6"/>
  <c r="J4428" i="6"/>
  <c r="J4429" i="6"/>
  <c r="J4430" i="6"/>
  <c r="J4431" i="6"/>
  <c r="J4432" i="6"/>
  <c r="J4433" i="6"/>
  <c r="J4434" i="6"/>
  <c r="J4435" i="6"/>
  <c r="J4436" i="6"/>
  <c r="J4437" i="6"/>
  <c r="J4438" i="6"/>
  <c r="J4439" i="6"/>
  <c r="J4440" i="6"/>
  <c r="J4441" i="6"/>
  <c r="J4442" i="6"/>
  <c r="J4443" i="6"/>
  <c r="J4444" i="6"/>
  <c r="J4445" i="6"/>
  <c r="J4446" i="6"/>
  <c r="J4447" i="6"/>
  <c r="J4448" i="6"/>
  <c r="J4449" i="6"/>
  <c r="J4450" i="6"/>
  <c r="J4451" i="6"/>
  <c r="J4452" i="6"/>
  <c r="J4453" i="6"/>
  <c r="J4454" i="6"/>
  <c r="J4455" i="6"/>
  <c r="J4456" i="6"/>
  <c r="J4457" i="6"/>
  <c r="J4458" i="6"/>
  <c r="J4459" i="6"/>
  <c r="J4460" i="6"/>
  <c r="J4461" i="6"/>
  <c r="J4462" i="6"/>
  <c r="J4463" i="6"/>
  <c r="J4464" i="6"/>
  <c r="J4465" i="6"/>
  <c r="J4466" i="6"/>
  <c r="J4467" i="6"/>
  <c r="J4468" i="6"/>
  <c r="J4469" i="6"/>
  <c r="J4470" i="6"/>
  <c r="J4471" i="6"/>
  <c r="J4472" i="6"/>
  <c r="J4473" i="6"/>
  <c r="J4474" i="6"/>
  <c r="J4475" i="6"/>
  <c r="J4476" i="6"/>
  <c r="J4477" i="6"/>
  <c r="J4478" i="6"/>
  <c r="J4479" i="6"/>
  <c r="J4480" i="6"/>
  <c r="J4481" i="6"/>
  <c r="J4482" i="6"/>
  <c r="J4483" i="6"/>
  <c r="J4484" i="6"/>
  <c r="J4485" i="6"/>
  <c r="J4486" i="6"/>
  <c r="J4487" i="6"/>
  <c r="J4488" i="6"/>
  <c r="J4489" i="6"/>
  <c r="J4490" i="6"/>
  <c r="J4491" i="6"/>
  <c r="J4492" i="6"/>
  <c r="J4493" i="6"/>
  <c r="J4494" i="6"/>
  <c r="J4495" i="6"/>
  <c r="J4496" i="6"/>
  <c r="J4497" i="6"/>
  <c r="J4498" i="6"/>
  <c r="J4499" i="6"/>
  <c r="J4500" i="6"/>
  <c r="J4501" i="6"/>
  <c r="J4502" i="6"/>
  <c r="J4503" i="6"/>
  <c r="J4504" i="6"/>
  <c r="J4505" i="6"/>
  <c r="J4506" i="6"/>
  <c r="J4507" i="6"/>
  <c r="J4508" i="6"/>
  <c r="J4509" i="6"/>
  <c r="J4510" i="6"/>
  <c r="J4511" i="6"/>
  <c r="J4512" i="6"/>
  <c r="J4513" i="6"/>
  <c r="J4514" i="6"/>
  <c r="J4515" i="6"/>
  <c r="J4516" i="6"/>
  <c r="J4517" i="6"/>
  <c r="J4518" i="6"/>
  <c r="J4519" i="6"/>
  <c r="J4520" i="6"/>
  <c r="J4521" i="6"/>
  <c r="J4522" i="6"/>
  <c r="J4523" i="6"/>
  <c r="J4524" i="6"/>
  <c r="J4525" i="6"/>
  <c r="J4526" i="6"/>
  <c r="J4527" i="6"/>
  <c r="J4528" i="6"/>
  <c r="J4529" i="6"/>
  <c r="J4530" i="6"/>
  <c r="J4531" i="6"/>
  <c r="J4532" i="6"/>
  <c r="J4533" i="6"/>
  <c r="J4534" i="6"/>
  <c r="J4535" i="6"/>
  <c r="J4536" i="6"/>
  <c r="J4537" i="6"/>
  <c r="J4538" i="6"/>
  <c r="J4539" i="6"/>
  <c r="J4540" i="6"/>
  <c r="J4541" i="6"/>
  <c r="J4542" i="6"/>
  <c r="J4543" i="6"/>
  <c r="J4544" i="6"/>
  <c r="J4545" i="6"/>
  <c r="J4546" i="6"/>
  <c r="J4547" i="6"/>
  <c r="J4548" i="6"/>
  <c r="J4549" i="6"/>
  <c r="J4550" i="6"/>
  <c r="J4551" i="6"/>
  <c r="J4552" i="6"/>
  <c r="J4553" i="6"/>
  <c r="J4554" i="6"/>
  <c r="J4555" i="6"/>
  <c r="J4556" i="6"/>
  <c r="J4557" i="6"/>
  <c r="J4558" i="6"/>
  <c r="J4559" i="6"/>
  <c r="J4560" i="6"/>
  <c r="J4561" i="6"/>
  <c r="J4562" i="6"/>
  <c r="J4563" i="6"/>
  <c r="J4564" i="6"/>
  <c r="J4565" i="6"/>
  <c r="J4566" i="6"/>
  <c r="J4567" i="6"/>
  <c r="J4568" i="6"/>
  <c r="J4569" i="6"/>
  <c r="J4570" i="6"/>
  <c r="J4571" i="6"/>
  <c r="J4572" i="6"/>
  <c r="J4573" i="6"/>
  <c r="J4574" i="6"/>
  <c r="J4575" i="6"/>
  <c r="J4576" i="6"/>
  <c r="J4577" i="6"/>
  <c r="J4578" i="6"/>
  <c r="J4579" i="6"/>
  <c r="J4580" i="6"/>
  <c r="J4581" i="6"/>
  <c r="J4582" i="6"/>
  <c r="J4583" i="6"/>
  <c r="J4584" i="6"/>
  <c r="J4585" i="6"/>
  <c r="J4586" i="6"/>
  <c r="J4587" i="6"/>
  <c r="J4588" i="6"/>
  <c r="J4589" i="6"/>
  <c r="J4590" i="6"/>
  <c r="J4591" i="6"/>
  <c r="J4592" i="6"/>
  <c r="J4593" i="6"/>
  <c r="J4594" i="6"/>
  <c r="J4595" i="6"/>
  <c r="J4596" i="6"/>
  <c r="J4597" i="6"/>
  <c r="J4598" i="6"/>
  <c r="J4599" i="6"/>
  <c r="J4600" i="6"/>
  <c r="J4601" i="6"/>
  <c r="J4602" i="6"/>
  <c r="J4603" i="6"/>
  <c r="J4604" i="6"/>
  <c r="J4605" i="6"/>
  <c r="J4606" i="6"/>
  <c r="J4607" i="6"/>
  <c r="J4608" i="6"/>
  <c r="J4609" i="6"/>
  <c r="J4610" i="6"/>
  <c r="J4611" i="6"/>
  <c r="J4612" i="6"/>
  <c r="J4613" i="6"/>
  <c r="J4614" i="6"/>
  <c r="J4615" i="6"/>
  <c r="J4616" i="6"/>
  <c r="J4617" i="6"/>
  <c r="J4618" i="6"/>
  <c r="J4619" i="6"/>
  <c r="J4620" i="6"/>
  <c r="J4621" i="6"/>
  <c r="J4622" i="6"/>
  <c r="J4623" i="6"/>
  <c r="J4624" i="6"/>
  <c r="J4625" i="6"/>
  <c r="J4626" i="6"/>
  <c r="J4627" i="6"/>
  <c r="J4628" i="6"/>
  <c r="J4629" i="6"/>
  <c r="J4630" i="6"/>
  <c r="J4631" i="6"/>
  <c r="J4632" i="6"/>
  <c r="J4633" i="6"/>
  <c r="J4634" i="6"/>
  <c r="J4635" i="6"/>
  <c r="J4636" i="6"/>
  <c r="J4637" i="6"/>
  <c r="J4638" i="6"/>
  <c r="J4639" i="6"/>
  <c r="J4640" i="6"/>
  <c r="J4641" i="6"/>
  <c r="J4642" i="6"/>
  <c r="J4643" i="6"/>
  <c r="J4644" i="6"/>
  <c r="J4645" i="6"/>
  <c r="J4646" i="6"/>
  <c r="J4647" i="6"/>
  <c r="J4648" i="6"/>
  <c r="J4649" i="6"/>
  <c r="J4650" i="6"/>
  <c r="J4651" i="6"/>
  <c r="J4652" i="6"/>
  <c r="J4653" i="6"/>
  <c r="J4654" i="6"/>
  <c r="J4655" i="6"/>
  <c r="J4656" i="6"/>
  <c r="J4657" i="6"/>
  <c r="J4658" i="6"/>
  <c r="J4659" i="6"/>
  <c r="J4660" i="6"/>
  <c r="J4661" i="6"/>
  <c r="J4662" i="6"/>
  <c r="J4663" i="6"/>
  <c r="J4664" i="6"/>
  <c r="J4665" i="6"/>
  <c r="J4666" i="6"/>
  <c r="J4667" i="6"/>
  <c r="J4668" i="6"/>
  <c r="J4669" i="6"/>
  <c r="J4670" i="6"/>
  <c r="J4671" i="6"/>
  <c r="J4672" i="6"/>
  <c r="J4673" i="6"/>
  <c r="J4674" i="6"/>
  <c r="J4675" i="6"/>
  <c r="J4676" i="6"/>
  <c r="J4677" i="6"/>
  <c r="J4678" i="6"/>
  <c r="J4679" i="6"/>
  <c r="J4680" i="6"/>
  <c r="J4681" i="6"/>
  <c r="J4682" i="6"/>
  <c r="J4683" i="6"/>
  <c r="J4684" i="6"/>
  <c r="J4685" i="6"/>
  <c r="J4686" i="6"/>
  <c r="J4687" i="6"/>
  <c r="J4688" i="6"/>
  <c r="J4689" i="6"/>
  <c r="J4690" i="6"/>
  <c r="J4691" i="6"/>
  <c r="J4692" i="6"/>
  <c r="J4693" i="6"/>
  <c r="J4694" i="6"/>
  <c r="J4695" i="6"/>
  <c r="J4696" i="6"/>
  <c r="J4697" i="6"/>
  <c r="J4698" i="6"/>
  <c r="J4699" i="6"/>
  <c r="J4700" i="6"/>
  <c r="J4701" i="6"/>
  <c r="J4702" i="6"/>
  <c r="J4703" i="6"/>
  <c r="J4704" i="6"/>
  <c r="J4705" i="6"/>
  <c r="J4706" i="6"/>
  <c r="J4707" i="6"/>
  <c r="J4708" i="6"/>
  <c r="J4709" i="6"/>
  <c r="J4710" i="6"/>
  <c r="J4711" i="6"/>
  <c r="J4712" i="6"/>
  <c r="J4713" i="6"/>
  <c r="J4714" i="6"/>
  <c r="J4715" i="6"/>
  <c r="J4716" i="6"/>
  <c r="J4717" i="6"/>
  <c r="J4718" i="6"/>
  <c r="J4719" i="6"/>
  <c r="J4720" i="6"/>
  <c r="J4721" i="6"/>
  <c r="J4722" i="6"/>
  <c r="J4723" i="6"/>
  <c r="D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0A6009D-24F1-492F-B8CE-05A854E4921D}" keepAlive="1" name="Query - brands" description="Connection to the 'brands' query in the workbook." type="5" refreshedVersion="8" background="1" saveData="1">
    <dbPr connection="Provider=Microsoft.Mashup.OleDb.1;Data Source=$Workbook$;Location=brands;Extended Properties=&quot;&quot;" command="SELECT * FROM [brands]"/>
  </connection>
  <connection id="2" xr16:uid="{0F6A0A3A-1AB4-4EE4-A99B-1E6E36808B39}" keepAlive="1" name="Query - categories" description="Connection to the 'categories' query in the workbook." type="5" refreshedVersion="8" background="1" saveData="1">
    <dbPr connection="Provider=Microsoft.Mashup.OleDb.1;Data Source=$Workbook$;Location=categories;Extended Properties=&quot;&quot;" command="SELECT * FROM [categories]"/>
  </connection>
  <connection id="3" xr16:uid="{3D7D9891-0FF7-4664-9053-43F6FE46E47C}" keepAlive="1" name="Query - customers" description="Connection to the 'customers' query in the workbook." type="5" refreshedVersion="8" background="1" saveData="1">
    <dbPr connection="Provider=Microsoft.Mashup.OleDb.1;Data Source=$Workbook$;Location=customers;Extended Properties=&quot;&quot;" command="SELECT * FROM [customers]"/>
  </connection>
  <connection id="4" xr16:uid="{3AA942BF-FE42-42D0-9E2B-50439E2F222B}" keepAlive="1" name="Query - order_items" description="Connection to the 'order_items' query in the workbook." type="5" refreshedVersion="8" background="1" saveData="1">
    <dbPr connection="Provider=Microsoft.Mashup.OleDb.1;Data Source=$Workbook$;Location=order_items;Extended Properties=&quot;&quot;" command="SELECT * FROM [order_items]"/>
  </connection>
  <connection id="5" xr16:uid="{0486F9F2-141C-4867-87A4-17ED4C6597B3}" keepAlive="1" name="Query - orders" description="Connection to the 'orders' query in the workbook." type="5" refreshedVersion="8" background="1" saveData="1">
    <dbPr connection="Provider=Microsoft.Mashup.OleDb.1;Data Source=$Workbook$;Location=orders;Extended Properties=&quot;&quot;" command="SELECT * FROM [orders]"/>
  </connection>
  <connection id="6" xr16:uid="{54868FE4-309D-4B3E-AB9D-D649C9EF7227}" keepAlive="1" name="Query - products" description="Connection to the 'products' query in the workbook." type="5" refreshedVersion="8" background="1" saveData="1">
    <dbPr connection="Provider=Microsoft.Mashup.OleDb.1;Data Source=$Workbook$;Location=products;Extended Properties=&quot;&quot;" command="SELECT * FROM [products]"/>
  </connection>
  <connection id="7" xr16:uid="{1B84F0B2-318E-482E-A18A-EB65107234CA}" keepAlive="1" name="Query - staffs" description="Connection to the 'staffs' query in the workbook." type="5" refreshedVersion="8" background="1" saveData="1">
    <dbPr connection="Provider=Microsoft.Mashup.OleDb.1;Data Source=$Workbook$;Location=staffs;Extended Properties=&quot;&quot;" command="SELECT * FROM [staffs]"/>
  </connection>
  <connection id="8" xr16:uid="{24870192-1185-48A8-AF30-9BF477A9574D}" keepAlive="1" name="Query - stocks" description="Connection to the 'stocks' query in the workbook." type="5" refreshedVersion="8" background="1" saveData="1">
    <dbPr connection="Provider=Microsoft.Mashup.OleDb.1;Data Source=$Workbook$;Location=stocks;Extended Properties=&quot;&quot;" command="SELECT * FROM [stocks]"/>
  </connection>
  <connection id="9" xr16:uid="{6CFC4054-2201-44D4-A870-A1E5D03E8E80}" keepAlive="1" name="Query - stores" description="Connection to the 'stores' query in the workbook." type="5" refreshedVersion="8" background="1" saveData="1">
    <dbPr connection="Provider=Microsoft.Mashup.OleDb.1;Data Source=$Workbook$;Location=stores;Extended Properties=&quot;&quot;" command="SELECT * FROM [stores]"/>
  </connection>
</connections>
</file>

<file path=xl/sharedStrings.xml><?xml version="1.0" encoding="utf-8"?>
<sst xmlns="http://schemas.openxmlformats.org/spreadsheetml/2006/main" count="10598" uniqueCount="5631">
  <si>
    <t>brand_id</t>
  </si>
  <si>
    <t>brand_name</t>
  </si>
  <si>
    <t>Electra</t>
  </si>
  <si>
    <t>Haro</t>
  </si>
  <si>
    <t>Heller</t>
  </si>
  <si>
    <t>Pure Cycles</t>
  </si>
  <si>
    <t>Ritchey</t>
  </si>
  <si>
    <t>Strider</t>
  </si>
  <si>
    <t>Sun Bicycles</t>
  </si>
  <si>
    <t>Surly</t>
  </si>
  <si>
    <t>Trek</t>
  </si>
  <si>
    <t>category_id</t>
  </si>
  <si>
    <t>category_name</t>
  </si>
  <si>
    <t>Children Bicycles</t>
  </si>
  <si>
    <t>Comfort Bicycles</t>
  </si>
  <si>
    <t>Cruisers Bicycles</t>
  </si>
  <si>
    <t>Cyclocross Bicycles</t>
  </si>
  <si>
    <t>Electric Bikes</t>
  </si>
  <si>
    <t>Mountain Bikes</t>
  </si>
  <si>
    <t>Road Bikes</t>
  </si>
  <si>
    <t>customer_id</t>
  </si>
  <si>
    <t>first_name</t>
  </si>
  <si>
    <t>last_name</t>
  </si>
  <si>
    <t>phone</t>
  </si>
  <si>
    <t>email</t>
  </si>
  <si>
    <t>street</t>
  </si>
  <si>
    <t>city</t>
  </si>
  <si>
    <t>state</t>
  </si>
  <si>
    <t>zip_code</t>
  </si>
  <si>
    <t>Debra</t>
  </si>
  <si>
    <t>Burks</t>
  </si>
  <si>
    <t>910000000000</t>
  </si>
  <si>
    <t>debra.burks@yahoo.com</t>
  </si>
  <si>
    <t xml:space="preserve">9273 Thorne Ave. </t>
  </si>
  <si>
    <t>Orchard Park</t>
  </si>
  <si>
    <t>NY</t>
  </si>
  <si>
    <t>Kasha</t>
  </si>
  <si>
    <t>Todd</t>
  </si>
  <si>
    <t>kasha.todd@yahoo.com</t>
  </si>
  <si>
    <t xml:space="preserve">910 Vine Street </t>
  </si>
  <si>
    <t>Campbell</t>
  </si>
  <si>
    <t>CA</t>
  </si>
  <si>
    <t>Tameka</t>
  </si>
  <si>
    <t>Fisher</t>
  </si>
  <si>
    <t>tameka.fisher@aol.com</t>
  </si>
  <si>
    <t xml:space="preserve">769C Honey Creek St. </t>
  </si>
  <si>
    <t>Redondo Beach</t>
  </si>
  <si>
    <t>Daryl</t>
  </si>
  <si>
    <t>Spence</t>
  </si>
  <si>
    <t>daryl.spence@aol.com</t>
  </si>
  <si>
    <t xml:space="preserve">988 Pearl Lane </t>
  </si>
  <si>
    <t>Uniondale</t>
  </si>
  <si>
    <t>Charolette</t>
  </si>
  <si>
    <t>Rice</t>
  </si>
  <si>
    <t>(916) 381-6003</t>
  </si>
  <si>
    <t>charolette.rice@msn.com</t>
  </si>
  <si>
    <t xml:space="preserve">107 River Dr. </t>
  </si>
  <si>
    <t>Sacramento</t>
  </si>
  <si>
    <t>Lyndsey</t>
  </si>
  <si>
    <t>Bean</t>
  </si>
  <si>
    <t>lyndsey.bean@hotmail.com</t>
  </si>
  <si>
    <t xml:space="preserve">769 West Road </t>
  </si>
  <si>
    <t>Fairport</t>
  </si>
  <si>
    <t>Latasha</t>
  </si>
  <si>
    <t>Hays</t>
  </si>
  <si>
    <t>(716) 986-3359</t>
  </si>
  <si>
    <t>latasha.hays@hotmail.com</t>
  </si>
  <si>
    <t xml:space="preserve">7014 Manor Station Rd. </t>
  </si>
  <si>
    <t>Buffalo</t>
  </si>
  <si>
    <t>Jacquline</t>
  </si>
  <si>
    <t>Duncan</t>
  </si>
  <si>
    <t>jacquline.duncan@yahoo.com</t>
  </si>
  <si>
    <t xml:space="preserve">15 Brown St. </t>
  </si>
  <si>
    <t>Jackson Heights</t>
  </si>
  <si>
    <t>Genoveva</t>
  </si>
  <si>
    <t>Baldwin</t>
  </si>
  <si>
    <t>genoveva.baldwin@msn.com</t>
  </si>
  <si>
    <t xml:space="preserve">8550 Spruce Drive </t>
  </si>
  <si>
    <t>Port Washington</t>
  </si>
  <si>
    <t>Pamelia</t>
  </si>
  <si>
    <t>Newman</t>
  </si>
  <si>
    <t>pamelia.newman@gmail.com</t>
  </si>
  <si>
    <t xml:space="preserve">476 Chestnut Ave. </t>
  </si>
  <si>
    <t>Monroe</t>
  </si>
  <si>
    <t>Deshawn</t>
  </si>
  <si>
    <t>Mendoza</t>
  </si>
  <si>
    <t>deshawn.mendoza@yahoo.com</t>
  </si>
  <si>
    <t xml:space="preserve">8790 Cobblestone Street </t>
  </si>
  <si>
    <t>Monsey</t>
  </si>
  <si>
    <t>Robby</t>
  </si>
  <si>
    <t>Sykes</t>
  </si>
  <si>
    <t>(516) 583-7761</t>
  </si>
  <si>
    <t>robby.sykes@hotmail.com</t>
  </si>
  <si>
    <t xml:space="preserve">486 Rock Maple Street </t>
  </si>
  <si>
    <t>Hempstead</t>
  </si>
  <si>
    <t>Lashawn</t>
  </si>
  <si>
    <t>Ortiz</t>
  </si>
  <si>
    <t>lashawn.ortiz@msn.com</t>
  </si>
  <si>
    <t xml:space="preserve">27 Washington Rd. </t>
  </si>
  <si>
    <t>Longview</t>
  </si>
  <si>
    <t>TX</t>
  </si>
  <si>
    <t>Garry</t>
  </si>
  <si>
    <t>Espinoza</t>
  </si>
  <si>
    <t>garry.espinoza@hotmail.com</t>
  </si>
  <si>
    <t xml:space="preserve">7858 Rockaway Court </t>
  </si>
  <si>
    <t>Forney</t>
  </si>
  <si>
    <t>Linnie</t>
  </si>
  <si>
    <t>Branch</t>
  </si>
  <si>
    <t>linnie.branch@gmail.com</t>
  </si>
  <si>
    <t xml:space="preserve">314 South Columbia Ave. </t>
  </si>
  <si>
    <t>Plattsburgh</t>
  </si>
  <si>
    <t>Emmitt</t>
  </si>
  <si>
    <t>Sanchez</t>
  </si>
  <si>
    <t>(212) 945-8823</t>
  </si>
  <si>
    <t>emmitt.sanchez@hotmail.com</t>
  </si>
  <si>
    <t xml:space="preserve">461 Squaw Creek Road </t>
  </si>
  <si>
    <t>New York</t>
  </si>
  <si>
    <t>Caren</t>
  </si>
  <si>
    <t>Stephens</t>
  </si>
  <si>
    <t>caren.stephens@msn.com</t>
  </si>
  <si>
    <t xml:space="preserve">914 Brook St. </t>
  </si>
  <si>
    <t>Scarsdale</t>
  </si>
  <si>
    <t>Georgetta</t>
  </si>
  <si>
    <t>Hardin</t>
  </si>
  <si>
    <t>georgetta.hardin@aol.com</t>
  </si>
  <si>
    <t xml:space="preserve">474 Chapel Dr. </t>
  </si>
  <si>
    <t>Canandaigua</t>
  </si>
  <si>
    <t>Lizzette</t>
  </si>
  <si>
    <t>Stein</t>
  </si>
  <si>
    <t>lizzette.stein@yahoo.com</t>
  </si>
  <si>
    <t xml:space="preserve">19 Green Hill Lane </t>
  </si>
  <si>
    <t>Aleta</t>
  </si>
  <si>
    <t>Shepard</t>
  </si>
  <si>
    <t>aleta.shepard@aol.com</t>
  </si>
  <si>
    <t xml:space="preserve">684 Howard St. </t>
  </si>
  <si>
    <t>Sugar Land</t>
  </si>
  <si>
    <t>Tobie</t>
  </si>
  <si>
    <t>Little</t>
  </si>
  <si>
    <t>tobie.little@gmail.com</t>
  </si>
  <si>
    <t xml:space="preserve">10 Silver Spear Dr. </t>
  </si>
  <si>
    <t>Victoria</t>
  </si>
  <si>
    <t>Adelle</t>
  </si>
  <si>
    <t>Larsen</t>
  </si>
  <si>
    <t>adelle.larsen@gmail.com</t>
  </si>
  <si>
    <t xml:space="preserve">683 West Kirkland Dr. </t>
  </si>
  <si>
    <t>East Northport</t>
  </si>
  <si>
    <t>Kaylee</t>
  </si>
  <si>
    <t>English</t>
  </si>
  <si>
    <t>kaylee.english@msn.com</t>
  </si>
  <si>
    <t xml:space="preserve">8786 Fulton Rd. </t>
  </si>
  <si>
    <t>Hollis</t>
  </si>
  <si>
    <t>Corene</t>
  </si>
  <si>
    <t>Wall</t>
  </si>
  <si>
    <t>corene.wall@msn.com</t>
  </si>
  <si>
    <t xml:space="preserve">9601 Ocean Rd. </t>
  </si>
  <si>
    <t>Atwater</t>
  </si>
  <si>
    <t>Regenia</t>
  </si>
  <si>
    <t>Vaughan</t>
  </si>
  <si>
    <t>regenia.vaughan@gmail.com</t>
  </si>
  <si>
    <t xml:space="preserve">44 Stonybrook Street </t>
  </si>
  <si>
    <t>Mahopac</t>
  </si>
  <si>
    <t>Theo</t>
  </si>
  <si>
    <t>Reese</t>
  </si>
  <si>
    <t>(562) 215-2907</t>
  </si>
  <si>
    <t>theo.reese@gmail.com</t>
  </si>
  <si>
    <t xml:space="preserve">8755 W. Wild Horse St. </t>
  </si>
  <si>
    <t>Long Beach</t>
  </si>
  <si>
    <t>Santos</t>
  </si>
  <si>
    <t>Valencia</t>
  </si>
  <si>
    <t>santos.valencia@yahoo.com</t>
  </si>
  <si>
    <t xml:space="preserve">7479 Carpenter Street </t>
  </si>
  <si>
    <t>Sunnyside</t>
  </si>
  <si>
    <t>Jeanice</t>
  </si>
  <si>
    <t>Frost</t>
  </si>
  <si>
    <t>jeanice.frost@hotmail.com</t>
  </si>
  <si>
    <t xml:space="preserve">76 Devon Lane </t>
  </si>
  <si>
    <t>Ossining</t>
  </si>
  <si>
    <t>Syreeta</t>
  </si>
  <si>
    <t>Hendricks</t>
  </si>
  <si>
    <t>syreeta.hendricks@msn.com</t>
  </si>
  <si>
    <t xml:space="preserve">193 Spruce Road </t>
  </si>
  <si>
    <t>Jamaal</t>
  </si>
  <si>
    <t>Albert</t>
  </si>
  <si>
    <t>jamaal.albert@gmail.com</t>
  </si>
  <si>
    <t xml:space="preserve">853 Stonybrook Street </t>
  </si>
  <si>
    <t>Torrance</t>
  </si>
  <si>
    <t>Williemae</t>
  </si>
  <si>
    <t>Holloway</t>
  </si>
  <si>
    <t>(510) 246-8375</t>
  </si>
  <si>
    <t>williemae.holloway@msn.com</t>
  </si>
  <si>
    <t xml:space="preserve">69 Cypress St. </t>
  </si>
  <si>
    <t>Oakland</t>
  </si>
  <si>
    <t>Araceli</t>
  </si>
  <si>
    <t>Golden</t>
  </si>
  <si>
    <t>araceli.golden@msn.com</t>
  </si>
  <si>
    <t xml:space="preserve">12 Ridgeview Ave. </t>
  </si>
  <si>
    <t>Fullerton</t>
  </si>
  <si>
    <t>Deloris</t>
  </si>
  <si>
    <t>Burke</t>
  </si>
  <si>
    <t>deloris.burke@hotmail.com</t>
  </si>
  <si>
    <t xml:space="preserve">895 Edgemont Drive </t>
  </si>
  <si>
    <t>Palos Verdes Peninsula</t>
  </si>
  <si>
    <t>Brittney</t>
  </si>
  <si>
    <t>Woodward</t>
  </si>
  <si>
    <t>brittney.woodward@aol.com</t>
  </si>
  <si>
    <t xml:space="preserve">960 River St. </t>
  </si>
  <si>
    <t>Guillermina</t>
  </si>
  <si>
    <t>Noble</t>
  </si>
  <si>
    <t>guillermina.noble@msn.com</t>
  </si>
  <si>
    <t xml:space="preserve">6 Del Monte Lane </t>
  </si>
  <si>
    <t>Baldwinsville</t>
  </si>
  <si>
    <t>Bernita</t>
  </si>
  <si>
    <t>Mcdaniel</t>
  </si>
  <si>
    <t>bernita.mcdaniel@hotmail.com</t>
  </si>
  <si>
    <t xml:space="preserve">2 Peg Shop Ave. </t>
  </si>
  <si>
    <t>Liverpool</t>
  </si>
  <si>
    <t>Melia</t>
  </si>
  <si>
    <t>Brady</t>
  </si>
  <si>
    <t>melia.brady@gmail.com</t>
  </si>
  <si>
    <t xml:space="preserve">907 Shirley Rd. </t>
  </si>
  <si>
    <t>Maspeth</t>
  </si>
  <si>
    <t>Zelma</t>
  </si>
  <si>
    <t>Browning</t>
  </si>
  <si>
    <t>zelma.browning@aol.com</t>
  </si>
  <si>
    <t xml:space="preserve">296 Second Street </t>
  </si>
  <si>
    <t>Astoria</t>
  </si>
  <si>
    <t>Janetta</t>
  </si>
  <si>
    <t>Aguirre</t>
  </si>
  <si>
    <t>(717) 670-2634</t>
  </si>
  <si>
    <t>janetta.aguirre@aol.com</t>
  </si>
  <si>
    <t xml:space="preserve">214 Second Court </t>
  </si>
  <si>
    <t>Lancaster</t>
  </si>
  <si>
    <t>Ronna</t>
  </si>
  <si>
    <t>Butler</t>
  </si>
  <si>
    <t>ronna.butler@gmail.com</t>
  </si>
  <si>
    <t xml:space="preserve">9438 Plymouth Court </t>
  </si>
  <si>
    <t>Encino</t>
  </si>
  <si>
    <t>Kathie</t>
  </si>
  <si>
    <t>Freeman</t>
  </si>
  <si>
    <t>kathie.freeman@msn.com</t>
  </si>
  <si>
    <t xml:space="preserve">667 Temple Dr. </t>
  </si>
  <si>
    <t>Queensbury</t>
  </si>
  <si>
    <t>Tangela</t>
  </si>
  <si>
    <t>Quinn</t>
  </si>
  <si>
    <t>tangela.quinn@aol.com</t>
  </si>
  <si>
    <t xml:space="preserve">4 S. Purple Finch Road </t>
  </si>
  <si>
    <t>Richmond Hill</t>
  </si>
  <si>
    <t>Mozelle</t>
  </si>
  <si>
    <t>Carter</t>
  </si>
  <si>
    <t>(281) 489-9656</t>
  </si>
  <si>
    <t>mozelle.carter@aol.com</t>
  </si>
  <si>
    <t xml:space="preserve">895 Chestnut Ave. </t>
  </si>
  <si>
    <t>Houston</t>
  </si>
  <si>
    <t>Onita</t>
  </si>
  <si>
    <t>Johns</t>
  </si>
  <si>
    <t>onita.johns@msn.com</t>
  </si>
  <si>
    <t xml:space="preserve">32 Glen Creek Lane </t>
  </si>
  <si>
    <t>Elmont</t>
  </si>
  <si>
    <t>Bennett</t>
  </si>
  <si>
    <t>Armstrong</t>
  </si>
  <si>
    <t>bennett.armstrong@aol.com</t>
  </si>
  <si>
    <t xml:space="preserve">688 Walnut Street </t>
  </si>
  <si>
    <t>Bethpage</t>
  </si>
  <si>
    <t>Monika</t>
  </si>
  <si>
    <t>Berg</t>
  </si>
  <si>
    <t>monika.berg@gmail.com</t>
  </si>
  <si>
    <t xml:space="preserve">369 Vernon Dr. </t>
  </si>
  <si>
    <t>Bridgette</t>
  </si>
  <si>
    <t>Guerra</t>
  </si>
  <si>
    <t>bridgette.guerra@hotmail.com</t>
  </si>
  <si>
    <t xml:space="preserve">9982 Manor Drive </t>
  </si>
  <si>
    <t>San Lorenzo</t>
  </si>
  <si>
    <t>Cesar</t>
  </si>
  <si>
    <t>Jackson</t>
  </si>
  <si>
    <t>cesar.jackson@gmail.com</t>
  </si>
  <si>
    <t xml:space="preserve">8068 N. Griffin Ave. </t>
  </si>
  <si>
    <t>Caroll</t>
  </si>
  <si>
    <t>caroll.hays@yahoo.com</t>
  </si>
  <si>
    <t xml:space="preserve">9381 Wrangler St. </t>
  </si>
  <si>
    <t>Cleotilde</t>
  </si>
  <si>
    <t>Booth</t>
  </si>
  <si>
    <t>cleotilde.booth@gmail.com</t>
  </si>
  <si>
    <t xml:space="preserve">17 Corona St. </t>
  </si>
  <si>
    <t>Gertrud</t>
  </si>
  <si>
    <t>Rhodes</t>
  </si>
  <si>
    <t>gertrud.rhodes@aol.com</t>
  </si>
  <si>
    <t xml:space="preserve">9961 Meadowbrook Street </t>
  </si>
  <si>
    <t>Merrick</t>
  </si>
  <si>
    <t>Tu</t>
  </si>
  <si>
    <t>Ramirez</t>
  </si>
  <si>
    <t>tu.ramirez@hotmail.com</t>
  </si>
  <si>
    <t xml:space="preserve">24 W. Courtland Street </t>
  </si>
  <si>
    <t>East Elmhurst</t>
  </si>
  <si>
    <t>Saturnina</t>
  </si>
  <si>
    <t>Garner</t>
  </si>
  <si>
    <t>saturnina.garner@gmail.com</t>
  </si>
  <si>
    <t xml:space="preserve">8538 Fairground St. </t>
  </si>
  <si>
    <t>Glendora</t>
  </si>
  <si>
    <t>Fran</t>
  </si>
  <si>
    <t>Yang</t>
  </si>
  <si>
    <t>fran.yang@hotmail.com</t>
  </si>
  <si>
    <t xml:space="preserve">440 Pearl St. </t>
  </si>
  <si>
    <t>Utica</t>
  </si>
  <si>
    <t>Diana</t>
  </si>
  <si>
    <t>diana.guerra@hotmail.com</t>
  </si>
  <si>
    <t xml:space="preserve">45 Chapel Ave. </t>
  </si>
  <si>
    <t>Lolita</t>
  </si>
  <si>
    <t>Mosley</t>
  </si>
  <si>
    <t>(281) 363-3309</t>
  </si>
  <si>
    <t>lolita.mosley@hotmail.com</t>
  </si>
  <si>
    <t xml:space="preserve">376 S. High Ridge St. </t>
  </si>
  <si>
    <t>Pamala</t>
  </si>
  <si>
    <t>Henry</t>
  </si>
  <si>
    <t>pamala.henry@aol.com</t>
  </si>
  <si>
    <t xml:space="preserve">197 Bridgeton Ave. </t>
  </si>
  <si>
    <t>Bronx</t>
  </si>
  <si>
    <t>Damien</t>
  </si>
  <si>
    <t>Dorsey</t>
  </si>
  <si>
    <t>damien.dorsey@yahoo.com</t>
  </si>
  <si>
    <t xml:space="preserve">161 Old York Street </t>
  </si>
  <si>
    <t>Central Islip</t>
  </si>
  <si>
    <t>Stanley</t>
  </si>
  <si>
    <t>latasha.stanley@gmail.com</t>
  </si>
  <si>
    <t xml:space="preserve">8068 Fordham Drive </t>
  </si>
  <si>
    <t>Rockville Centre</t>
  </si>
  <si>
    <t>Neil</t>
  </si>
  <si>
    <t>Mccall</t>
  </si>
  <si>
    <t>neil.mccall@gmail.com</t>
  </si>
  <si>
    <t xml:space="preserve">7476 Oakland Dr. </t>
  </si>
  <si>
    <t>San Carlos</t>
  </si>
  <si>
    <t>Elinore</t>
  </si>
  <si>
    <t>Aguilar</t>
  </si>
  <si>
    <t>elinore.aguilar@msn.com</t>
  </si>
  <si>
    <t xml:space="preserve">9766 Rockcrest Ave. </t>
  </si>
  <si>
    <t>San Angelo</t>
  </si>
  <si>
    <t>Alica</t>
  </si>
  <si>
    <t>Hunter</t>
  </si>
  <si>
    <t>alica.hunter@hotmail.com</t>
  </si>
  <si>
    <t xml:space="preserve">8 San Juan Drive </t>
  </si>
  <si>
    <t>Tenisha</t>
  </si>
  <si>
    <t>Lyons</t>
  </si>
  <si>
    <t>tenisha.lyons@aol.com</t>
  </si>
  <si>
    <t xml:space="preserve">78 E. Rock Creek Street </t>
  </si>
  <si>
    <t>Amityville</t>
  </si>
  <si>
    <t>Bobbie</t>
  </si>
  <si>
    <t>Foster</t>
  </si>
  <si>
    <t>bobbie.foster@yahoo.com</t>
  </si>
  <si>
    <t xml:space="preserve">988 Pineknoll Ave. </t>
  </si>
  <si>
    <t>Desoto</t>
  </si>
  <si>
    <t>Kanesha</t>
  </si>
  <si>
    <t>Vega</t>
  </si>
  <si>
    <t>kanesha.vega@gmail.com</t>
  </si>
  <si>
    <t xml:space="preserve">771 E. Oxford Drive </t>
  </si>
  <si>
    <t>Rome</t>
  </si>
  <si>
    <t>Lorrie</t>
  </si>
  <si>
    <t>Becker</t>
  </si>
  <si>
    <t>lorrie.becker@yahoo.com</t>
  </si>
  <si>
    <t xml:space="preserve">19 North Court </t>
  </si>
  <si>
    <t>Garland</t>
  </si>
  <si>
    <t>Tommie</t>
  </si>
  <si>
    <t>Melton</t>
  </si>
  <si>
    <t>(916) 802-2952</t>
  </si>
  <si>
    <t>tommie.melton@gmail.com</t>
  </si>
  <si>
    <t xml:space="preserve">8 West Old York St. </t>
  </si>
  <si>
    <t>Jayne</t>
  </si>
  <si>
    <t>Kirkland</t>
  </si>
  <si>
    <t>jayne.kirkland@hotmail.com</t>
  </si>
  <si>
    <t xml:space="preserve">7800 Second Lane </t>
  </si>
  <si>
    <t>Rowlett</t>
  </si>
  <si>
    <t>Katelin</t>
  </si>
  <si>
    <t>Kennedy</t>
  </si>
  <si>
    <t>katelin.kennedy@gmail.com</t>
  </si>
  <si>
    <t xml:space="preserve">286 Myrtle Lane </t>
  </si>
  <si>
    <t>Rocklin</t>
  </si>
  <si>
    <t>Tomasa</t>
  </si>
  <si>
    <t>Carson</t>
  </si>
  <si>
    <t>tomasa.carson@aol.com</t>
  </si>
  <si>
    <t xml:space="preserve">10 Clark Avenue </t>
  </si>
  <si>
    <t>Takako</t>
  </si>
  <si>
    <t>Casey</t>
  </si>
  <si>
    <t>takako.casey@aol.com</t>
  </si>
  <si>
    <t xml:space="preserve">7548 Court Lane </t>
  </si>
  <si>
    <t>Petronila</t>
  </si>
  <si>
    <t>Norris</t>
  </si>
  <si>
    <t>petronila.norris@aol.com</t>
  </si>
  <si>
    <t xml:space="preserve">72 South Marshall Lane </t>
  </si>
  <si>
    <t>South El Monte</t>
  </si>
  <si>
    <t>Melanie</t>
  </si>
  <si>
    <t>Hayes</t>
  </si>
  <si>
    <t>melanie.hayes@msn.com</t>
  </si>
  <si>
    <t xml:space="preserve">5 N. Hall Dr. </t>
  </si>
  <si>
    <t>Georgeann</t>
  </si>
  <si>
    <t>Waller</t>
  </si>
  <si>
    <t>georgeann.waller@yahoo.com</t>
  </si>
  <si>
    <t xml:space="preserve">9797 Bald Hill Ave. </t>
  </si>
  <si>
    <t>North Tonawanda</t>
  </si>
  <si>
    <t>Abby</t>
  </si>
  <si>
    <t>Gamble</t>
  </si>
  <si>
    <t>abby.gamble@aol.com</t>
  </si>
  <si>
    <t xml:space="preserve">60 Myers Dr. </t>
  </si>
  <si>
    <t>Parker</t>
  </si>
  <si>
    <t>Prince</t>
  </si>
  <si>
    <t>parker.prince@hotmail.com</t>
  </si>
  <si>
    <t xml:space="preserve">21 Sulphur Springs Drive </t>
  </si>
  <si>
    <t>Port Jefferson Station</t>
  </si>
  <si>
    <t>Keri</t>
  </si>
  <si>
    <t>Bridges</t>
  </si>
  <si>
    <t>keri.bridges@gmail.com</t>
  </si>
  <si>
    <t xml:space="preserve">8504 Brickell Ave. </t>
  </si>
  <si>
    <t>Richardson</t>
  </si>
  <si>
    <t>Chi</t>
  </si>
  <si>
    <t>Goff</t>
  </si>
  <si>
    <t>chi.goff@aol.com</t>
  </si>
  <si>
    <t xml:space="preserve">3 W. Glen Ridge Avenue </t>
  </si>
  <si>
    <t>Ashanti</t>
  </si>
  <si>
    <t>Parks</t>
  </si>
  <si>
    <t>ashanti.parks@hotmail.com</t>
  </si>
  <si>
    <t xml:space="preserve">846 N. Helen St. </t>
  </si>
  <si>
    <t>Sarai</t>
  </si>
  <si>
    <t>Mckee</t>
  </si>
  <si>
    <t>(716) 912-8110</t>
  </si>
  <si>
    <t>sarai.mckee@msn.com</t>
  </si>
  <si>
    <t xml:space="preserve">641 Glenwood Avenue </t>
  </si>
  <si>
    <t>Zina</t>
  </si>
  <si>
    <t>Bonner</t>
  </si>
  <si>
    <t>zina.bonner@hotmail.com</t>
  </si>
  <si>
    <t xml:space="preserve">9312 8th Street </t>
  </si>
  <si>
    <t>Lizzie</t>
  </si>
  <si>
    <t>Joyner</t>
  </si>
  <si>
    <t>lizzie.joyner@msn.com</t>
  </si>
  <si>
    <t xml:space="preserve">8541 Roberts St. </t>
  </si>
  <si>
    <t>Coachella</t>
  </si>
  <si>
    <t>Tiesha</t>
  </si>
  <si>
    <t>Daniel</t>
  </si>
  <si>
    <t>tiesha.daniel@yahoo.com</t>
  </si>
  <si>
    <t xml:space="preserve">6 West Bohemia Lane </t>
  </si>
  <si>
    <t>Armand</t>
  </si>
  <si>
    <t>Whitehead</t>
  </si>
  <si>
    <t>armand.whitehead@hotmail.com</t>
  </si>
  <si>
    <t xml:space="preserve">639 Harvey St. </t>
  </si>
  <si>
    <t>Lindenhurst</t>
  </si>
  <si>
    <t>Teofila</t>
  </si>
  <si>
    <t>Fischer</t>
  </si>
  <si>
    <t>teofila.fischer@aol.com</t>
  </si>
  <si>
    <t xml:space="preserve">1 West Brickyard St. </t>
  </si>
  <si>
    <t>Huntington Station</t>
  </si>
  <si>
    <t>Lissa</t>
  </si>
  <si>
    <t>Vargas</t>
  </si>
  <si>
    <t>lissa.vargas@yahoo.com</t>
  </si>
  <si>
    <t xml:space="preserve">517 Victoria Ave. </t>
  </si>
  <si>
    <t>Oswego</t>
  </si>
  <si>
    <t>Yan</t>
  </si>
  <si>
    <t>Mcgowan</t>
  </si>
  <si>
    <t>yan.mcgowan@msn.com</t>
  </si>
  <si>
    <t xml:space="preserve">8960 Newport Ave. </t>
  </si>
  <si>
    <t>Duarte</t>
  </si>
  <si>
    <t>Titus</t>
  </si>
  <si>
    <t>Bullock</t>
  </si>
  <si>
    <t>titus.bullock@gmail.com</t>
  </si>
  <si>
    <t xml:space="preserve">29 Oxford Avenue </t>
  </si>
  <si>
    <t>Arvilla</t>
  </si>
  <si>
    <t>Osborn</t>
  </si>
  <si>
    <t>arvilla.osborn@gmail.com</t>
  </si>
  <si>
    <t xml:space="preserve">60 Acacia Lane </t>
  </si>
  <si>
    <t>Upland</t>
  </si>
  <si>
    <t>Marjorie</t>
  </si>
  <si>
    <t>Logan</t>
  </si>
  <si>
    <t>marjorie.logan@msn.com</t>
  </si>
  <si>
    <t xml:space="preserve">95 Grandrose St. </t>
  </si>
  <si>
    <t>Franklin Square</t>
  </si>
  <si>
    <t>Marvin</t>
  </si>
  <si>
    <t>Mullins</t>
  </si>
  <si>
    <t>(619) 635-2027</t>
  </si>
  <si>
    <t>marvin.mullins@aol.com</t>
  </si>
  <si>
    <t xml:space="preserve">7489 Redwood Drive </t>
  </si>
  <si>
    <t>San Diego</t>
  </si>
  <si>
    <t>Tena</t>
  </si>
  <si>
    <t>Cruz</t>
  </si>
  <si>
    <t>tena.cruz@yahoo.com</t>
  </si>
  <si>
    <t xml:space="preserve">1 South St. </t>
  </si>
  <si>
    <t>Farmingdale</t>
  </si>
  <si>
    <t>Corrina</t>
  </si>
  <si>
    <t>Sawyer</t>
  </si>
  <si>
    <t>(248) 370-1364</t>
  </si>
  <si>
    <t>corrina.sawyer@yahoo.com</t>
  </si>
  <si>
    <t xml:space="preserve">95 Briarwood Lane </t>
  </si>
  <si>
    <t>Troy</t>
  </si>
  <si>
    <t>Sharyn</t>
  </si>
  <si>
    <t>Hopkins</t>
  </si>
  <si>
    <t>sharyn.hopkins@hotmail.com</t>
  </si>
  <si>
    <t xml:space="preserve">4 South Temple Ave. </t>
  </si>
  <si>
    <t>Letitia</t>
  </si>
  <si>
    <t>Franco</t>
  </si>
  <si>
    <t>letitia.franco@aol.com</t>
  </si>
  <si>
    <t xml:space="preserve">607 Lakeview Drive </t>
  </si>
  <si>
    <t>Saratoga Springs</t>
  </si>
  <si>
    <t>Floretta</t>
  </si>
  <si>
    <t>Higgins</t>
  </si>
  <si>
    <t>floretta.higgins@hotmail.com</t>
  </si>
  <si>
    <t xml:space="preserve">870 Lilac Dr. </t>
  </si>
  <si>
    <t>Bayside</t>
  </si>
  <si>
    <t>Louanne</t>
  </si>
  <si>
    <t>Martin</t>
  </si>
  <si>
    <t>louanne.martin@hotmail.com</t>
  </si>
  <si>
    <t xml:space="preserve">1 Campfire Ave. </t>
  </si>
  <si>
    <t>Yuba City</t>
  </si>
  <si>
    <t>Violet</t>
  </si>
  <si>
    <t>Valenzuela</t>
  </si>
  <si>
    <t>violet.valenzuela@msn.com</t>
  </si>
  <si>
    <t xml:space="preserve">8668 Piper Street </t>
  </si>
  <si>
    <t>Carie</t>
  </si>
  <si>
    <t>Kidd</t>
  </si>
  <si>
    <t>carie.kidd@yahoo.com</t>
  </si>
  <si>
    <t xml:space="preserve">6 East Clinton Street </t>
  </si>
  <si>
    <t>Kellie</t>
  </si>
  <si>
    <t>kellie.franco@yahoo.com</t>
  </si>
  <si>
    <t xml:space="preserve">444 South Walnut Rd. </t>
  </si>
  <si>
    <t>Commack</t>
  </si>
  <si>
    <t>Nichelle</t>
  </si>
  <si>
    <t>Howell</t>
  </si>
  <si>
    <t>nichelle.howell@aol.com</t>
  </si>
  <si>
    <t xml:space="preserve">7670 Forest St. </t>
  </si>
  <si>
    <t>Marisol</t>
  </si>
  <si>
    <t>Goodman</t>
  </si>
  <si>
    <t>marisol.goodman@gmail.com</t>
  </si>
  <si>
    <t xml:space="preserve">864 East Cherry St. </t>
  </si>
  <si>
    <t>Sylvie</t>
  </si>
  <si>
    <t>Wilkerson</t>
  </si>
  <si>
    <t>sylvie.wilkerson@yahoo.com</t>
  </si>
  <si>
    <t xml:space="preserve">750 Central Ave. </t>
  </si>
  <si>
    <t>Syosset</t>
  </si>
  <si>
    <t>Katharina</t>
  </si>
  <si>
    <t>Bates</t>
  </si>
  <si>
    <t>katharina.bates@gmail.com</t>
  </si>
  <si>
    <t xml:space="preserve">54 South Greenview Drive </t>
  </si>
  <si>
    <t>Marget</t>
  </si>
  <si>
    <t>Hodge</t>
  </si>
  <si>
    <t>marget.hodge@msn.com</t>
  </si>
  <si>
    <t xml:space="preserve">7199 Selby Lane </t>
  </si>
  <si>
    <t>Woodhaven</t>
  </si>
  <si>
    <t>Raul</t>
  </si>
  <si>
    <t>Melendez</t>
  </si>
  <si>
    <t>raul.melendez@hotmail.com</t>
  </si>
  <si>
    <t xml:space="preserve">9772 Manhattan St. </t>
  </si>
  <si>
    <t>Elmhurst</t>
  </si>
  <si>
    <t>Cecil</t>
  </si>
  <si>
    <t>Hopper</t>
  </si>
  <si>
    <t>cecil.hopper@yahoo.com</t>
  </si>
  <si>
    <t xml:space="preserve">471 Glenlake Ave. </t>
  </si>
  <si>
    <t>Shae</t>
  </si>
  <si>
    <t>Hickman</t>
  </si>
  <si>
    <t>shae.hickman@hotmail.com</t>
  </si>
  <si>
    <t xml:space="preserve">740 Pin Oak Street </t>
  </si>
  <si>
    <t>Floral Park</t>
  </si>
  <si>
    <t>Monica</t>
  </si>
  <si>
    <t>Sears</t>
  </si>
  <si>
    <t>(408) 704-8863</t>
  </si>
  <si>
    <t>monica.sears@aol.com</t>
  </si>
  <si>
    <t xml:space="preserve">57 Glenholme St. </t>
  </si>
  <si>
    <t>San Jose</t>
  </si>
  <si>
    <t>Ollie</t>
  </si>
  <si>
    <t>Zimmerman</t>
  </si>
  <si>
    <t>(657) 648-2863</t>
  </si>
  <si>
    <t>ollie.zimmerman@yahoo.com</t>
  </si>
  <si>
    <t xml:space="preserve">69 Wood Rd. </t>
  </si>
  <si>
    <t>Anaheim</t>
  </si>
  <si>
    <t>Shila</t>
  </si>
  <si>
    <t>White</t>
  </si>
  <si>
    <t>shila.white@msn.com</t>
  </si>
  <si>
    <t xml:space="preserve">94 Lakeshore Street </t>
  </si>
  <si>
    <t>Yuk</t>
  </si>
  <si>
    <t>yuk.vega@yahoo.com</t>
  </si>
  <si>
    <t xml:space="preserve">413 Wood St. </t>
  </si>
  <si>
    <t>West Hempstead</t>
  </si>
  <si>
    <t>Eliana</t>
  </si>
  <si>
    <t>Silva</t>
  </si>
  <si>
    <t>eliana.silva@gmail.com</t>
  </si>
  <si>
    <t xml:space="preserve">7119 Summer Rd. </t>
  </si>
  <si>
    <t>Thalia</t>
  </si>
  <si>
    <t>Horne</t>
  </si>
  <si>
    <t>thalia.horne@yahoo.com</t>
  </si>
  <si>
    <t xml:space="preserve">9312 Harvard Street </t>
  </si>
  <si>
    <t>Rey</t>
  </si>
  <si>
    <t>Lindsay</t>
  </si>
  <si>
    <t>rey.lindsay@gmail.com</t>
  </si>
  <si>
    <t xml:space="preserve">16 Philmont St. </t>
  </si>
  <si>
    <t>Merlene</t>
  </si>
  <si>
    <t>Vinson</t>
  </si>
  <si>
    <t>merlene.vinson@gmail.com</t>
  </si>
  <si>
    <t xml:space="preserve">431 Vine Dr. </t>
  </si>
  <si>
    <t>Euless</t>
  </si>
  <si>
    <t>Dacia</t>
  </si>
  <si>
    <t>William</t>
  </si>
  <si>
    <t>dacia.william@msn.com</t>
  </si>
  <si>
    <t xml:space="preserve">62 Cypress Drive </t>
  </si>
  <si>
    <t>Le</t>
  </si>
  <si>
    <t>Wood</t>
  </si>
  <si>
    <t>le.wood@yahoo.com</t>
  </si>
  <si>
    <t xml:space="preserve">90 Primrose Dr. </t>
  </si>
  <si>
    <t>Pittsford</t>
  </si>
  <si>
    <t>Dillard</t>
  </si>
  <si>
    <t>thalia.dillard@yahoo.com</t>
  </si>
  <si>
    <t xml:space="preserve">987 NE. Gates Street </t>
  </si>
  <si>
    <t>Luz</t>
  </si>
  <si>
    <t>House</t>
  </si>
  <si>
    <t>(559) 114-2580</t>
  </si>
  <si>
    <t>luz.house@gmail.com</t>
  </si>
  <si>
    <t xml:space="preserve">491 Railroad Street </t>
  </si>
  <si>
    <t>Fresno</t>
  </si>
  <si>
    <t>Lucy</t>
  </si>
  <si>
    <t>Woods</t>
  </si>
  <si>
    <t>lucy.woods@gmail.com</t>
  </si>
  <si>
    <t xml:space="preserve">8437 West Rockaway St. </t>
  </si>
  <si>
    <t>Shena</t>
  </si>
  <si>
    <t>shena.carter@yahoo.com</t>
  </si>
  <si>
    <t xml:space="preserve">72 University Road </t>
  </si>
  <si>
    <t>Howard Beach</t>
  </si>
  <si>
    <t>Robena</t>
  </si>
  <si>
    <t>Hill</t>
  </si>
  <si>
    <t>(361) 598-4414</t>
  </si>
  <si>
    <t>robena.hill@hotmail.com</t>
  </si>
  <si>
    <t xml:space="preserve">263 Cross St. </t>
  </si>
  <si>
    <t>Corpus Christi</t>
  </si>
  <si>
    <t>Jeni</t>
  </si>
  <si>
    <t>Booker</t>
  </si>
  <si>
    <t>jeni.booker@gmail.com</t>
  </si>
  <si>
    <t xml:space="preserve">546 Railroad Dr. </t>
  </si>
  <si>
    <t>Herlinda</t>
  </si>
  <si>
    <t>Stone</t>
  </si>
  <si>
    <t>herlinda.stone@msn.com</t>
  </si>
  <si>
    <t xml:space="preserve">725 Gulf St. </t>
  </si>
  <si>
    <t>Lavina</t>
  </si>
  <si>
    <t>Dejesus</t>
  </si>
  <si>
    <t>lavina.dejesus@msn.com</t>
  </si>
  <si>
    <t xml:space="preserve">59 E. Valley Avenue </t>
  </si>
  <si>
    <t>Newburgh</t>
  </si>
  <si>
    <t>Erlinda</t>
  </si>
  <si>
    <t>Nielsen</t>
  </si>
  <si>
    <t>erlinda.nielsen@aol.com</t>
  </si>
  <si>
    <t xml:space="preserve">728 Oxford Lane </t>
  </si>
  <si>
    <t>Terrance</t>
  </si>
  <si>
    <t>Lynn</t>
  </si>
  <si>
    <t>terrance.lynn@yahoo.com</t>
  </si>
  <si>
    <t xml:space="preserve">91 East Buckingham Drive </t>
  </si>
  <si>
    <t>Walton</t>
  </si>
  <si>
    <t>walton.dejesus@yahoo.com</t>
  </si>
  <si>
    <t xml:space="preserve">15 Washington Rd. </t>
  </si>
  <si>
    <t>Lockport</t>
  </si>
  <si>
    <t>Wes</t>
  </si>
  <si>
    <t>Stanton</t>
  </si>
  <si>
    <t>(248) 247-5074</t>
  </si>
  <si>
    <t>wes.stanton@msn.com</t>
  </si>
  <si>
    <t xml:space="preserve">8662 Tunnel Street </t>
  </si>
  <si>
    <t>Tanesha</t>
  </si>
  <si>
    <t>Hampton</t>
  </si>
  <si>
    <t>tanesha.hampton@hotmail.com</t>
  </si>
  <si>
    <t xml:space="preserve">19 Belmont Ave. </t>
  </si>
  <si>
    <t>Boyd</t>
  </si>
  <si>
    <t>Irwin</t>
  </si>
  <si>
    <t>boyd.irwin@hotmail.com</t>
  </si>
  <si>
    <t xml:space="preserve">221 Whitemarsh St. </t>
  </si>
  <si>
    <t>Hamburg</t>
  </si>
  <si>
    <t>Delbert</t>
  </si>
  <si>
    <t>Wilkins</t>
  </si>
  <si>
    <t>delbert.wilkins@aol.com</t>
  </si>
  <si>
    <t xml:space="preserve">420 Greenview St. </t>
  </si>
  <si>
    <t>Coram</t>
  </si>
  <si>
    <t>Brianna</t>
  </si>
  <si>
    <t>Moss</t>
  </si>
  <si>
    <t>(516) 156-8031</t>
  </si>
  <si>
    <t>brianna.moss@msn.com</t>
  </si>
  <si>
    <t xml:space="preserve">4 Longfellow St. </t>
  </si>
  <si>
    <t>Dorthey</t>
  </si>
  <si>
    <t>(281) 926-8010</t>
  </si>
  <si>
    <t>dorthey.jackson@msn.com</t>
  </si>
  <si>
    <t xml:space="preserve">9768 Brookside St. </t>
  </si>
  <si>
    <t>Sarita</t>
  </si>
  <si>
    <t>sarita.parks@msn.com</t>
  </si>
  <si>
    <t xml:space="preserve">7809 Second Lane </t>
  </si>
  <si>
    <t>Shonta</t>
  </si>
  <si>
    <t>Mercer</t>
  </si>
  <si>
    <t>shonta.mercer@aol.com</t>
  </si>
  <si>
    <t xml:space="preserve">319 NE. La Sierra Avenue </t>
  </si>
  <si>
    <t>Massapequa</t>
  </si>
  <si>
    <t>Jone</t>
  </si>
  <si>
    <t>Bernard</t>
  </si>
  <si>
    <t>(657) 536-5165</t>
  </si>
  <si>
    <t>jone.bernard@hotmail.com</t>
  </si>
  <si>
    <t xml:space="preserve">99 Longbranch Court </t>
  </si>
  <si>
    <t>Wanita</t>
  </si>
  <si>
    <t>Davenport</t>
  </si>
  <si>
    <t>wanita.davenport@aol.com</t>
  </si>
  <si>
    <t xml:space="preserve">525 Dogwood Ave. </t>
  </si>
  <si>
    <t>Spring Valley</t>
  </si>
  <si>
    <t>Cleopatra</t>
  </si>
  <si>
    <t>Tate</t>
  </si>
  <si>
    <t>cleopatra.tate@aol.com</t>
  </si>
  <si>
    <t xml:space="preserve">97 N. Glenwood St. </t>
  </si>
  <si>
    <t>Ramiro</t>
  </si>
  <si>
    <t>Byers</t>
  </si>
  <si>
    <t>ramiro.byers@gmail.com</t>
  </si>
  <si>
    <t xml:space="preserve">16 Pleasant St. </t>
  </si>
  <si>
    <t>Saint Albans</t>
  </si>
  <si>
    <t>Nicholas</t>
  </si>
  <si>
    <t>Vazquez</t>
  </si>
  <si>
    <t>nicholas.vazquez@hotmail.com</t>
  </si>
  <si>
    <t xml:space="preserve">9 Roosevelt Street </t>
  </si>
  <si>
    <t>Janae</t>
  </si>
  <si>
    <t>Doyle</t>
  </si>
  <si>
    <t>janae.doyle@gmail.com</t>
  </si>
  <si>
    <t xml:space="preserve">760 Rose Ave. </t>
  </si>
  <si>
    <t>Hans</t>
  </si>
  <si>
    <t>Price</t>
  </si>
  <si>
    <t>hans.price@hotmail.com</t>
  </si>
  <si>
    <t xml:space="preserve">51 Glendale Road </t>
  </si>
  <si>
    <t>Port Chester</t>
  </si>
  <si>
    <t>Miquel</t>
  </si>
  <si>
    <t>Neal</t>
  </si>
  <si>
    <t>miquel.neal@hotmail.com</t>
  </si>
  <si>
    <t xml:space="preserve">9564 Deerfield Lane </t>
  </si>
  <si>
    <t>Staten Island</t>
  </si>
  <si>
    <t>Stefany</t>
  </si>
  <si>
    <t>Potter</t>
  </si>
  <si>
    <t>stefany.potter@gmail.com</t>
  </si>
  <si>
    <t xml:space="preserve">256 South Academy St. </t>
  </si>
  <si>
    <t>Bernetta</t>
  </si>
  <si>
    <t>Marquez</t>
  </si>
  <si>
    <t>bernetta.marquez@hotmail.com</t>
  </si>
  <si>
    <t xml:space="preserve">626 E. Dunbar Street </t>
  </si>
  <si>
    <t>Smithtown</t>
  </si>
  <si>
    <t>Julee</t>
  </si>
  <si>
    <t>Woodard</t>
  </si>
  <si>
    <t>julee.woodard@yahoo.com</t>
  </si>
  <si>
    <t xml:space="preserve">869 Summerhouse Dr. </t>
  </si>
  <si>
    <t>Meredith</t>
  </si>
  <si>
    <t>Bryan</t>
  </si>
  <si>
    <t>meredith.bryan@hotmail.com</t>
  </si>
  <si>
    <t xml:space="preserve">8935 E. Oxford St. </t>
  </si>
  <si>
    <t>Weldon</t>
  </si>
  <si>
    <t>Michael</t>
  </si>
  <si>
    <t>weldon.michael@hotmail.com</t>
  </si>
  <si>
    <t xml:space="preserve">9952 Nut Swamp St. </t>
  </si>
  <si>
    <t>Huntington</t>
  </si>
  <si>
    <t>Joesph</t>
  </si>
  <si>
    <t>Delacruz</t>
  </si>
  <si>
    <t>joesph.delacruz@aol.com</t>
  </si>
  <si>
    <t xml:space="preserve">184 Cypress Street </t>
  </si>
  <si>
    <t>Katherina</t>
  </si>
  <si>
    <t>Odom</t>
  </si>
  <si>
    <t>katherina.odom@yahoo.com</t>
  </si>
  <si>
    <t xml:space="preserve">897 N. Oak Drive </t>
  </si>
  <si>
    <t>Plainview</t>
  </si>
  <si>
    <t>Laraine</t>
  </si>
  <si>
    <t>Robbins</t>
  </si>
  <si>
    <t>laraine.robbins@yahoo.com</t>
  </si>
  <si>
    <t xml:space="preserve">8214 E. Pin Oak Lane </t>
  </si>
  <si>
    <t>Jenise</t>
  </si>
  <si>
    <t>Preston</t>
  </si>
  <si>
    <t>jenise.preston@yahoo.com</t>
  </si>
  <si>
    <t xml:space="preserve">9 Littleton Drive </t>
  </si>
  <si>
    <t>Helotes</t>
  </si>
  <si>
    <t>Lory</t>
  </si>
  <si>
    <t>Page</t>
  </si>
  <si>
    <t>lory.page@hotmail.com</t>
  </si>
  <si>
    <t xml:space="preserve">58 Summerhouse Street </t>
  </si>
  <si>
    <t>Bay Shore</t>
  </si>
  <si>
    <t>Charlyn</t>
  </si>
  <si>
    <t>Cantrell</t>
  </si>
  <si>
    <t>charlyn.cantrell@yahoo.com</t>
  </si>
  <si>
    <t xml:space="preserve">8756 Euclid St. </t>
  </si>
  <si>
    <t>West Islip</t>
  </si>
  <si>
    <t>Carola</t>
  </si>
  <si>
    <t>Rodriquez</t>
  </si>
  <si>
    <t>carola.rodriquez@hotmail.com</t>
  </si>
  <si>
    <t xml:space="preserve">9433 Heritage Lane </t>
  </si>
  <si>
    <t>Banning</t>
  </si>
  <si>
    <t>Alane</t>
  </si>
  <si>
    <t>alane.kennedy@yahoo.com</t>
  </si>
  <si>
    <t xml:space="preserve">34 Green Lake Street </t>
  </si>
  <si>
    <t>Regina</t>
  </si>
  <si>
    <t>Burns</t>
  </si>
  <si>
    <t>regina.burns@aol.com</t>
  </si>
  <si>
    <t xml:space="preserve">713 Buckingham St. </t>
  </si>
  <si>
    <t>Omer</t>
  </si>
  <si>
    <t>Estrada</t>
  </si>
  <si>
    <t>omer.estrada@gmail.com</t>
  </si>
  <si>
    <t xml:space="preserve">9 Honey Creek Street </t>
  </si>
  <si>
    <t>Crystle</t>
  </si>
  <si>
    <t>Gilliam</t>
  </si>
  <si>
    <t>crystle.gilliam@yahoo.com</t>
  </si>
  <si>
    <t xml:space="preserve">86 Edgewater Road </t>
  </si>
  <si>
    <t>Kam</t>
  </si>
  <si>
    <t>Wilder</t>
  </si>
  <si>
    <t>kam.wilder@hotmail.com</t>
  </si>
  <si>
    <t xml:space="preserve">500 West Clay Ave. </t>
  </si>
  <si>
    <t>Margert</t>
  </si>
  <si>
    <t>Stevens</t>
  </si>
  <si>
    <t>margert.stevens@aol.com</t>
  </si>
  <si>
    <t xml:space="preserve">502 North Poplar St. </t>
  </si>
  <si>
    <t>Tomika</t>
  </si>
  <si>
    <t>Larson</t>
  </si>
  <si>
    <t>tomika.larson@yahoo.com</t>
  </si>
  <si>
    <t xml:space="preserve">254 Canal St. </t>
  </si>
  <si>
    <t>Woodside</t>
  </si>
  <si>
    <t>Jeromy</t>
  </si>
  <si>
    <t>Burch</t>
  </si>
  <si>
    <t>(408) 955-8238</t>
  </si>
  <si>
    <t>jeromy.burch@msn.com</t>
  </si>
  <si>
    <t xml:space="preserve">889 Mulberry Street </t>
  </si>
  <si>
    <t>Lena</t>
  </si>
  <si>
    <t>Mills</t>
  </si>
  <si>
    <t>lena.mills@yahoo.com</t>
  </si>
  <si>
    <t xml:space="preserve">42 Homestead St. </t>
  </si>
  <si>
    <t>Loreta</t>
  </si>
  <si>
    <t>Johnston</t>
  </si>
  <si>
    <t>loreta.johnston@yahoo.com</t>
  </si>
  <si>
    <t xml:space="preserve">39 Lafayette Dr. </t>
  </si>
  <si>
    <t>Nettie</t>
  </si>
  <si>
    <t>nettie.mcdaniel@hotmail.com</t>
  </si>
  <si>
    <t xml:space="preserve">7004 E. Wakehurst St. </t>
  </si>
  <si>
    <t>South Ozone Park</t>
  </si>
  <si>
    <t>Karla</t>
  </si>
  <si>
    <t>Kirk</t>
  </si>
  <si>
    <t>karla.kirk@yahoo.com</t>
  </si>
  <si>
    <t xml:space="preserve">9718 Harvard Rd. </t>
  </si>
  <si>
    <t>Regine</t>
  </si>
  <si>
    <t>Gonzales</t>
  </si>
  <si>
    <t>(805) 763-4045</t>
  </si>
  <si>
    <t>regine.gonzales@gmail.com</t>
  </si>
  <si>
    <t xml:space="preserve">798 Court Drive </t>
  </si>
  <si>
    <t>Oxnard</t>
  </si>
  <si>
    <t>Miriam</t>
  </si>
  <si>
    <t>Baker</t>
  </si>
  <si>
    <t>miriam.baker@hotmail.com</t>
  </si>
  <si>
    <t xml:space="preserve">90 Studebaker St. </t>
  </si>
  <si>
    <t>Jeanie</t>
  </si>
  <si>
    <t>jeanie.kirkland@aol.com</t>
  </si>
  <si>
    <t xml:space="preserve">7643 Old Theatre St. </t>
  </si>
  <si>
    <t>Santa Clara</t>
  </si>
  <si>
    <t>Marquerite</t>
  </si>
  <si>
    <t>Dawson</t>
  </si>
  <si>
    <t>marquerite.dawson@gmail.com</t>
  </si>
  <si>
    <t xml:space="preserve">37 Hamilton Court </t>
  </si>
  <si>
    <t>Babara</t>
  </si>
  <si>
    <t>Ochoa</t>
  </si>
  <si>
    <t>babara.ochoa@aol.com</t>
  </si>
  <si>
    <t xml:space="preserve">872 Smith Store St. </t>
  </si>
  <si>
    <t>Nova</t>
  </si>
  <si>
    <t>Hess</t>
  </si>
  <si>
    <t>nova.hess@msn.com</t>
  </si>
  <si>
    <t xml:space="preserve">773 South Lafayette St. </t>
  </si>
  <si>
    <t>Carley</t>
  </si>
  <si>
    <t>Reynolds</t>
  </si>
  <si>
    <t>carley.reynolds@gmail.com</t>
  </si>
  <si>
    <t xml:space="preserve">2 Snake Hill Drive </t>
  </si>
  <si>
    <t>Carissa</t>
  </si>
  <si>
    <t>Foreman</t>
  </si>
  <si>
    <t>carissa.foreman@msn.com</t>
  </si>
  <si>
    <t xml:space="preserve">69C N. Ridge Rd. </t>
  </si>
  <si>
    <t>Tyler</t>
  </si>
  <si>
    <t>(212) 152-6381</t>
  </si>
  <si>
    <t>genoveva.tyler@gmail.com</t>
  </si>
  <si>
    <t xml:space="preserve">8121 Windfall Ave. </t>
  </si>
  <si>
    <t>Deane</t>
  </si>
  <si>
    <t>deane.sears@hotmail.com</t>
  </si>
  <si>
    <t xml:space="preserve">3 Bradford Court </t>
  </si>
  <si>
    <t>Karey</t>
  </si>
  <si>
    <t>Steele</t>
  </si>
  <si>
    <t>karey.steele@gmail.com</t>
  </si>
  <si>
    <t xml:space="preserve">8879 Kent Lane </t>
  </si>
  <si>
    <t>Olevia</t>
  </si>
  <si>
    <t>Pitts</t>
  </si>
  <si>
    <t>olevia.pitts@gmail.com</t>
  </si>
  <si>
    <t xml:space="preserve">39 Fieldstone Drive </t>
  </si>
  <si>
    <t>Jenniffer</t>
  </si>
  <si>
    <t>jenniffer.bullock@msn.com</t>
  </si>
  <si>
    <t xml:space="preserve">38 Oxford Avenue </t>
  </si>
  <si>
    <t>Jeniffer</t>
  </si>
  <si>
    <t>Ratliff</t>
  </si>
  <si>
    <t>jeniffer.ratliff@gmail.com</t>
  </si>
  <si>
    <t xml:space="preserve">510 Rocky River Court </t>
  </si>
  <si>
    <t>Klara</t>
  </si>
  <si>
    <t>klara.stanley@aol.com</t>
  </si>
  <si>
    <t xml:space="preserve">603 Mechanic St. </t>
  </si>
  <si>
    <t>Webster</t>
  </si>
  <si>
    <t>Morton</t>
  </si>
  <si>
    <t>Lee</t>
  </si>
  <si>
    <t>morton.lee@yahoo.com</t>
  </si>
  <si>
    <t xml:space="preserve">313 Ridge St. </t>
  </si>
  <si>
    <t>Ken</t>
  </si>
  <si>
    <t>Charles</t>
  </si>
  <si>
    <t>ken.charles@msn.com</t>
  </si>
  <si>
    <t xml:space="preserve">9124 W. Piper Lane </t>
  </si>
  <si>
    <t>Hedwig</t>
  </si>
  <si>
    <t>Paul</t>
  </si>
  <si>
    <t>hedwig.paul@msn.com</t>
  </si>
  <si>
    <t xml:space="preserve">422 Manor Ave. </t>
  </si>
  <si>
    <t>Apple Valley</t>
  </si>
  <si>
    <t>Sharla</t>
  </si>
  <si>
    <t>Flynn</t>
  </si>
  <si>
    <t>(805) 478-7724</t>
  </si>
  <si>
    <t>sharla.flynn@hotmail.com</t>
  </si>
  <si>
    <t xml:space="preserve">7 Brown Drive </t>
  </si>
  <si>
    <t>Damian</t>
  </si>
  <si>
    <t>damian.dawson@hotmail.com</t>
  </si>
  <si>
    <t xml:space="preserve">528 St Margarets Street </t>
  </si>
  <si>
    <t>Toya</t>
  </si>
  <si>
    <t>Pratt</t>
  </si>
  <si>
    <t>(562) 218-6405</t>
  </si>
  <si>
    <t>toya.pratt@yahoo.com</t>
  </si>
  <si>
    <t xml:space="preserve">485 San Pablo Drive </t>
  </si>
  <si>
    <t>Graciela</t>
  </si>
  <si>
    <t>Barber</t>
  </si>
  <si>
    <t>(805) 656-6987</t>
  </si>
  <si>
    <t>graciela.barber@hotmail.com</t>
  </si>
  <si>
    <t xml:space="preserve">1 E. Young St. </t>
  </si>
  <si>
    <t>Bong</t>
  </si>
  <si>
    <t>Hebert</t>
  </si>
  <si>
    <t>bong.hebert@gmail.com</t>
  </si>
  <si>
    <t xml:space="preserve">545 Brook St. </t>
  </si>
  <si>
    <t>Ayanna</t>
  </si>
  <si>
    <t>ayanna.rhodes@msn.com</t>
  </si>
  <si>
    <t xml:space="preserve">7425 Pheasant St. </t>
  </si>
  <si>
    <t>Hicksville</t>
  </si>
  <si>
    <t>Dorine</t>
  </si>
  <si>
    <t>Roberson</t>
  </si>
  <si>
    <t>dorine.roberson@msn.com</t>
  </si>
  <si>
    <t xml:space="preserve">396 Meadowbrook Lane </t>
  </si>
  <si>
    <t>Santa Cruz</t>
  </si>
  <si>
    <t>Addie</t>
  </si>
  <si>
    <t>Hahn</t>
  </si>
  <si>
    <t>addie.hahn@hotmail.com</t>
  </si>
  <si>
    <t xml:space="preserve">8165 Baker Ave. </t>
  </si>
  <si>
    <t>Edythe</t>
  </si>
  <si>
    <t>edythe.valencia@yahoo.com</t>
  </si>
  <si>
    <t xml:space="preserve">9346 Wall St. </t>
  </si>
  <si>
    <t>Andy</t>
  </si>
  <si>
    <t>O'neill</t>
  </si>
  <si>
    <t>andy.o'neill@msn.com</t>
  </si>
  <si>
    <t xml:space="preserve">9544 Mulberry Drive </t>
  </si>
  <si>
    <t>Rego Park</t>
  </si>
  <si>
    <t>Luis</t>
  </si>
  <si>
    <t>luis.tyler@gmail.com</t>
  </si>
  <si>
    <t xml:space="preserve">9568 Campfire Circle </t>
  </si>
  <si>
    <t>Amarillo</t>
  </si>
  <si>
    <t>Clelia</t>
  </si>
  <si>
    <t>Workman</t>
  </si>
  <si>
    <t>clelia.workman@yahoo.com</t>
  </si>
  <si>
    <t xml:space="preserve">620 North Somerset St. </t>
  </si>
  <si>
    <t>New Windsor</t>
  </si>
  <si>
    <t>Ashely</t>
  </si>
  <si>
    <t>Holmes</t>
  </si>
  <si>
    <t>ashely.holmes@aol.com</t>
  </si>
  <si>
    <t xml:space="preserve">45 High Ridge Ave. </t>
  </si>
  <si>
    <t>Candis</t>
  </si>
  <si>
    <t>Harding</t>
  </si>
  <si>
    <t>candis.harding@gmail.com</t>
  </si>
  <si>
    <t xml:space="preserve">33 NW. Cambridge Ave. </t>
  </si>
  <si>
    <t>Ballston Spa</t>
  </si>
  <si>
    <t>Marni</t>
  </si>
  <si>
    <t>Bolton</t>
  </si>
  <si>
    <t>(717) 670-6268</t>
  </si>
  <si>
    <t>marni.bolton@msn.com</t>
  </si>
  <si>
    <t xml:space="preserve">7469 Plymouth Ave. </t>
  </si>
  <si>
    <t>Minerva</t>
  </si>
  <si>
    <t>Decker</t>
  </si>
  <si>
    <t>(281) 271-6390</t>
  </si>
  <si>
    <t>minerva.decker@yahoo.com</t>
  </si>
  <si>
    <t xml:space="preserve">794 Greenrose Street </t>
  </si>
  <si>
    <t>Alpha</t>
  </si>
  <si>
    <t>King</t>
  </si>
  <si>
    <t>alpha.king@hotmail.com</t>
  </si>
  <si>
    <t xml:space="preserve">14 Henry Smith St. </t>
  </si>
  <si>
    <t>Harris</t>
  </si>
  <si>
    <t>Pittman</t>
  </si>
  <si>
    <t>harris.pittman@yahoo.com</t>
  </si>
  <si>
    <t xml:space="preserve">404 Cherry Hill Road </t>
  </si>
  <si>
    <t>Jamaica</t>
  </si>
  <si>
    <t>Stephaine</t>
  </si>
  <si>
    <t>Riddle</t>
  </si>
  <si>
    <t>stephaine.riddle@hotmail.com</t>
  </si>
  <si>
    <t xml:space="preserve">199 Vermont Court </t>
  </si>
  <si>
    <t>Brooklyn</t>
  </si>
  <si>
    <t>Michel</t>
  </si>
  <si>
    <t>Blankenship</t>
  </si>
  <si>
    <t>michel.blankenship@msn.com</t>
  </si>
  <si>
    <t xml:space="preserve">382 West Hill Dr. </t>
  </si>
  <si>
    <t>Denis</t>
  </si>
  <si>
    <t>denis.logan@msn.com</t>
  </si>
  <si>
    <t xml:space="preserve">121 Rockcrest Street </t>
  </si>
  <si>
    <t>Ridgecrest</t>
  </si>
  <si>
    <t>Jutta</t>
  </si>
  <si>
    <t>Everett</t>
  </si>
  <si>
    <t>jutta.everett@gmail.com</t>
  </si>
  <si>
    <t xml:space="preserve">27 Taylor Ave. </t>
  </si>
  <si>
    <t>Selden</t>
  </si>
  <si>
    <t>Priscilla</t>
  </si>
  <si>
    <t>(229) 322-2269</t>
  </si>
  <si>
    <t>priscilla.wilkins@aol.com</t>
  </si>
  <si>
    <t xml:space="preserve">653 Pawnee Rd. </t>
  </si>
  <si>
    <t>Albany</t>
  </si>
  <si>
    <t>Gilma</t>
  </si>
  <si>
    <t>gilma.dejesus@yahoo.com</t>
  </si>
  <si>
    <t xml:space="preserve">777 Thompson Ave. </t>
  </si>
  <si>
    <t>Buford</t>
  </si>
  <si>
    <t>(248) 604-7346</t>
  </si>
  <si>
    <t>buford.bridges@msn.com</t>
  </si>
  <si>
    <t xml:space="preserve">239 Oak Valley Court </t>
  </si>
  <si>
    <t>Elenore</t>
  </si>
  <si>
    <t>Hensley</t>
  </si>
  <si>
    <t>elenore.hensley@hotmail.com</t>
  </si>
  <si>
    <t xml:space="preserve">7037 Aspen St. </t>
  </si>
  <si>
    <t>Ross</t>
  </si>
  <si>
    <t>Pugh</t>
  </si>
  <si>
    <t>ross.pugh@msn.com</t>
  </si>
  <si>
    <t xml:space="preserve">8598 Saxon St. </t>
  </si>
  <si>
    <t>Judith</t>
  </si>
  <si>
    <t>Finley</t>
  </si>
  <si>
    <t>judith.finley@hotmail.com</t>
  </si>
  <si>
    <t xml:space="preserve">474 West Bank Road </t>
  </si>
  <si>
    <t>Whitestone</t>
  </si>
  <si>
    <t>Wai</t>
  </si>
  <si>
    <t>Soto</t>
  </si>
  <si>
    <t>wai.soto@msn.com</t>
  </si>
  <si>
    <t xml:space="preserve">30 Arch Drive </t>
  </si>
  <si>
    <t>Carline</t>
  </si>
  <si>
    <t>Collier</t>
  </si>
  <si>
    <t>(559) 810-6070</t>
  </si>
  <si>
    <t>carline.collier@msn.com</t>
  </si>
  <si>
    <t xml:space="preserve">28 Trenton Lane </t>
  </si>
  <si>
    <t>Gill</t>
  </si>
  <si>
    <t>casey.gill@gmail.com</t>
  </si>
  <si>
    <t xml:space="preserve">636 Prospect Avenue </t>
  </si>
  <si>
    <t>Darcie</t>
  </si>
  <si>
    <t>Morgan</t>
  </si>
  <si>
    <t>(442) 618-7068</t>
  </si>
  <si>
    <t>darcie.morgan@aol.com</t>
  </si>
  <si>
    <t xml:space="preserve">476 East Adams Ave. </t>
  </si>
  <si>
    <t>Oceanside</t>
  </si>
  <si>
    <t>Lucio</t>
  </si>
  <si>
    <t>Sherman</t>
  </si>
  <si>
    <t>lucio.sherman@gmail.com</t>
  </si>
  <si>
    <t xml:space="preserve">842 Corona Ave. </t>
  </si>
  <si>
    <t>Clementine</t>
  </si>
  <si>
    <t>Mooney</t>
  </si>
  <si>
    <t>clementine.mooney@yahoo.com</t>
  </si>
  <si>
    <t xml:space="preserve">678 Charles Court </t>
  </si>
  <si>
    <t>Mcallen</t>
  </si>
  <si>
    <t>Anya</t>
  </si>
  <si>
    <t>Contreras</t>
  </si>
  <si>
    <t>anya.contreras@msn.com</t>
  </si>
  <si>
    <t xml:space="preserve">38 Old Fairground St. </t>
  </si>
  <si>
    <t>Scarlet</t>
  </si>
  <si>
    <t>Yates</t>
  </si>
  <si>
    <t>scarlet.yates@hotmail.com</t>
  </si>
  <si>
    <t xml:space="preserve">687 Shirley St. </t>
  </si>
  <si>
    <t>Patchogue</t>
  </si>
  <si>
    <t>Moses</t>
  </si>
  <si>
    <t>Pope</t>
  </si>
  <si>
    <t>moses.pope@yahoo.com</t>
  </si>
  <si>
    <t xml:space="preserve">654 Theatre Street </t>
  </si>
  <si>
    <t>Lawndale</t>
  </si>
  <si>
    <t>Barbera</t>
  </si>
  <si>
    <t>Riggs</t>
  </si>
  <si>
    <t>barbera.riggs@aol.com</t>
  </si>
  <si>
    <t xml:space="preserve">12 Gartner Drive </t>
  </si>
  <si>
    <t>Kiana</t>
  </si>
  <si>
    <t>Rivera</t>
  </si>
  <si>
    <t>kiana.rivera@gmail.com</t>
  </si>
  <si>
    <t xml:space="preserve">9 Sheffield Dr. </t>
  </si>
  <si>
    <t>Danielle</t>
  </si>
  <si>
    <t>Bond</t>
  </si>
  <si>
    <t>danielle.bond@msn.com</t>
  </si>
  <si>
    <t xml:space="preserve">8589 Shub Farm Street </t>
  </si>
  <si>
    <t>Whitney</t>
  </si>
  <si>
    <t>Estes</t>
  </si>
  <si>
    <t>(631) 315-4020</t>
  </si>
  <si>
    <t>whitney.estes@gmail.com</t>
  </si>
  <si>
    <t xml:space="preserve">454 Bear Hill Street </t>
  </si>
  <si>
    <t>Brentwood</t>
  </si>
  <si>
    <t>Molly</t>
  </si>
  <si>
    <t>Langley</t>
  </si>
  <si>
    <t>molly.langley@aol.com</t>
  </si>
  <si>
    <t xml:space="preserve">63 Bridgeton Street </t>
  </si>
  <si>
    <t>Holbrook</t>
  </si>
  <si>
    <t>Chelsey</t>
  </si>
  <si>
    <t>chelsey.hardin@hotmail.com</t>
  </si>
  <si>
    <t xml:space="preserve">13 Brickyard Street </t>
  </si>
  <si>
    <t>Deer Park</t>
  </si>
  <si>
    <t>Jenee</t>
  </si>
  <si>
    <t>Rasmussen</t>
  </si>
  <si>
    <t>(916) 219-1774</t>
  </si>
  <si>
    <t>jenee.rasmussen@hotmail.com</t>
  </si>
  <si>
    <t xml:space="preserve">19 George Lane </t>
  </si>
  <si>
    <t>Freddie</t>
  </si>
  <si>
    <t>Mathis</t>
  </si>
  <si>
    <t>freddie.mathis@hotmail.com</t>
  </si>
  <si>
    <t xml:space="preserve">31 Shady St. </t>
  </si>
  <si>
    <t>Mariana</t>
  </si>
  <si>
    <t>Strong</t>
  </si>
  <si>
    <t>mariana.strong@msn.com</t>
  </si>
  <si>
    <t xml:space="preserve">972 Dunbar Dr. </t>
  </si>
  <si>
    <t>Winfred</t>
  </si>
  <si>
    <t>winfred.harris@msn.com</t>
  </si>
  <si>
    <t xml:space="preserve">734 Glen Eagles St. </t>
  </si>
  <si>
    <t>East Meadow</t>
  </si>
  <si>
    <t>Elliott</t>
  </si>
  <si>
    <t>jeromy.elliott@gmail.com</t>
  </si>
  <si>
    <t xml:space="preserve">7112 Laurel Street </t>
  </si>
  <si>
    <t>Verona</t>
  </si>
  <si>
    <t>verona.o'neill@hotmail.com</t>
  </si>
  <si>
    <t xml:space="preserve">8279 W. Sussex St. </t>
  </si>
  <si>
    <t>Elvera</t>
  </si>
  <si>
    <t>Peck</t>
  </si>
  <si>
    <t>elvera.peck@yahoo.com</t>
  </si>
  <si>
    <t xml:space="preserve">759 Lakewood Street </t>
  </si>
  <si>
    <t>Cindi</t>
  </si>
  <si>
    <t>cindi.larson@msn.com</t>
  </si>
  <si>
    <t xml:space="preserve">896 Golden Star Rd. </t>
  </si>
  <si>
    <t>Felice</t>
  </si>
  <si>
    <t>Guzman</t>
  </si>
  <si>
    <t>felice.guzman@hotmail.com</t>
  </si>
  <si>
    <t xml:space="preserve">7 Creekside Lane </t>
  </si>
  <si>
    <t>Canyon Country</t>
  </si>
  <si>
    <t>Deleon</t>
  </si>
  <si>
    <t>le.deleon@msn.com</t>
  </si>
  <si>
    <t xml:space="preserve">58 Clark Court </t>
  </si>
  <si>
    <t>Manie</t>
  </si>
  <si>
    <t>manie.sanchez@hotmail.com</t>
  </si>
  <si>
    <t xml:space="preserve">471 Illinois Ave. </t>
  </si>
  <si>
    <t>Rutha</t>
  </si>
  <si>
    <t>rutha.howell@gmail.com</t>
  </si>
  <si>
    <t xml:space="preserve">9247 Jones Street </t>
  </si>
  <si>
    <t>Natosha</t>
  </si>
  <si>
    <t>Rowland</t>
  </si>
  <si>
    <t>natosha.rowland@aol.com</t>
  </si>
  <si>
    <t xml:space="preserve">51 Elmwood St. </t>
  </si>
  <si>
    <t>Jessika</t>
  </si>
  <si>
    <t>Bray</t>
  </si>
  <si>
    <t>jessika.bray@yahoo.com</t>
  </si>
  <si>
    <t xml:space="preserve">37 East Greystone St. </t>
  </si>
  <si>
    <t>San Pablo</t>
  </si>
  <si>
    <t>Delila</t>
  </si>
  <si>
    <t>Hamilton</t>
  </si>
  <si>
    <t>delila.hamilton@yahoo.com</t>
  </si>
  <si>
    <t xml:space="preserve">7451 East James Ave. </t>
  </si>
  <si>
    <t>Dionne</t>
  </si>
  <si>
    <t>dionne.norris@yahoo.com</t>
  </si>
  <si>
    <t xml:space="preserve">9993 Greenview Circle </t>
  </si>
  <si>
    <t>Niagara Falls</t>
  </si>
  <si>
    <t>Muriel</t>
  </si>
  <si>
    <t>Juarez</t>
  </si>
  <si>
    <t>muriel.juarez@gmail.com</t>
  </si>
  <si>
    <t xml:space="preserve">8073 Cemetery Drive </t>
  </si>
  <si>
    <t>Cecelia</t>
  </si>
  <si>
    <t>cecelia.gill@aol.com</t>
  </si>
  <si>
    <t xml:space="preserve">372 Silver Spear Dr. </t>
  </si>
  <si>
    <t>Magda</t>
  </si>
  <si>
    <t>Eaton</t>
  </si>
  <si>
    <t>magda.eaton@aol.com</t>
  </si>
  <si>
    <t xml:space="preserve">860 Middle River Street </t>
  </si>
  <si>
    <t>Ivonne</t>
  </si>
  <si>
    <t>(915) 181-1950</t>
  </si>
  <si>
    <t>ivonne.yang@gmail.com</t>
  </si>
  <si>
    <t xml:space="preserve">7359 North Lake View St. </t>
  </si>
  <si>
    <t>El Paso</t>
  </si>
  <si>
    <t>Kasie</t>
  </si>
  <si>
    <t>kasie.rodriquez@aol.com</t>
  </si>
  <si>
    <t xml:space="preserve">7 North Beech St. </t>
  </si>
  <si>
    <t>Eleni</t>
  </si>
  <si>
    <t>Gordon</t>
  </si>
  <si>
    <t>eleni.gordon@hotmail.com</t>
  </si>
  <si>
    <t xml:space="preserve">583 W. San Carlos Street </t>
  </si>
  <si>
    <t>Maurice</t>
  </si>
  <si>
    <t>Norton</t>
  </si>
  <si>
    <t>maurice.norton@hotmail.com</t>
  </si>
  <si>
    <t xml:space="preserve">32 Mayflower Dr. </t>
  </si>
  <si>
    <t>Cristobal</t>
  </si>
  <si>
    <t>Hutchinson</t>
  </si>
  <si>
    <t>cristobal.hutchinson@gmail.com</t>
  </si>
  <si>
    <t xml:space="preserve">58 Washington Avenue </t>
  </si>
  <si>
    <t>Flossie</t>
  </si>
  <si>
    <t>Holder</t>
  </si>
  <si>
    <t>flossie.holder@msn.com</t>
  </si>
  <si>
    <t xml:space="preserve">8459 W. Newport Court </t>
  </si>
  <si>
    <t>Massapequa Park</t>
  </si>
  <si>
    <t>Erma</t>
  </si>
  <si>
    <t>Salinas</t>
  </si>
  <si>
    <t>erma.salinas@gmail.com</t>
  </si>
  <si>
    <t xml:space="preserve">347 Sheffield St. </t>
  </si>
  <si>
    <t>Earl</t>
  </si>
  <si>
    <t>earl.stanley@gmail.com</t>
  </si>
  <si>
    <t xml:space="preserve">569 Lake Lane </t>
  </si>
  <si>
    <t>Maribel</t>
  </si>
  <si>
    <t>maribel.william@aol.com</t>
  </si>
  <si>
    <t xml:space="preserve">65 Magnolia Ave. </t>
  </si>
  <si>
    <t>Johnathan</t>
  </si>
  <si>
    <t>Velazquez</t>
  </si>
  <si>
    <t>johnathan.velazquez@hotmail.com</t>
  </si>
  <si>
    <t xml:space="preserve">9680 E. Somerset Street </t>
  </si>
  <si>
    <t>Pleasanton</t>
  </si>
  <si>
    <t>Rodrick</t>
  </si>
  <si>
    <t>Shelton</t>
  </si>
  <si>
    <t>rodrick.shelton@hotmail.com</t>
  </si>
  <si>
    <t xml:space="preserve">7157 Addison Street </t>
  </si>
  <si>
    <t>Ferne</t>
  </si>
  <si>
    <t>Kline</t>
  </si>
  <si>
    <t>ferne.kline@hotmail.com</t>
  </si>
  <si>
    <t xml:space="preserve">303 Shady St. </t>
  </si>
  <si>
    <t>Rubin</t>
  </si>
  <si>
    <t>(716) 950-9835</t>
  </si>
  <si>
    <t>rubin.decker@gmail.com</t>
  </si>
  <si>
    <t xml:space="preserve">9875 Shady Ave. </t>
  </si>
  <si>
    <t>Dortha</t>
  </si>
  <si>
    <t>Jarvis</t>
  </si>
  <si>
    <t>(442) 919-8256</t>
  </si>
  <si>
    <t>dortha.jarvis@yahoo.com</t>
  </si>
  <si>
    <t xml:space="preserve">76 Prince Drive </t>
  </si>
  <si>
    <t>Mariela</t>
  </si>
  <si>
    <t>Huffman</t>
  </si>
  <si>
    <t>mariela.huffman@gmail.com</t>
  </si>
  <si>
    <t xml:space="preserve">531 Fieldstone Road </t>
  </si>
  <si>
    <t>Garden City</t>
  </si>
  <si>
    <t>Mellisa</t>
  </si>
  <si>
    <t>Farley</t>
  </si>
  <si>
    <t>mellisa.farley@yahoo.com</t>
  </si>
  <si>
    <t xml:space="preserve">21 West Princess St. </t>
  </si>
  <si>
    <t>Myung</t>
  </si>
  <si>
    <t>Hooper</t>
  </si>
  <si>
    <t>myung.hooper@gmail.com</t>
  </si>
  <si>
    <t xml:space="preserve">951 Mill Road </t>
  </si>
  <si>
    <t>Angelina</t>
  </si>
  <si>
    <t>Lloyd</t>
  </si>
  <si>
    <t>angelina.lloyd@yahoo.com</t>
  </si>
  <si>
    <t xml:space="preserve">9593 North Sherman Dr. </t>
  </si>
  <si>
    <t>Trinity</t>
  </si>
  <si>
    <t>trinity.riddle@aol.com</t>
  </si>
  <si>
    <t xml:space="preserve">23 Oakland Lane </t>
  </si>
  <si>
    <t>Barton</t>
  </si>
  <si>
    <t>Crosby</t>
  </si>
  <si>
    <t>barton.crosby@msn.com</t>
  </si>
  <si>
    <t xml:space="preserve">896 Edgewater St. </t>
  </si>
  <si>
    <t>Bellmore</t>
  </si>
  <si>
    <t>Claudio</t>
  </si>
  <si>
    <t>Wise</t>
  </si>
  <si>
    <t>claudio.wise@hotmail.com</t>
  </si>
  <si>
    <t xml:space="preserve">810 Oxford Ave. </t>
  </si>
  <si>
    <t>Kingston</t>
  </si>
  <si>
    <t>Katheleen</t>
  </si>
  <si>
    <t>Marks</t>
  </si>
  <si>
    <t>katheleen.marks@yahoo.com</t>
  </si>
  <si>
    <t xml:space="preserve">69 North Tower St. </t>
  </si>
  <si>
    <t>Deja</t>
  </si>
  <si>
    <t>Chaney</t>
  </si>
  <si>
    <t>deja.chaney@hotmail.com</t>
  </si>
  <si>
    <t xml:space="preserve">52 Woodside Ave. </t>
  </si>
  <si>
    <t>Queenie</t>
  </si>
  <si>
    <t>Vance</t>
  </si>
  <si>
    <t>queenie.vance@gmail.com</t>
  </si>
  <si>
    <t xml:space="preserve">172 Arcadia Ave. </t>
  </si>
  <si>
    <t>Ozone Park</t>
  </si>
  <si>
    <t>Josh</t>
  </si>
  <si>
    <t>Shaw</t>
  </si>
  <si>
    <t>josh.shaw@gmail.com</t>
  </si>
  <si>
    <t xml:space="preserve">212 North Leeton Ridge Street </t>
  </si>
  <si>
    <t>Hopewell Junction</t>
  </si>
  <si>
    <t>Pinkie</t>
  </si>
  <si>
    <t>pinkie.kirkland@yahoo.com</t>
  </si>
  <si>
    <t xml:space="preserve">18 Myers St. </t>
  </si>
  <si>
    <t>Lavette</t>
  </si>
  <si>
    <t>Wright</t>
  </si>
  <si>
    <t>lavette.wright@msn.com</t>
  </si>
  <si>
    <t xml:space="preserve">6 Windsor Street </t>
  </si>
  <si>
    <t>Ronkonkoma</t>
  </si>
  <si>
    <t>Mark</t>
  </si>
  <si>
    <t>Garrett</t>
  </si>
  <si>
    <t>mark.garrett@msn.com</t>
  </si>
  <si>
    <t xml:space="preserve">285 Rosewood Dr. </t>
  </si>
  <si>
    <t>Myesha</t>
  </si>
  <si>
    <t>Burgess</t>
  </si>
  <si>
    <t>myesha.burgess@gmail.com</t>
  </si>
  <si>
    <t xml:space="preserve">306 Trenton Rd. </t>
  </si>
  <si>
    <t>Justina</t>
  </si>
  <si>
    <t>Long</t>
  </si>
  <si>
    <t>justina.long@aol.com</t>
  </si>
  <si>
    <t xml:space="preserve">39 Littleton Ave. </t>
  </si>
  <si>
    <t>Brenda</t>
  </si>
  <si>
    <t>brenda.tate@msn.com</t>
  </si>
  <si>
    <t xml:space="preserve">36 Hilltop Street </t>
  </si>
  <si>
    <t>Rayna</t>
  </si>
  <si>
    <t>Perry</t>
  </si>
  <si>
    <t>rayna.perry@hotmail.com</t>
  </si>
  <si>
    <t xml:space="preserve">7238 Oakland St. </t>
  </si>
  <si>
    <t>Randolph</t>
  </si>
  <si>
    <t>Chase</t>
  </si>
  <si>
    <t>randolph.chase@yahoo.com</t>
  </si>
  <si>
    <t xml:space="preserve">828 Bridle Ave. </t>
  </si>
  <si>
    <t>Jaimee</t>
  </si>
  <si>
    <t>Day</t>
  </si>
  <si>
    <t>jaimee.day@aol.com</t>
  </si>
  <si>
    <t xml:space="preserve">7534 Whitemarsh Ave. </t>
  </si>
  <si>
    <t>Poughkeepsie</t>
  </si>
  <si>
    <t>Susann</t>
  </si>
  <si>
    <t>Bass</t>
  </si>
  <si>
    <t>susann.bass@msn.com</t>
  </si>
  <si>
    <t xml:space="preserve">21 Old Rock Maple Ave. </t>
  </si>
  <si>
    <t>Leola</t>
  </si>
  <si>
    <t>Gould</t>
  </si>
  <si>
    <t>leola.gould@gmail.com</t>
  </si>
  <si>
    <t xml:space="preserve">8 Kirkland St. </t>
  </si>
  <si>
    <t>Virgil</t>
  </si>
  <si>
    <t>virgil.frost@gmail.com</t>
  </si>
  <si>
    <t xml:space="preserve">9798 Beacon St. </t>
  </si>
  <si>
    <t>Levittown</t>
  </si>
  <si>
    <t>Mireille</t>
  </si>
  <si>
    <t>Puckett</t>
  </si>
  <si>
    <t>(805) 961-9909</t>
  </si>
  <si>
    <t>mireille.puckett@hotmail.com</t>
  </si>
  <si>
    <t xml:space="preserve">378 Purple Finch Drive </t>
  </si>
  <si>
    <t>Keturah</t>
  </si>
  <si>
    <t>Massey</t>
  </si>
  <si>
    <t>keturah.massey@msn.com</t>
  </si>
  <si>
    <t xml:space="preserve">189 Arnold Drive </t>
  </si>
  <si>
    <t>Charmain</t>
  </si>
  <si>
    <t>charmain.webster@hotmail.com</t>
  </si>
  <si>
    <t xml:space="preserve">36 East Stonybrook Rd. </t>
  </si>
  <si>
    <t>Barry</t>
  </si>
  <si>
    <t>Buckner</t>
  </si>
  <si>
    <t>barry.buckner@gmail.com</t>
  </si>
  <si>
    <t xml:space="preserve">8779 High Noon Rd. </t>
  </si>
  <si>
    <t>Centereach</t>
  </si>
  <si>
    <t>Boyce</t>
  </si>
  <si>
    <t>boyce.burks@gmail.com</t>
  </si>
  <si>
    <t xml:space="preserve">879 Harvey Dr. </t>
  </si>
  <si>
    <t>Monty</t>
  </si>
  <si>
    <t>(516) 460-5396</t>
  </si>
  <si>
    <t>monty.frost@aol.com</t>
  </si>
  <si>
    <t xml:space="preserve">76 Foxrun Dr. </t>
  </si>
  <si>
    <t>Tiny</t>
  </si>
  <si>
    <t>French</t>
  </si>
  <si>
    <t>tiny.french@hotmail.com</t>
  </si>
  <si>
    <t xml:space="preserve">7163 Hall St. </t>
  </si>
  <si>
    <t>Clementina</t>
  </si>
  <si>
    <t>Sargent</t>
  </si>
  <si>
    <t>clementina.sargent@hotmail.com</t>
  </si>
  <si>
    <t xml:space="preserve">9853 Catherine Road </t>
  </si>
  <si>
    <t>Danny</t>
  </si>
  <si>
    <t>Kim</t>
  </si>
  <si>
    <t>danny.kim@msn.com</t>
  </si>
  <si>
    <t xml:space="preserve">74 Essex Drive </t>
  </si>
  <si>
    <t>Sophia</t>
  </si>
  <si>
    <t>Mcmillan</t>
  </si>
  <si>
    <t>sophia.mcmillan@msn.com</t>
  </si>
  <si>
    <t xml:space="preserve">8541 S. Pleasant Street </t>
  </si>
  <si>
    <t>Christia</t>
  </si>
  <si>
    <t>christia.carson@gmail.com</t>
  </si>
  <si>
    <t xml:space="preserve">220 Orchard Street </t>
  </si>
  <si>
    <t>Jennie</t>
  </si>
  <si>
    <t>Middleton</t>
  </si>
  <si>
    <t>jennie.middleton@gmail.com</t>
  </si>
  <si>
    <t xml:space="preserve">95 High Noon Dr. </t>
  </si>
  <si>
    <t>Jame</t>
  </si>
  <si>
    <t>jame.riggs@hotmail.com</t>
  </si>
  <si>
    <t xml:space="preserve">9237 Hudson Drive </t>
  </si>
  <si>
    <t>Rayford</t>
  </si>
  <si>
    <t>Simon</t>
  </si>
  <si>
    <t>rayford.simon@msn.com</t>
  </si>
  <si>
    <t xml:space="preserve">998 Whitemarsh Road </t>
  </si>
  <si>
    <t>Mountain View</t>
  </si>
  <si>
    <t>Annett</t>
  </si>
  <si>
    <t>annett.garrett@yahoo.com</t>
  </si>
  <si>
    <t xml:space="preserve">19 Euclid Lane </t>
  </si>
  <si>
    <t>Hayden</t>
  </si>
  <si>
    <t>Cross</t>
  </si>
  <si>
    <t>hayden.cross@gmail.com</t>
  </si>
  <si>
    <t xml:space="preserve">90 Pumpkin Hill St. </t>
  </si>
  <si>
    <t>Rolanda</t>
  </si>
  <si>
    <t>rolanda.larsen@yahoo.com</t>
  </si>
  <si>
    <t xml:space="preserve">5 West University Court </t>
  </si>
  <si>
    <t>Jayme</t>
  </si>
  <si>
    <t>Zamora</t>
  </si>
  <si>
    <t>jayme.zamora@gmail.com</t>
  </si>
  <si>
    <t xml:space="preserve">2 Ridge Lane </t>
  </si>
  <si>
    <t>Springfield Gardens</t>
  </si>
  <si>
    <t>Hope</t>
  </si>
  <si>
    <t>Cotton</t>
  </si>
  <si>
    <t>hope.cotton@aol.com</t>
  </si>
  <si>
    <t xml:space="preserve">9092 Blue Spring Dr. </t>
  </si>
  <si>
    <t>Vikki</t>
  </si>
  <si>
    <t>Erickson</t>
  </si>
  <si>
    <t>vikki.erickson@yahoo.com</t>
  </si>
  <si>
    <t xml:space="preserve">24 Jones Street </t>
  </si>
  <si>
    <t>Fransisca</t>
  </si>
  <si>
    <t>Nicholson</t>
  </si>
  <si>
    <t>fransisca.nicholson@aol.com</t>
  </si>
  <si>
    <t xml:space="preserve">945 Schoolhouse Street </t>
  </si>
  <si>
    <t>Mazie</t>
  </si>
  <si>
    <t>Fernandez</t>
  </si>
  <si>
    <t>mazie.fernandez@hotmail.com</t>
  </si>
  <si>
    <t xml:space="preserve">583 Harvard Ave. </t>
  </si>
  <si>
    <t>Anderson</t>
  </si>
  <si>
    <t>anderson.martin@hotmail.com</t>
  </si>
  <si>
    <t xml:space="preserve">9051 Hillside Dr. </t>
  </si>
  <si>
    <t>Gilberto</t>
  </si>
  <si>
    <t>Parsons</t>
  </si>
  <si>
    <t>gilberto.parsons@gmail.com</t>
  </si>
  <si>
    <t xml:space="preserve">8115 North Edgewater Drive </t>
  </si>
  <si>
    <t>Middle Village</t>
  </si>
  <si>
    <t>Charise</t>
  </si>
  <si>
    <t>Burt</t>
  </si>
  <si>
    <t>(559) 888-2229</t>
  </si>
  <si>
    <t>charise.burt@aol.com</t>
  </si>
  <si>
    <t xml:space="preserve">582 Creek St. </t>
  </si>
  <si>
    <t>Cameron</t>
  </si>
  <si>
    <t>Carroll</t>
  </si>
  <si>
    <t>cameron.carroll@yahoo.com</t>
  </si>
  <si>
    <t xml:space="preserve">9133 South Halifax Ave. </t>
  </si>
  <si>
    <t>Melani</t>
  </si>
  <si>
    <t>melani.jarvis@hotmail.com</t>
  </si>
  <si>
    <t xml:space="preserve">8 Tunnel St. </t>
  </si>
  <si>
    <t>Javier</t>
  </si>
  <si>
    <t>Nichols</t>
  </si>
  <si>
    <t>javier.nichols@msn.com</t>
  </si>
  <si>
    <t xml:space="preserve">8944 Marconi St. </t>
  </si>
  <si>
    <t>Jenkins</t>
  </si>
  <si>
    <t>justina.jenkins@yahoo.com</t>
  </si>
  <si>
    <t xml:space="preserve">8236 Creek St. </t>
  </si>
  <si>
    <t>Hortencia</t>
  </si>
  <si>
    <t>Graham</t>
  </si>
  <si>
    <t>hortencia.graham@aol.com</t>
  </si>
  <si>
    <t xml:space="preserve">7764 Greenrose Street </t>
  </si>
  <si>
    <t>christia.wilkins@msn.com</t>
  </si>
  <si>
    <t xml:space="preserve">7062 Willow Court </t>
  </si>
  <si>
    <t>Eliz</t>
  </si>
  <si>
    <t>eliz.whitney@msn.com</t>
  </si>
  <si>
    <t xml:space="preserve">523 Crescent Court </t>
  </si>
  <si>
    <t>Justin</t>
  </si>
  <si>
    <t>Newton</t>
  </si>
  <si>
    <t>justin.newton@hotmail.com</t>
  </si>
  <si>
    <t xml:space="preserve">93 Shore Rd. </t>
  </si>
  <si>
    <t>Aron</t>
  </si>
  <si>
    <t>Wiggins</t>
  </si>
  <si>
    <t>(442) 497-3353</t>
  </si>
  <si>
    <t>aron.wiggins@aol.com</t>
  </si>
  <si>
    <t xml:space="preserve">6 Bradford St. </t>
  </si>
  <si>
    <t>Chere</t>
  </si>
  <si>
    <t>chere.hardin@yahoo.com</t>
  </si>
  <si>
    <t xml:space="preserve">763 Fulton Road </t>
  </si>
  <si>
    <t>Merideth</t>
  </si>
  <si>
    <t>merideth.preston@yahoo.com</t>
  </si>
  <si>
    <t xml:space="preserve">794 Rockaway St. </t>
  </si>
  <si>
    <t>Slater</t>
  </si>
  <si>
    <t>jeniffer.slater@aol.com</t>
  </si>
  <si>
    <t xml:space="preserve">30 Old Orange Lane </t>
  </si>
  <si>
    <t>Schenectady</t>
  </si>
  <si>
    <t>Laureen</t>
  </si>
  <si>
    <t>laureen.paul@yahoo.com</t>
  </si>
  <si>
    <t xml:space="preserve">617 Squaw Creek Rd. </t>
  </si>
  <si>
    <t>Berna</t>
  </si>
  <si>
    <t>Moore</t>
  </si>
  <si>
    <t>berna.moore@hotmail.com</t>
  </si>
  <si>
    <t xml:space="preserve">7230 Lafayette Drive </t>
  </si>
  <si>
    <t>Shiela</t>
  </si>
  <si>
    <t>Calderon</t>
  </si>
  <si>
    <t>shiela.calderon@msn.com</t>
  </si>
  <si>
    <t xml:space="preserve">844 Albany St. </t>
  </si>
  <si>
    <t>Sharie</t>
  </si>
  <si>
    <t>Alvarez</t>
  </si>
  <si>
    <t>(212) 211-7621</t>
  </si>
  <si>
    <t>sharie.alvarez@msn.com</t>
  </si>
  <si>
    <t xml:space="preserve">987 West Leatherwood Dr. </t>
  </si>
  <si>
    <t>Bettie</t>
  </si>
  <si>
    <t>Glover</t>
  </si>
  <si>
    <t>bettie.glover@gmail.com</t>
  </si>
  <si>
    <t xml:space="preserve">9083 Addison Dr. </t>
  </si>
  <si>
    <t>Marilyn</t>
  </si>
  <si>
    <t>Frank</t>
  </si>
  <si>
    <t>marilyn.frank@aol.com</t>
  </si>
  <si>
    <t xml:space="preserve">8878 Branch Street </t>
  </si>
  <si>
    <t>Sheba</t>
  </si>
  <si>
    <t>Knapp</t>
  </si>
  <si>
    <t>sheba.knapp@aol.com</t>
  </si>
  <si>
    <t xml:space="preserve">86 Gates Street </t>
  </si>
  <si>
    <t>Mack</t>
  </si>
  <si>
    <t>aleta.mack@yahoo.com</t>
  </si>
  <si>
    <t xml:space="preserve">8869 W. Edgemont Lane </t>
  </si>
  <si>
    <t>Reena</t>
  </si>
  <si>
    <t>reena.higgins@gmail.com</t>
  </si>
  <si>
    <t xml:space="preserve">900 South Columbia Street </t>
  </si>
  <si>
    <t>Ami</t>
  </si>
  <si>
    <t>Mcmahon</t>
  </si>
  <si>
    <t>ami.mcmahon@aol.com</t>
  </si>
  <si>
    <t xml:space="preserve">566 Hilldale Drive </t>
  </si>
  <si>
    <t>Somer</t>
  </si>
  <si>
    <t>Jordan</t>
  </si>
  <si>
    <t>somer.jordan@msn.com</t>
  </si>
  <si>
    <t xml:space="preserve">7046 Helen Avenue </t>
  </si>
  <si>
    <t>Reed</t>
  </si>
  <si>
    <t>scarlet.reed@hotmail.com</t>
  </si>
  <si>
    <t xml:space="preserve">151 S. Myers Court </t>
  </si>
  <si>
    <t>Trisha</t>
  </si>
  <si>
    <t>Johnson</t>
  </si>
  <si>
    <t>(717) 126-8787</t>
  </si>
  <si>
    <t>trisha.johnson@msn.com</t>
  </si>
  <si>
    <t xml:space="preserve">59 Wild Horse St. </t>
  </si>
  <si>
    <t>Majorie</t>
  </si>
  <si>
    <t>Wyatt</t>
  </si>
  <si>
    <t>majorie.wyatt@yahoo.com</t>
  </si>
  <si>
    <t xml:space="preserve">8507 Miller St. </t>
  </si>
  <si>
    <t>Abbey</t>
  </si>
  <si>
    <t>abbey.pugh@gmail.com</t>
  </si>
  <si>
    <t xml:space="preserve">26 Market Drive </t>
  </si>
  <si>
    <t>Forest Hills</t>
  </si>
  <si>
    <t>Tamela</t>
  </si>
  <si>
    <t>Harrell</t>
  </si>
  <si>
    <t>tamela.harrell@aol.com</t>
  </si>
  <si>
    <t xml:space="preserve">7316 Cypress Rd. </t>
  </si>
  <si>
    <t>Yanira</t>
  </si>
  <si>
    <t>Bradshaw</t>
  </si>
  <si>
    <t>yanira.bradshaw@gmail.com</t>
  </si>
  <si>
    <t xml:space="preserve">7484 Ann Court </t>
  </si>
  <si>
    <t>Delana</t>
  </si>
  <si>
    <t>Scott</t>
  </si>
  <si>
    <t>delana.scott@yahoo.com</t>
  </si>
  <si>
    <t xml:space="preserve">7372 Ridgeview St. </t>
  </si>
  <si>
    <t>Mount Vernon</t>
  </si>
  <si>
    <t>Cassondra</t>
  </si>
  <si>
    <t>Pruitt</t>
  </si>
  <si>
    <t>cassondra.pruitt@aol.com</t>
  </si>
  <si>
    <t xml:space="preserve">4 Alderwood Circle </t>
  </si>
  <si>
    <t>Jesica</t>
  </si>
  <si>
    <t>Fields</t>
  </si>
  <si>
    <t>jesica.fields@yahoo.com</t>
  </si>
  <si>
    <t xml:space="preserve">318 Country Dr. </t>
  </si>
  <si>
    <t>Herta</t>
  </si>
  <si>
    <t>Rollins</t>
  </si>
  <si>
    <t>herta.rollins@msn.com</t>
  </si>
  <si>
    <t xml:space="preserve">287 1st Drive </t>
  </si>
  <si>
    <t>Mi</t>
  </si>
  <si>
    <t>Gray</t>
  </si>
  <si>
    <t>(229) 813-2130</t>
  </si>
  <si>
    <t>mi.gray@aol.com</t>
  </si>
  <si>
    <t xml:space="preserve">27 Roehampton Dr. </t>
  </si>
  <si>
    <t>Jacalyn</t>
  </si>
  <si>
    <t>Barnett</t>
  </si>
  <si>
    <t>jacalyn.barnett@gmail.com</t>
  </si>
  <si>
    <t xml:space="preserve">7537 Swanson Street </t>
  </si>
  <si>
    <t>Hudson</t>
  </si>
  <si>
    <t>(510) 788-7298</t>
  </si>
  <si>
    <t>kanesha.hudson@gmail.com</t>
  </si>
  <si>
    <t xml:space="preserve">8293 Gartner Drive </t>
  </si>
  <si>
    <t>Darren</t>
  </si>
  <si>
    <t>Witt</t>
  </si>
  <si>
    <t>darren.witt@aol.com</t>
  </si>
  <si>
    <t xml:space="preserve">916 Hillcrest Ave. </t>
  </si>
  <si>
    <t>Mable</t>
  </si>
  <si>
    <t>mable.pratt@gmail.com</t>
  </si>
  <si>
    <t xml:space="preserve">254 SW. Temple Street </t>
  </si>
  <si>
    <t>Christoper</t>
  </si>
  <si>
    <t>christoper.mccall@msn.com</t>
  </si>
  <si>
    <t xml:space="preserve">72 Summit St. </t>
  </si>
  <si>
    <t>Margorie</t>
  </si>
  <si>
    <t>Wynn</t>
  </si>
  <si>
    <t>margorie.wynn@gmail.com</t>
  </si>
  <si>
    <t xml:space="preserve">707 Schoolhouse St. </t>
  </si>
  <si>
    <t>Josef</t>
  </si>
  <si>
    <t>Greer</t>
  </si>
  <si>
    <t>josef.greer@gmail.com</t>
  </si>
  <si>
    <t xml:space="preserve">92 Summer Court </t>
  </si>
  <si>
    <t>Tisa</t>
  </si>
  <si>
    <t>tisa.whitney@yahoo.com</t>
  </si>
  <si>
    <t xml:space="preserve">549 Newbridge Dr. </t>
  </si>
  <si>
    <t>Tonda</t>
  </si>
  <si>
    <t>tonda.armstrong@aol.com</t>
  </si>
  <si>
    <t xml:space="preserve">19 Forest Rd. </t>
  </si>
  <si>
    <t>Weiss</t>
  </si>
  <si>
    <t>arvilla.weiss@msn.com</t>
  </si>
  <si>
    <t xml:space="preserve">477 Blue Spring St. </t>
  </si>
  <si>
    <t>Vashti</t>
  </si>
  <si>
    <t>Rosario</t>
  </si>
  <si>
    <t>vashti.rosario@yahoo.com</t>
  </si>
  <si>
    <t xml:space="preserve">623 Johnson Circle </t>
  </si>
  <si>
    <t>Sheri</t>
  </si>
  <si>
    <t>Cole</t>
  </si>
  <si>
    <t>(408) 658-2285</t>
  </si>
  <si>
    <t>sheri.cole@aol.com</t>
  </si>
  <si>
    <t xml:space="preserve">479 Chapel Court </t>
  </si>
  <si>
    <t>Kandace</t>
  </si>
  <si>
    <t>Giles</t>
  </si>
  <si>
    <t>kandace.giles@msn.com</t>
  </si>
  <si>
    <t xml:space="preserve">30 NE. Walt Whitman Drive </t>
  </si>
  <si>
    <t>Wantagh</t>
  </si>
  <si>
    <t>Angie</t>
  </si>
  <si>
    <t>Powers</t>
  </si>
  <si>
    <t>angie.powers@aol.com</t>
  </si>
  <si>
    <t xml:space="preserve">6 Rockland Dr. </t>
  </si>
  <si>
    <t>Pomona</t>
  </si>
  <si>
    <t>Van</t>
  </si>
  <si>
    <t>Peters</t>
  </si>
  <si>
    <t>(281) 658-7772</t>
  </si>
  <si>
    <t>van.peters@yahoo.com</t>
  </si>
  <si>
    <t xml:space="preserve">45 Fifth Dr. </t>
  </si>
  <si>
    <t>Virgina</t>
  </si>
  <si>
    <t>virgina.berg@yahoo.com</t>
  </si>
  <si>
    <t xml:space="preserve">804 South Purple Finch Drive </t>
  </si>
  <si>
    <t>Valley Stream</t>
  </si>
  <si>
    <t>Noel</t>
  </si>
  <si>
    <t>olevia.noel@yahoo.com</t>
  </si>
  <si>
    <t xml:space="preserve">39 N. Rosewood Dr. </t>
  </si>
  <si>
    <t>Kaci</t>
  </si>
  <si>
    <t>Gallegos</t>
  </si>
  <si>
    <t>kaci.gallegos@gmail.com</t>
  </si>
  <si>
    <t xml:space="preserve">8573 Halifax St. </t>
  </si>
  <si>
    <t>Bev</t>
  </si>
  <si>
    <t>Chang</t>
  </si>
  <si>
    <t>bev.chang@yahoo.com</t>
  </si>
  <si>
    <t xml:space="preserve">104 Rockville St. </t>
  </si>
  <si>
    <t>Ithaca</t>
  </si>
  <si>
    <t>Rodger</t>
  </si>
  <si>
    <t>Rojas</t>
  </si>
  <si>
    <t>rodger.rojas@yahoo.com</t>
  </si>
  <si>
    <t xml:space="preserve">8442 Cooper Ave. </t>
  </si>
  <si>
    <t>Lavonne</t>
  </si>
  <si>
    <t>lavonne.anderson@aol.com</t>
  </si>
  <si>
    <t xml:space="preserve">9420 Wintergreen Court </t>
  </si>
  <si>
    <t>Blanca</t>
  </si>
  <si>
    <t>blanca.hooper@msn.com</t>
  </si>
  <si>
    <t xml:space="preserve">340 Bald Hill St. </t>
  </si>
  <si>
    <t>Alysha</t>
  </si>
  <si>
    <t>alysha.powers@msn.com</t>
  </si>
  <si>
    <t xml:space="preserve">39 West Marshall Ave. </t>
  </si>
  <si>
    <t>Mary</t>
  </si>
  <si>
    <t>Singleton</t>
  </si>
  <si>
    <t>mary.singleton@hotmail.com</t>
  </si>
  <si>
    <t xml:space="preserve">474 Amerige Ave. </t>
  </si>
  <si>
    <t>Jina</t>
  </si>
  <si>
    <t>Cooper</t>
  </si>
  <si>
    <t>jina.cooper@aol.com</t>
  </si>
  <si>
    <t xml:space="preserve">8947 W. Lexington Rd. </t>
  </si>
  <si>
    <t>Loni</t>
  </si>
  <si>
    <t>loni.duncan@gmail.com</t>
  </si>
  <si>
    <t xml:space="preserve">80 Saxton Lane </t>
  </si>
  <si>
    <t>Rosedale</t>
  </si>
  <si>
    <t>Collene</t>
  </si>
  <si>
    <t>Roman</t>
  </si>
  <si>
    <t>collene.roman@aol.com</t>
  </si>
  <si>
    <t xml:space="preserve">30 North Argyle Dr. </t>
  </si>
  <si>
    <t>Wappingers Falls</t>
  </si>
  <si>
    <t>Mariette</t>
  </si>
  <si>
    <t>Trevino</t>
  </si>
  <si>
    <t>mariette.trevino@aol.com</t>
  </si>
  <si>
    <t xml:space="preserve">4 Border Court </t>
  </si>
  <si>
    <t>Candelaria</t>
  </si>
  <si>
    <t>Coffey</t>
  </si>
  <si>
    <t>candelaria.coffey@aol.com</t>
  </si>
  <si>
    <t xml:space="preserve">45 Newport Lane </t>
  </si>
  <si>
    <t>yan.trevino@gmail.com</t>
  </si>
  <si>
    <t xml:space="preserve">796 Jefferson Rd. </t>
  </si>
  <si>
    <t>Elanor</t>
  </si>
  <si>
    <t>Patrick</t>
  </si>
  <si>
    <t>elanor.patrick@aol.com</t>
  </si>
  <si>
    <t xml:space="preserve">51 Howard Ave. </t>
  </si>
  <si>
    <t>klara.mosley@gmail.com</t>
  </si>
  <si>
    <t xml:space="preserve">518 Devon Court </t>
  </si>
  <si>
    <t>Rosalba</t>
  </si>
  <si>
    <t>O'neal</t>
  </si>
  <si>
    <t>rosalba.o'neal@yahoo.com</t>
  </si>
  <si>
    <t xml:space="preserve">7517 Pennsylvania St. </t>
  </si>
  <si>
    <t>Mina</t>
  </si>
  <si>
    <t>Carrillo</t>
  </si>
  <si>
    <t>mina.carrillo@aol.com</t>
  </si>
  <si>
    <t xml:space="preserve">8659 Trenton Lane </t>
  </si>
  <si>
    <t>Alesia</t>
  </si>
  <si>
    <t>alesia.horne@aol.com</t>
  </si>
  <si>
    <t xml:space="preserve">9229 Amherst Lane </t>
  </si>
  <si>
    <t>Kristen</t>
  </si>
  <si>
    <t>kristen.alvarez@aol.com</t>
  </si>
  <si>
    <t xml:space="preserve">9778 North River St. </t>
  </si>
  <si>
    <t>Collin</t>
  </si>
  <si>
    <t>collin.webster@aol.com</t>
  </si>
  <si>
    <t xml:space="preserve">475 Cottage Rd. </t>
  </si>
  <si>
    <t>Ashlee</t>
  </si>
  <si>
    <t>Pena</t>
  </si>
  <si>
    <t>ashlee.pena@aol.com</t>
  </si>
  <si>
    <t xml:space="preserve">966 Highland St. </t>
  </si>
  <si>
    <t>Aimee</t>
  </si>
  <si>
    <t>Merritt</t>
  </si>
  <si>
    <t>aimee.merritt@yahoo.com</t>
  </si>
  <si>
    <t xml:space="preserve">537 East Meadowbrook St. </t>
  </si>
  <si>
    <t>Flushing</t>
  </si>
  <si>
    <t>Rochelle</t>
  </si>
  <si>
    <t>Ward</t>
  </si>
  <si>
    <t>rochelle.ward@yahoo.com</t>
  </si>
  <si>
    <t xml:space="preserve">7855 La Sierra Street </t>
  </si>
  <si>
    <t>Nelle</t>
  </si>
  <si>
    <t>Beck</t>
  </si>
  <si>
    <t>nelle.beck@aol.com</t>
  </si>
  <si>
    <t xml:space="preserve">8998 Wakehurst Drive </t>
  </si>
  <si>
    <t>Kaila</t>
  </si>
  <si>
    <t>Walters</t>
  </si>
  <si>
    <t>kaila.walters@msn.com</t>
  </si>
  <si>
    <t xml:space="preserve">57 Gates Drive </t>
  </si>
  <si>
    <t>aleta.stone@aol.com</t>
  </si>
  <si>
    <t xml:space="preserve">8 Elm Dr. </t>
  </si>
  <si>
    <t>Leif</t>
  </si>
  <si>
    <t>Short</t>
  </si>
  <si>
    <t>leif.short@gmail.com</t>
  </si>
  <si>
    <t xml:space="preserve">962 Carpenter Ave. </t>
  </si>
  <si>
    <t>Pollard</t>
  </si>
  <si>
    <t>lorrie.pollard@yahoo.com</t>
  </si>
  <si>
    <t xml:space="preserve">7834 Shore Ave. </t>
  </si>
  <si>
    <t>Vernita</t>
  </si>
  <si>
    <t>Ball</t>
  </si>
  <si>
    <t>vernita.ball@gmail.com</t>
  </si>
  <si>
    <t xml:space="preserve">126 Arnold Dr. </t>
  </si>
  <si>
    <t>Los Banos</t>
  </si>
  <si>
    <t>Cyndi</t>
  </si>
  <si>
    <t>Bush</t>
  </si>
  <si>
    <t>cyndi.bush@gmail.com</t>
  </si>
  <si>
    <t xml:space="preserve">18 Smoky Hollow Drive </t>
  </si>
  <si>
    <t>Gertrude</t>
  </si>
  <si>
    <t>Terry</t>
  </si>
  <si>
    <t>gertrude.terry@hotmail.com</t>
  </si>
  <si>
    <t xml:space="preserve">34 Airport Dr. </t>
  </si>
  <si>
    <t>Virgen</t>
  </si>
  <si>
    <t>Clemons</t>
  </si>
  <si>
    <t>virgen.clemons@gmail.com</t>
  </si>
  <si>
    <t xml:space="preserve">354 Cactus Drive </t>
  </si>
  <si>
    <t>Fairy</t>
  </si>
  <si>
    <t>Robinson</t>
  </si>
  <si>
    <t>fairy.robinson@msn.com</t>
  </si>
  <si>
    <t xml:space="preserve">8837 Joy Ridge St. </t>
  </si>
  <si>
    <t>Laverna</t>
  </si>
  <si>
    <t>Hernandez</t>
  </si>
  <si>
    <t>laverna.hernandez@hotmail.com</t>
  </si>
  <si>
    <t xml:space="preserve">34 South Longfellow St. </t>
  </si>
  <si>
    <t>Jeannie</t>
  </si>
  <si>
    <t>Wilcox</t>
  </si>
  <si>
    <t>jeannie.wilcox@yahoo.com</t>
  </si>
  <si>
    <t xml:space="preserve">7744 Miles Dr. </t>
  </si>
  <si>
    <t>Suellen</t>
  </si>
  <si>
    <t>Mercado</t>
  </si>
  <si>
    <t>suellen.mercado@yahoo.com</t>
  </si>
  <si>
    <t xml:space="preserve">3 Taylor Drive </t>
  </si>
  <si>
    <t>Bart</t>
  </si>
  <si>
    <t>bart.hess@aol.com</t>
  </si>
  <si>
    <t xml:space="preserve">799 N. Maiden Street </t>
  </si>
  <si>
    <t>Alfredo</t>
  </si>
  <si>
    <t>Dodson</t>
  </si>
  <si>
    <t>alfredo.dodson@hotmail.com</t>
  </si>
  <si>
    <t xml:space="preserve">8960 Glenholme Dr. </t>
  </si>
  <si>
    <t>Depew</t>
  </si>
  <si>
    <t>Shaunda</t>
  </si>
  <si>
    <t>shaunda.barnett@gmail.com</t>
  </si>
  <si>
    <t xml:space="preserve">9366 San Carlos Lane </t>
  </si>
  <si>
    <t>Kerrie</t>
  </si>
  <si>
    <t>kerrie.morton@hotmail.com</t>
  </si>
  <si>
    <t xml:space="preserve">8772 State St. </t>
  </si>
  <si>
    <t>Elouise</t>
  </si>
  <si>
    <t>Fry</t>
  </si>
  <si>
    <t>elouise.fry@aol.com</t>
  </si>
  <si>
    <t xml:space="preserve">49 Bohemia Street </t>
  </si>
  <si>
    <t>Augustus</t>
  </si>
  <si>
    <t>augustus.steele@aol.com</t>
  </si>
  <si>
    <t xml:space="preserve">7474 N. Orchard St. </t>
  </si>
  <si>
    <t>Greta</t>
  </si>
  <si>
    <t>greta.page@hotmail.com</t>
  </si>
  <si>
    <t xml:space="preserve">8316 Augusta Drive </t>
  </si>
  <si>
    <t>kerrie.o'neill@gmail.com</t>
  </si>
  <si>
    <t xml:space="preserve">69 Wellington Ave. </t>
  </si>
  <si>
    <t>Shirley</t>
  </si>
  <si>
    <t>Dannette</t>
  </si>
  <si>
    <t>Guerrero</t>
  </si>
  <si>
    <t>dannette.guerrero@gmail.com</t>
  </si>
  <si>
    <t xml:space="preserve">68 Carriage Street </t>
  </si>
  <si>
    <t>Edra</t>
  </si>
  <si>
    <t>Fitzgerald</t>
  </si>
  <si>
    <t>edra.fitzgerald@msn.com</t>
  </si>
  <si>
    <t xml:space="preserve">8892 Birchwood St. </t>
  </si>
  <si>
    <t>Jerome</t>
  </si>
  <si>
    <t>jerome.bolton@msn.com</t>
  </si>
  <si>
    <t xml:space="preserve">9921 Argyle Street </t>
  </si>
  <si>
    <t>Carmel</t>
  </si>
  <si>
    <t>Conception</t>
  </si>
  <si>
    <t>conception.slater@gmail.com</t>
  </si>
  <si>
    <t xml:space="preserve">5 Sunset Street </t>
  </si>
  <si>
    <t>Octavia</t>
  </si>
  <si>
    <t>Case</t>
  </si>
  <si>
    <t>(212) 171-1335</t>
  </si>
  <si>
    <t>octavia.case@aol.com</t>
  </si>
  <si>
    <t xml:space="preserve">40 Charles Road </t>
  </si>
  <si>
    <t>Dexter</t>
  </si>
  <si>
    <t>Roberts</t>
  </si>
  <si>
    <t>dexter.roberts@gmail.com</t>
  </si>
  <si>
    <t xml:space="preserve">84 Thatcher Court </t>
  </si>
  <si>
    <t>Ginette</t>
  </si>
  <si>
    <t>Edwards</t>
  </si>
  <si>
    <t>ginette.edwards@hotmail.com</t>
  </si>
  <si>
    <t xml:space="preserve">9262 NW. Center Ave. </t>
  </si>
  <si>
    <t>Romaine</t>
  </si>
  <si>
    <t>Haley</t>
  </si>
  <si>
    <t>romaine.haley@aol.com</t>
  </si>
  <si>
    <t xml:space="preserve">737 Edgefield Drive </t>
  </si>
  <si>
    <t>Gwendolyn</t>
  </si>
  <si>
    <t>Miller</t>
  </si>
  <si>
    <t>gwendolyn.miller@msn.com</t>
  </si>
  <si>
    <t xml:space="preserve">90 Fordham Ave. </t>
  </si>
  <si>
    <t>Harlingen</t>
  </si>
  <si>
    <t>Luke</t>
  </si>
  <si>
    <t>Fuller</t>
  </si>
  <si>
    <t>(516) 363-2253</t>
  </si>
  <si>
    <t>luke.fuller@hotmail.com</t>
  </si>
  <si>
    <t xml:space="preserve">576 Cleveland Lane </t>
  </si>
  <si>
    <t>Zoraida</t>
  </si>
  <si>
    <t>Patton</t>
  </si>
  <si>
    <t>zoraida.patton@aol.com</t>
  </si>
  <si>
    <t xml:space="preserve">95 Grand Dr. </t>
  </si>
  <si>
    <t>Georgeanna</t>
  </si>
  <si>
    <t>(805) 885-8830</t>
  </si>
  <si>
    <t>georgeanna.webster@msn.com</t>
  </si>
  <si>
    <t xml:space="preserve">40 Creekside Circle </t>
  </si>
  <si>
    <t>Krystin</t>
  </si>
  <si>
    <t>Marshall</t>
  </si>
  <si>
    <t>krystin.marshall@hotmail.com</t>
  </si>
  <si>
    <t xml:space="preserve">10 Old Proctor Lane </t>
  </si>
  <si>
    <t>Vince</t>
  </si>
  <si>
    <t>Schneider</t>
  </si>
  <si>
    <t>vince.schneider@hotmail.com</t>
  </si>
  <si>
    <t xml:space="preserve">473 Corona Ave. </t>
  </si>
  <si>
    <t>Iola</t>
  </si>
  <si>
    <t>iola.rasmussen@yahoo.com</t>
  </si>
  <si>
    <t xml:space="preserve">283 N. Manor Station Dr. </t>
  </si>
  <si>
    <t>Valery</t>
  </si>
  <si>
    <t>Saunders</t>
  </si>
  <si>
    <t>valery.saunders@msn.com</t>
  </si>
  <si>
    <t xml:space="preserve">42 Marlborough St. </t>
  </si>
  <si>
    <t>Johna</t>
  </si>
  <si>
    <t>johna.powers@hotmail.com</t>
  </si>
  <si>
    <t xml:space="preserve">379 Central Ave. </t>
  </si>
  <si>
    <t>Charleen</t>
  </si>
  <si>
    <t>Hurst</t>
  </si>
  <si>
    <t>charleen.hurst@yahoo.com</t>
  </si>
  <si>
    <t xml:space="preserve">87 Country Avenue </t>
  </si>
  <si>
    <t>Augustina</t>
  </si>
  <si>
    <t>augustina.joyner@aol.com</t>
  </si>
  <si>
    <t xml:space="preserve">7931 Honey Creek Court </t>
  </si>
  <si>
    <t>Daisy</t>
  </si>
  <si>
    <t>daisy.ward@msn.com</t>
  </si>
  <si>
    <t xml:space="preserve">45 Silver Spear Ave. </t>
  </si>
  <si>
    <t>Latonya</t>
  </si>
  <si>
    <t>Dixon</t>
  </si>
  <si>
    <t>latonya.dixon@hotmail.com</t>
  </si>
  <si>
    <t xml:space="preserve">9399 Evergreen Street </t>
  </si>
  <si>
    <t>Hipolito</t>
  </si>
  <si>
    <t>Padilla</t>
  </si>
  <si>
    <t>hipolito.padilla@hotmail.com</t>
  </si>
  <si>
    <t xml:space="preserve">311 E. Rose Avenue </t>
  </si>
  <si>
    <t>New Rochelle</t>
  </si>
  <si>
    <t>Emmett</t>
  </si>
  <si>
    <t>emmett.casey@yahoo.com</t>
  </si>
  <si>
    <t xml:space="preserve">893 Logan St. </t>
  </si>
  <si>
    <t>Kandi</t>
  </si>
  <si>
    <t>Mcneil</t>
  </si>
  <si>
    <t>kandi.mcneil@msn.com</t>
  </si>
  <si>
    <t xml:space="preserve">402 Border Street </t>
  </si>
  <si>
    <t>Luciano</t>
  </si>
  <si>
    <t>Marsh</t>
  </si>
  <si>
    <t>luciano.marsh@aol.com</t>
  </si>
  <si>
    <t xml:space="preserve">7685 South Willow Drive </t>
  </si>
  <si>
    <t>Julius</t>
  </si>
  <si>
    <t>Holt</t>
  </si>
  <si>
    <t>julius.holt@aol.com</t>
  </si>
  <si>
    <t xml:space="preserve">386 Lower River Street </t>
  </si>
  <si>
    <t>Holly</t>
  </si>
  <si>
    <t>Nieves</t>
  </si>
  <si>
    <t>holly.nieves@aol.com</t>
  </si>
  <si>
    <t xml:space="preserve">60 Cleveland St. </t>
  </si>
  <si>
    <t>Douglass</t>
  </si>
  <si>
    <t>douglass.little@hotmail.com</t>
  </si>
  <si>
    <t xml:space="preserve">294 Harvey Drive </t>
  </si>
  <si>
    <t>Izola</t>
  </si>
  <si>
    <t>Hobbs</t>
  </si>
  <si>
    <t>izola.hobbs@gmail.com</t>
  </si>
  <si>
    <t xml:space="preserve">685 Beacon Dr. </t>
  </si>
  <si>
    <t>Honey</t>
  </si>
  <si>
    <t>Camacho</t>
  </si>
  <si>
    <t>honey.camacho@gmail.com</t>
  </si>
  <si>
    <t xml:space="preserve">934 2nd St. </t>
  </si>
  <si>
    <t>laureen.barry@yahoo.com</t>
  </si>
  <si>
    <t xml:space="preserve">909 Ridge St. </t>
  </si>
  <si>
    <t>Katharine</t>
  </si>
  <si>
    <t>Herrera</t>
  </si>
  <si>
    <t>katharine.herrera@hotmail.com</t>
  </si>
  <si>
    <t xml:space="preserve">395 SE. Branch St. </t>
  </si>
  <si>
    <t>Sunshine</t>
  </si>
  <si>
    <t>sunshine.rosario@aol.com</t>
  </si>
  <si>
    <t xml:space="preserve">1 Chestnut Lane </t>
  </si>
  <si>
    <t>Yevette</t>
  </si>
  <si>
    <t>yevette.todd@aol.com</t>
  </si>
  <si>
    <t xml:space="preserve">119 Lakewood Rd. </t>
  </si>
  <si>
    <t>Dorthea</t>
  </si>
  <si>
    <t>Walker</t>
  </si>
  <si>
    <t>dorthea.walker@aol.com</t>
  </si>
  <si>
    <t xml:space="preserve">11 Third St. </t>
  </si>
  <si>
    <t>Munoz</t>
  </si>
  <si>
    <t>(914) 706-7576</t>
  </si>
  <si>
    <t>alane.munoz@gmail.com</t>
  </si>
  <si>
    <t xml:space="preserve">8 Strawberry Dr. </t>
  </si>
  <si>
    <t>Yonkers</t>
  </si>
  <si>
    <t>Ayana</t>
  </si>
  <si>
    <t>Keith</t>
  </si>
  <si>
    <t>(805) 230-2101</t>
  </si>
  <si>
    <t>ayana.keith@hotmail.com</t>
  </si>
  <si>
    <t xml:space="preserve">182 Thorne Road </t>
  </si>
  <si>
    <t>Caridad</t>
  </si>
  <si>
    <t>Compton</t>
  </si>
  <si>
    <t>caridad.compton@aol.com</t>
  </si>
  <si>
    <t xml:space="preserve">9575 SW. Kingston Court </t>
  </si>
  <si>
    <t>Earline</t>
  </si>
  <si>
    <t>Ballard</t>
  </si>
  <si>
    <t>earline.ballard@hotmail.com</t>
  </si>
  <si>
    <t xml:space="preserve">939 Lyme Road </t>
  </si>
  <si>
    <t>Nathanael</t>
  </si>
  <si>
    <t>Bradley</t>
  </si>
  <si>
    <t>nathanael.bradley@aol.com</t>
  </si>
  <si>
    <t xml:space="preserve">58 Third St. </t>
  </si>
  <si>
    <t>Amsterdam</t>
  </si>
  <si>
    <t>Chasidy</t>
  </si>
  <si>
    <t>Tran</t>
  </si>
  <si>
    <t>chasidy.tran@msn.com</t>
  </si>
  <si>
    <t xml:space="preserve">9286 Anderson Street </t>
  </si>
  <si>
    <t>Vista</t>
  </si>
  <si>
    <t>Janella</t>
  </si>
  <si>
    <t>Bright</t>
  </si>
  <si>
    <t>(507) 616-2958</t>
  </si>
  <si>
    <t>janella.bright@aol.com</t>
  </si>
  <si>
    <t xml:space="preserve">7317 Tower Dr. </t>
  </si>
  <si>
    <t>Rochester</t>
  </si>
  <si>
    <t>Josie</t>
  </si>
  <si>
    <t>Schultz</t>
  </si>
  <si>
    <t>josie.schultz@hotmail.com</t>
  </si>
  <si>
    <t xml:space="preserve">225 Mammoth Street </t>
  </si>
  <si>
    <t>Ellsworth</t>
  </si>
  <si>
    <t>ellsworth.michael@yahoo.com</t>
  </si>
  <si>
    <t xml:space="preserve">9982 White St. </t>
  </si>
  <si>
    <t>Jennette</t>
  </si>
  <si>
    <t>Wooten</t>
  </si>
  <si>
    <t>jennette.wooten@msn.com</t>
  </si>
  <si>
    <t xml:space="preserve">8221 Bow Ridge Lane </t>
  </si>
  <si>
    <t>Cassandra</t>
  </si>
  <si>
    <t>cassandra.nichols@yahoo.com</t>
  </si>
  <si>
    <t xml:space="preserve">4 Glenwood Circle </t>
  </si>
  <si>
    <t>Courtney</t>
  </si>
  <si>
    <t>courtney.wyatt@gmail.com</t>
  </si>
  <si>
    <t xml:space="preserve">369 Arrowhead St. </t>
  </si>
  <si>
    <t>Terese</t>
  </si>
  <si>
    <t>Palmer</t>
  </si>
  <si>
    <t>terese.palmer@hotmail.com</t>
  </si>
  <si>
    <t xml:space="preserve">8 Sugar Drive </t>
  </si>
  <si>
    <t>Sherita</t>
  </si>
  <si>
    <t>Cherry</t>
  </si>
  <si>
    <t>sherita.cherry@gmail.com</t>
  </si>
  <si>
    <t xml:space="preserve">9636 Old Cedarwood Street </t>
  </si>
  <si>
    <t>Serina</t>
  </si>
  <si>
    <t>serina.hensley@yahoo.com</t>
  </si>
  <si>
    <t xml:space="preserve">53 Proctor Drive </t>
  </si>
  <si>
    <t>jeni.farley@aol.com</t>
  </si>
  <si>
    <t xml:space="preserve">4 Mill Lane </t>
  </si>
  <si>
    <t>everett.vega@yahoo.com</t>
  </si>
  <si>
    <t xml:space="preserve">7859 James Ave. </t>
  </si>
  <si>
    <t>Latosha</t>
  </si>
  <si>
    <t>Dalton</t>
  </si>
  <si>
    <t>(661) 529-4501</t>
  </si>
  <si>
    <t>latosha.dalton@yahoo.com</t>
  </si>
  <si>
    <t xml:space="preserve">59 E. Wintergreen Ave. </t>
  </si>
  <si>
    <t>Bakersfield</t>
  </si>
  <si>
    <t>Romelia</t>
  </si>
  <si>
    <t>Myers</t>
  </si>
  <si>
    <t>romelia.myers@msn.com</t>
  </si>
  <si>
    <t xml:space="preserve">8630 Brook St. </t>
  </si>
  <si>
    <t>Effie</t>
  </si>
  <si>
    <t>(631) 477-1277</t>
  </si>
  <si>
    <t>effie.jenkins@msn.com</t>
  </si>
  <si>
    <t xml:space="preserve">75 South Glen Eagles Court </t>
  </si>
  <si>
    <t>Efren</t>
  </si>
  <si>
    <t>Oliver</t>
  </si>
  <si>
    <t>efren.oliver@gmail.com</t>
  </si>
  <si>
    <t xml:space="preserve">9343 1st Rd. </t>
  </si>
  <si>
    <t>Nanuet</t>
  </si>
  <si>
    <t>Jerlene</t>
  </si>
  <si>
    <t>Rios</t>
  </si>
  <si>
    <t>jerlene.rios@yahoo.com</t>
  </si>
  <si>
    <t xml:space="preserve">32 Griffin St. </t>
  </si>
  <si>
    <t>Bess</t>
  </si>
  <si>
    <t>Mcbride</t>
  </si>
  <si>
    <t>bess.mcbride@yahoo.com</t>
  </si>
  <si>
    <t xml:space="preserve">9832 Winchester St. </t>
  </si>
  <si>
    <t>Birdie</t>
  </si>
  <si>
    <t>Kramer</t>
  </si>
  <si>
    <t>(248) 725-2174</t>
  </si>
  <si>
    <t>birdie.kramer@hotmail.com</t>
  </si>
  <si>
    <t xml:space="preserve">311 Newcastle Dr. </t>
  </si>
  <si>
    <t>Collen</t>
  </si>
  <si>
    <t>collen.hayes@yahoo.com</t>
  </si>
  <si>
    <t xml:space="preserve">117 Eagle St. </t>
  </si>
  <si>
    <t>Clare</t>
  </si>
  <si>
    <t>clare.neal@msn.com</t>
  </si>
  <si>
    <t xml:space="preserve">8922 Shady Ave. </t>
  </si>
  <si>
    <t>Jeanett</t>
  </si>
  <si>
    <t>Herman</t>
  </si>
  <si>
    <t>jeanett.herman@hotmail.com</t>
  </si>
  <si>
    <t xml:space="preserve">839 East Arch Street </t>
  </si>
  <si>
    <t>Micki</t>
  </si>
  <si>
    <t>Rutledge</t>
  </si>
  <si>
    <t>micki.rutledge@aol.com</t>
  </si>
  <si>
    <t xml:space="preserve">9868 Marvon Street </t>
  </si>
  <si>
    <t>Loise</t>
  </si>
  <si>
    <t>loise.walker@aol.com</t>
  </si>
  <si>
    <t xml:space="preserve">201 Glen Eagles St. </t>
  </si>
  <si>
    <t>Burma</t>
  </si>
  <si>
    <t>Summers</t>
  </si>
  <si>
    <t>burma.summers@yahoo.com</t>
  </si>
  <si>
    <t xml:space="preserve">890 East Elmwood Street </t>
  </si>
  <si>
    <t>Freeport</t>
  </si>
  <si>
    <t>Myron</t>
  </si>
  <si>
    <t>Ruiz</t>
  </si>
  <si>
    <t>myron.ruiz@gmail.com</t>
  </si>
  <si>
    <t xml:space="preserve">45 Shadow Brook Lane </t>
  </si>
  <si>
    <t>Lashawna</t>
  </si>
  <si>
    <t>lashawna.richardson@hotmail.com</t>
  </si>
  <si>
    <t xml:space="preserve">9920 Purple Finch St. </t>
  </si>
  <si>
    <t>Lavern</t>
  </si>
  <si>
    <t>Orr</t>
  </si>
  <si>
    <t>lavern.orr@hotmail.com</t>
  </si>
  <si>
    <t xml:space="preserve">913 N. Young Street </t>
  </si>
  <si>
    <t>Alec</t>
  </si>
  <si>
    <t>alec.peck@hotmail.com</t>
  </si>
  <si>
    <t xml:space="preserve">4 W. Belmont St. </t>
  </si>
  <si>
    <t>Christopher</t>
  </si>
  <si>
    <t>christopher.richardson@gmail.com</t>
  </si>
  <si>
    <t xml:space="preserve">7846 Windfall Dr. </t>
  </si>
  <si>
    <t>Arminda</t>
  </si>
  <si>
    <t>Weber</t>
  </si>
  <si>
    <t>arminda.weber@yahoo.com</t>
  </si>
  <si>
    <t xml:space="preserve">6 Hill Field St. </t>
  </si>
  <si>
    <t>emmett.hahn@hotmail.com</t>
  </si>
  <si>
    <t xml:space="preserve">7727 6th St. </t>
  </si>
  <si>
    <t>Gertha</t>
  </si>
  <si>
    <t>Mejia</t>
  </si>
  <si>
    <t>gertha.mejia@yahoo.com</t>
  </si>
  <si>
    <t xml:space="preserve">518 Orchard St. </t>
  </si>
  <si>
    <t>Weaver</t>
  </si>
  <si>
    <t>garland.weaver@gmail.com</t>
  </si>
  <si>
    <t xml:space="preserve">7161 Goldfield Court </t>
  </si>
  <si>
    <t>Jayson</t>
  </si>
  <si>
    <t>jayson.rutledge@yahoo.com</t>
  </si>
  <si>
    <t xml:space="preserve">8672 Coffee St. </t>
  </si>
  <si>
    <t>Lake Jackson</t>
  </si>
  <si>
    <t>Narcisa</t>
  </si>
  <si>
    <t>narcisa.knapp@aol.com</t>
  </si>
  <si>
    <t xml:space="preserve">435 Dogwood Dr. </t>
  </si>
  <si>
    <t>Gayla</t>
  </si>
  <si>
    <t>Sims</t>
  </si>
  <si>
    <t>gayla.sims@gmail.com</t>
  </si>
  <si>
    <t xml:space="preserve">98 Hall Street </t>
  </si>
  <si>
    <t>chelsey.boyd@yahoo.com</t>
  </si>
  <si>
    <t xml:space="preserve">9569 Birchpond Ave. </t>
  </si>
  <si>
    <t>Catherine</t>
  </si>
  <si>
    <t>Miles</t>
  </si>
  <si>
    <t>catherine.miles@msn.com</t>
  </si>
  <si>
    <t xml:space="preserve">7189 Elm Dr. </t>
  </si>
  <si>
    <t>Valeri</t>
  </si>
  <si>
    <t>valeri.marshall@hotmail.com</t>
  </si>
  <si>
    <t xml:space="preserve">494 East Brewery Dr. </t>
  </si>
  <si>
    <t>Grace</t>
  </si>
  <si>
    <t>Madden</t>
  </si>
  <si>
    <t>grace.madden@gmail.com</t>
  </si>
  <si>
    <t xml:space="preserve">606 East Rocky River St. </t>
  </si>
  <si>
    <t>Joaquin</t>
  </si>
  <si>
    <t>Hawkins</t>
  </si>
  <si>
    <t>(657) 557-1746</t>
  </si>
  <si>
    <t>joaquin.hawkins@aol.com</t>
  </si>
  <si>
    <t xml:space="preserve">3 Oklahoma Lane </t>
  </si>
  <si>
    <t>Kirstie</t>
  </si>
  <si>
    <t>kirstie.vazquez@gmail.com</t>
  </si>
  <si>
    <t xml:space="preserve">8006 Rockland Ave. </t>
  </si>
  <si>
    <t>Yu</t>
  </si>
  <si>
    <t>Mcdonald</t>
  </si>
  <si>
    <t>yu.mcdonald@aol.com</t>
  </si>
  <si>
    <t xml:space="preserve">784 Pheasant Rd. </t>
  </si>
  <si>
    <t>Celestine</t>
  </si>
  <si>
    <t>Jacobs</t>
  </si>
  <si>
    <t>celestine.jacobs@gmail.com</t>
  </si>
  <si>
    <t xml:space="preserve">87 Hanover Rd. </t>
  </si>
  <si>
    <t>Justa</t>
  </si>
  <si>
    <t>Thompson</t>
  </si>
  <si>
    <t>justa.thompson@aol.com</t>
  </si>
  <si>
    <t xml:space="preserve">43 Manor Ave. </t>
  </si>
  <si>
    <t>Corona</t>
  </si>
  <si>
    <t>Lise</t>
  </si>
  <si>
    <t>Alvarado</t>
  </si>
  <si>
    <t>lise.alvarado@gmail.com</t>
  </si>
  <si>
    <t xml:space="preserve">9816 Newcastle Dr. </t>
  </si>
  <si>
    <t>Pearl</t>
  </si>
  <si>
    <t>Fox</t>
  </si>
  <si>
    <t>pearl.fox@yahoo.com</t>
  </si>
  <si>
    <t xml:space="preserve">9415 Honey Creek Dr. </t>
  </si>
  <si>
    <t>Travis</t>
  </si>
  <si>
    <t>travis.goodman@yahoo.com</t>
  </si>
  <si>
    <t xml:space="preserve">65 Rockcrest Dr. </t>
  </si>
  <si>
    <t>Shu</t>
  </si>
  <si>
    <t>Mays</t>
  </si>
  <si>
    <t>shu.mays@gmail.com</t>
  </si>
  <si>
    <t xml:space="preserve">996 St Margarets Lane </t>
  </si>
  <si>
    <t>Ezra</t>
  </si>
  <si>
    <t>Fowler</t>
  </si>
  <si>
    <t>ezra.fowler@hotmail.com</t>
  </si>
  <si>
    <t xml:space="preserve">16 Pearl St. </t>
  </si>
  <si>
    <t>Edda</t>
  </si>
  <si>
    <t>Young</t>
  </si>
  <si>
    <t>edda.young@gmail.com</t>
  </si>
  <si>
    <t xml:space="preserve">50 S. Airport Street </t>
  </si>
  <si>
    <t>Lidia</t>
  </si>
  <si>
    <t>Ashley</t>
  </si>
  <si>
    <t>lidia.ashley@hotmail.com</t>
  </si>
  <si>
    <t xml:space="preserve">8436 Meadow St. </t>
  </si>
  <si>
    <t>Moira</t>
  </si>
  <si>
    <t>Lester</t>
  </si>
  <si>
    <t>moira.lester@msn.com</t>
  </si>
  <si>
    <t xml:space="preserve">496 Greystone Court </t>
  </si>
  <si>
    <t>Tony</t>
  </si>
  <si>
    <t>Hicks</t>
  </si>
  <si>
    <t>(657) 260-6783</t>
  </si>
  <si>
    <t>tony.hicks@gmail.com</t>
  </si>
  <si>
    <t xml:space="preserve">226 Carriage Street </t>
  </si>
  <si>
    <t>Malinda</t>
  </si>
  <si>
    <t>Baxter</t>
  </si>
  <si>
    <t>malinda.baxter@yahoo.com</t>
  </si>
  <si>
    <t xml:space="preserve">7698 Briarwood Ave. </t>
  </si>
  <si>
    <t>Marlo</t>
  </si>
  <si>
    <t>Jefferson</t>
  </si>
  <si>
    <t>marlo.jefferson@gmail.com</t>
  </si>
  <si>
    <t xml:space="preserve">39 Trenton Rd. </t>
  </si>
  <si>
    <t>Tiana</t>
  </si>
  <si>
    <t>Henderson</t>
  </si>
  <si>
    <t>tiana.henderson@aol.com</t>
  </si>
  <si>
    <t xml:space="preserve">62 Orange St. </t>
  </si>
  <si>
    <t>Wilda</t>
  </si>
  <si>
    <t>Petersen</t>
  </si>
  <si>
    <t>wilda.petersen@aol.com</t>
  </si>
  <si>
    <t xml:space="preserve">899 Helen St. </t>
  </si>
  <si>
    <t>Irving</t>
  </si>
  <si>
    <t>irving.pitts@msn.com</t>
  </si>
  <si>
    <t xml:space="preserve">346 College Court </t>
  </si>
  <si>
    <t>Sheree</t>
  </si>
  <si>
    <t>sheree.pena@yahoo.com</t>
  </si>
  <si>
    <t xml:space="preserve">822 Virginia Court </t>
  </si>
  <si>
    <t>Taylor</t>
  </si>
  <si>
    <t>(717) 218-5607</t>
  </si>
  <si>
    <t>vance.taylor@msn.com</t>
  </si>
  <si>
    <t xml:space="preserve">8279 Military Dr. </t>
  </si>
  <si>
    <t>Terra</t>
  </si>
  <si>
    <t>Pickett</t>
  </si>
  <si>
    <t>terra.pickett@aol.com</t>
  </si>
  <si>
    <t xml:space="preserve">7822 Depot Avenue </t>
  </si>
  <si>
    <t>Faustino</t>
  </si>
  <si>
    <t>faustino.delacruz@msn.com</t>
  </si>
  <si>
    <t xml:space="preserve">88 West Greenview Street </t>
  </si>
  <si>
    <t>South Richmond Hill</t>
  </si>
  <si>
    <t>Julienne</t>
  </si>
  <si>
    <t>Moody</t>
  </si>
  <si>
    <t>(682) 841-4643</t>
  </si>
  <si>
    <t>julienne.moody@hotmail.com</t>
  </si>
  <si>
    <t xml:space="preserve">35 South Oxford Rd. </t>
  </si>
  <si>
    <t>Fort Worth</t>
  </si>
  <si>
    <t>Hee</t>
  </si>
  <si>
    <t>hee.greer@hotmail.com</t>
  </si>
  <si>
    <t xml:space="preserve">41 North Garfield Ave. </t>
  </si>
  <si>
    <t>Cash</t>
  </si>
  <si>
    <t>whitney.cash@gmail.com</t>
  </si>
  <si>
    <t xml:space="preserve">8 Surrey Street </t>
  </si>
  <si>
    <t>Clarita</t>
  </si>
  <si>
    <t>Curry</t>
  </si>
  <si>
    <t>clarita.curry@hotmail.com</t>
  </si>
  <si>
    <t xml:space="preserve">661 Tanglewood Street </t>
  </si>
  <si>
    <t>Reita</t>
  </si>
  <si>
    <t>Dickson</t>
  </si>
  <si>
    <t>reita.dickson@hotmail.com</t>
  </si>
  <si>
    <t xml:space="preserve">7506 Mechanic Dr. </t>
  </si>
  <si>
    <t>Rosa</t>
  </si>
  <si>
    <t>Kinney</t>
  </si>
  <si>
    <t>rosa.kinney@yahoo.com</t>
  </si>
  <si>
    <t xml:space="preserve">330 Highland Drive </t>
  </si>
  <si>
    <t>Gilbert</t>
  </si>
  <si>
    <t>buford.gilbert@yahoo.com</t>
  </si>
  <si>
    <t xml:space="preserve">9 East Ketch Harbour Street </t>
  </si>
  <si>
    <t>Homer</t>
  </si>
  <si>
    <t>homer.powers@msn.com</t>
  </si>
  <si>
    <t xml:space="preserve">8207 East El Dorado Ave. </t>
  </si>
  <si>
    <t>Rudolf</t>
  </si>
  <si>
    <t>rudolf.gilliam@aol.com</t>
  </si>
  <si>
    <t xml:space="preserve">17 Marlborough Circle </t>
  </si>
  <si>
    <t>Andreas</t>
  </si>
  <si>
    <t>andreas.herman@msn.com</t>
  </si>
  <si>
    <t xml:space="preserve">456 Rock Creek Street </t>
  </si>
  <si>
    <t>Max</t>
  </si>
  <si>
    <t>max.charles@gmail.com</t>
  </si>
  <si>
    <t xml:space="preserve">695 St Paul Street </t>
  </si>
  <si>
    <t>Glen Cove</t>
  </si>
  <si>
    <t>Tammera</t>
  </si>
  <si>
    <t>(510) 534-8845</t>
  </si>
  <si>
    <t>tammera.fischer@hotmail.com</t>
  </si>
  <si>
    <t xml:space="preserve">405 Olive St. </t>
  </si>
  <si>
    <t>Joshua</t>
  </si>
  <si>
    <t>Robertson</t>
  </si>
  <si>
    <t>joshua.robertson@gmail.com</t>
  </si>
  <si>
    <t xml:space="preserve">81 Campfire Court </t>
  </si>
  <si>
    <t>Larraine</t>
  </si>
  <si>
    <t>Horn</t>
  </si>
  <si>
    <t>larraine.horn@msn.com</t>
  </si>
  <si>
    <t xml:space="preserve">368 South Summerhouse Dr. </t>
  </si>
  <si>
    <t>Mayer</t>
  </si>
  <si>
    <t>andreas.mayer@hotmail.com</t>
  </si>
  <si>
    <t xml:space="preserve">8577 Galvin Circle </t>
  </si>
  <si>
    <t>Lazaro</t>
  </si>
  <si>
    <t>Moran</t>
  </si>
  <si>
    <t>lazaro.moran@gmail.com</t>
  </si>
  <si>
    <t xml:space="preserve">83 E. Buttonwood Street </t>
  </si>
  <si>
    <t>Afton</t>
  </si>
  <si>
    <t>afton.juarez@gmail.com</t>
  </si>
  <si>
    <t xml:space="preserve">8330 Riverview Drive </t>
  </si>
  <si>
    <t>Angele</t>
  </si>
  <si>
    <t>Schroeder</t>
  </si>
  <si>
    <t>(845) 804-6312</t>
  </si>
  <si>
    <t>angele.schroeder@yahoo.com</t>
  </si>
  <si>
    <t xml:space="preserve">33 S. Shadow Brook Street </t>
  </si>
  <si>
    <t>New City</t>
  </si>
  <si>
    <t>Ellena</t>
  </si>
  <si>
    <t>Clements</t>
  </si>
  <si>
    <t>ellena.clements@aol.com</t>
  </si>
  <si>
    <t xml:space="preserve">7918 Mulberry Street </t>
  </si>
  <si>
    <t>Santa Monica</t>
  </si>
  <si>
    <t>Selene</t>
  </si>
  <si>
    <t>Austin</t>
  </si>
  <si>
    <t>selene.austin@msn.com</t>
  </si>
  <si>
    <t xml:space="preserve">9042 Linda Circle </t>
  </si>
  <si>
    <t>Kimberely</t>
  </si>
  <si>
    <t>Bowen</t>
  </si>
  <si>
    <t>(248) 199-2582</t>
  </si>
  <si>
    <t>kimberely.bowen@hotmail.com</t>
  </si>
  <si>
    <t xml:space="preserve">88 Belmont Street </t>
  </si>
  <si>
    <t>Mia</t>
  </si>
  <si>
    <t>Delgado</t>
  </si>
  <si>
    <t>mia.delgado@yahoo.com</t>
  </si>
  <si>
    <t xml:space="preserve">850 Wakehurst Drive </t>
  </si>
  <si>
    <t>Garret</t>
  </si>
  <si>
    <t>Clay</t>
  </si>
  <si>
    <t>(361) 687-9477</t>
  </si>
  <si>
    <t>garret.clay@yahoo.com</t>
  </si>
  <si>
    <t xml:space="preserve">9516 College Drive </t>
  </si>
  <si>
    <t>Alejandro</t>
  </si>
  <si>
    <t>Haney</t>
  </si>
  <si>
    <t>alejandro.haney@msn.com</t>
  </si>
  <si>
    <t xml:space="preserve">3 Griffin Street </t>
  </si>
  <si>
    <t>Inge</t>
  </si>
  <si>
    <t>Olsen</t>
  </si>
  <si>
    <t>(562) 719-5041</t>
  </si>
  <si>
    <t>inge.olsen@msn.com</t>
  </si>
  <si>
    <t xml:space="preserve">295 Iroquois Rd. </t>
  </si>
  <si>
    <t>Christiane</t>
  </si>
  <si>
    <t>Bradford</t>
  </si>
  <si>
    <t>christiane.bradford@gmail.com</t>
  </si>
  <si>
    <t xml:space="preserve">9043 Woodland Ave. </t>
  </si>
  <si>
    <t>Bentley</t>
  </si>
  <si>
    <t>carter.bentley@yahoo.com</t>
  </si>
  <si>
    <t xml:space="preserve">145 North Bridle Ave. </t>
  </si>
  <si>
    <t>Sherie</t>
  </si>
  <si>
    <t>Ayala</t>
  </si>
  <si>
    <t>sherie.ayala@msn.com</t>
  </si>
  <si>
    <t xml:space="preserve">5 Beech Ave. </t>
  </si>
  <si>
    <t>Jamika</t>
  </si>
  <si>
    <t>Acevedo</t>
  </si>
  <si>
    <t>jamika.acevedo@yahoo.com</t>
  </si>
  <si>
    <t xml:space="preserve">8027 NW. Poplar St. </t>
  </si>
  <si>
    <t>Shery</t>
  </si>
  <si>
    <t>shery.randolph@hotmail.com</t>
  </si>
  <si>
    <t xml:space="preserve">602 Laurel Street </t>
  </si>
  <si>
    <t>Ontario</t>
  </si>
  <si>
    <t>Lanita</t>
  </si>
  <si>
    <t>Burton</t>
  </si>
  <si>
    <t>lanita.burton@msn.com</t>
  </si>
  <si>
    <t xml:space="preserve">8980 Aspen Avenue </t>
  </si>
  <si>
    <t>Timothy</t>
  </si>
  <si>
    <t>timothy.byers@msn.com</t>
  </si>
  <si>
    <t xml:space="preserve">8645 Devonshire Lane </t>
  </si>
  <si>
    <t>Jasmin</t>
  </si>
  <si>
    <t>jasmin.young@gmail.com</t>
  </si>
  <si>
    <t xml:space="preserve">337 Beach Street </t>
  </si>
  <si>
    <t>Catarina</t>
  </si>
  <si>
    <t>Mendez</t>
  </si>
  <si>
    <t>catarina.mendez@hotmail.com</t>
  </si>
  <si>
    <t xml:space="preserve">444 Hanover Court </t>
  </si>
  <si>
    <t>Tajuana</t>
  </si>
  <si>
    <t>tajuana.rollins@msn.com</t>
  </si>
  <si>
    <t xml:space="preserve">724 N. Glen Creek Street </t>
  </si>
  <si>
    <t>Thad</t>
  </si>
  <si>
    <t>Castro</t>
  </si>
  <si>
    <t>(631) 943-1407</t>
  </si>
  <si>
    <t>thad.castro@msn.com</t>
  </si>
  <si>
    <t xml:space="preserve">71 Surrey Ave. </t>
  </si>
  <si>
    <t>Huber</t>
  </si>
  <si>
    <t>tena.huber@gmail.com</t>
  </si>
  <si>
    <t xml:space="preserve">185 East Littleton St. </t>
  </si>
  <si>
    <t>Dori</t>
  </si>
  <si>
    <t>dori.alvarez@msn.com</t>
  </si>
  <si>
    <t xml:space="preserve">8208 Brandywine St. </t>
  </si>
  <si>
    <t>Elmo</t>
  </si>
  <si>
    <t>Arnold</t>
  </si>
  <si>
    <t>(562) 841-9339</t>
  </si>
  <si>
    <t>elmo.arnold@aol.com</t>
  </si>
  <si>
    <t xml:space="preserve">7616 Lyme Rd. </t>
  </si>
  <si>
    <t>Felicidad</t>
  </si>
  <si>
    <t>felicidad.golden@yahoo.com</t>
  </si>
  <si>
    <t xml:space="preserve">9712 Coffee Ave. </t>
  </si>
  <si>
    <t>Jenine</t>
  </si>
  <si>
    <t>Crane</t>
  </si>
  <si>
    <t>(682) 183-6555</t>
  </si>
  <si>
    <t>jenine.crane@msn.com</t>
  </si>
  <si>
    <t xml:space="preserve">7381 Alderwood Drive </t>
  </si>
  <si>
    <t>Lea</t>
  </si>
  <si>
    <t>Key</t>
  </si>
  <si>
    <t>lea.key@yahoo.com</t>
  </si>
  <si>
    <t xml:space="preserve">7 Ocean St. </t>
  </si>
  <si>
    <t>Rory</t>
  </si>
  <si>
    <t>rory.cooper@gmail.com</t>
  </si>
  <si>
    <t xml:space="preserve">459 West Street </t>
  </si>
  <si>
    <t>Hilde</t>
  </si>
  <si>
    <t>hilde.nieves@gmail.com</t>
  </si>
  <si>
    <t xml:space="preserve">9437 Fordham Lane </t>
  </si>
  <si>
    <t>Marry</t>
  </si>
  <si>
    <t>Benjamin</t>
  </si>
  <si>
    <t>marry.benjamin@yahoo.com</t>
  </si>
  <si>
    <t xml:space="preserve">33 Amerige Street </t>
  </si>
  <si>
    <t>Vernell</t>
  </si>
  <si>
    <t>vernell.goff@msn.com</t>
  </si>
  <si>
    <t xml:space="preserve">77 Cobblestone St. </t>
  </si>
  <si>
    <t>Erlene</t>
  </si>
  <si>
    <t>Cook</t>
  </si>
  <si>
    <t>erlene.cook@gmail.com</t>
  </si>
  <si>
    <t xml:space="preserve">89 Blue Spring Street </t>
  </si>
  <si>
    <t>Kelly</t>
  </si>
  <si>
    <t>carroll.kelly@yahoo.com</t>
  </si>
  <si>
    <t xml:space="preserve">346 Grant Circle </t>
  </si>
  <si>
    <t>Basilia</t>
  </si>
  <si>
    <t>Thornton</t>
  </si>
  <si>
    <t>(631) 592-9548</t>
  </si>
  <si>
    <t>basilia.thornton@hotmail.com</t>
  </si>
  <si>
    <t xml:space="preserve">9033 Pine Dr. </t>
  </si>
  <si>
    <t>Tricia</t>
  </si>
  <si>
    <t>Daniels</t>
  </si>
  <si>
    <t>tricia.daniels@gmail.com</t>
  </si>
  <si>
    <t xml:space="preserve">8628 Crescent Court </t>
  </si>
  <si>
    <t>Hughes</t>
  </si>
  <si>
    <t>kandace.hughes@hotmail.com</t>
  </si>
  <si>
    <t xml:space="preserve">482 Ryan Ave. </t>
  </si>
  <si>
    <t>Norman</t>
  </si>
  <si>
    <t>alejandro.norman@yahoo.com</t>
  </si>
  <si>
    <t xml:space="preserve">8918 Marsh Lane </t>
  </si>
  <si>
    <t>Rodney</t>
  </si>
  <si>
    <t>rodney.odom@yahoo.com</t>
  </si>
  <si>
    <t xml:space="preserve">7782 North Deerfield Lane </t>
  </si>
  <si>
    <t>Pierce</t>
  </si>
  <si>
    <t>bettie.pierce@gmail.com</t>
  </si>
  <si>
    <t xml:space="preserve">787 North Vernon Lane </t>
  </si>
  <si>
    <t>Dagny</t>
  </si>
  <si>
    <t>Owen</t>
  </si>
  <si>
    <t>dagny.owen@hotmail.com</t>
  </si>
  <si>
    <t xml:space="preserve">8028 Thompson Drive </t>
  </si>
  <si>
    <t>Cinthia</t>
  </si>
  <si>
    <t>Poole</t>
  </si>
  <si>
    <t>cinthia.poole@aol.com</t>
  </si>
  <si>
    <t xml:space="preserve">7 Central Ave. </t>
  </si>
  <si>
    <t>Sheila</t>
  </si>
  <si>
    <t>sheila.travis@yahoo.com</t>
  </si>
  <si>
    <t xml:space="preserve">9285 Front St. </t>
  </si>
  <si>
    <t>Arcelia</t>
  </si>
  <si>
    <t>arcelia.vinson@gmail.com</t>
  </si>
  <si>
    <t xml:space="preserve">40 Dogwood St. </t>
  </si>
  <si>
    <t>Lucas</t>
  </si>
  <si>
    <t>lucas.estes@yahoo.com</t>
  </si>
  <si>
    <t xml:space="preserve">99 Old Church St. </t>
  </si>
  <si>
    <t>Marissa</t>
  </si>
  <si>
    <t>marissa.summers@msn.com</t>
  </si>
  <si>
    <t xml:space="preserve">81 Carpenter St. </t>
  </si>
  <si>
    <t>Kaley</t>
  </si>
  <si>
    <t>Blanchard</t>
  </si>
  <si>
    <t>kaley.blanchard@msn.com</t>
  </si>
  <si>
    <t xml:space="preserve">74 Evergreen Court </t>
  </si>
  <si>
    <t>Wm</t>
  </si>
  <si>
    <t>wm.pope@msn.com</t>
  </si>
  <si>
    <t xml:space="preserve">212 Marsh Court </t>
  </si>
  <si>
    <t>Auburn</t>
  </si>
  <si>
    <t>Rubye</t>
  </si>
  <si>
    <t>(248) 764-3359</t>
  </si>
  <si>
    <t>rubye.mccall@hotmail.com</t>
  </si>
  <si>
    <t xml:space="preserve">71 Sherwood Dr. </t>
  </si>
  <si>
    <t>Adriene</t>
  </si>
  <si>
    <t>adriene.rivera@hotmail.com</t>
  </si>
  <si>
    <t xml:space="preserve">973 Yukon Avenue </t>
  </si>
  <si>
    <t>Laurence</t>
  </si>
  <si>
    <t>Christian</t>
  </si>
  <si>
    <t>laurence.christian@gmail.com</t>
  </si>
  <si>
    <t xml:space="preserve">2 Maple St. </t>
  </si>
  <si>
    <t>Shirely</t>
  </si>
  <si>
    <t>(915) 437-6113</t>
  </si>
  <si>
    <t>shirely.stanley@gmail.com</t>
  </si>
  <si>
    <t xml:space="preserve">73 White Avenue </t>
  </si>
  <si>
    <t>Danille</t>
  </si>
  <si>
    <t>Mcfarland</t>
  </si>
  <si>
    <t>danille.mcfarland@msn.com</t>
  </si>
  <si>
    <t xml:space="preserve">14 Tailwater St. </t>
  </si>
  <si>
    <t>Salena</t>
  </si>
  <si>
    <t>salena.day@msn.com</t>
  </si>
  <si>
    <t xml:space="preserve">8067 Park Court </t>
  </si>
  <si>
    <t>Matilda</t>
  </si>
  <si>
    <t>matilda.larson@hotmail.com</t>
  </si>
  <si>
    <t xml:space="preserve">336 Saxon Court </t>
  </si>
  <si>
    <t>(424) 151-6481</t>
  </si>
  <si>
    <t>mellisa.kim@aol.com</t>
  </si>
  <si>
    <t xml:space="preserve">17 Lyme Dr. </t>
  </si>
  <si>
    <t>Los Angeles</t>
  </si>
  <si>
    <t>Vonda</t>
  </si>
  <si>
    <t>Berger</t>
  </si>
  <si>
    <t>vonda.berger@yahoo.com</t>
  </si>
  <si>
    <t xml:space="preserve">615 S. Proctor Ave. </t>
  </si>
  <si>
    <t>Soledad</t>
  </si>
  <si>
    <t>soledad.moses@yahoo.com</t>
  </si>
  <si>
    <t xml:space="preserve">85 Hickory Ave. </t>
  </si>
  <si>
    <t>Lashandra</t>
  </si>
  <si>
    <t>Turner</t>
  </si>
  <si>
    <t>(562) 327-9469</t>
  </si>
  <si>
    <t>lashandra.turner@hotmail.com</t>
  </si>
  <si>
    <t xml:space="preserve">11 Marlborough Rd. </t>
  </si>
  <si>
    <t>Lynne</t>
  </si>
  <si>
    <t>(915) 789-6666</t>
  </si>
  <si>
    <t>lynne.anderson@msn.com</t>
  </si>
  <si>
    <t xml:space="preserve">325 Inverness St. </t>
  </si>
  <si>
    <t>chasidy.webster@msn.com</t>
  </si>
  <si>
    <t xml:space="preserve">8296 S. Lookout Lane </t>
  </si>
  <si>
    <t>Ulysses</t>
  </si>
  <si>
    <t>Gaines</t>
  </si>
  <si>
    <t>ulysses.gaines@aol.com</t>
  </si>
  <si>
    <t xml:space="preserve">22 Gregory Lane </t>
  </si>
  <si>
    <t>Euna</t>
  </si>
  <si>
    <t>Lopez</t>
  </si>
  <si>
    <t>euna.lopez@gmail.com</t>
  </si>
  <si>
    <t xml:space="preserve">7979 South Mountainview Ave. </t>
  </si>
  <si>
    <t>Cherelle</t>
  </si>
  <si>
    <t>cherelle.key@msn.com</t>
  </si>
  <si>
    <t xml:space="preserve">7739 Snake Hill Lane </t>
  </si>
  <si>
    <t>Jeffry</t>
  </si>
  <si>
    <t>Church</t>
  </si>
  <si>
    <t>jeffry.church@msn.com</t>
  </si>
  <si>
    <t xml:space="preserve">426 Grandrose Ave. </t>
  </si>
  <si>
    <t>Dyer</t>
  </si>
  <si>
    <t>cyndi.dyer@msn.com</t>
  </si>
  <si>
    <t xml:space="preserve">313 West Argyle Ave. </t>
  </si>
  <si>
    <t>Danilo</t>
  </si>
  <si>
    <t>danilo.holmes@gmail.com</t>
  </si>
  <si>
    <t xml:space="preserve">657 Manor Station Dr. </t>
  </si>
  <si>
    <t>Joni</t>
  </si>
  <si>
    <t>joni.lee@gmail.com</t>
  </si>
  <si>
    <t xml:space="preserve">8573 Proctor Street </t>
  </si>
  <si>
    <t>Antony</t>
  </si>
  <si>
    <t>Atkinson</t>
  </si>
  <si>
    <t>antony.atkinson@msn.com</t>
  </si>
  <si>
    <t xml:space="preserve">680 East Birchwood Lane </t>
  </si>
  <si>
    <t>Deanne</t>
  </si>
  <si>
    <t>deanne.parsons@aol.com</t>
  </si>
  <si>
    <t xml:space="preserve">76 Amherst Drive </t>
  </si>
  <si>
    <t>Frederica</t>
  </si>
  <si>
    <t>frederica.rojas@yahoo.com</t>
  </si>
  <si>
    <t xml:space="preserve">7835 West Jockey Hollow Rd. </t>
  </si>
  <si>
    <t>Emelda</t>
  </si>
  <si>
    <t>Dickerson</t>
  </si>
  <si>
    <t>emelda.dickerson@aol.com</t>
  </si>
  <si>
    <t xml:space="preserve">7457 6th St. </t>
  </si>
  <si>
    <t>rudolf.moran@gmail.com</t>
  </si>
  <si>
    <t xml:space="preserve">5 Birchwood Rd. </t>
  </si>
  <si>
    <t>Benito</t>
  </si>
  <si>
    <t>Hendrix</t>
  </si>
  <si>
    <t>benito.hendrix@gmail.com</t>
  </si>
  <si>
    <t xml:space="preserve">676 S. Bowman Lane </t>
  </si>
  <si>
    <t>Jonell</t>
  </si>
  <si>
    <t>Rivas</t>
  </si>
  <si>
    <t>jonell.rivas@msn.com</t>
  </si>
  <si>
    <t xml:space="preserve">8415 East High Point St. </t>
  </si>
  <si>
    <t>Joi</t>
  </si>
  <si>
    <t>Reeves</t>
  </si>
  <si>
    <t>(619) 952-9613</t>
  </si>
  <si>
    <t>joi.reeves@msn.com</t>
  </si>
  <si>
    <t xml:space="preserve">9101 Williams Court </t>
  </si>
  <si>
    <t>Leland</t>
  </si>
  <si>
    <t>Mcdowell</t>
  </si>
  <si>
    <t>leland.mcdowell@gmail.com</t>
  </si>
  <si>
    <t xml:space="preserve">8034 E. Washington Lane </t>
  </si>
  <si>
    <t>Delaine</t>
  </si>
  <si>
    <t>delaine.estes@yahoo.com</t>
  </si>
  <si>
    <t xml:space="preserve">8916 Hartford Rd. </t>
  </si>
  <si>
    <t>Genevieve</t>
  </si>
  <si>
    <t>genevieve.juarez@gmail.com</t>
  </si>
  <si>
    <t xml:space="preserve">93 Goldfield Drive </t>
  </si>
  <si>
    <t>New Hyde Park</t>
  </si>
  <si>
    <t>Kylee</t>
  </si>
  <si>
    <t>kylee.dickson@gmail.com</t>
  </si>
  <si>
    <t xml:space="preserve">7908 Sherwood Street </t>
  </si>
  <si>
    <t>Renita</t>
  </si>
  <si>
    <t>renita.henry@msn.com</t>
  </si>
  <si>
    <t xml:space="preserve">474 Woodland Ave. </t>
  </si>
  <si>
    <t>Sarah</t>
  </si>
  <si>
    <t>sarah.kirkland@aol.com</t>
  </si>
  <si>
    <t xml:space="preserve">42 N. Glendale Avenue </t>
  </si>
  <si>
    <t>paul.lester@gmail.com</t>
  </si>
  <si>
    <t xml:space="preserve">275 Clay St. </t>
  </si>
  <si>
    <t>Taisha</t>
  </si>
  <si>
    <t>Vang</t>
  </si>
  <si>
    <t>taisha.vang@yahoo.com</t>
  </si>
  <si>
    <t xml:space="preserve">660 East Foster Lane </t>
  </si>
  <si>
    <t>eliana.reese@hotmail.com</t>
  </si>
  <si>
    <t xml:space="preserve">7079 NE. Cross Drive </t>
  </si>
  <si>
    <t>Leonore</t>
  </si>
  <si>
    <t>leonore.dorsey@yahoo.com</t>
  </si>
  <si>
    <t xml:space="preserve">8213 South Branch Avenue </t>
  </si>
  <si>
    <t>Ashleigh</t>
  </si>
  <si>
    <t>ashleigh.frank@gmail.com</t>
  </si>
  <si>
    <t xml:space="preserve">9008 Plymouth Street </t>
  </si>
  <si>
    <t>Gabriel</t>
  </si>
  <si>
    <t>Wagner</t>
  </si>
  <si>
    <t>gabriel.wagner@msn.com</t>
  </si>
  <si>
    <t xml:space="preserve">7921 Manhattan Ave. </t>
  </si>
  <si>
    <t>Margene</t>
  </si>
  <si>
    <t>margene.eaton@yahoo.com</t>
  </si>
  <si>
    <t xml:space="preserve">43 Sugar Street </t>
  </si>
  <si>
    <t>Toshia</t>
  </si>
  <si>
    <t>Cardenas</t>
  </si>
  <si>
    <t>toshia.cardenas@gmail.com</t>
  </si>
  <si>
    <t xml:space="preserve">878 Bayberry Street </t>
  </si>
  <si>
    <t>jamika.blanchard@gmail.com</t>
  </si>
  <si>
    <t xml:space="preserve">420 Cambridge Street </t>
  </si>
  <si>
    <t>Fresh Meadows</t>
  </si>
  <si>
    <t>Acosta</t>
  </si>
  <si>
    <t>shery.acosta@yahoo.com</t>
  </si>
  <si>
    <t xml:space="preserve">17 Canal Ave. </t>
  </si>
  <si>
    <t>Jenna</t>
  </si>
  <si>
    <t>jenna.saunders@aol.com</t>
  </si>
  <si>
    <t xml:space="preserve">4 Young St. </t>
  </si>
  <si>
    <t>Yorktown Heights</t>
  </si>
  <si>
    <t>Skye</t>
  </si>
  <si>
    <t>skye.pope@yahoo.com</t>
  </si>
  <si>
    <t xml:space="preserve">121 S. Bay Meadows Ave. </t>
  </si>
  <si>
    <t>Ana</t>
  </si>
  <si>
    <t>(657) 323-8684</t>
  </si>
  <si>
    <t>ana.palmer@yahoo.com</t>
  </si>
  <si>
    <t xml:space="preserve">7 Buckingham St. </t>
  </si>
  <si>
    <t>Eric</t>
  </si>
  <si>
    <t>eric.hardin@gmail.com</t>
  </si>
  <si>
    <t xml:space="preserve">39 S. Parker Drive </t>
  </si>
  <si>
    <t>Basil</t>
  </si>
  <si>
    <t>basil.ballard@yahoo.com</t>
  </si>
  <si>
    <t xml:space="preserve">7477 Belmont Ave. </t>
  </si>
  <si>
    <t>gabriel.pitts@gmail.com</t>
  </si>
  <si>
    <t xml:space="preserve">8462 Marshall Drive </t>
  </si>
  <si>
    <t>Clifton Park</t>
  </si>
  <si>
    <t>Cayla</t>
  </si>
  <si>
    <t>cayla.johnson@msn.com</t>
  </si>
  <si>
    <t xml:space="preserve">7091 Rockaway Avenue </t>
  </si>
  <si>
    <t>Sharika</t>
  </si>
  <si>
    <t>Colon</t>
  </si>
  <si>
    <t>(562) 452-6136</t>
  </si>
  <si>
    <t>sharika.colon@gmail.com</t>
  </si>
  <si>
    <t xml:space="preserve">509 Henry Smith St. </t>
  </si>
  <si>
    <t>Donnetta</t>
  </si>
  <si>
    <t>Henson</t>
  </si>
  <si>
    <t>donnetta.henson@hotmail.com</t>
  </si>
  <si>
    <t xml:space="preserve">2 Tallwood Drive </t>
  </si>
  <si>
    <t>Leigh</t>
  </si>
  <si>
    <t>leigh.burke@hotmail.com</t>
  </si>
  <si>
    <t xml:space="preserve">7651 Creek St. </t>
  </si>
  <si>
    <t>deloris.larson@aol.com</t>
  </si>
  <si>
    <t xml:space="preserve">242 Branch Street </t>
  </si>
  <si>
    <t>Ehtel</t>
  </si>
  <si>
    <t>Cobb</t>
  </si>
  <si>
    <t>ehtel.cobb@hotmail.com</t>
  </si>
  <si>
    <t xml:space="preserve">741 Rockville Drive </t>
  </si>
  <si>
    <t>Evelina</t>
  </si>
  <si>
    <t>Byrd</t>
  </si>
  <si>
    <t>(716) 601-7704</t>
  </si>
  <si>
    <t>evelina.byrd@msn.com</t>
  </si>
  <si>
    <t xml:space="preserve">628 S. Church St. </t>
  </si>
  <si>
    <t>Zulema</t>
  </si>
  <si>
    <t>zulema.browning@gmail.com</t>
  </si>
  <si>
    <t xml:space="preserve">12 NW. Lafayette St. </t>
  </si>
  <si>
    <t>Tressa</t>
  </si>
  <si>
    <t>tressa.weiss@msn.com</t>
  </si>
  <si>
    <t xml:space="preserve">52 Wild Rose Avenue </t>
  </si>
  <si>
    <t>Yvette</t>
  </si>
  <si>
    <t>Rogers</t>
  </si>
  <si>
    <t>yvette.rogers@aol.com</t>
  </si>
  <si>
    <t xml:space="preserve">3 SE. Oklahoma Drive </t>
  </si>
  <si>
    <t>Kiara</t>
  </si>
  <si>
    <t>(657) 378-8011</t>
  </si>
  <si>
    <t>kiara.deleon@gmail.com</t>
  </si>
  <si>
    <t xml:space="preserve">164 Addison Drive </t>
  </si>
  <si>
    <t>taylor.cole@gmail.com</t>
  </si>
  <si>
    <t xml:space="preserve">9408 Holly Lane </t>
  </si>
  <si>
    <t>Myrtie</t>
  </si>
  <si>
    <t>James</t>
  </si>
  <si>
    <t>myrtie.james@yahoo.com</t>
  </si>
  <si>
    <t xml:space="preserve">566 North Livingston Ave. </t>
  </si>
  <si>
    <t>Ashton</t>
  </si>
  <si>
    <t>Lott</t>
  </si>
  <si>
    <t>ashton.lott@hotmail.com</t>
  </si>
  <si>
    <t xml:space="preserve">609 Windfall Lane </t>
  </si>
  <si>
    <t>Kara</t>
  </si>
  <si>
    <t>kara.higgins@aol.com</t>
  </si>
  <si>
    <t xml:space="preserve">758 Jennings Street </t>
  </si>
  <si>
    <t>Tomeka</t>
  </si>
  <si>
    <t>tomeka.higgins@msn.com</t>
  </si>
  <si>
    <t xml:space="preserve">591 W. Corona St. </t>
  </si>
  <si>
    <t>Ronald</t>
  </si>
  <si>
    <t>ronald.parsons@msn.com</t>
  </si>
  <si>
    <t xml:space="preserve">268 Pin Oak Rd. </t>
  </si>
  <si>
    <t>Allison</t>
  </si>
  <si>
    <t>Nolan</t>
  </si>
  <si>
    <t>(845) 276-5729</t>
  </si>
  <si>
    <t>allison.nolan@gmail.com</t>
  </si>
  <si>
    <t xml:space="preserve">7421 Victoria St. </t>
  </si>
  <si>
    <t>Derrick</t>
  </si>
  <si>
    <t>derrick.marks@yahoo.com</t>
  </si>
  <si>
    <t xml:space="preserve">7247 East Prairie Lane </t>
  </si>
  <si>
    <t>Roth</t>
  </si>
  <si>
    <t>yang.roth@aol.com</t>
  </si>
  <si>
    <t xml:space="preserve">234 E. Shub Farm Ave. </t>
  </si>
  <si>
    <t>Melba</t>
  </si>
  <si>
    <t>Wilkinson</t>
  </si>
  <si>
    <t>melba.wilkinson@gmail.com</t>
  </si>
  <si>
    <t xml:space="preserve">255 Harvard Dr. </t>
  </si>
  <si>
    <t>Valentin</t>
  </si>
  <si>
    <t>Mclaughlin</t>
  </si>
  <si>
    <t>valentin.mclaughlin@hotmail.com</t>
  </si>
  <si>
    <t xml:space="preserve">56 Squaw Creek Street </t>
  </si>
  <si>
    <t>Lewis</t>
  </si>
  <si>
    <t>(631) 871-2512</t>
  </si>
  <si>
    <t>lewis.garner@gmail.com</t>
  </si>
  <si>
    <t xml:space="preserve">9550 East Greenrose St. </t>
  </si>
  <si>
    <t>Ann</t>
  </si>
  <si>
    <t>Heath</t>
  </si>
  <si>
    <t>ann.heath@msn.com</t>
  </si>
  <si>
    <t xml:space="preserve">413 East St. </t>
  </si>
  <si>
    <t>Janelle</t>
  </si>
  <si>
    <t>Maldonado</t>
  </si>
  <si>
    <t>janelle.maldonado@gmail.com</t>
  </si>
  <si>
    <t xml:space="preserve">34 Mammoth Street </t>
  </si>
  <si>
    <t>Catrice</t>
  </si>
  <si>
    <t>catrice.hicks@yahoo.com</t>
  </si>
  <si>
    <t xml:space="preserve">403 Inverness Street </t>
  </si>
  <si>
    <t>Eli</t>
  </si>
  <si>
    <t>eli.contreras@hotmail.com</t>
  </si>
  <si>
    <t xml:space="preserve">35 Highland Ave. </t>
  </si>
  <si>
    <t>Rita</t>
  </si>
  <si>
    <t>Bailey</t>
  </si>
  <si>
    <t>rita.bailey@hotmail.com</t>
  </si>
  <si>
    <t xml:space="preserve">69 Glenwood Street </t>
  </si>
  <si>
    <t>Laure</t>
  </si>
  <si>
    <t>laure.pena@yahoo.com</t>
  </si>
  <si>
    <t xml:space="preserve">9849 West Elmwood St. </t>
  </si>
  <si>
    <t>Tilda</t>
  </si>
  <si>
    <t>(248) 767-4165</t>
  </si>
  <si>
    <t>tilda.melton@msn.com</t>
  </si>
  <si>
    <t xml:space="preserve">237 Elmwood Drive </t>
  </si>
  <si>
    <t>Florencio</t>
  </si>
  <si>
    <t>florencio.davenport@yahoo.com</t>
  </si>
  <si>
    <t xml:space="preserve">8759 Brookside Ave. </t>
  </si>
  <si>
    <t>Jamestown</t>
  </si>
  <si>
    <t>Eun</t>
  </si>
  <si>
    <t>(619) 378-2432</t>
  </si>
  <si>
    <t>eun.harris@gmail.com</t>
  </si>
  <si>
    <t xml:space="preserve">623 Jones St. </t>
  </si>
  <si>
    <t>Marylyn</t>
  </si>
  <si>
    <t>marylyn.browning@msn.com</t>
  </si>
  <si>
    <t xml:space="preserve">915 Lakeshore Street </t>
  </si>
  <si>
    <t>Romana</t>
  </si>
  <si>
    <t>Barnes</t>
  </si>
  <si>
    <t>romana.barnes@yahoo.com</t>
  </si>
  <si>
    <t xml:space="preserve">9776 Shipley Rd. </t>
  </si>
  <si>
    <t>Sam</t>
  </si>
  <si>
    <t>sam.lester@gmail.com</t>
  </si>
  <si>
    <t xml:space="preserve">563 South Beacon Lane </t>
  </si>
  <si>
    <t>Nicki</t>
  </si>
  <si>
    <t>nicki.larson@yahoo.com</t>
  </si>
  <si>
    <t xml:space="preserve">8317 West Leatherwood Dr. </t>
  </si>
  <si>
    <t>Antonetta</t>
  </si>
  <si>
    <t>Rocha</t>
  </si>
  <si>
    <t>antonetta.rocha@yahoo.com</t>
  </si>
  <si>
    <t xml:space="preserve">9858 Newcastle St. </t>
  </si>
  <si>
    <t>Shara</t>
  </si>
  <si>
    <t>shara.pope@msn.com</t>
  </si>
  <si>
    <t xml:space="preserve">194 Amherst Dr. </t>
  </si>
  <si>
    <t>Trena</t>
  </si>
  <si>
    <t>trena.hudson@hotmail.com</t>
  </si>
  <si>
    <t xml:space="preserve">135 Grand Ave. </t>
  </si>
  <si>
    <t>Loraine</t>
  </si>
  <si>
    <t>loraine.sykes@yahoo.com</t>
  </si>
  <si>
    <t xml:space="preserve">9239 Windsor Ave. </t>
  </si>
  <si>
    <t>Alissa</t>
  </si>
  <si>
    <t>Hood</t>
  </si>
  <si>
    <t>alissa.hood@gmail.com</t>
  </si>
  <si>
    <t xml:space="preserve">8032 Maple Drive </t>
  </si>
  <si>
    <t>Schmidt</t>
  </si>
  <si>
    <t>augustus.schmidt@msn.com</t>
  </si>
  <si>
    <t xml:space="preserve">624 Jones Dr. </t>
  </si>
  <si>
    <t>Stacie</t>
  </si>
  <si>
    <t>(510) 194-5117</t>
  </si>
  <si>
    <t>stacie.sims@hotmail.com</t>
  </si>
  <si>
    <t xml:space="preserve">47 Orange Ave. </t>
  </si>
  <si>
    <t>Brittni</t>
  </si>
  <si>
    <t>Green</t>
  </si>
  <si>
    <t>brittni.green@msn.com</t>
  </si>
  <si>
    <t xml:space="preserve">842 El Dorado Lane </t>
  </si>
  <si>
    <t>Etsuko</t>
  </si>
  <si>
    <t>Garrison</t>
  </si>
  <si>
    <t>etsuko.garrison@yahoo.com</t>
  </si>
  <si>
    <t xml:space="preserve">1 Arrowhead Street </t>
  </si>
  <si>
    <t>Calandra</t>
  </si>
  <si>
    <t>calandra.stanton@aol.com</t>
  </si>
  <si>
    <t xml:space="preserve">36 Livingston Dr. </t>
  </si>
  <si>
    <t>Willis</t>
  </si>
  <si>
    <t>willis.randolph@yahoo.com</t>
  </si>
  <si>
    <t xml:space="preserve">332 Constitution St. </t>
  </si>
  <si>
    <t>Shawnda</t>
  </si>
  <si>
    <t>shawnda.glover@gmail.com</t>
  </si>
  <si>
    <t xml:space="preserve">138 Belmont Ave. </t>
  </si>
  <si>
    <t>jennette.baker@gmail.com</t>
  </si>
  <si>
    <t xml:space="preserve">798 Marvon St. </t>
  </si>
  <si>
    <t>Elma</t>
  </si>
  <si>
    <t>Molina</t>
  </si>
  <si>
    <t>elma.molina@msn.com</t>
  </si>
  <si>
    <t xml:space="preserve">8565 Devon Ave. </t>
  </si>
  <si>
    <t>Adam</t>
  </si>
  <si>
    <t>adam.henderson@hotmail.com</t>
  </si>
  <si>
    <t xml:space="preserve">167 James St. </t>
  </si>
  <si>
    <t>Ira</t>
  </si>
  <si>
    <t>ira.moore@gmail.com</t>
  </si>
  <si>
    <t xml:space="preserve">1 Pineknoll Court </t>
  </si>
  <si>
    <t>Kermit</t>
  </si>
  <si>
    <t>Bowman</t>
  </si>
  <si>
    <t>(915) 996-5952</t>
  </si>
  <si>
    <t>kermit.bowman@gmail.com</t>
  </si>
  <si>
    <t xml:space="preserve">3 Airport Street </t>
  </si>
  <si>
    <t>Gayle</t>
  </si>
  <si>
    <t>gayle.wilkinson@yahoo.com</t>
  </si>
  <si>
    <t xml:space="preserve">4 Riverside Ave. </t>
  </si>
  <si>
    <t>Launa</t>
  </si>
  <si>
    <t>Hull</t>
  </si>
  <si>
    <t>launa.hull@yahoo.com</t>
  </si>
  <si>
    <t xml:space="preserve">936 Grove Street </t>
  </si>
  <si>
    <t>myron.johns@msn.com</t>
  </si>
  <si>
    <t xml:space="preserve">5 N. Woodsman Rd. </t>
  </si>
  <si>
    <t>Tuan</t>
  </si>
  <si>
    <t>Wolfe</t>
  </si>
  <si>
    <t>tuan.wolfe@aol.com</t>
  </si>
  <si>
    <t xml:space="preserve">7641 Oak Meadow Dr. </t>
  </si>
  <si>
    <t>West Babylon</t>
  </si>
  <si>
    <t>Mathilda</t>
  </si>
  <si>
    <t>Pennington</t>
  </si>
  <si>
    <t>(845) 407-9524</t>
  </si>
  <si>
    <t>mathilda.pennington@gmail.com</t>
  </si>
  <si>
    <t xml:space="preserve">14 S. Argyle Ave. </t>
  </si>
  <si>
    <t>Reatha</t>
  </si>
  <si>
    <t>Perez</t>
  </si>
  <si>
    <t>reatha.perez@aol.com</t>
  </si>
  <si>
    <t xml:space="preserve">9917 1st St. </t>
  </si>
  <si>
    <t>Arnita</t>
  </si>
  <si>
    <t>Thomas</t>
  </si>
  <si>
    <t>arnita.thomas@gmail.com</t>
  </si>
  <si>
    <t xml:space="preserve">154 2nd St. </t>
  </si>
  <si>
    <t>Amparo</t>
  </si>
  <si>
    <t>amparo.burks@aol.com</t>
  </si>
  <si>
    <t xml:space="preserve">7781 Augusta St. </t>
  </si>
  <si>
    <t>Jenny</t>
  </si>
  <si>
    <t>Bell</t>
  </si>
  <si>
    <t>jenny.bell@hotmail.com</t>
  </si>
  <si>
    <t xml:space="preserve">38 Crescent St. </t>
  </si>
  <si>
    <t>Laverne</t>
  </si>
  <si>
    <t>Craft</t>
  </si>
  <si>
    <t>laverne.craft@aol.com</t>
  </si>
  <si>
    <t xml:space="preserve">829 N. Pierce Street </t>
  </si>
  <si>
    <t>Darcel</t>
  </si>
  <si>
    <t>Harmon</t>
  </si>
  <si>
    <t>darcel.harmon@msn.com</t>
  </si>
  <si>
    <t xml:space="preserve">966 Hickory Street </t>
  </si>
  <si>
    <t>Cecilia</t>
  </si>
  <si>
    <t>cecilia.camacho@yahoo.com</t>
  </si>
  <si>
    <t xml:space="preserve">682 Mountainview Rd. </t>
  </si>
  <si>
    <t>Pearlie</t>
  </si>
  <si>
    <t>Cochran</t>
  </si>
  <si>
    <t>pearlie.cochran@msn.com</t>
  </si>
  <si>
    <t xml:space="preserve">23 Homewood Rd. </t>
  </si>
  <si>
    <t>Deirdre</t>
  </si>
  <si>
    <t>Ryan</t>
  </si>
  <si>
    <t>deirdre.ryan@yahoo.com</t>
  </si>
  <si>
    <t xml:space="preserve">83 Jefferson Lane </t>
  </si>
  <si>
    <t>yevette.elliott@aol.com</t>
  </si>
  <si>
    <t xml:space="preserve">182 Euclid Street </t>
  </si>
  <si>
    <t>Ladawn</t>
  </si>
  <si>
    <t>Downs</t>
  </si>
  <si>
    <t>(281) 165-2090</t>
  </si>
  <si>
    <t>ladawn.downs@yahoo.com</t>
  </si>
  <si>
    <t xml:space="preserve">7452 S. Airport Court </t>
  </si>
  <si>
    <t>Dorothea</t>
  </si>
  <si>
    <t>dorothea.chang@gmail.com</t>
  </si>
  <si>
    <t xml:space="preserve">75 Oak Ave. </t>
  </si>
  <si>
    <t>Merlin</t>
  </si>
  <si>
    <t>(516) 150-1321</t>
  </si>
  <si>
    <t>merlin.foreman@msn.com</t>
  </si>
  <si>
    <t xml:space="preserve">8198 North Rockaway St. </t>
  </si>
  <si>
    <t>Lanie</t>
  </si>
  <si>
    <t>Dunn</t>
  </si>
  <si>
    <t>lanie.dunn@gmail.com</t>
  </si>
  <si>
    <t xml:space="preserve">7583 Pilgrim Ave. </t>
  </si>
  <si>
    <t>christoper.gould@aol.com</t>
  </si>
  <si>
    <t xml:space="preserve">8718 South Constitution St. </t>
  </si>
  <si>
    <t>Norine</t>
  </si>
  <si>
    <t>norine.huffman@aol.com</t>
  </si>
  <si>
    <t xml:space="preserve">363 Dunbar Drive </t>
  </si>
  <si>
    <t>Mccarty</t>
  </si>
  <si>
    <t>(619) 377-8586</t>
  </si>
  <si>
    <t>alane.mccarty@hotmail.com</t>
  </si>
  <si>
    <t xml:space="preserve">8254 Hilldale Street </t>
  </si>
  <si>
    <t>charleen.joyner@aol.com</t>
  </si>
  <si>
    <t xml:space="preserve">735 N. John Dr. </t>
  </si>
  <si>
    <t>Zella</t>
  </si>
  <si>
    <t>zella.fernandez@yahoo.com</t>
  </si>
  <si>
    <t xml:space="preserve">8 Marshall Dr. </t>
  </si>
  <si>
    <t>Knox</t>
  </si>
  <si>
    <t>(361) 760-1523</t>
  </si>
  <si>
    <t>collene.knox@msn.com</t>
  </si>
  <si>
    <t xml:space="preserve">7 North Branch Lane </t>
  </si>
  <si>
    <t>Alysia</t>
  </si>
  <si>
    <t>(805) 493-7311</t>
  </si>
  <si>
    <t>alysia.nicholson@hotmail.com</t>
  </si>
  <si>
    <t xml:space="preserve">868 Trusel St. </t>
  </si>
  <si>
    <t>Whitaker</t>
  </si>
  <si>
    <t>sharie.whitaker@hotmail.com</t>
  </si>
  <si>
    <t xml:space="preserve">7 Bayport Lane </t>
  </si>
  <si>
    <t>diana.cobb@hotmail.com</t>
  </si>
  <si>
    <t xml:space="preserve">558 Vale St. </t>
  </si>
  <si>
    <t>Barron</t>
  </si>
  <si>
    <t>(661) 386-4884</t>
  </si>
  <si>
    <t>morton.barron@msn.com</t>
  </si>
  <si>
    <t xml:space="preserve">542 Circle Rd. </t>
  </si>
  <si>
    <t>Camille</t>
  </si>
  <si>
    <t>Harvey</t>
  </si>
  <si>
    <t>camille.harvey@hotmail.com</t>
  </si>
  <si>
    <t xml:space="preserve">859 Beaver Ridge Ave. </t>
  </si>
  <si>
    <t>lolita.o'neill@aol.com</t>
  </si>
  <si>
    <t xml:space="preserve">36 Prairie Dr. </t>
  </si>
  <si>
    <t>Briggs</t>
  </si>
  <si>
    <t>terese.briggs@msn.com</t>
  </si>
  <si>
    <t xml:space="preserve">16 N. Oak Valley St. </t>
  </si>
  <si>
    <t>majorie.glover@msn.com</t>
  </si>
  <si>
    <t xml:space="preserve">4 Garden Ave. </t>
  </si>
  <si>
    <t>Vinnie</t>
  </si>
  <si>
    <t>Chan</t>
  </si>
  <si>
    <t>vinnie.chan@aol.com</t>
  </si>
  <si>
    <t xml:space="preserve">8750 Surrey St. </t>
  </si>
  <si>
    <t>ezra.silva@msn.com</t>
  </si>
  <si>
    <t xml:space="preserve">8629 Catherine Rd. </t>
  </si>
  <si>
    <t>Jovita</t>
  </si>
  <si>
    <t>Bishop</t>
  </si>
  <si>
    <t>jovita.bishop@aol.com</t>
  </si>
  <si>
    <t xml:space="preserve">8123 Wild Horse St. </t>
  </si>
  <si>
    <t>Kecia</t>
  </si>
  <si>
    <t>kecia.olsen@msn.com</t>
  </si>
  <si>
    <t xml:space="preserve">8389 Central St. </t>
  </si>
  <si>
    <t>Ilona</t>
  </si>
  <si>
    <t>Spears</t>
  </si>
  <si>
    <t>ilona.spears@gmail.com</t>
  </si>
  <si>
    <t xml:space="preserve">984 Canterbury Lane </t>
  </si>
  <si>
    <t>Senaida</t>
  </si>
  <si>
    <t>senaida.thompson@msn.com</t>
  </si>
  <si>
    <t xml:space="preserve">578 Golf Drive </t>
  </si>
  <si>
    <t>Larae</t>
  </si>
  <si>
    <t>Carney</t>
  </si>
  <si>
    <t>larae.carney@msn.com</t>
  </si>
  <si>
    <t xml:space="preserve">9322 Glen Ridge Dr. </t>
  </si>
  <si>
    <t>Sebrina</t>
  </si>
  <si>
    <t>Hart</t>
  </si>
  <si>
    <t>sebrina.hart@yahoo.com</t>
  </si>
  <si>
    <t xml:space="preserve">7679 Pacific St. </t>
  </si>
  <si>
    <t>Kristofer</t>
  </si>
  <si>
    <t>Craig</t>
  </si>
  <si>
    <t>kristofer.craig@yahoo.com</t>
  </si>
  <si>
    <t xml:space="preserve">6 Delaware Lane </t>
  </si>
  <si>
    <t>Luciana</t>
  </si>
  <si>
    <t>Mcgee</t>
  </si>
  <si>
    <t>luciana.mcgee@msn.com</t>
  </si>
  <si>
    <t xml:space="preserve">8002 Cross St. </t>
  </si>
  <si>
    <t>nicki.fry@hotmail.com</t>
  </si>
  <si>
    <t xml:space="preserve">950 Snake Hill Lane </t>
  </si>
  <si>
    <t>Endicott</t>
  </si>
  <si>
    <t>Devin</t>
  </si>
  <si>
    <t>Shaffer</t>
  </si>
  <si>
    <t>(507) 557-2191</t>
  </si>
  <si>
    <t>devin.shaffer@gmail.com</t>
  </si>
  <si>
    <t xml:space="preserve">382 Third Ave. </t>
  </si>
  <si>
    <t>Osborne</t>
  </si>
  <si>
    <t>erlinda.osborne@yahoo.com</t>
  </si>
  <si>
    <t xml:space="preserve">148 Elm St. </t>
  </si>
  <si>
    <t>Camila</t>
  </si>
  <si>
    <t>(210) 436-8676</t>
  </si>
  <si>
    <t>camila.carroll@yahoo.com</t>
  </si>
  <si>
    <t xml:space="preserve">72 Shub Farm Avenue </t>
  </si>
  <si>
    <t>San Antonio</t>
  </si>
  <si>
    <t>Vicki</t>
  </si>
  <si>
    <t>vicki.wiggins@hotmail.com</t>
  </si>
  <si>
    <t xml:space="preserve">71 Broad Ave. </t>
  </si>
  <si>
    <t>Lois</t>
  </si>
  <si>
    <t>lois.steele@yahoo.com</t>
  </si>
  <si>
    <t xml:space="preserve">7501 South Marlborough Street </t>
  </si>
  <si>
    <t>Mcpherson</t>
  </si>
  <si>
    <t>carola.mcpherson@hotmail.com</t>
  </si>
  <si>
    <t xml:space="preserve">578 Shirley Dr. </t>
  </si>
  <si>
    <t>Rochell</t>
  </si>
  <si>
    <t>rochell.cantrell@yahoo.com</t>
  </si>
  <si>
    <t xml:space="preserve">437 Water Dr. </t>
  </si>
  <si>
    <t>Sullivan</t>
  </si>
  <si>
    <t>kasha.sullivan@hotmail.com</t>
  </si>
  <si>
    <t xml:space="preserve">48 Foster Rd. </t>
  </si>
  <si>
    <t>Viva</t>
  </si>
  <si>
    <t>viva.dawson@yahoo.com</t>
  </si>
  <si>
    <t xml:space="preserve">446 Princess Ave. </t>
  </si>
  <si>
    <t>Hue</t>
  </si>
  <si>
    <t>hue.dalton@hotmail.com</t>
  </si>
  <si>
    <t xml:space="preserve">7940 Oakwood Street </t>
  </si>
  <si>
    <t>Andria</t>
  </si>
  <si>
    <t>Rivers</t>
  </si>
  <si>
    <t>andria.rivers@aol.com</t>
  </si>
  <si>
    <t xml:space="preserve">183 Ohio Ave. </t>
  </si>
  <si>
    <t>Hilary</t>
  </si>
  <si>
    <t>Savage</t>
  </si>
  <si>
    <t>(805) 753-6881</t>
  </si>
  <si>
    <t>hilary.savage@yahoo.com</t>
  </si>
  <si>
    <t xml:space="preserve">696 Howard Court </t>
  </si>
  <si>
    <t>Lavona</t>
  </si>
  <si>
    <t>lavona.austin@yahoo.com</t>
  </si>
  <si>
    <t xml:space="preserve">926 South Euclid St. </t>
  </si>
  <si>
    <t>Doreatha</t>
  </si>
  <si>
    <t>Ford</t>
  </si>
  <si>
    <t>doreatha.ford@yahoo.com</t>
  </si>
  <si>
    <t xml:space="preserve">9413 Ryan Ave. </t>
  </si>
  <si>
    <t>Alina</t>
  </si>
  <si>
    <t>Mcleod</t>
  </si>
  <si>
    <t>alina.mcleod@msn.com</t>
  </si>
  <si>
    <t xml:space="preserve">20 Winchester Street </t>
  </si>
  <si>
    <t>Aide</t>
  </si>
  <si>
    <t>aide.franco@msn.com</t>
  </si>
  <si>
    <t xml:space="preserve">8017 Lake Forest St. </t>
  </si>
  <si>
    <t>Genny</t>
  </si>
  <si>
    <t>genny.hensley@yahoo.com</t>
  </si>
  <si>
    <t xml:space="preserve">8849 Marconi Ave. </t>
  </si>
  <si>
    <t>Melita</t>
  </si>
  <si>
    <t>Dominguez</t>
  </si>
  <si>
    <t>melita.dominguez@msn.com</t>
  </si>
  <si>
    <t xml:space="preserve">9903 Santa Clara Lane </t>
  </si>
  <si>
    <t>Fannie</t>
  </si>
  <si>
    <t>(805) 774-5696</t>
  </si>
  <si>
    <t>fannie.jenkins@msn.com</t>
  </si>
  <si>
    <t xml:space="preserve">7858 E. Pawnee Dr. </t>
  </si>
  <si>
    <t>Bobbi</t>
  </si>
  <si>
    <t>Banks</t>
  </si>
  <si>
    <t>bobbi.banks@yahoo.com</t>
  </si>
  <si>
    <t xml:space="preserve">396 Wagon Rd. </t>
  </si>
  <si>
    <t>Gwenn</t>
  </si>
  <si>
    <t>gwenn.melton@yahoo.com</t>
  </si>
  <si>
    <t xml:space="preserve">9545 Wakehurst Drive </t>
  </si>
  <si>
    <t>Laci</t>
  </si>
  <si>
    <t>laci.castro@hotmail.com</t>
  </si>
  <si>
    <t xml:space="preserve">130 Birchpond Street </t>
  </si>
  <si>
    <t>Manning</t>
  </si>
  <si>
    <t>evelina.manning@aol.com</t>
  </si>
  <si>
    <t xml:space="preserve">7515 Spring St. </t>
  </si>
  <si>
    <t>Tania</t>
  </si>
  <si>
    <t>Swanson</t>
  </si>
  <si>
    <t>tania.swanson@yahoo.com</t>
  </si>
  <si>
    <t xml:space="preserve">8646 Glen Eagles Ave. </t>
  </si>
  <si>
    <t>Laurel</t>
  </si>
  <si>
    <t>laurel.schultz@hotmail.com</t>
  </si>
  <si>
    <t xml:space="preserve">812 E. 1st Lane </t>
  </si>
  <si>
    <t>Carolyne</t>
  </si>
  <si>
    <t>Conley</t>
  </si>
  <si>
    <t>carolyne.conley@gmail.com</t>
  </si>
  <si>
    <t xml:space="preserve">431 Lees Creek Drive </t>
  </si>
  <si>
    <t>Eldridge</t>
  </si>
  <si>
    <t>eldridge.greer@aol.com</t>
  </si>
  <si>
    <t xml:space="preserve">131 E. Madison St. </t>
  </si>
  <si>
    <t>Margret</t>
  </si>
  <si>
    <t>margret.barnett@gmail.com</t>
  </si>
  <si>
    <t xml:space="preserve">7509 Depot Rd. </t>
  </si>
  <si>
    <t>Oliva</t>
  </si>
  <si>
    <t>Blackwell</t>
  </si>
  <si>
    <t>oliva.blackwell@hotmail.com</t>
  </si>
  <si>
    <t xml:space="preserve">54 Ramblewood St. </t>
  </si>
  <si>
    <t>Oralia</t>
  </si>
  <si>
    <t>oralia.farley@hotmail.com</t>
  </si>
  <si>
    <t xml:space="preserve">747B E. Coffee Street </t>
  </si>
  <si>
    <t>Salazar</t>
  </si>
  <si>
    <t>romaine.salazar@yahoo.com</t>
  </si>
  <si>
    <t xml:space="preserve">7700 Wentworth Rd. </t>
  </si>
  <si>
    <t>Hermila</t>
  </si>
  <si>
    <t>Mckay</t>
  </si>
  <si>
    <t>hermila.mckay@yahoo.com</t>
  </si>
  <si>
    <t xml:space="preserve">23 Garfield Dr. </t>
  </si>
  <si>
    <t>Miranda</t>
  </si>
  <si>
    <t>lloyd.miranda@hotmail.com</t>
  </si>
  <si>
    <t xml:space="preserve">9098 Jennings St. </t>
  </si>
  <si>
    <t>Mandi</t>
  </si>
  <si>
    <t>Gibbs</t>
  </si>
  <si>
    <t>mandi.gibbs@gmail.com</t>
  </si>
  <si>
    <t xml:space="preserve">80 Sycamore Drive </t>
  </si>
  <si>
    <t>May</t>
  </si>
  <si>
    <t>hue.may@aol.com</t>
  </si>
  <si>
    <t xml:space="preserve">19 S. Lawrence Dr. </t>
  </si>
  <si>
    <t>tomika.wilder@aol.com</t>
  </si>
  <si>
    <t xml:space="preserve">142 South Ocean St. </t>
  </si>
  <si>
    <t>Graig</t>
  </si>
  <si>
    <t>graig.roth@aol.com</t>
  </si>
  <si>
    <t xml:space="preserve">7516 Wrangler Street </t>
  </si>
  <si>
    <t>Lamar</t>
  </si>
  <si>
    <t>lamar.greer@gmail.com</t>
  </si>
  <si>
    <t xml:space="preserve">7909 Golden Star Ave. </t>
  </si>
  <si>
    <t>Raymonde</t>
  </si>
  <si>
    <t>Garcia</t>
  </si>
  <si>
    <t>raymonde.garcia@aol.com</t>
  </si>
  <si>
    <t xml:space="preserve">55 NE. North St. </t>
  </si>
  <si>
    <t>Cira</t>
  </si>
  <si>
    <t>(510) 788-4456</t>
  </si>
  <si>
    <t>cira.downs@gmail.com</t>
  </si>
  <si>
    <t xml:space="preserve">672 Sussex Ave. </t>
  </si>
  <si>
    <t>Marisa</t>
  </si>
  <si>
    <t>Chambers</t>
  </si>
  <si>
    <t>marisa.chambers@msn.com</t>
  </si>
  <si>
    <t xml:space="preserve">15 E. Rock Creek Ave. </t>
  </si>
  <si>
    <t>Rod</t>
  </si>
  <si>
    <t>Hatfield</t>
  </si>
  <si>
    <t>rod.hatfield@hotmail.com</t>
  </si>
  <si>
    <t xml:space="preserve">7090 Bridge Dr. </t>
  </si>
  <si>
    <t>Quyen</t>
  </si>
  <si>
    <t>quyen.houston@gmail.com</t>
  </si>
  <si>
    <t xml:space="preserve">7758 Homewood Dr. </t>
  </si>
  <si>
    <t>Han</t>
  </si>
  <si>
    <t>han.schneider@gmail.com</t>
  </si>
  <si>
    <t xml:space="preserve">40 Holly Street </t>
  </si>
  <si>
    <t>Terrell</t>
  </si>
  <si>
    <t>terrell.mathis@aol.com</t>
  </si>
  <si>
    <t xml:space="preserve">9320 Center Ave. </t>
  </si>
  <si>
    <t>Spring</t>
  </si>
  <si>
    <t>spring.hayes@hotmail.com</t>
  </si>
  <si>
    <t xml:space="preserve">8591 Wentworth St. </t>
  </si>
  <si>
    <t>Lecia</t>
  </si>
  <si>
    <t>Hancock</t>
  </si>
  <si>
    <t>lecia.hancock@hotmail.com</t>
  </si>
  <si>
    <t xml:space="preserve">9167 Pineknoll St. </t>
  </si>
  <si>
    <t>Twana</t>
  </si>
  <si>
    <t>(657) 988-1904</t>
  </si>
  <si>
    <t>twana.arnold@msn.com</t>
  </si>
  <si>
    <t xml:space="preserve">47 North Fairground Lane </t>
  </si>
  <si>
    <t>Yvone</t>
  </si>
  <si>
    <t>yvone.yates@gmail.com</t>
  </si>
  <si>
    <t xml:space="preserve">9269 Blue Spring Ave. </t>
  </si>
  <si>
    <t>Agatha</t>
  </si>
  <si>
    <t>agatha.melton@yahoo.com</t>
  </si>
  <si>
    <t xml:space="preserve">89 East Illinois Street </t>
  </si>
  <si>
    <t>Lavonda</t>
  </si>
  <si>
    <t>Stephenson</t>
  </si>
  <si>
    <t>lavonda.stephenson@gmail.com</t>
  </si>
  <si>
    <t xml:space="preserve">37 Birchwood Dr. </t>
  </si>
  <si>
    <t>Agnes</t>
  </si>
  <si>
    <t>(716) 780-9901</t>
  </si>
  <si>
    <t>agnes.sims@aol.com</t>
  </si>
  <si>
    <t xml:space="preserve">170 Queen Lane </t>
  </si>
  <si>
    <t>Latricia</t>
  </si>
  <si>
    <t>Lindsey</t>
  </si>
  <si>
    <t>latricia.lindsey@hotmail.com</t>
  </si>
  <si>
    <t xml:space="preserve">288 Campfire Dr. </t>
  </si>
  <si>
    <t>Yolando</t>
  </si>
  <si>
    <t>Wade</t>
  </si>
  <si>
    <t>yolando.wade@hotmail.com</t>
  </si>
  <si>
    <t xml:space="preserve">310 Wilson Ave. </t>
  </si>
  <si>
    <t>Nenita</t>
  </si>
  <si>
    <t>nenita.mooney@hotmail.com</t>
  </si>
  <si>
    <t xml:space="preserve">10 W. Bishop Street </t>
  </si>
  <si>
    <t>Hyde</t>
  </si>
  <si>
    <t>kermit.hyde@hotmail.com</t>
  </si>
  <si>
    <t xml:space="preserve">87 SE. Carson St. </t>
  </si>
  <si>
    <t>Angelique</t>
  </si>
  <si>
    <t>Merrill</t>
  </si>
  <si>
    <t>angelique.merrill@gmail.com</t>
  </si>
  <si>
    <t xml:space="preserve">8490 West High Noon Ave. </t>
  </si>
  <si>
    <t>Ilda</t>
  </si>
  <si>
    <t>ilda.roberson@aol.com</t>
  </si>
  <si>
    <t xml:space="preserve">8853 Lake St. </t>
  </si>
  <si>
    <t>Corrinne</t>
  </si>
  <si>
    <t>corrinne.garrison@yahoo.com</t>
  </si>
  <si>
    <t xml:space="preserve">81 East Glenwood Ave. </t>
  </si>
  <si>
    <t>Major</t>
  </si>
  <si>
    <t>major.merrill@aol.com</t>
  </si>
  <si>
    <t xml:space="preserve">78 Thatcher Court </t>
  </si>
  <si>
    <t>Ouida</t>
  </si>
  <si>
    <t>Gregory</t>
  </si>
  <si>
    <t>ouida.gregory@aol.com</t>
  </si>
  <si>
    <t xml:space="preserve">7984 8th Street </t>
  </si>
  <si>
    <t>tajuana.riddle@hotmail.com</t>
  </si>
  <si>
    <t xml:space="preserve">24 St Margarets Ave. </t>
  </si>
  <si>
    <t>Ricki</t>
  </si>
  <si>
    <t>ricki.bullock@hotmail.com</t>
  </si>
  <si>
    <t xml:space="preserve">79 Pennington Rd. </t>
  </si>
  <si>
    <t>Kent</t>
  </si>
  <si>
    <t>(717) 890-4260</t>
  </si>
  <si>
    <t>celestine.kent@aol.com</t>
  </si>
  <si>
    <t xml:space="preserve">697 Fordham Street </t>
  </si>
  <si>
    <t>Debbra</t>
  </si>
  <si>
    <t>Jacobson</t>
  </si>
  <si>
    <t>debbra.jacobson@yahoo.com</t>
  </si>
  <si>
    <t xml:space="preserve">8316 West Bedford Ave. </t>
  </si>
  <si>
    <t>Kandis</t>
  </si>
  <si>
    <t>kandis.mills@hotmail.com</t>
  </si>
  <si>
    <t xml:space="preserve">64 Beechwood Drive </t>
  </si>
  <si>
    <t>Wallace</t>
  </si>
  <si>
    <t>Lane</t>
  </si>
  <si>
    <t>wallace.lane@aol.com</t>
  </si>
  <si>
    <t xml:space="preserve">901 Liberty St. </t>
  </si>
  <si>
    <t>Malisa</t>
  </si>
  <si>
    <t>Mitchell</t>
  </si>
  <si>
    <t>malisa.mitchell@msn.com</t>
  </si>
  <si>
    <t xml:space="preserve">87 Ridgewood Court </t>
  </si>
  <si>
    <t>Lilliam</t>
  </si>
  <si>
    <t>lilliam.nolan@msn.com</t>
  </si>
  <si>
    <t xml:space="preserve">8976 Berkshire Court </t>
  </si>
  <si>
    <t>Copperas Cove</t>
  </si>
  <si>
    <t>Tad</t>
  </si>
  <si>
    <t>Gardner</t>
  </si>
  <si>
    <t>tad.gardner@hotmail.com</t>
  </si>
  <si>
    <t xml:space="preserve">9745 E. Wilson St. </t>
  </si>
  <si>
    <t>petronila.gallegos@gmail.com</t>
  </si>
  <si>
    <t xml:space="preserve">8053 Aspen St. </t>
  </si>
  <si>
    <t>Yun</t>
  </si>
  <si>
    <t>Nelson</t>
  </si>
  <si>
    <t>yun.nelson@hotmail.com</t>
  </si>
  <si>
    <t xml:space="preserve">529 Durham Street </t>
  </si>
  <si>
    <t>Edgar</t>
  </si>
  <si>
    <t>edgar.horn@aol.com</t>
  </si>
  <si>
    <t xml:space="preserve">7270 W. Cherry Hill Lane </t>
  </si>
  <si>
    <t>Chantay</t>
  </si>
  <si>
    <t>Maynard</t>
  </si>
  <si>
    <t>chantay.maynard@gmail.com</t>
  </si>
  <si>
    <t xml:space="preserve">7483 1st Ave. </t>
  </si>
  <si>
    <t>Donette</t>
  </si>
  <si>
    <t>Mccarthy</t>
  </si>
  <si>
    <t>donette.mccarthy@yahoo.com</t>
  </si>
  <si>
    <t xml:space="preserve">500 NW. Maiden Dr. </t>
  </si>
  <si>
    <t>Mariam</t>
  </si>
  <si>
    <t>mariam.miranda@aol.com</t>
  </si>
  <si>
    <t xml:space="preserve">18 East Washington Avenue </t>
  </si>
  <si>
    <t>Rosalie</t>
  </si>
  <si>
    <t>rosalie.coffey@gmail.com</t>
  </si>
  <si>
    <t xml:space="preserve">789 Amerige Dr. </t>
  </si>
  <si>
    <t>Cathey</t>
  </si>
  <si>
    <t>Lamb</t>
  </si>
  <si>
    <t>cathey.lamb@msn.com</t>
  </si>
  <si>
    <t xml:space="preserve">9621 Ryan Drive </t>
  </si>
  <si>
    <t>Alyse</t>
  </si>
  <si>
    <t>alyse.jacobson@yahoo.com</t>
  </si>
  <si>
    <t xml:space="preserve">10 West Devon Lane </t>
  </si>
  <si>
    <t>India</t>
  </si>
  <si>
    <t>india.barron@msn.com</t>
  </si>
  <si>
    <t xml:space="preserve">834 W. Pleasant Rd. </t>
  </si>
  <si>
    <t>Cris</t>
  </si>
  <si>
    <t>cris.dunn@yahoo.com</t>
  </si>
  <si>
    <t xml:space="preserve">1 Pawnee Street </t>
  </si>
  <si>
    <t>Ophelia</t>
  </si>
  <si>
    <t>Rodgers</t>
  </si>
  <si>
    <t>ophelia.rodgers@gmail.com</t>
  </si>
  <si>
    <t xml:space="preserve">133 Joy Ridge Drive </t>
  </si>
  <si>
    <t>Barrett</t>
  </si>
  <si>
    <t>Sanders</t>
  </si>
  <si>
    <t>barrett.sanders@aol.com</t>
  </si>
  <si>
    <t xml:space="preserve">32 Hawthorne St. </t>
  </si>
  <si>
    <t>Bernardina</t>
  </si>
  <si>
    <t>bernardina.cooper@msn.com</t>
  </si>
  <si>
    <t xml:space="preserve">223 Glen Creek Ave. </t>
  </si>
  <si>
    <t>Douglas</t>
  </si>
  <si>
    <t>Richards</t>
  </si>
  <si>
    <t>douglas.richards@hotmail.com</t>
  </si>
  <si>
    <t xml:space="preserve">221 Arcadia Lane </t>
  </si>
  <si>
    <t>Phillis</t>
  </si>
  <si>
    <t>phillis.fowler@aol.com</t>
  </si>
  <si>
    <t xml:space="preserve">8976 N. Hall Street </t>
  </si>
  <si>
    <t>Reyes</t>
  </si>
  <si>
    <t>reyes.merritt@yahoo.com</t>
  </si>
  <si>
    <t xml:space="preserve">48 Lexington Rd. </t>
  </si>
  <si>
    <t>Nathalie</t>
  </si>
  <si>
    <t>Knowles</t>
  </si>
  <si>
    <t>nathalie.knowles@aol.com</t>
  </si>
  <si>
    <t xml:space="preserve">4 Cactus Street </t>
  </si>
  <si>
    <t>Vallie</t>
  </si>
  <si>
    <t>vallie.dixon@yahoo.com</t>
  </si>
  <si>
    <t xml:space="preserve">85 E. Ann Drive </t>
  </si>
  <si>
    <t>Elnora</t>
  </si>
  <si>
    <t>Simpson</t>
  </si>
  <si>
    <t>elnora.simpson@yahoo.com</t>
  </si>
  <si>
    <t xml:space="preserve">7157 Shore Ave. </t>
  </si>
  <si>
    <t>Ivelisse</t>
  </si>
  <si>
    <t>Nixon</t>
  </si>
  <si>
    <t>(281) 941-4933</t>
  </si>
  <si>
    <t>ivelisse.nixon@aol.com</t>
  </si>
  <si>
    <t xml:space="preserve">782 Boston Ave. </t>
  </si>
  <si>
    <t>Shanti</t>
  </si>
  <si>
    <t>shanti.johnston@gmail.com</t>
  </si>
  <si>
    <t xml:space="preserve">722 Alderwood Drive </t>
  </si>
  <si>
    <t>Martha</t>
  </si>
  <si>
    <t>martha.burgess@msn.com</t>
  </si>
  <si>
    <t xml:space="preserve">9631 St Margarets Lane </t>
  </si>
  <si>
    <t>Neville</t>
  </si>
  <si>
    <t>Mcclain</t>
  </si>
  <si>
    <t>neville.mcclain@yahoo.com</t>
  </si>
  <si>
    <t xml:space="preserve">781 Buttonwood Ave. </t>
  </si>
  <si>
    <t>Ghislaine</t>
  </si>
  <si>
    <t>ghislaine.compton@aol.com</t>
  </si>
  <si>
    <t xml:space="preserve">8930 Princess St. </t>
  </si>
  <si>
    <t>Leanna</t>
  </si>
  <si>
    <t>leanna.manning@yahoo.com</t>
  </si>
  <si>
    <t xml:space="preserve">39 E. Stillwater Ave. </t>
  </si>
  <si>
    <t>marshall.johnson@yahoo.com</t>
  </si>
  <si>
    <t xml:space="preserve">44 Greenview St. </t>
  </si>
  <si>
    <t>Zelda</t>
  </si>
  <si>
    <t>(717) 428-4018</t>
  </si>
  <si>
    <t>zelda.pratt@gmail.com</t>
  </si>
  <si>
    <t xml:space="preserve">74 Trusel Drive </t>
  </si>
  <si>
    <t>Joel</t>
  </si>
  <si>
    <t>(619) 210-6032</t>
  </si>
  <si>
    <t>joel.wynn@aol.com</t>
  </si>
  <si>
    <t xml:space="preserve">7 North Oak Ave. </t>
  </si>
  <si>
    <t>Yahaira</t>
  </si>
  <si>
    <t>yahaira.robertson@yahoo.com</t>
  </si>
  <si>
    <t xml:space="preserve">142 Roehampton Dr. </t>
  </si>
  <si>
    <t>Sandy</t>
  </si>
  <si>
    <t>sandy.mills@gmail.com</t>
  </si>
  <si>
    <t xml:space="preserve">333 Olive Ave. </t>
  </si>
  <si>
    <t>Cassidy</t>
  </si>
  <si>
    <t>Clark</t>
  </si>
  <si>
    <t>cassidy.clark@hotmail.com</t>
  </si>
  <si>
    <t xml:space="preserve">9879 Old Kingston Road </t>
  </si>
  <si>
    <t>Kristy</t>
  </si>
  <si>
    <t>Watkins</t>
  </si>
  <si>
    <t>kristy.watkins@gmail.com</t>
  </si>
  <si>
    <t xml:space="preserve">977 South Brook Ave. </t>
  </si>
  <si>
    <t>Tina</t>
  </si>
  <si>
    <t>tina.bush@aol.com</t>
  </si>
  <si>
    <t xml:space="preserve">8038 Bellevue Street </t>
  </si>
  <si>
    <t>Veronika</t>
  </si>
  <si>
    <t>veronika.rollins@yahoo.com</t>
  </si>
  <si>
    <t xml:space="preserve">94 Arnold Ave. </t>
  </si>
  <si>
    <t>Kristel</t>
  </si>
  <si>
    <t>kristel.byrd@hotmail.com</t>
  </si>
  <si>
    <t xml:space="preserve">9967 Piper Street </t>
  </si>
  <si>
    <t>Shay</t>
  </si>
  <si>
    <t>shay.stephenson@aol.com</t>
  </si>
  <si>
    <t xml:space="preserve">9569 4th Lane </t>
  </si>
  <si>
    <t>George</t>
  </si>
  <si>
    <t>george.pickett@msn.com</t>
  </si>
  <si>
    <t xml:space="preserve">691 Rocky River St. </t>
  </si>
  <si>
    <t>Renato</t>
  </si>
  <si>
    <t>renato.morton@msn.com</t>
  </si>
  <si>
    <t xml:space="preserve">8526 Sherwood Street </t>
  </si>
  <si>
    <t>Marcy</t>
  </si>
  <si>
    <t>Rodriguez</t>
  </si>
  <si>
    <t>marcy.rodriguez@gmail.com</t>
  </si>
  <si>
    <t xml:space="preserve">97 Trusel Drive </t>
  </si>
  <si>
    <t>Edmund</t>
  </si>
  <si>
    <t>edmund.gaines@gmail.com</t>
  </si>
  <si>
    <t xml:space="preserve">8643 Gartner St. </t>
  </si>
  <si>
    <t>lory.berg@aol.com</t>
  </si>
  <si>
    <t xml:space="preserve">64 Vine Drive </t>
  </si>
  <si>
    <t>pamala.fowler@gmail.com</t>
  </si>
  <si>
    <t xml:space="preserve">399 Leatherwood St. </t>
  </si>
  <si>
    <t>Leone</t>
  </si>
  <si>
    <t>Emerson</t>
  </si>
  <si>
    <t>leone.emerson@msn.com</t>
  </si>
  <si>
    <t xml:space="preserve">460 Smith Store Ave. </t>
  </si>
  <si>
    <t>Brain</t>
  </si>
  <si>
    <t>Skinner</t>
  </si>
  <si>
    <t>brain.skinner@hotmail.com</t>
  </si>
  <si>
    <t xml:space="preserve">8676 Ketch Harbour Ave. </t>
  </si>
  <si>
    <t>Roseanne</t>
  </si>
  <si>
    <t>roseanne.maynard@yahoo.com</t>
  </si>
  <si>
    <t xml:space="preserve">219 Old Paris Hill Dr. </t>
  </si>
  <si>
    <t>Corinna</t>
  </si>
  <si>
    <t>Adams</t>
  </si>
  <si>
    <t>corinna.adams@msn.com</t>
  </si>
  <si>
    <t xml:space="preserve">38 Trenton Court </t>
  </si>
  <si>
    <t>Kellye</t>
  </si>
  <si>
    <t>kellye.campbell@gmail.com</t>
  </si>
  <si>
    <t xml:space="preserve">75 Marsh St. </t>
  </si>
  <si>
    <t>Erna</t>
  </si>
  <si>
    <t>Sloan</t>
  </si>
  <si>
    <t>erna.sloan@aol.com</t>
  </si>
  <si>
    <t xml:space="preserve">9449 Fifth Avenue </t>
  </si>
  <si>
    <t>Carolann</t>
  </si>
  <si>
    <t>Russell</t>
  </si>
  <si>
    <t>carolann.russell@hotmail.com</t>
  </si>
  <si>
    <t xml:space="preserve">9308 Selby Ave. </t>
  </si>
  <si>
    <t>Calhoun</t>
  </si>
  <si>
    <t>gilbert.calhoun@msn.com</t>
  </si>
  <si>
    <t xml:space="preserve">7339 Summer Drive </t>
  </si>
  <si>
    <t>Maxwell</t>
  </si>
  <si>
    <t>manie.maxwell@gmail.com</t>
  </si>
  <si>
    <t xml:space="preserve">85 Brickell Ave. </t>
  </si>
  <si>
    <t>Giselle</t>
  </si>
  <si>
    <t>Robles</t>
  </si>
  <si>
    <t>giselle.robles@hotmail.com</t>
  </si>
  <si>
    <t xml:space="preserve">9747 N. El Dorado Dr. </t>
  </si>
  <si>
    <t>Tessie</t>
  </si>
  <si>
    <t>Farmer</t>
  </si>
  <si>
    <t>tessie.farmer@msn.com</t>
  </si>
  <si>
    <t xml:space="preserve">870 Cottage Ave. </t>
  </si>
  <si>
    <t>Felica</t>
  </si>
  <si>
    <t>felica.munoz@aol.com</t>
  </si>
  <si>
    <t xml:space="preserve">24 West Rockwell Dr. </t>
  </si>
  <si>
    <t>Kathyrn</t>
  </si>
  <si>
    <t>kathyrn.bush@gmail.com</t>
  </si>
  <si>
    <t xml:space="preserve">90 Devon St. </t>
  </si>
  <si>
    <t>Sylvester</t>
  </si>
  <si>
    <t>sylvester.chan@hotmail.com</t>
  </si>
  <si>
    <t xml:space="preserve">659 Arcadia Street </t>
  </si>
  <si>
    <t>Lizette</t>
  </si>
  <si>
    <t>Ellison</t>
  </si>
  <si>
    <t>lizette.ellison@hotmail.com</t>
  </si>
  <si>
    <t xml:space="preserve">865 Sunbeam Street </t>
  </si>
  <si>
    <t>Ernestina</t>
  </si>
  <si>
    <t>ernestina.skinner@hotmail.com</t>
  </si>
  <si>
    <t xml:space="preserve">52 Spring Drive </t>
  </si>
  <si>
    <t>Phyllis</t>
  </si>
  <si>
    <t>phyllis.hill@yahoo.com</t>
  </si>
  <si>
    <t xml:space="preserve">576 Devon Ave. </t>
  </si>
  <si>
    <t>Stephanie</t>
  </si>
  <si>
    <t>stephanie.browning@yahoo.com</t>
  </si>
  <si>
    <t xml:space="preserve">9156 Lantern St. </t>
  </si>
  <si>
    <t>Arlena</t>
  </si>
  <si>
    <t>arlena.buckner@hotmail.com</t>
  </si>
  <si>
    <t xml:space="preserve">629 Locust Ave. </t>
  </si>
  <si>
    <t>Lezlie</t>
  </si>
  <si>
    <t>lezlie.thompson@yahoo.com</t>
  </si>
  <si>
    <t xml:space="preserve">73 Vernon St. </t>
  </si>
  <si>
    <t>brittney.rojas@aol.com</t>
  </si>
  <si>
    <t xml:space="preserve">2 E. Overlook Ave. </t>
  </si>
  <si>
    <t>Phylis</t>
  </si>
  <si>
    <t>Adkins</t>
  </si>
  <si>
    <t>(212) 325-9145</t>
  </si>
  <si>
    <t>phylis.adkins@msn.com</t>
  </si>
  <si>
    <t xml:space="preserve">7781 James Ave. </t>
  </si>
  <si>
    <t>Lean</t>
  </si>
  <si>
    <t>Stark</t>
  </si>
  <si>
    <t>lean.stark@msn.com</t>
  </si>
  <si>
    <t xml:space="preserve">215 Old Pumpkin Hill St. </t>
  </si>
  <si>
    <t>Lara</t>
  </si>
  <si>
    <t>Guy</t>
  </si>
  <si>
    <t>lara.guy@aol.com</t>
  </si>
  <si>
    <t xml:space="preserve">9809 E. Walnut Drive </t>
  </si>
  <si>
    <t>Inga</t>
  </si>
  <si>
    <t>Koch</t>
  </si>
  <si>
    <t>inga.koch@msn.com</t>
  </si>
  <si>
    <t xml:space="preserve">8445 South New Court </t>
  </si>
  <si>
    <t>klara.kim@gmail.com</t>
  </si>
  <si>
    <t xml:space="preserve">9660 Sherman Lane </t>
  </si>
  <si>
    <t>Julianne</t>
  </si>
  <si>
    <t>Shannon</t>
  </si>
  <si>
    <t>julianne.shannon@hotmail.com</t>
  </si>
  <si>
    <t xml:space="preserve">28 Applegate Street </t>
  </si>
  <si>
    <t>Mullen</t>
  </si>
  <si>
    <t>loni.mullen@msn.com</t>
  </si>
  <si>
    <t xml:space="preserve">55 Thompson Avenue </t>
  </si>
  <si>
    <t>Olympia</t>
  </si>
  <si>
    <t>Figueroa</t>
  </si>
  <si>
    <t>olympia.figueroa@hotmail.com</t>
  </si>
  <si>
    <t xml:space="preserve">587 Surrey St. </t>
  </si>
  <si>
    <t>Mellie</t>
  </si>
  <si>
    <t>mellie.puckett@yahoo.com</t>
  </si>
  <si>
    <t xml:space="preserve">64 Van Dyke St. </t>
  </si>
  <si>
    <t>shonta.preston@msn.com</t>
  </si>
  <si>
    <t xml:space="preserve">74 Division St. </t>
  </si>
  <si>
    <t>Lore</t>
  </si>
  <si>
    <t>(716) 382-5169</t>
  </si>
  <si>
    <t>lore.sykes@aol.com</t>
  </si>
  <si>
    <t xml:space="preserve">7050 Beach Drive </t>
  </si>
  <si>
    <t>Julia</t>
  </si>
  <si>
    <t>julia.joyner@msn.com</t>
  </si>
  <si>
    <t xml:space="preserve">2 Valley View Dr. </t>
  </si>
  <si>
    <t>Lynwood</t>
  </si>
  <si>
    <t>lynwood.jackson@aol.com</t>
  </si>
  <si>
    <t xml:space="preserve">9449 Linda Street </t>
  </si>
  <si>
    <t>Rosalva</t>
  </si>
  <si>
    <t>rosalva.hamilton@aol.com</t>
  </si>
  <si>
    <t xml:space="preserve">9883 Cedar Dr. </t>
  </si>
  <si>
    <t>Domingo</t>
  </si>
  <si>
    <t>(408) 761-9212</t>
  </si>
  <si>
    <t>domingo.casey@msn.com</t>
  </si>
  <si>
    <t xml:space="preserve">8665 Cypress Street </t>
  </si>
  <si>
    <t>Rodrigo</t>
  </si>
  <si>
    <t>Durham</t>
  </si>
  <si>
    <t>rodrigo.durham@aol.com</t>
  </si>
  <si>
    <t xml:space="preserve">82 Old Church Road </t>
  </si>
  <si>
    <t>Dwain</t>
  </si>
  <si>
    <t>Carlson</t>
  </si>
  <si>
    <t>dwain.carlson@gmail.com</t>
  </si>
  <si>
    <t xml:space="preserve">951 North Trusel Ave. </t>
  </si>
  <si>
    <t>Humphrey</t>
  </si>
  <si>
    <t>erlinda.humphrey@hotmail.com</t>
  </si>
  <si>
    <t xml:space="preserve">532 South Victoria St. </t>
  </si>
  <si>
    <t>Silas</t>
  </si>
  <si>
    <t>(361) 219-2149</t>
  </si>
  <si>
    <t>silas.tate@yahoo.com</t>
  </si>
  <si>
    <t xml:space="preserve">9754 53rd Court </t>
  </si>
  <si>
    <t>Patience</t>
  </si>
  <si>
    <t>Clayton</t>
  </si>
  <si>
    <t>patience.clayton@hotmail.com</t>
  </si>
  <si>
    <t xml:space="preserve">68 Chestnut Dr. </t>
  </si>
  <si>
    <t>Mila</t>
  </si>
  <si>
    <t>Good</t>
  </si>
  <si>
    <t>mila.good@yahoo.com</t>
  </si>
  <si>
    <t xml:space="preserve">812 East Longbranch Ave. </t>
  </si>
  <si>
    <t>tanesha.sawyer@aol.com</t>
  </si>
  <si>
    <t xml:space="preserve">9B Kingston Lane </t>
  </si>
  <si>
    <t>Macdonald</t>
  </si>
  <si>
    <t>onita.macdonald@yahoo.com</t>
  </si>
  <si>
    <t xml:space="preserve">94 Wood St. </t>
  </si>
  <si>
    <t>Janine</t>
  </si>
  <si>
    <t>janine.manning@gmail.com</t>
  </si>
  <si>
    <t xml:space="preserve">9118B Campfire St. </t>
  </si>
  <si>
    <t>Melodie</t>
  </si>
  <si>
    <t>melodie.melton@yahoo.com</t>
  </si>
  <si>
    <t xml:space="preserve">12 S. 8th Road </t>
  </si>
  <si>
    <t>Ethelyn</t>
  </si>
  <si>
    <t>Ray</t>
  </si>
  <si>
    <t>ethelyn.ray@yahoo.com</t>
  </si>
  <si>
    <t xml:space="preserve">80 South Sutor Lane </t>
  </si>
  <si>
    <t>Phebe</t>
  </si>
  <si>
    <t>phebe.turner@aol.com</t>
  </si>
  <si>
    <t xml:space="preserve">4 West York Street </t>
  </si>
  <si>
    <t>Chloe</t>
  </si>
  <si>
    <t>Patel</t>
  </si>
  <si>
    <t>chloe.patel@yahoo.com</t>
  </si>
  <si>
    <t xml:space="preserve">407 Homewood Street </t>
  </si>
  <si>
    <t>Hilda</t>
  </si>
  <si>
    <t>hilda.harvey@gmail.com</t>
  </si>
  <si>
    <t xml:space="preserve">9808 W. Cleveland Ave. </t>
  </si>
  <si>
    <t>Gilberte</t>
  </si>
  <si>
    <t>Duke</t>
  </si>
  <si>
    <t>(915) 903-7860</t>
  </si>
  <si>
    <t>gilberte.duke@gmail.com</t>
  </si>
  <si>
    <t xml:space="preserve">12 Birchwood Dr. </t>
  </si>
  <si>
    <t>Willian</t>
  </si>
  <si>
    <t>willian.hardin@msn.com</t>
  </si>
  <si>
    <t xml:space="preserve">836 West Street </t>
  </si>
  <si>
    <t>Janna</t>
  </si>
  <si>
    <t>janna.hayden@msn.com</t>
  </si>
  <si>
    <t xml:space="preserve">32 Hilldale Street </t>
  </si>
  <si>
    <t>Letisha</t>
  </si>
  <si>
    <t>letisha.may@yahoo.com</t>
  </si>
  <si>
    <t xml:space="preserve">9965 Princeton Lane </t>
  </si>
  <si>
    <t>Cannon</t>
  </si>
  <si>
    <t>graig.cannon@gmail.com</t>
  </si>
  <si>
    <t xml:space="preserve">36 Oklahoma Ave. </t>
  </si>
  <si>
    <t>Coleen</t>
  </si>
  <si>
    <t>Navarro</t>
  </si>
  <si>
    <t>coleen.navarro@aol.com</t>
  </si>
  <si>
    <t xml:space="preserve">990 Broad Rd. </t>
  </si>
  <si>
    <t>Lucilla</t>
  </si>
  <si>
    <t>Williams</t>
  </si>
  <si>
    <t>lucilla.williams@hotmail.com</t>
  </si>
  <si>
    <t xml:space="preserve">42 Cedar Street </t>
  </si>
  <si>
    <t>Rosanne</t>
  </si>
  <si>
    <t>rosanne.george@yahoo.com</t>
  </si>
  <si>
    <t xml:space="preserve">38 Pleasant St. </t>
  </si>
  <si>
    <t>Ashlie</t>
  </si>
  <si>
    <t>Parrish</t>
  </si>
  <si>
    <t>ashlie.parrish@hotmail.com</t>
  </si>
  <si>
    <t xml:space="preserve">48 Mill Drive </t>
  </si>
  <si>
    <t>alissa.craft@hotmail.com</t>
  </si>
  <si>
    <t xml:space="preserve">249 Maple Street </t>
  </si>
  <si>
    <t>Letty</t>
  </si>
  <si>
    <t>letty.cobb@msn.com</t>
  </si>
  <si>
    <t xml:space="preserve">8652 Wellington Street </t>
  </si>
  <si>
    <t>Nathaniel</t>
  </si>
  <si>
    <t>Richard</t>
  </si>
  <si>
    <t>nathaniel.richard@gmail.com</t>
  </si>
  <si>
    <t xml:space="preserve">3 Nicolls Lane </t>
  </si>
  <si>
    <t>Elaina</t>
  </si>
  <si>
    <t>elaina.key@msn.com</t>
  </si>
  <si>
    <t xml:space="preserve">1 Main St. </t>
  </si>
  <si>
    <t>Stefani</t>
  </si>
  <si>
    <t>(845) 724-2996</t>
  </si>
  <si>
    <t>stefani.gamble@aol.com</t>
  </si>
  <si>
    <t xml:space="preserve">9119 W. Victoria St. </t>
  </si>
  <si>
    <t>Bettyann</t>
  </si>
  <si>
    <t>(717) 746-6658</t>
  </si>
  <si>
    <t>bettyann.acosta@gmail.com</t>
  </si>
  <si>
    <t xml:space="preserve">7949 Chapel St. </t>
  </si>
  <si>
    <t>Crysta</t>
  </si>
  <si>
    <t>Velez</t>
  </si>
  <si>
    <t>(281) 529-3469</t>
  </si>
  <si>
    <t>crysta.velez@yahoo.com</t>
  </si>
  <si>
    <t xml:space="preserve">64 South Front Street </t>
  </si>
  <si>
    <t>Carisa</t>
  </si>
  <si>
    <t>Carpenter</t>
  </si>
  <si>
    <t>carisa.carpenter@hotmail.com</t>
  </si>
  <si>
    <t xml:space="preserve">551 Belmont Lane </t>
  </si>
  <si>
    <t>Jule</t>
  </si>
  <si>
    <t>jule.davenport@aol.com</t>
  </si>
  <si>
    <t xml:space="preserve">19 River St. </t>
  </si>
  <si>
    <t>Lonna</t>
  </si>
  <si>
    <t>Franks</t>
  </si>
  <si>
    <t>lonna.franks@yahoo.com</t>
  </si>
  <si>
    <t xml:space="preserve">667 Brickyard Street </t>
  </si>
  <si>
    <t>Elease</t>
  </si>
  <si>
    <t>elease.dejesus@gmail.com</t>
  </si>
  <si>
    <t xml:space="preserve">7800 Magnolia Street </t>
  </si>
  <si>
    <t>Maira</t>
  </si>
  <si>
    <t>maira.long@msn.com</t>
  </si>
  <si>
    <t xml:space="preserve">7587 Bear Hill Street </t>
  </si>
  <si>
    <t>Jana</t>
  </si>
  <si>
    <t>(408) 624-8137</t>
  </si>
  <si>
    <t>jana.thomas@yahoo.com</t>
  </si>
  <si>
    <t xml:space="preserve">283 E. Spring Dr. </t>
  </si>
  <si>
    <t>Hae</t>
  </si>
  <si>
    <t>hae.ramirez@hotmail.com</t>
  </si>
  <si>
    <t xml:space="preserve">9367 Lake Street </t>
  </si>
  <si>
    <t>Erik</t>
  </si>
  <si>
    <t>Leblanc</t>
  </si>
  <si>
    <t>erik.leblanc@aol.com</t>
  </si>
  <si>
    <t xml:space="preserve">7 East Nut Swamp Street </t>
  </si>
  <si>
    <t>Daina</t>
  </si>
  <si>
    <t>Sampson</t>
  </si>
  <si>
    <t>daina.sampson@msn.com</t>
  </si>
  <si>
    <t xml:space="preserve">556 Wellington St. </t>
  </si>
  <si>
    <t>Delmar</t>
  </si>
  <si>
    <t>delmar.wise@yahoo.com</t>
  </si>
  <si>
    <t xml:space="preserve">8355 Kingston Avenue </t>
  </si>
  <si>
    <t>Alita</t>
  </si>
  <si>
    <t>alita.salinas@hotmail.com</t>
  </si>
  <si>
    <t xml:space="preserve">8550 Bear Hill Ave. </t>
  </si>
  <si>
    <t>elenore.william@msn.com</t>
  </si>
  <si>
    <t xml:space="preserve">23 Rockland St. </t>
  </si>
  <si>
    <t>Nikita</t>
  </si>
  <si>
    <t>Roy</t>
  </si>
  <si>
    <t>nikita.roy@aol.com</t>
  </si>
  <si>
    <t xml:space="preserve">9703 N. Snake Hill St. </t>
  </si>
  <si>
    <t>Inocencia</t>
  </si>
  <si>
    <t>inocencia.key@hotmail.com</t>
  </si>
  <si>
    <t xml:space="preserve">36 Wild Rose Ave. </t>
  </si>
  <si>
    <t>Liliana</t>
  </si>
  <si>
    <t>Kerr</t>
  </si>
  <si>
    <t>liliana.kerr@yahoo.com</t>
  </si>
  <si>
    <t xml:space="preserve">3 Cherry Drive </t>
  </si>
  <si>
    <t>O'neil</t>
  </si>
  <si>
    <t>hortencia.o'neil@hotmail.com</t>
  </si>
  <si>
    <t xml:space="preserve">1 Gulf Rd. </t>
  </si>
  <si>
    <t>Beryl</t>
  </si>
  <si>
    <t>(916) 422-6956</t>
  </si>
  <si>
    <t>beryl.bennett@aol.com</t>
  </si>
  <si>
    <t xml:space="preserve">9563 Edgemont St. </t>
  </si>
  <si>
    <t>Alishia</t>
  </si>
  <si>
    <t>alishia.elliott@aol.com</t>
  </si>
  <si>
    <t xml:space="preserve">8905 Courtland Ave. </t>
  </si>
  <si>
    <t>Vernia</t>
  </si>
  <si>
    <t>(248) 206-3697</t>
  </si>
  <si>
    <t>vernia.madden@aol.com</t>
  </si>
  <si>
    <t xml:space="preserve">5 Iroquois Street </t>
  </si>
  <si>
    <t>kristel.bullock@yahoo.com</t>
  </si>
  <si>
    <t xml:space="preserve">7292 Armstrong Drive </t>
  </si>
  <si>
    <t>Ruthanne</t>
  </si>
  <si>
    <t>Hoover</t>
  </si>
  <si>
    <t>ruthanne.hoover@aol.com</t>
  </si>
  <si>
    <t xml:space="preserve">835 Paris Hill Road </t>
  </si>
  <si>
    <t>james.robles@aol.com</t>
  </si>
  <si>
    <t xml:space="preserve">9 Chapel Lane </t>
  </si>
  <si>
    <t>Evelin</t>
  </si>
  <si>
    <t>evelin.vargas@msn.com</t>
  </si>
  <si>
    <t xml:space="preserve">7049 Pin Oak Ave. </t>
  </si>
  <si>
    <t>Elvia</t>
  </si>
  <si>
    <t>elvia.cardenas@hotmail.com</t>
  </si>
  <si>
    <t xml:space="preserve">8 Paris Hill St. </t>
  </si>
  <si>
    <t>Randee</t>
  </si>
  <si>
    <t>randee.pitts@msn.com</t>
  </si>
  <si>
    <t xml:space="preserve">7371B Essex Street </t>
  </si>
  <si>
    <t>lea.irwin@gmail.com</t>
  </si>
  <si>
    <t xml:space="preserve">845 Adams Lane </t>
  </si>
  <si>
    <t>Bryce</t>
  </si>
  <si>
    <t>bryce.monroe@aol.com</t>
  </si>
  <si>
    <t xml:space="preserve">52 Cooper Lane </t>
  </si>
  <si>
    <t>Katina</t>
  </si>
  <si>
    <t>Mcintosh</t>
  </si>
  <si>
    <t>(661) 464-1523</t>
  </si>
  <si>
    <t>katina.mcintosh@yahoo.com</t>
  </si>
  <si>
    <t xml:space="preserve">263 Swanson Dr. </t>
  </si>
  <si>
    <t>Guillermo</t>
  </si>
  <si>
    <t>(212) 652-7198</t>
  </si>
  <si>
    <t>guillermo.hart@hotmail.com</t>
  </si>
  <si>
    <t xml:space="preserve">81 Indian Summer Drive </t>
  </si>
  <si>
    <t>Joann</t>
  </si>
  <si>
    <t>joann.barber@gmail.com</t>
  </si>
  <si>
    <t xml:space="preserve">8945 Courtland Street </t>
  </si>
  <si>
    <t>Thurman</t>
  </si>
  <si>
    <t>Ellis</t>
  </si>
  <si>
    <t>thurman.ellis@gmail.com</t>
  </si>
  <si>
    <t xml:space="preserve">20 Augusta Road </t>
  </si>
  <si>
    <t>delana.wagner@aol.com</t>
  </si>
  <si>
    <t xml:space="preserve">8499 Mill Pond Road </t>
  </si>
  <si>
    <t>Porter</t>
  </si>
  <si>
    <t>porter.bass@hotmail.com</t>
  </si>
  <si>
    <t xml:space="preserve">370 North Alderwood Dr. </t>
  </si>
  <si>
    <t>Yvonne</t>
  </si>
  <si>
    <t>yvonne.bean@yahoo.com</t>
  </si>
  <si>
    <t xml:space="preserve">20 W. Marsh Ave. </t>
  </si>
  <si>
    <t>Lurline</t>
  </si>
  <si>
    <t>lurline.rivers@msn.com</t>
  </si>
  <si>
    <t xml:space="preserve">69 Pine Street </t>
  </si>
  <si>
    <t>Ocie</t>
  </si>
  <si>
    <t>ocie.slater@msn.com</t>
  </si>
  <si>
    <t xml:space="preserve">7799 W. Bohemia Dr. </t>
  </si>
  <si>
    <t>Genevie</t>
  </si>
  <si>
    <t>genevie.miles@aol.com</t>
  </si>
  <si>
    <t xml:space="preserve">45 West Sulphur Springs Ave. </t>
  </si>
  <si>
    <t>Sherilyn</t>
  </si>
  <si>
    <t>sherilyn.wilcox@gmail.com</t>
  </si>
  <si>
    <t xml:space="preserve">905 North Buckingham Lane </t>
  </si>
  <si>
    <t>Aida</t>
  </si>
  <si>
    <t>aida.koch@gmail.com</t>
  </si>
  <si>
    <t xml:space="preserve">9778 3rd Drive </t>
  </si>
  <si>
    <t>Emory</t>
  </si>
  <si>
    <t>O'connor</t>
  </si>
  <si>
    <t>(507) 606-2192</t>
  </si>
  <si>
    <t>emory.o'connor@gmail.com</t>
  </si>
  <si>
    <t xml:space="preserve">34 Foxrun Street </t>
  </si>
  <si>
    <t>Maximina</t>
  </si>
  <si>
    <t>(361) 164-3098</t>
  </si>
  <si>
    <t>maximina.hutchinson@hotmail.com</t>
  </si>
  <si>
    <t xml:space="preserve">53 Stillwater Avenue </t>
  </si>
  <si>
    <t>Marina</t>
  </si>
  <si>
    <t>Hinton</t>
  </si>
  <si>
    <t>marina.hinton@yahoo.com</t>
  </si>
  <si>
    <t xml:space="preserve">7440 North Oxford St. </t>
  </si>
  <si>
    <t>Danyell</t>
  </si>
  <si>
    <t>danyell.dickerson@msn.com</t>
  </si>
  <si>
    <t xml:space="preserve">8306 Fieldstone Dr. </t>
  </si>
  <si>
    <t>Davis</t>
  </si>
  <si>
    <t>(717) 653-1755</t>
  </si>
  <si>
    <t>davis.long@msn.com</t>
  </si>
  <si>
    <t xml:space="preserve">929 Elmwood Dr. </t>
  </si>
  <si>
    <t>lynn.mcmahon@msn.com</t>
  </si>
  <si>
    <t xml:space="preserve">9 Surrey St. </t>
  </si>
  <si>
    <t>Tonja</t>
  </si>
  <si>
    <t>tonja.henderson@aol.com</t>
  </si>
  <si>
    <t xml:space="preserve">82 Alton St. </t>
  </si>
  <si>
    <t>Krissy</t>
  </si>
  <si>
    <t>krissy.ochoa@msn.com</t>
  </si>
  <si>
    <t xml:space="preserve">80 Queen Ave. </t>
  </si>
  <si>
    <t>Angella</t>
  </si>
  <si>
    <t>angella.bridges@yahoo.com</t>
  </si>
  <si>
    <t xml:space="preserve">8708 Sycamore St. </t>
  </si>
  <si>
    <t>angele.castro@yahoo.com</t>
  </si>
  <si>
    <t xml:space="preserve">15 Acacia Drive </t>
  </si>
  <si>
    <t>Siobhan</t>
  </si>
  <si>
    <t>Lang</t>
  </si>
  <si>
    <t>siobhan.lang@gmail.com</t>
  </si>
  <si>
    <t xml:space="preserve">3 Monroe Lane </t>
  </si>
  <si>
    <t>Venessa</t>
  </si>
  <si>
    <t>venessa.frost@msn.com</t>
  </si>
  <si>
    <t xml:space="preserve">621 West School Rd. </t>
  </si>
  <si>
    <t>Verna</t>
  </si>
  <si>
    <t>Solis</t>
  </si>
  <si>
    <t>(507) 115-1633</t>
  </si>
  <si>
    <t>verna.solis@yahoo.com</t>
  </si>
  <si>
    <t xml:space="preserve">7 Lincoln Lane </t>
  </si>
  <si>
    <t>Steve</t>
  </si>
  <si>
    <t>Bender</t>
  </si>
  <si>
    <t>steve.bender@gmail.com</t>
  </si>
  <si>
    <t xml:space="preserve">908 N. Pennington Dr. </t>
  </si>
  <si>
    <t>Aileen</t>
  </si>
  <si>
    <t>aileen.marquez@msn.com</t>
  </si>
  <si>
    <t xml:space="preserve">8899 Newbridge Street </t>
  </si>
  <si>
    <t>Kattie</t>
  </si>
  <si>
    <t>Stevenson</t>
  </si>
  <si>
    <t>kattie.stevenson@aol.com</t>
  </si>
  <si>
    <t xml:space="preserve">52 Carson Street </t>
  </si>
  <si>
    <t>Hassan</t>
  </si>
  <si>
    <t>Nash</t>
  </si>
  <si>
    <t>hassan.nash@yahoo.com</t>
  </si>
  <si>
    <t xml:space="preserve">8105 University Lane </t>
  </si>
  <si>
    <t>Delfina</t>
  </si>
  <si>
    <t>delfina.gilliam@hotmail.com</t>
  </si>
  <si>
    <t xml:space="preserve">9463 Bayberry Rd. </t>
  </si>
  <si>
    <t>Venus</t>
  </si>
  <si>
    <t>Hewitt</t>
  </si>
  <si>
    <t>venus.hewitt@msn.com</t>
  </si>
  <si>
    <t xml:space="preserve">9835 Old Cemetery Lane </t>
  </si>
  <si>
    <t>Stephen</t>
  </si>
  <si>
    <t>(657) 288-3778</t>
  </si>
  <si>
    <t>stephen.vega@msn.com</t>
  </si>
  <si>
    <t xml:space="preserve">5 Briarwood St. </t>
  </si>
  <si>
    <t>Ciera</t>
  </si>
  <si>
    <t>ciera.koch@gmail.com</t>
  </si>
  <si>
    <t xml:space="preserve">881 Lawrence Drive </t>
  </si>
  <si>
    <t>Christel</t>
  </si>
  <si>
    <t>(916) 679-3547</t>
  </si>
  <si>
    <t>christel.barber@hotmail.com</t>
  </si>
  <si>
    <t xml:space="preserve">320 Briarwood Lane </t>
  </si>
  <si>
    <t>Arline</t>
  </si>
  <si>
    <t>Lawson</t>
  </si>
  <si>
    <t>(516) 792-3395</t>
  </si>
  <si>
    <t>arline.lawson@gmail.com</t>
  </si>
  <si>
    <t xml:space="preserve">48 Whitemarsh Lane </t>
  </si>
  <si>
    <t>Iva</t>
  </si>
  <si>
    <t>iva.wilcox@aol.com</t>
  </si>
  <si>
    <t xml:space="preserve">452 South Mayflower Drive </t>
  </si>
  <si>
    <t>Maple</t>
  </si>
  <si>
    <t>Griffin</t>
  </si>
  <si>
    <t>maple.griffin@gmail.com</t>
  </si>
  <si>
    <t xml:space="preserve">20 Glendale Drive </t>
  </si>
  <si>
    <t>Anisha</t>
  </si>
  <si>
    <t>anisha.lang@aol.com</t>
  </si>
  <si>
    <t xml:space="preserve">265 Peachtree St. </t>
  </si>
  <si>
    <t>Brent</t>
  </si>
  <si>
    <t>(361) 981-8725</t>
  </si>
  <si>
    <t>brent.calderon@aol.com</t>
  </si>
  <si>
    <t xml:space="preserve">3 Thomas St. </t>
  </si>
  <si>
    <t>Margit</t>
  </si>
  <si>
    <t>margit.osborn@yahoo.com</t>
  </si>
  <si>
    <t xml:space="preserve">909 Gulf Drive </t>
  </si>
  <si>
    <t>Novella</t>
  </si>
  <si>
    <t>novella.patel@gmail.com</t>
  </si>
  <si>
    <t xml:space="preserve">500 Livingston Street </t>
  </si>
  <si>
    <t>Laurette</t>
  </si>
  <si>
    <t>laurette.hebert@msn.com</t>
  </si>
  <si>
    <t xml:space="preserve">18 South Constitution Court </t>
  </si>
  <si>
    <t>Jonna</t>
  </si>
  <si>
    <t>Brown</t>
  </si>
  <si>
    <t>jonna.brown@aol.com</t>
  </si>
  <si>
    <t xml:space="preserve">1 Spring Drive </t>
  </si>
  <si>
    <t>Jennell</t>
  </si>
  <si>
    <t>(507) 421-7354</t>
  </si>
  <si>
    <t>jennell.solis@hotmail.com</t>
  </si>
  <si>
    <t xml:space="preserve">194 2nd Rd. </t>
  </si>
  <si>
    <t>Ruth</t>
  </si>
  <si>
    <t>Horton</t>
  </si>
  <si>
    <t>ruth.horton@gmail.com</t>
  </si>
  <si>
    <t xml:space="preserve">488 Mulberry Ave. </t>
  </si>
  <si>
    <t>Samual</t>
  </si>
  <si>
    <t>Warner</t>
  </si>
  <si>
    <t>(631) 151-4988</t>
  </si>
  <si>
    <t>samual.warner@gmail.com</t>
  </si>
  <si>
    <t xml:space="preserve">8735 Thatcher Dr. </t>
  </si>
  <si>
    <t>(562) 924-3079</t>
  </si>
  <si>
    <t>damian.mills@yahoo.com</t>
  </si>
  <si>
    <t xml:space="preserve">7747 Elm Dr. </t>
  </si>
  <si>
    <t>Margaretta</t>
  </si>
  <si>
    <t>margaretta.clayton@yahoo.com</t>
  </si>
  <si>
    <t xml:space="preserve">524 San Pablo Ave. </t>
  </si>
  <si>
    <t>Marcell</t>
  </si>
  <si>
    <t>marcell.barrett@gmail.com</t>
  </si>
  <si>
    <t xml:space="preserve">266 Elm Drive </t>
  </si>
  <si>
    <t>Annis</t>
  </si>
  <si>
    <t>(424) 352-6275</t>
  </si>
  <si>
    <t>annis.sanchez@aol.com</t>
  </si>
  <si>
    <t xml:space="preserve">4 Edgewater Road </t>
  </si>
  <si>
    <t>ayanna.cherry@yahoo.com</t>
  </si>
  <si>
    <t xml:space="preserve">8829 Galvin Rd. </t>
  </si>
  <si>
    <t>Cox</t>
  </si>
  <si>
    <t>barton.cox@yahoo.com</t>
  </si>
  <si>
    <t xml:space="preserve">8220 Creekside Street </t>
  </si>
  <si>
    <t>diana.reyes@msn.com</t>
  </si>
  <si>
    <t xml:space="preserve">7415 Annadale St. </t>
  </si>
  <si>
    <t>Ingeborg</t>
  </si>
  <si>
    <t>ingeborg.ellison@yahoo.com</t>
  </si>
  <si>
    <t xml:space="preserve">360 Trusel St. </t>
  </si>
  <si>
    <t>carter.booth@msn.com</t>
  </si>
  <si>
    <t xml:space="preserve">82 Beech Drive </t>
  </si>
  <si>
    <t>(562) 342-8083</t>
  </si>
  <si>
    <t>christel.cardenas@aol.com</t>
  </si>
  <si>
    <t xml:space="preserve">428 S. Swanson Drive </t>
  </si>
  <si>
    <t>Orval</t>
  </si>
  <si>
    <t>orval.hunter@aol.com</t>
  </si>
  <si>
    <t xml:space="preserve">35 Wagon Drive </t>
  </si>
  <si>
    <t>Marguerite</t>
  </si>
  <si>
    <t>marguerite.berger@aol.com</t>
  </si>
  <si>
    <t xml:space="preserve">875 Arch Lane </t>
  </si>
  <si>
    <t>Ivette</t>
  </si>
  <si>
    <t>Warren</t>
  </si>
  <si>
    <t>ivette.warren@gmail.com</t>
  </si>
  <si>
    <t xml:space="preserve">8408 Thomas Street </t>
  </si>
  <si>
    <t>Milagros</t>
  </si>
  <si>
    <t>milagros.weber@hotmail.com</t>
  </si>
  <si>
    <t xml:space="preserve">7591 Glendale Ave. </t>
  </si>
  <si>
    <t>Marcel</t>
  </si>
  <si>
    <t>marcel.lindsay@hotmail.com</t>
  </si>
  <si>
    <t xml:space="preserve">249 Peninsula St. </t>
  </si>
  <si>
    <t>Louis</t>
  </si>
  <si>
    <t>Powell</t>
  </si>
  <si>
    <t>louis.powell@aol.com</t>
  </si>
  <si>
    <t xml:space="preserve">368 Sugar Rd. </t>
  </si>
  <si>
    <t>Vanda</t>
  </si>
  <si>
    <t>vanda.holmes@aol.com</t>
  </si>
  <si>
    <t xml:space="preserve">9835 Wild Rose Drive </t>
  </si>
  <si>
    <t>Loreen</t>
  </si>
  <si>
    <t>loreen.byers@yahoo.com</t>
  </si>
  <si>
    <t xml:space="preserve">83 S. Rockledge Circle </t>
  </si>
  <si>
    <t>Casimira</t>
  </si>
  <si>
    <t>Chapman</t>
  </si>
  <si>
    <t>casimira.chapman@yahoo.com</t>
  </si>
  <si>
    <t xml:space="preserve">67 Snake Hill St. </t>
  </si>
  <si>
    <t>Brigida</t>
  </si>
  <si>
    <t>brigida.larson@hotmail.com</t>
  </si>
  <si>
    <t xml:space="preserve">8789 Sycamore Lane </t>
  </si>
  <si>
    <t>Alston</t>
  </si>
  <si>
    <t>chere.alston@gmail.com</t>
  </si>
  <si>
    <t xml:space="preserve">16 Lower River Street </t>
  </si>
  <si>
    <t>Giovanna</t>
  </si>
  <si>
    <t>giovanna.jefferson@gmail.com</t>
  </si>
  <si>
    <t xml:space="preserve">9394 Riverside St. </t>
  </si>
  <si>
    <t>Demarcus</t>
  </si>
  <si>
    <t>demarcus.reese@gmail.com</t>
  </si>
  <si>
    <t xml:space="preserve">8087 Armstrong Dr. </t>
  </si>
  <si>
    <t>Amina</t>
  </si>
  <si>
    <t>amina.salazar@aol.com</t>
  </si>
  <si>
    <t xml:space="preserve">944 Wellington Street </t>
  </si>
  <si>
    <t>Serafina</t>
  </si>
  <si>
    <t>serafina.clemons@gmail.com</t>
  </si>
  <si>
    <t xml:space="preserve">851 Brown Ave. </t>
  </si>
  <si>
    <t>Trinidad</t>
  </si>
  <si>
    <t>trinidad.mcclain@msn.com</t>
  </si>
  <si>
    <t xml:space="preserve">98 Tunnel Drive </t>
  </si>
  <si>
    <t>Heather</t>
  </si>
  <si>
    <t>heather.chaney@yahoo.com</t>
  </si>
  <si>
    <t xml:space="preserve">4 Morris Dr. </t>
  </si>
  <si>
    <t>Latoya</t>
  </si>
  <si>
    <t>latoya.johns@hotmail.com</t>
  </si>
  <si>
    <t xml:space="preserve">7914 W. Woodsman St. </t>
  </si>
  <si>
    <t>Shiloh</t>
  </si>
  <si>
    <t>shiloh.reeves@msn.com</t>
  </si>
  <si>
    <t xml:space="preserve">818 Kirkland Lane </t>
  </si>
  <si>
    <t>(631) 913-6967</t>
  </si>
  <si>
    <t>lee.roman@gmail.com</t>
  </si>
  <si>
    <t xml:space="preserve">4 Canal Ave. </t>
  </si>
  <si>
    <t>Cami</t>
  </si>
  <si>
    <t>Williamson</t>
  </si>
  <si>
    <t>cami.williamson@hotmail.com</t>
  </si>
  <si>
    <t xml:space="preserve">9511A Windsor Drive </t>
  </si>
  <si>
    <t>Sharell</t>
  </si>
  <si>
    <t>sharell.ross@msn.com</t>
  </si>
  <si>
    <t xml:space="preserve">7830 Devonshire Ave. </t>
  </si>
  <si>
    <t>Jerald</t>
  </si>
  <si>
    <t>jerald.blackwell@hotmail.com</t>
  </si>
  <si>
    <t xml:space="preserve">8364 South Wakehurst Ave. </t>
  </si>
  <si>
    <t>ruthanne.franco@yahoo.com</t>
  </si>
  <si>
    <t xml:space="preserve">61 Applegate St. </t>
  </si>
  <si>
    <t>Marjory</t>
  </si>
  <si>
    <t>Leonard</t>
  </si>
  <si>
    <t>marjory.leonard@msn.com</t>
  </si>
  <si>
    <t xml:space="preserve">800 Greystone Lane </t>
  </si>
  <si>
    <t>Jimmy</t>
  </si>
  <si>
    <t>jimmy.russell@hotmail.com</t>
  </si>
  <si>
    <t xml:space="preserve">33 Iroquois Ave. </t>
  </si>
  <si>
    <t>Berneice</t>
  </si>
  <si>
    <t>berneice.pollard@hotmail.com</t>
  </si>
  <si>
    <t xml:space="preserve">607 Bohemia Street </t>
  </si>
  <si>
    <t>Deangelo</t>
  </si>
  <si>
    <t>Cooley</t>
  </si>
  <si>
    <t>deangelo.cooley@aol.com</t>
  </si>
  <si>
    <t xml:space="preserve">3 NE. Edgewood Rd. </t>
  </si>
  <si>
    <t>Katia</t>
  </si>
  <si>
    <t>katia.henry@msn.com</t>
  </si>
  <si>
    <t xml:space="preserve">69 E. Columbia Ave. </t>
  </si>
  <si>
    <t>Gross</t>
  </si>
  <si>
    <t>sebrina.gross@yahoo.com</t>
  </si>
  <si>
    <t xml:space="preserve">993 Glendale Drive </t>
  </si>
  <si>
    <t>Josephine</t>
  </si>
  <si>
    <t>Dale</t>
  </si>
  <si>
    <t>josephine.dale@aol.com</t>
  </si>
  <si>
    <t xml:space="preserve">8214 West Drive </t>
  </si>
  <si>
    <t>Alma</t>
  </si>
  <si>
    <t>alma.peck@aol.com</t>
  </si>
  <si>
    <t xml:space="preserve">298 South Bay Meadows Drive </t>
  </si>
  <si>
    <t>Ling</t>
  </si>
  <si>
    <t>ling.newman@msn.com</t>
  </si>
  <si>
    <t xml:space="preserve">832 Spring Road </t>
  </si>
  <si>
    <t>nichelle.rosario@hotmail.com</t>
  </si>
  <si>
    <t xml:space="preserve">709 Dunbar Ave. </t>
  </si>
  <si>
    <t>Shenna</t>
  </si>
  <si>
    <t>Benton</t>
  </si>
  <si>
    <t>(212) 578-2912</t>
  </si>
  <si>
    <t>shenna.benton@msn.com</t>
  </si>
  <si>
    <t xml:space="preserve">57 Shadow Brook Road </t>
  </si>
  <si>
    <t>Philip</t>
  </si>
  <si>
    <t>(510) 533-4262</t>
  </si>
  <si>
    <t>philip.bryan@hotmail.com</t>
  </si>
  <si>
    <t xml:space="preserve">914 Devonshire Court </t>
  </si>
  <si>
    <t>Carita</t>
  </si>
  <si>
    <t>carita.salinas@yahoo.com</t>
  </si>
  <si>
    <t xml:space="preserve">90 Griffin Street </t>
  </si>
  <si>
    <t>Janie</t>
  </si>
  <si>
    <t>janie.herrera@gmail.com</t>
  </si>
  <si>
    <t xml:space="preserve">652 Westport Street </t>
  </si>
  <si>
    <t>Lorraine</t>
  </si>
  <si>
    <t>lorraine.marks@msn.com</t>
  </si>
  <si>
    <t xml:space="preserve">160 North Pearl Street </t>
  </si>
  <si>
    <t>Nicolas</t>
  </si>
  <si>
    <t>nicolas.carlson@yahoo.com</t>
  </si>
  <si>
    <t xml:space="preserve">7899 Spruce Street </t>
  </si>
  <si>
    <t>Hye</t>
  </si>
  <si>
    <t>hye.mercer@gmail.com</t>
  </si>
  <si>
    <t xml:space="preserve">9681 Redwood St. </t>
  </si>
  <si>
    <t>Adena</t>
  </si>
  <si>
    <t>Blake</t>
  </si>
  <si>
    <t>adena.blake@hotmail.com</t>
  </si>
  <si>
    <t xml:space="preserve">684 Westport Drive </t>
  </si>
  <si>
    <t>Coleman</t>
  </si>
  <si>
    <t>(915) 607-6336</t>
  </si>
  <si>
    <t>coleman.boyd@yahoo.com</t>
  </si>
  <si>
    <t xml:space="preserve">9740 Bay Meadows Drive </t>
  </si>
  <si>
    <t>Daphine</t>
  </si>
  <si>
    <t>daphine.willis@msn.com</t>
  </si>
  <si>
    <t xml:space="preserve">152 Shady St. </t>
  </si>
  <si>
    <t>jenine.dawson@msn.com</t>
  </si>
  <si>
    <t xml:space="preserve">17 Park Street </t>
  </si>
  <si>
    <t>Shanita</t>
  </si>
  <si>
    <t>Wiley</t>
  </si>
  <si>
    <t>shanita.wiley@yahoo.com</t>
  </si>
  <si>
    <t xml:space="preserve">121 Bridge Lane </t>
  </si>
  <si>
    <t>Shanna</t>
  </si>
  <si>
    <t>shanna.bonner@msn.com</t>
  </si>
  <si>
    <t xml:space="preserve">386 Lafayette Road </t>
  </si>
  <si>
    <t>Ping</t>
  </si>
  <si>
    <t>ping.quinn@gmail.com</t>
  </si>
  <si>
    <t xml:space="preserve">9051 Hanover Dr. </t>
  </si>
  <si>
    <t>Saran</t>
  </si>
  <si>
    <t>saran.moses@yahoo.com</t>
  </si>
  <si>
    <t xml:space="preserve">94 Hall Dr. </t>
  </si>
  <si>
    <t>tonja.bean@aol.com</t>
  </si>
  <si>
    <t xml:space="preserve">9 Middle River St. </t>
  </si>
  <si>
    <t>Vernon</t>
  </si>
  <si>
    <t>vernon.knowles@yahoo.com</t>
  </si>
  <si>
    <t xml:space="preserve">5 Olive Lane </t>
  </si>
  <si>
    <t>Jeannette</t>
  </si>
  <si>
    <t>jeannette.skinner@yahoo.com</t>
  </si>
  <si>
    <t xml:space="preserve">8886 High Point Drive </t>
  </si>
  <si>
    <t>Rico</t>
  </si>
  <si>
    <t>Salas</t>
  </si>
  <si>
    <t>rico.salas@msn.com</t>
  </si>
  <si>
    <t xml:space="preserve">8041 Walt Whitman St. </t>
  </si>
  <si>
    <t>Hurley</t>
  </si>
  <si>
    <t>tangela.hurley@msn.com</t>
  </si>
  <si>
    <t xml:space="preserve">49 North Cross St. </t>
  </si>
  <si>
    <t>randee.lester@gmail.com</t>
  </si>
  <si>
    <t xml:space="preserve">81 Bear Hill Street </t>
  </si>
  <si>
    <t>Hammond</t>
  </si>
  <si>
    <t>ashanti.hammond@msn.com</t>
  </si>
  <si>
    <t xml:space="preserve">9202 W. Lyme Ave. </t>
  </si>
  <si>
    <t>garry.juarez@hotmail.com</t>
  </si>
  <si>
    <t xml:space="preserve">670 Nut Swamp Drive </t>
  </si>
  <si>
    <t>Bee</t>
  </si>
  <si>
    <t>bee.baker@aol.com</t>
  </si>
  <si>
    <t xml:space="preserve">307 E. Magnolia St. </t>
  </si>
  <si>
    <t>Shantae</t>
  </si>
  <si>
    <t>shantae.hammond@hotmail.com</t>
  </si>
  <si>
    <t xml:space="preserve">526 Harvard Drive </t>
  </si>
  <si>
    <t>Bettye</t>
  </si>
  <si>
    <t>bettye.espinoza@yahoo.com</t>
  </si>
  <si>
    <t xml:space="preserve">76 Rockwell Street </t>
  </si>
  <si>
    <t>Larissa</t>
  </si>
  <si>
    <t>larissa.hays@aol.com</t>
  </si>
  <si>
    <t xml:space="preserve">66 2nd Drive </t>
  </si>
  <si>
    <t>Diane</t>
  </si>
  <si>
    <t>Jones</t>
  </si>
  <si>
    <t>diane.jones@gmail.com</t>
  </si>
  <si>
    <t xml:space="preserve">859 Prince St. </t>
  </si>
  <si>
    <t>Zenia</t>
  </si>
  <si>
    <t>Bruce</t>
  </si>
  <si>
    <t>zenia.bruce@aol.com</t>
  </si>
  <si>
    <t xml:space="preserve">349 James Road </t>
  </si>
  <si>
    <t>Pasquale</t>
  </si>
  <si>
    <t>Hogan</t>
  </si>
  <si>
    <t>pasquale.hogan@aol.com</t>
  </si>
  <si>
    <t xml:space="preserve">403 Bank St. </t>
  </si>
  <si>
    <t>Dane</t>
  </si>
  <si>
    <t>dane.mcdaniel@hotmail.com</t>
  </si>
  <si>
    <t xml:space="preserve">891 Court Ave. </t>
  </si>
  <si>
    <t>jamaal.baker@hotmail.com</t>
  </si>
  <si>
    <t xml:space="preserve">186 Big Rock Cove Ave. </t>
  </si>
  <si>
    <t>Ji</t>
  </si>
  <si>
    <t>ji.burt@hotmail.com</t>
  </si>
  <si>
    <t xml:space="preserve">40 S. Roberts Street </t>
  </si>
  <si>
    <t>Marcelino</t>
  </si>
  <si>
    <t>marcelino.mcbride@hotmail.com</t>
  </si>
  <si>
    <t xml:space="preserve">29 Oxford Ave. </t>
  </si>
  <si>
    <t>Rozella</t>
  </si>
  <si>
    <t>rozella.fitzgerald@yahoo.com</t>
  </si>
  <si>
    <t xml:space="preserve">7795 Myers Ave. </t>
  </si>
  <si>
    <t>Tonisha</t>
  </si>
  <si>
    <t>tonisha.fowler@msn.com</t>
  </si>
  <si>
    <t xml:space="preserve">9270 Valley View Lane </t>
  </si>
  <si>
    <t>Zora</t>
  </si>
  <si>
    <t>(916) 192-3196</t>
  </si>
  <si>
    <t>zora.ford@gmail.com</t>
  </si>
  <si>
    <t xml:space="preserve">7416 La Sierra Dr. </t>
  </si>
  <si>
    <t>Parthenia</t>
  </si>
  <si>
    <t>parthenia.figueroa@msn.com</t>
  </si>
  <si>
    <t xml:space="preserve">550 Theatre Dr. </t>
  </si>
  <si>
    <t>Arielle</t>
  </si>
  <si>
    <t>Levine</t>
  </si>
  <si>
    <t>arielle.levine@yahoo.com</t>
  </si>
  <si>
    <t xml:space="preserve">7100 High Ridge St. </t>
  </si>
  <si>
    <t>Hildegarde</t>
  </si>
  <si>
    <t>Christensen</t>
  </si>
  <si>
    <t>hildegarde.christensen@hotmail.com</t>
  </si>
  <si>
    <t xml:space="preserve">488 East Mill Pond Ave. </t>
  </si>
  <si>
    <t>Rebbecca</t>
  </si>
  <si>
    <t>rebbecca.espinoza@hotmail.com</t>
  </si>
  <si>
    <t xml:space="preserve">8266 Valley Farms Road </t>
  </si>
  <si>
    <t>Conchita</t>
  </si>
  <si>
    <t>Boone</t>
  </si>
  <si>
    <t>conchita.boone@gmail.com</t>
  </si>
  <si>
    <t xml:space="preserve">814 Birchpond Lane </t>
  </si>
  <si>
    <t>Aisha</t>
  </si>
  <si>
    <t>aisha.woods@gmail.com</t>
  </si>
  <si>
    <t xml:space="preserve">9292 Bear Hill Ave. </t>
  </si>
  <si>
    <t>Season</t>
  </si>
  <si>
    <t>season.harvey@yahoo.com</t>
  </si>
  <si>
    <t xml:space="preserve">388 Arnold Court </t>
  </si>
  <si>
    <t>(717) 634-4113</t>
  </si>
  <si>
    <t>tommie.cooley@yahoo.com</t>
  </si>
  <si>
    <t xml:space="preserve">92 Hickory St. </t>
  </si>
  <si>
    <t>Alanna</t>
  </si>
  <si>
    <t>alanna.barry@yahoo.com</t>
  </si>
  <si>
    <t xml:space="preserve">33 Laurel Avenue </t>
  </si>
  <si>
    <t>Jerri</t>
  </si>
  <si>
    <t>Guthrie</t>
  </si>
  <si>
    <t>jerri.guthrie@msn.com</t>
  </si>
  <si>
    <t xml:space="preserve">95 Sugar Dr. </t>
  </si>
  <si>
    <t>Tammy</t>
  </si>
  <si>
    <t>tammy.austin@yahoo.com</t>
  </si>
  <si>
    <t xml:space="preserve">182 Stillwater Ave. </t>
  </si>
  <si>
    <t>Patsy</t>
  </si>
  <si>
    <t>Russo</t>
  </si>
  <si>
    <t>patsy.russo@gmail.com</t>
  </si>
  <si>
    <t xml:space="preserve">8438 Fairway Avenue </t>
  </si>
  <si>
    <t>Desiree</t>
  </si>
  <si>
    <t>desiree.branch@msn.com</t>
  </si>
  <si>
    <t xml:space="preserve">67 Bayport Drive </t>
  </si>
  <si>
    <t>Raeann</t>
  </si>
  <si>
    <t>(657) 256-2008</t>
  </si>
  <si>
    <t>raeann.duncan@aol.com</t>
  </si>
  <si>
    <t xml:space="preserve">126 Edgewood St. </t>
  </si>
  <si>
    <t>Lillia</t>
  </si>
  <si>
    <t>Gillespie</t>
  </si>
  <si>
    <t>lillia.gillespie@hotmail.com</t>
  </si>
  <si>
    <t xml:space="preserve">382 Cardinal Dr. </t>
  </si>
  <si>
    <t>Doris</t>
  </si>
  <si>
    <t>Kaufman</t>
  </si>
  <si>
    <t>doris.kaufman@gmail.com</t>
  </si>
  <si>
    <t xml:space="preserve">69 Fairground Dr. </t>
  </si>
  <si>
    <t>Rodolfo</t>
  </si>
  <si>
    <t>Buck</t>
  </si>
  <si>
    <t>rodolfo.buck@gmail.com</t>
  </si>
  <si>
    <t xml:space="preserve">8359 Brewery Street </t>
  </si>
  <si>
    <t>Olimpia</t>
  </si>
  <si>
    <t>olimpia.mays@aol.com</t>
  </si>
  <si>
    <t xml:space="preserve">42 Nichols Lane </t>
  </si>
  <si>
    <t>Oakland Gardens</t>
  </si>
  <si>
    <t>Shemeka</t>
  </si>
  <si>
    <t>shemeka.lyons@msn.com</t>
  </si>
  <si>
    <t xml:space="preserve">97 South Jockey Hollow St. </t>
  </si>
  <si>
    <t>Maryalice</t>
  </si>
  <si>
    <t>maryalice.henry@msn.com</t>
  </si>
  <si>
    <t xml:space="preserve">85 Prince Street </t>
  </si>
  <si>
    <t>Leeanne</t>
  </si>
  <si>
    <t>leeanne.cross@yahoo.com</t>
  </si>
  <si>
    <t xml:space="preserve">424 Newcastle Road </t>
  </si>
  <si>
    <t>Lanelle</t>
  </si>
  <si>
    <t>lanelle.guerra@yahoo.com</t>
  </si>
  <si>
    <t xml:space="preserve">989 Wrangler St. </t>
  </si>
  <si>
    <t>Dann</t>
  </si>
  <si>
    <t>Huff</t>
  </si>
  <si>
    <t>dann.huff@gmail.com</t>
  </si>
  <si>
    <t xml:space="preserve">475 S. Rockville St. </t>
  </si>
  <si>
    <t>Sherise</t>
  </si>
  <si>
    <t>sherise.mercer@gmail.com</t>
  </si>
  <si>
    <t xml:space="preserve">9401 Catherine Dr. </t>
  </si>
  <si>
    <t>heather.perry@gmail.com</t>
  </si>
  <si>
    <t xml:space="preserve">982 Durham Street </t>
  </si>
  <si>
    <t>Theresia</t>
  </si>
  <si>
    <t>theresia.barron@aol.com</t>
  </si>
  <si>
    <t xml:space="preserve">951 Wild Rose Street </t>
  </si>
  <si>
    <t>cindi.ellis@yahoo.com</t>
  </si>
  <si>
    <t xml:space="preserve">6 Cypress Lane </t>
  </si>
  <si>
    <t>Mirella</t>
  </si>
  <si>
    <t>Duffy</t>
  </si>
  <si>
    <t>mirella.duffy@yahoo.com</t>
  </si>
  <si>
    <t xml:space="preserve">43 University Ave. </t>
  </si>
  <si>
    <t>Macias</t>
  </si>
  <si>
    <t>carson.macias@gmail.com</t>
  </si>
  <si>
    <t xml:space="preserve">7 Pennington St. </t>
  </si>
  <si>
    <t>Divina</t>
  </si>
  <si>
    <t>(562) 264-3998</t>
  </si>
  <si>
    <t>divina.madden@gmail.com</t>
  </si>
  <si>
    <t xml:space="preserve">7314 Armstrong St. </t>
  </si>
  <si>
    <t>Cher</t>
  </si>
  <si>
    <t>cher.alston@msn.com</t>
  </si>
  <si>
    <t xml:space="preserve">38 Wild Horse Road </t>
  </si>
  <si>
    <t>regine.odom@msn.com</t>
  </si>
  <si>
    <t xml:space="preserve">684 N. Mayfield Ave. </t>
  </si>
  <si>
    <t>adam.thornton@hotmail.com</t>
  </si>
  <si>
    <t xml:space="preserve">755 East Henry Lane </t>
  </si>
  <si>
    <t>Cori</t>
  </si>
  <si>
    <t>Schwartz</t>
  </si>
  <si>
    <t>cori.schwartz@msn.com</t>
  </si>
  <si>
    <t xml:space="preserve">43 Lancaster Lane </t>
  </si>
  <si>
    <t>Willow</t>
  </si>
  <si>
    <t>willow.gardner@gmail.com</t>
  </si>
  <si>
    <t xml:space="preserve">57 S. Lakewood Dr. </t>
  </si>
  <si>
    <t>Jane</t>
  </si>
  <si>
    <t>jane.henderson@hotmail.com</t>
  </si>
  <si>
    <t xml:space="preserve">46 Carson Drive </t>
  </si>
  <si>
    <t>Mcfadden</t>
  </si>
  <si>
    <t>chere.mcfadden@yahoo.com</t>
  </si>
  <si>
    <t xml:space="preserve">695 San Pablo Drive </t>
  </si>
  <si>
    <t>ira.erickson@aol.com</t>
  </si>
  <si>
    <t xml:space="preserve">6 Lake Forest St. </t>
  </si>
  <si>
    <t>Risa</t>
  </si>
  <si>
    <t>Gallagher</t>
  </si>
  <si>
    <t>risa.gallagher@yahoo.com</t>
  </si>
  <si>
    <t xml:space="preserve">8281 Edgefield Drive </t>
  </si>
  <si>
    <t>Lavinia</t>
  </si>
  <si>
    <t>lavinia.cotton@yahoo.com</t>
  </si>
  <si>
    <t xml:space="preserve">7485 Bridle Street </t>
  </si>
  <si>
    <t>Alejandrina</t>
  </si>
  <si>
    <t>Hodges</t>
  </si>
  <si>
    <t>alejandrina.hodges@msn.com</t>
  </si>
  <si>
    <t xml:space="preserve">7598 Shadow Brook St. </t>
  </si>
  <si>
    <t>Keitha</t>
  </si>
  <si>
    <t>Black</t>
  </si>
  <si>
    <t>keitha.black@yahoo.com</t>
  </si>
  <si>
    <t xml:space="preserve">7670 Hilldale Ave. </t>
  </si>
  <si>
    <t>corene.swanson@aol.com</t>
  </si>
  <si>
    <t xml:space="preserve">597 Lakeshore Lane </t>
  </si>
  <si>
    <t>Webb</t>
  </si>
  <si>
    <t>tonda.webb@yahoo.com</t>
  </si>
  <si>
    <t xml:space="preserve">53 SW. Edgemont Rd. </t>
  </si>
  <si>
    <t>Dennis</t>
  </si>
  <si>
    <t>collen.dennis@gmail.com</t>
  </si>
  <si>
    <t xml:space="preserve">284 E. Mill Street </t>
  </si>
  <si>
    <t>Treasa</t>
  </si>
  <si>
    <t>treasa.dickerson@hotmail.com</t>
  </si>
  <si>
    <t xml:space="preserve">70 W. Creekside Road </t>
  </si>
  <si>
    <t>Jewell</t>
  </si>
  <si>
    <t>jewell.reyes@hotmail.com</t>
  </si>
  <si>
    <t xml:space="preserve">8711 Glen Creek Drive </t>
  </si>
  <si>
    <t>Penny</t>
  </si>
  <si>
    <t>penny.acevedo@yahoo.com</t>
  </si>
  <si>
    <t xml:space="preserve">318 Mulberry Drive </t>
  </si>
  <si>
    <t>Louise</t>
  </si>
  <si>
    <t>Flowers</t>
  </si>
  <si>
    <t>louise.flowers@yahoo.com</t>
  </si>
  <si>
    <t xml:space="preserve">28 N. Gregory Court </t>
  </si>
  <si>
    <t>Henrietta</t>
  </si>
  <si>
    <t>(682) 143-2224</t>
  </si>
  <si>
    <t>henrietta.wagner@hotmail.com</t>
  </si>
  <si>
    <t xml:space="preserve">54 Brickyard St. </t>
  </si>
  <si>
    <t>Ardelia</t>
  </si>
  <si>
    <t>ardelia.cooley@aol.com</t>
  </si>
  <si>
    <t xml:space="preserve">59 Henry Smith St. </t>
  </si>
  <si>
    <t>Khalilah</t>
  </si>
  <si>
    <t>khalilah.robertson@aol.com</t>
  </si>
  <si>
    <t xml:space="preserve">22 Longbranch Rd. </t>
  </si>
  <si>
    <t>Armando</t>
  </si>
  <si>
    <t>armando.black@gmail.com</t>
  </si>
  <si>
    <t xml:space="preserve">8611 N. Poor House St. </t>
  </si>
  <si>
    <t>jerri.henry@msn.com</t>
  </si>
  <si>
    <t xml:space="preserve">141 N. Purple Finch Avenue </t>
  </si>
  <si>
    <t>Lynda</t>
  </si>
  <si>
    <t>lynda.newman@msn.com</t>
  </si>
  <si>
    <t xml:space="preserve">44 SW. Thomas Ave. </t>
  </si>
  <si>
    <t>Bao</t>
  </si>
  <si>
    <t>bao.wade@gmail.com</t>
  </si>
  <si>
    <t xml:space="preserve">7587 Church St. </t>
  </si>
  <si>
    <t>Gussie</t>
  </si>
  <si>
    <t>gussie.harding@gmail.com</t>
  </si>
  <si>
    <t xml:space="preserve">41 Edgefield Avenue </t>
  </si>
  <si>
    <t>shirely.cantrell@aol.com</t>
  </si>
  <si>
    <t xml:space="preserve">6 Kent Street </t>
  </si>
  <si>
    <t>Caroline</t>
  </si>
  <si>
    <t>caroline.jenkins@msn.com</t>
  </si>
  <si>
    <t xml:space="preserve">86 River Lane </t>
  </si>
  <si>
    <t>hollis.rasmussen@yahoo.com</t>
  </si>
  <si>
    <t xml:space="preserve">8949 S. Gates Road </t>
  </si>
  <si>
    <t>Kendra</t>
  </si>
  <si>
    <t>Harrington</t>
  </si>
  <si>
    <t>kendra.harrington@yahoo.com</t>
  </si>
  <si>
    <t xml:space="preserve">768 Cooper Street </t>
  </si>
  <si>
    <t>(229) 891-2087</t>
  </si>
  <si>
    <t>douglass.blankenship@hotmail.com</t>
  </si>
  <si>
    <t xml:space="preserve">409 W. Rock Maple Lane </t>
  </si>
  <si>
    <t>Lina</t>
  </si>
  <si>
    <t>Meadows</t>
  </si>
  <si>
    <t>lina.meadows@aol.com</t>
  </si>
  <si>
    <t xml:space="preserve">7020 Ashley Rd. </t>
  </si>
  <si>
    <t>Patria</t>
  </si>
  <si>
    <t>Harper</t>
  </si>
  <si>
    <t>patria.harper@msn.com</t>
  </si>
  <si>
    <t xml:space="preserve">90 Arlington St. </t>
  </si>
  <si>
    <t>Jeffrey</t>
  </si>
  <si>
    <t>jeffrey.hill@gmail.com</t>
  </si>
  <si>
    <t xml:space="preserve">2 Shub Farm St. </t>
  </si>
  <si>
    <t>Ja</t>
  </si>
  <si>
    <t>ja.dillard@yahoo.com</t>
  </si>
  <si>
    <t xml:space="preserve">25 Orchard St. </t>
  </si>
  <si>
    <t>Tora</t>
  </si>
  <si>
    <t>Dunlap</t>
  </si>
  <si>
    <t>tora.dunlap@hotmail.com</t>
  </si>
  <si>
    <t xml:space="preserve">9903 North Halifax Ave. </t>
  </si>
  <si>
    <t>Karole</t>
  </si>
  <si>
    <t>karole.alvarez@gmail.com</t>
  </si>
  <si>
    <t xml:space="preserve">69 Woodland St. </t>
  </si>
  <si>
    <t>Shasta</t>
  </si>
  <si>
    <t>Combs</t>
  </si>
  <si>
    <t>shasta.combs@yahoo.com</t>
  </si>
  <si>
    <t xml:space="preserve">726 James Dr. </t>
  </si>
  <si>
    <t>Cicely</t>
  </si>
  <si>
    <t>cicely.deleon@yahoo.com</t>
  </si>
  <si>
    <t xml:space="preserve">751 Newbridge Ave. </t>
  </si>
  <si>
    <t>Raphael</t>
  </si>
  <si>
    <t>raphael.o'neil@aol.com</t>
  </si>
  <si>
    <t xml:space="preserve">762 East Lantern Dr. </t>
  </si>
  <si>
    <t>Hubert</t>
  </si>
  <si>
    <t>Reilly</t>
  </si>
  <si>
    <t>hubert.reilly@hotmail.com</t>
  </si>
  <si>
    <t xml:space="preserve">9004 N. Lake Rd. </t>
  </si>
  <si>
    <t>Caleb</t>
  </si>
  <si>
    <t>England</t>
  </si>
  <si>
    <t>caleb.england@gmail.com</t>
  </si>
  <si>
    <t xml:space="preserve">649 Marvon St. </t>
  </si>
  <si>
    <t>Elmira</t>
  </si>
  <si>
    <t>Levy</t>
  </si>
  <si>
    <t>elmira.levy@gmail.com</t>
  </si>
  <si>
    <t xml:space="preserve">6 Columbia Dr. </t>
  </si>
  <si>
    <t>Waldo</t>
  </si>
  <si>
    <t>waldo.hart@yahoo.com</t>
  </si>
  <si>
    <t xml:space="preserve">9782 Pineknoll Lane </t>
  </si>
  <si>
    <t>Bea</t>
  </si>
  <si>
    <t>Kane</t>
  </si>
  <si>
    <t>bea.kane@aol.com</t>
  </si>
  <si>
    <t xml:space="preserve">398 Green Lake Ave. </t>
  </si>
  <si>
    <t>gilberto.sanders@hotmail.com</t>
  </si>
  <si>
    <t xml:space="preserve">186 Roehampton Ave. </t>
  </si>
  <si>
    <t>Benny</t>
  </si>
  <si>
    <t>benny.bender@aol.com</t>
  </si>
  <si>
    <t xml:space="preserve">520 W. Hamilton St. </t>
  </si>
  <si>
    <t>Desmond</t>
  </si>
  <si>
    <t>Rose</t>
  </si>
  <si>
    <t>desmond.rose@hotmail.com</t>
  </si>
  <si>
    <t xml:space="preserve">9956 Lexington Rd. </t>
  </si>
  <si>
    <t>Holman</t>
  </si>
  <si>
    <t>parthenia.holman@gmail.com</t>
  </si>
  <si>
    <t xml:space="preserve">17 Orange Court </t>
  </si>
  <si>
    <t>Dung</t>
  </si>
  <si>
    <t>dung.king@aol.com</t>
  </si>
  <si>
    <t xml:space="preserve">523 Prairie St. </t>
  </si>
  <si>
    <t>Sherril</t>
  </si>
  <si>
    <t>sherril.alvarado@hotmail.com</t>
  </si>
  <si>
    <t xml:space="preserve">9434 Cypress Court </t>
  </si>
  <si>
    <t>Alisia</t>
  </si>
  <si>
    <t>alisia.albert@gmail.com</t>
  </si>
  <si>
    <t xml:space="preserve">9490 Coffee St. </t>
  </si>
  <si>
    <t>Kallie</t>
  </si>
  <si>
    <t>Best</t>
  </si>
  <si>
    <t>(507) 997-4112</t>
  </si>
  <si>
    <t>kallie.best@aol.com</t>
  </si>
  <si>
    <t xml:space="preserve">9842 Fairview St. </t>
  </si>
  <si>
    <t>Dottie</t>
  </si>
  <si>
    <t>dottie.roberts@aol.com</t>
  </si>
  <si>
    <t xml:space="preserve">8252 Theatre St. </t>
  </si>
  <si>
    <t>hubert.stone@hotmail.com</t>
  </si>
  <si>
    <t xml:space="preserve">203 Penn St. </t>
  </si>
  <si>
    <t>Gabriella</t>
  </si>
  <si>
    <t>gabriella.jones@hotmail.com</t>
  </si>
  <si>
    <t xml:space="preserve">9100 Gates Ave. </t>
  </si>
  <si>
    <t>Penney</t>
  </si>
  <si>
    <t>Hall</t>
  </si>
  <si>
    <t>penney.hall@msn.com</t>
  </si>
  <si>
    <t xml:space="preserve">8306 Jockey Hollow Street </t>
  </si>
  <si>
    <t>Mallie</t>
  </si>
  <si>
    <t>mallie.osborn@gmail.com</t>
  </si>
  <si>
    <t xml:space="preserve">9022 Bridgeton St. </t>
  </si>
  <si>
    <t>Britteny</t>
  </si>
  <si>
    <t>britteny.schroeder@aol.com</t>
  </si>
  <si>
    <t xml:space="preserve">855 Bohemia Dr. </t>
  </si>
  <si>
    <t>Sommer</t>
  </si>
  <si>
    <t>sommer.hopkins@gmail.com</t>
  </si>
  <si>
    <t xml:space="preserve">827 Laurel Ave. </t>
  </si>
  <si>
    <t>Tonawanda</t>
  </si>
  <si>
    <t>Jewel</t>
  </si>
  <si>
    <t>Sparks</t>
  </si>
  <si>
    <t>jewel.sparks@aol.com</t>
  </si>
  <si>
    <t xml:space="preserve">12 Vine Road </t>
  </si>
  <si>
    <t>Deandrea</t>
  </si>
  <si>
    <t>(914) 818-7312</t>
  </si>
  <si>
    <t>deandrea.vega@gmail.com</t>
  </si>
  <si>
    <t xml:space="preserve">613 Mill Pond St. </t>
  </si>
  <si>
    <t>Charlsie</t>
  </si>
  <si>
    <t>charlsie.carson@hotmail.com</t>
  </si>
  <si>
    <t xml:space="preserve">3 South Grant Avenue </t>
  </si>
  <si>
    <t>Ayers</t>
  </si>
  <si>
    <t>kandace.ayers@gmail.com</t>
  </si>
  <si>
    <t xml:space="preserve">9005 Lookout Lane </t>
  </si>
  <si>
    <t>Lenore</t>
  </si>
  <si>
    <t>Valdez</t>
  </si>
  <si>
    <t>lenore.valdez@msn.com</t>
  </si>
  <si>
    <t xml:space="preserve">829 Birchpond Street </t>
  </si>
  <si>
    <t>Drucilla</t>
  </si>
  <si>
    <t>drucilla.gilliam@hotmail.com</t>
  </si>
  <si>
    <t xml:space="preserve">8257 E. Westminster Ave. </t>
  </si>
  <si>
    <t>Reid</t>
  </si>
  <si>
    <t>(361) 394-2024</t>
  </si>
  <si>
    <t>keturah.reid@yahoo.com</t>
  </si>
  <si>
    <t xml:space="preserve">747 SE. Beech Ave. </t>
  </si>
  <si>
    <t>Herminia</t>
  </si>
  <si>
    <t>herminia.reyes@gmail.com</t>
  </si>
  <si>
    <t xml:space="preserve">782 Stonybrook Street </t>
  </si>
  <si>
    <t>Tuyet</t>
  </si>
  <si>
    <t>tuyet.rosa@aol.com</t>
  </si>
  <si>
    <t xml:space="preserve">9038 Golden Star Street </t>
  </si>
  <si>
    <t>Ara</t>
  </si>
  <si>
    <t>ara.vazquez@msn.com</t>
  </si>
  <si>
    <t xml:space="preserve">343 2nd Court </t>
  </si>
  <si>
    <t>barry.albert@gmail.com</t>
  </si>
  <si>
    <t xml:space="preserve">13 Grand St. </t>
  </si>
  <si>
    <t>Verdell</t>
  </si>
  <si>
    <t>verdell.joyner@aol.com</t>
  </si>
  <si>
    <t xml:space="preserve">9191 Sierra St. </t>
  </si>
  <si>
    <t>Far Rockaway</t>
  </si>
  <si>
    <t>han.wade@hotmail.com</t>
  </si>
  <si>
    <t xml:space="preserve">587 Sulphur Springs St. </t>
  </si>
  <si>
    <t>Anton</t>
  </si>
  <si>
    <t>(716) 472-3707</t>
  </si>
  <si>
    <t>anton.barton@msn.com</t>
  </si>
  <si>
    <t xml:space="preserve">7284 East Indian Spring Rd. </t>
  </si>
  <si>
    <t>Vito</t>
  </si>
  <si>
    <t>vito.pickett@hotmail.com</t>
  </si>
  <si>
    <t xml:space="preserve">93 High Point Street </t>
  </si>
  <si>
    <t>Charlene</t>
  </si>
  <si>
    <t>charlene.norris@msn.com</t>
  </si>
  <si>
    <t xml:space="preserve">972 South Sierra Drive </t>
  </si>
  <si>
    <t>Whitfield</t>
  </si>
  <si>
    <t>efren.whitfield@gmail.com</t>
  </si>
  <si>
    <t xml:space="preserve">139 Union Rd. </t>
  </si>
  <si>
    <t>Santa</t>
  </si>
  <si>
    <t>santa.larson@gmail.com</t>
  </si>
  <si>
    <t xml:space="preserve">5 Bellevue Dr. </t>
  </si>
  <si>
    <t>Carmelina</t>
  </si>
  <si>
    <t>Sellers</t>
  </si>
  <si>
    <t>carmelina.sellers@hotmail.com</t>
  </si>
  <si>
    <t xml:space="preserve">12 Race St. </t>
  </si>
  <si>
    <t>Carmela</t>
  </si>
  <si>
    <t>carmela.hays@aol.com</t>
  </si>
  <si>
    <t xml:space="preserve">149 Pennington Ave. </t>
  </si>
  <si>
    <t>Patrina</t>
  </si>
  <si>
    <t>Tanner</t>
  </si>
  <si>
    <t>patrina.tanner@gmail.com</t>
  </si>
  <si>
    <t xml:space="preserve">7136 Selby Road </t>
  </si>
  <si>
    <t>Rikki</t>
  </si>
  <si>
    <t>Morrow</t>
  </si>
  <si>
    <t>(682) 936-1482</t>
  </si>
  <si>
    <t>rikki.morrow@hotmail.com</t>
  </si>
  <si>
    <t xml:space="preserve">7096 Plumb Branch Road </t>
  </si>
  <si>
    <t>Junita</t>
  </si>
  <si>
    <t>junita.reese@gmail.com</t>
  </si>
  <si>
    <t xml:space="preserve">8773 North Walt Whitman Court </t>
  </si>
  <si>
    <t>ryan.carter@yahoo.com</t>
  </si>
  <si>
    <t xml:space="preserve">8684 Studebaker Road </t>
  </si>
  <si>
    <t>Almeta</t>
  </si>
  <si>
    <t>almeta.benjamin@aol.com</t>
  </si>
  <si>
    <t xml:space="preserve">8456 Oakwood St. </t>
  </si>
  <si>
    <t>Beatris</t>
  </si>
  <si>
    <t>beatris.joyner@gmail.com</t>
  </si>
  <si>
    <t xml:space="preserve">7463 Gonzales Rd. </t>
  </si>
  <si>
    <t>Mechelle</t>
  </si>
  <si>
    <t>mechelle.chan@gmail.com</t>
  </si>
  <si>
    <t xml:space="preserve">458 Overlook Street </t>
  </si>
  <si>
    <t>Earlean</t>
  </si>
  <si>
    <t>earlean.pena@yahoo.com</t>
  </si>
  <si>
    <t xml:space="preserve">7698 Fulton St. </t>
  </si>
  <si>
    <t>Katherin</t>
  </si>
  <si>
    <t>katherin.clark@yahoo.com</t>
  </si>
  <si>
    <t xml:space="preserve">996 Iroquois Street </t>
  </si>
  <si>
    <t>Chanel</t>
  </si>
  <si>
    <t>chanel.may@msn.com</t>
  </si>
  <si>
    <t xml:space="preserve">806 Saxton Court </t>
  </si>
  <si>
    <t>Aaron</t>
  </si>
  <si>
    <t>(914) 402-4335</t>
  </si>
  <si>
    <t>aaron.knapp@yahoo.com</t>
  </si>
  <si>
    <t xml:space="preserve">807 Grandrose Ave. </t>
  </si>
  <si>
    <t>Sindy</t>
  </si>
  <si>
    <t>sindy.anderson@gmail.com</t>
  </si>
  <si>
    <t xml:space="preserve">543 Halifax Ave. </t>
  </si>
  <si>
    <t>sheree.blanchard@gmail.com</t>
  </si>
  <si>
    <t xml:space="preserve">41 Glenwood Ave. </t>
  </si>
  <si>
    <t>Charlesetta</t>
  </si>
  <si>
    <t>charlesetta.soto@yahoo.com</t>
  </si>
  <si>
    <t xml:space="preserve">25 South Colonial Drive </t>
  </si>
  <si>
    <t>Wendie</t>
  </si>
  <si>
    <t>(805) 389-2549</t>
  </si>
  <si>
    <t>wendie.nash@hotmail.com</t>
  </si>
  <si>
    <t xml:space="preserve">9 South Road </t>
  </si>
  <si>
    <t>Vernetta</t>
  </si>
  <si>
    <t>vernetta.banks@aol.com</t>
  </si>
  <si>
    <t xml:space="preserve">7633 Albany St. </t>
  </si>
  <si>
    <t>Myrtle</t>
  </si>
  <si>
    <t>myrtle.gardner@aol.com</t>
  </si>
  <si>
    <t xml:space="preserve">303 Creekside Street </t>
  </si>
  <si>
    <t>Agustina</t>
  </si>
  <si>
    <t>Lawrence</t>
  </si>
  <si>
    <t>agustina.lawrence@yahoo.com</t>
  </si>
  <si>
    <t xml:space="preserve">9347 Delaware Ave. </t>
  </si>
  <si>
    <t>trinidad.chapman@aol.com</t>
  </si>
  <si>
    <t xml:space="preserve">7371 Glen Eagles Street </t>
  </si>
  <si>
    <t>kim.clark@msn.com</t>
  </si>
  <si>
    <t xml:space="preserve">19 Liberty St. </t>
  </si>
  <si>
    <t>Annabelle</t>
  </si>
  <si>
    <t>annabelle.hebert@aol.com</t>
  </si>
  <si>
    <t xml:space="preserve">9745 Nicolls Lane </t>
  </si>
  <si>
    <t>Corine</t>
  </si>
  <si>
    <t>Stuart</t>
  </si>
  <si>
    <t>corine.stuart@msn.com</t>
  </si>
  <si>
    <t xml:space="preserve">5 Penn Street </t>
  </si>
  <si>
    <t>Kiesha</t>
  </si>
  <si>
    <t>kiesha.bond@aol.com</t>
  </si>
  <si>
    <t xml:space="preserve">29 Marvon St. </t>
  </si>
  <si>
    <t>Kenyetta</t>
  </si>
  <si>
    <t>Mason</t>
  </si>
  <si>
    <t>kenyetta.mason@msn.com</t>
  </si>
  <si>
    <t xml:space="preserve">98 Poplar Ave. </t>
  </si>
  <si>
    <t>Marcene</t>
  </si>
  <si>
    <t>Curtis</t>
  </si>
  <si>
    <t>(914) 361-6045</t>
  </si>
  <si>
    <t>marcene.curtis@msn.com</t>
  </si>
  <si>
    <t xml:space="preserve">7699 Illinois Lane </t>
  </si>
  <si>
    <t>sheila.goodman@msn.com</t>
  </si>
  <si>
    <t xml:space="preserve">9586 Chestnut St. </t>
  </si>
  <si>
    <t>Romeo</t>
  </si>
  <si>
    <t>romeo.steele@msn.com</t>
  </si>
  <si>
    <t xml:space="preserve">162 Crescent Lane </t>
  </si>
  <si>
    <t>Tam</t>
  </si>
  <si>
    <t>(507) 351-9375</t>
  </si>
  <si>
    <t>tam.fisher@aol.com</t>
  </si>
  <si>
    <t xml:space="preserve">8000 Woodsman Lane </t>
  </si>
  <si>
    <t>Gena</t>
  </si>
  <si>
    <t>Owens</t>
  </si>
  <si>
    <t>gena.owens@gmail.com</t>
  </si>
  <si>
    <t xml:space="preserve">43 Buckingham St. </t>
  </si>
  <si>
    <t>phebe.soto@hotmail.com</t>
  </si>
  <si>
    <t xml:space="preserve">9239 Leatherwood Rd. </t>
  </si>
  <si>
    <t>Leticia</t>
  </si>
  <si>
    <t>Snyder</t>
  </si>
  <si>
    <t>leticia.snyder@yahoo.com</t>
  </si>
  <si>
    <t xml:space="preserve">173 Lyme Dr. </t>
  </si>
  <si>
    <t>Chantell</t>
  </si>
  <si>
    <t>(716) 941-6072</t>
  </si>
  <si>
    <t>chantell.bridges@yahoo.com</t>
  </si>
  <si>
    <t xml:space="preserve">8478 N. Wrangler Dr. </t>
  </si>
  <si>
    <t>Ileana</t>
  </si>
  <si>
    <t>ileana.holt@msn.com</t>
  </si>
  <si>
    <t xml:space="preserve">817 Adams St. </t>
  </si>
  <si>
    <t>Nakisha</t>
  </si>
  <si>
    <t>nakisha.clay@gmail.com</t>
  </si>
  <si>
    <t xml:space="preserve">8996 Beechwood Ave. </t>
  </si>
  <si>
    <t>Cheryll</t>
  </si>
  <si>
    <t>cheryll.snyder@yahoo.com</t>
  </si>
  <si>
    <t xml:space="preserve">77 E. Liberty St. </t>
  </si>
  <si>
    <t>Consuela</t>
  </si>
  <si>
    <t>consuela.collier@msn.com</t>
  </si>
  <si>
    <t xml:space="preserve">338 S. Holly Avenue </t>
  </si>
  <si>
    <t>Aubrey</t>
  </si>
  <si>
    <t>aubrey.durham@aol.com</t>
  </si>
  <si>
    <t xml:space="preserve">14 Foster Ave. </t>
  </si>
  <si>
    <t>Nita</t>
  </si>
  <si>
    <t>nita.guy@hotmail.com</t>
  </si>
  <si>
    <t xml:space="preserve">75 Academy Street </t>
  </si>
  <si>
    <t>Carmina</t>
  </si>
  <si>
    <t>carmina.emerson@hotmail.com</t>
  </si>
  <si>
    <t xml:space="preserve">7137 Monroe Road </t>
  </si>
  <si>
    <t>georgeann.rojas@msn.com</t>
  </si>
  <si>
    <t xml:space="preserve">691 Devon Ave. </t>
  </si>
  <si>
    <t>Leslie</t>
  </si>
  <si>
    <t>leslie.higgins@hotmail.com</t>
  </si>
  <si>
    <t xml:space="preserve">805 Logan Ave. </t>
  </si>
  <si>
    <t>Emmaline</t>
  </si>
  <si>
    <t>emmaline.huber@gmail.com</t>
  </si>
  <si>
    <t xml:space="preserve">7975 Harrison Rd. </t>
  </si>
  <si>
    <t>Mercy</t>
  </si>
  <si>
    <t>mercy.brown@msn.com</t>
  </si>
  <si>
    <t xml:space="preserve">8207 Central Street </t>
  </si>
  <si>
    <t>Jenell</t>
  </si>
  <si>
    <t>(631) 544-4772</t>
  </si>
  <si>
    <t>jenell.crosby@hotmail.com</t>
  </si>
  <si>
    <t xml:space="preserve">507 Fulton Street </t>
  </si>
  <si>
    <t>Leila</t>
  </si>
  <si>
    <t>Barr</t>
  </si>
  <si>
    <t>leila.barr@yahoo.com</t>
  </si>
  <si>
    <t xml:space="preserve">120 Fremont Rd. </t>
  </si>
  <si>
    <t>deandrea.cox@msn.com</t>
  </si>
  <si>
    <t xml:space="preserve">617 Sycamore Street </t>
  </si>
  <si>
    <t>Shawnna</t>
  </si>
  <si>
    <t>shawnna.frank@hotmail.com</t>
  </si>
  <si>
    <t xml:space="preserve">17 NW. Cottage Lane </t>
  </si>
  <si>
    <t>Brenton</t>
  </si>
  <si>
    <t>brenton.whitaker@gmail.com</t>
  </si>
  <si>
    <t xml:space="preserve">25 Elmwood Rd. </t>
  </si>
  <si>
    <t>Jaqueline</t>
  </si>
  <si>
    <t>Cummings</t>
  </si>
  <si>
    <t>jaqueline.cummings@hotmail.com</t>
  </si>
  <si>
    <t xml:space="preserve">478 Wrangler St. </t>
  </si>
  <si>
    <t>yang.giles@gmail.com</t>
  </si>
  <si>
    <t xml:space="preserve">25 Bridle Lane </t>
  </si>
  <si>
    <t>Brigid</t>
  </si>
  <si>
    <t>Sharp</t>
  </si>
  <si>
    <t>brigid.sharp@hotmail.com</t>
  </si>
  <si>
    <t xml:space="preserve">495 Sleepy Hollow Court </t>
  </si>
  <si>
    <t>Karl</t>
  </si>
  <si>
    <t>karl.stephens@gmail.com</t>
  </si>
  <si>
    <t xml:space="preserve">208 Thatcher Rd. </t>
  </si>
  <si>
    <t>Elvina</t>
  </si>
  <si>
    <t>Gates</t>
  </si>
  <si>
    <t>elvina.gates@hotmail.com</t>
  </si>
  <si>
    <t xml:space="preserve">112 Smith St. </t>
  </si>
  <si>
    <t>Carlie</t>
  </si>
  <si>
    <t>(914) 517-8036</t>
  </si>
  <si>
    <t>carlie.terrell@yahoo.com</t>
  </si>
  <si>
    <t xml:space="preserve">7437 Snake Hill Road </t>
  </si>
  <si>
    <t>Donovan</t>
  </si>
  <si>
    <t>(510) 624-3824</t>
  </si>
  <si>
    <t>donovan.cantrell@msn.com</t>
  </si>
  <si>
    <t xml:space="preserve">601 Winchester Dr. </t>
  </si>
  <si>
    <t>Alden</t>
  </si>
  <si>
    <t>alden.atkinson@gmail.com</t>
  </si>
  <si>
    <t xml:space="preserve">46 Valley St. </t>
  </si>
  <si>
    <t>carissa.cross@yahoo.com</t>
  </si>
  <si>
    <t xml:space="preserve">9335 West Main Dr. </t>
  </si>
  <si>
    <t>Joy</t>
  </si>
  <si>
    <t>Underwood</t>
  </si>
  <si>
    <t>joy.underwood@gmail.com</t>
  </si>
  <si>
    <t xml:space="preserve">7297 Armstrong Dr. </t>
  </si>
  <si>
    <t>Geraldine</t>
  </si>
  <si>
    <t>O'donnell</t>
  </si>
  <si>
    <t>geraldine.o'donnell@hotmail.com</t>
  </si>
  <si>
    <t xml:space="preserve">8241 Lookout Rd. </t>
  </si>
  <si>
    <t>Bronwyn</t>
  </si>
  <si>
    <t>bronwyn.vargas@msn.com</t>
  </si>
  <si>
    <t xml:space="preserve">35 James Street </t>
  </si>
  <si>
    <t>Abram</t>
  </si>
  <si>
    <t>Copeland</t>
  </si>
  <si>
    <t>abram.copeland@gmail.com</t>
  </si>
  <si>
    <t xml:space="preserve">9782 Indian Spring Lane </t>
  </si>
  <si>
    <t>mellisa.griffin@msn.com</t>
  </si>
  <si>
    <t xml:space="preserve">49 Alton Circle </t>
  </si>
  <si>
    <t>Qiana</t>
  </si>
  <si>
    <t>qiana.jackson@gmail.com</t>
  </si>
  <si>
    <t xml:space="preserve">56 Galvin Street </t>
  </si>
  <si>
    <t>Magali</t>
  </si>
  <si>
    <t>(248) 279-5331</t>
  </si>
  <si>
    <t>magali.dixon@msn.com</t>
  </si>
  <si>
    <t xml:space="preserve">815 Del Monte Court </t>
  </si>
  <si>
    <t>(510) 565-8496</t>
  </si>
  <si>
    <t>zulema.clemons@aol.com</t>
  </si>
  <si>
    <t xml:space="preserve">75 W. Howard St. </t>
  </si>
  <si>
    <t>Carina</t>
  </si>
  <si>
    <t>Lynch</t>
  </si>
  <si>
    <t>carina.lynch@gmail.com</t>
  </si>
  <si>
    <t xml:space="preserve">64 Jennings Road </t>
  </si>
  <si>
    <t>Jesus</t>
  </si>
  <si>
    <t>jesus.burch@hotmail.com</t>
  </si>
  <si>
    <t xml:space="preserve">7024 Squaw Creek Street </t>
  </si>
  <si>
    <t>selene.vega@gmail.com</t>
  </si>
  <si>
    <t xml:space="preserve">11 Sierra St. </t>
  </si>
  <si>
    <t>Jong</t>
  </si>
  <si>
    <t>jong.guthrie@hotmail.com</t>
  </si>
  <si>
    <t xml:space="preserve">889 Leatherwood Drive </t>
  </si>
  <si>
    <t>lise.hebert@gmail.com</t>
  </si>
  <si>
    <t xml:space="preserve">140 East Broad Lane </t>
  </si>
  <si>
    <t>joshua.berg@hotmail.com</t>
  </si>
  <si>
    <t xml:space="preserve">16 East St. </t>
  </si>
  <si>
    <t>Georgina</t>
  </si>
  <si>
    <t>georgina.gonzales@yahoo.com</t>
  </si>
  <si>
    <t xml:space="preserve">307 Chapel St. </t>
  </si>
  <si>
    <t>Rudolph</t>
  </si>
  <si>
    <t>rudolph.velez@yahoo.com</t>
  </si>
  <si>
    <t xml:space="preserve">9397 Pleasant Drive </t>
  </si>
  <si>
    <t>luke.kramer@hotmail.com</t>
  </si>
  <si>
    <t xml:space="preserve">7955 Delaware Drive </t>
  </si>
  <si>
    <t>edgar.quinn@aol.com</t>
  </si>
  <si>
    <t xml:space="preserve">556 Dogwood Ave. </t>
  </si>
  <si>
    <t>Tara</t>
  </si>
  <si>
    <t>tara.maynard@hotmail.com</t>
  </si>
  <si>
    <t xml:space="preserve">9375 Fordham Street </t>
  </si>
  <si>
    <t>Bella</t>
  </si>
  <si>
    <t>bella.perez@msn.com</t>
  </si>
  <si>
    <t xml:space="preserve">43 Green Lake Street </t>
  </si>
  <si>
    <t>Davidson</t>
  </si>
  <si>
    <t>nathaniel.davidson@hotmail.com</t>
  </si>
  <si>
    <t xml:space="preserve">7476 Henry Smith Street </t>
  </si>
  <si>
    <t>Chauncey</t>
  </si>
  <si>
    <t>Donaldson</t>
  </si>
  <si>
    <t>chauncey.donaldson@aol.com</t>
  </si>
  <si>
    <t xml:space="preserve">7412 Golf Ave. </t>
  </si>
  <si>
    <t>Heide</t>
  </si>
  <si>
    <t>heide.reed@yahoo.com</t>
  </si>
  <si>
    <t xml:space="preserve">9174 Coffee Drive </t>
  </si>
  <si>
    <t>Trang</t>
  </si>
  <si>
    <t>trang.hardin@yahoo.com</t>
  </si>
  <si>
    <t xml:space="preserve">9255 Myers Drive </t>
  </si>
  <si>
    <t>Gabriela</t>
  </si>
  <si>
    <t>(562) 986-2247</t>
  </si>
  <si>
    <t>gabriela.warren@aol.com</t>
  </si>
  <si>
    <t xml:space="preserve">9947 Brewery Ave. </t>
  </si>
  <si>
    <t>dale.rasmussen@aol.com</t>
  </si>
  <si>
    <t xml:space="preserve">8590 Adams Street </t>
  </si>
  <si>
    <t>Tammie</t>
  </si>
  <si>
    <t>tammie.cherry@hotmail.com</t>
  </si>
  <si>
    <t xml:space="preserve">791 Wakehurst Dr. </t>
  </si>
  <si>
    <t>Bethany</t>
  </si>
  <si>
    <t>Herring</t>
  </si>
  <si>
    <t>bethany.herring@yahoo.com</t>
  </si>
  <si>
    <t xml:space="preserve">7563 High Point Street </t>
  </si>
  <si>
    <t>Barbra</t>
  </si>
  <si>
    <t>barbra.dickerson@gmail.com</t>
  </si>
  <si>
    <t xml:space="preserve">8424 E. Rockcrest Dr. </t>
  </si>
  <si>
    <t>Neoma</t>
  </si>
  <si>
    <t>Daugherty</t>
  </si>
  <si>
    <t>neoma.daugherty@gmail.com</t>
  </si>
  <si>
    <t xml:space="preserve">80 Spring Street </t>
  </si>
  <si>
    <t>Nanette</t>
  </si>
  <si>
    <t>nanette.roman@yahoo.com</t>
  </si>
  <si>
    <t xml:space="preserve">8254 North Riverview Street </t>
  </si>
  <si>
    <t>adriene.rollins@msn.com</t>
  </si>
  <si>
    <t xml:space="preserve">55 Cambridge Street </t>
  </si>
  <si>
    <t>Susannah</t>
  </si>
  <si>
    <t>susannah.fields@hotmail.com</t>
  </si>
  <si>
    <t xml:space="preserve">17 Railroad Street </t>
  </si>
  <si>
    <t>dung.reid@msn.com</t>
  </si>
  <si>
    <t xml:space="preserve">468 West Washington Ave. </t>
  </si>
  <si>
    <t>Ben</t>
  </si>
  <si>
    <t>ben.stone@gmail.com</t>
  </si>
  <si>
    <t xml:space="preserve">8855 University St. </t>
  </si>
  <si>
    <t>Nubia</t>
  </si>
  <si>
    <t>nubia.anderson@aol.com</t>
  </si>
  <si>
    <t xml:space="preserve">584 NW. Hilldale Drive </t>
  </si>
  <si>
    <t>Rosamaria</t>
  </si>
  <si>
    <t>Meyer</t>
  </si>
  <si>
    <t>rosamaria.meyer@yahoo.com</t>
  </si>
  <si>
    <t xml:space="preserve">446 Elizabeth St. </t>
  </si>
  <si>
    <t>Waters</t>
  </si>
  <si>
    <t>todd.waters@yahoo.com</t>
  </si>
  <si>
    <t xml:space="preserve">92 Cedar Swamp Street </t>
  </si>
  <si>
    <t>Kimbery</t>
  </si>
  <si>
    <t>kimbery.nieves@msn.com</t>
  </si>
  <si>
    <t xml:space="preserve">768 Roehampton St. </t>
  </si>
  <si>
    <t>Phuong</t>
  </si>
  <si>
    <t>Wolf</t>
  </si>
  <si>
    <t>phuong.wolf@yahoo.com</t>
  </si>
  <si>
    <t xml:space="preserve">7765 N. Annadale Dr. </t>
  </si>
  <si>
    <t>Adelaida</t>
  </si>
  <si>
    <t>adelaida.hancock@aol.com</t>
  </si>
  <si>
    <t xml:space="preserve">669 S. Gartner Street </t>
  </si>
  <si>
    <t>Brianne</t>
  </si>
  <si>
    <t>brianne.hays@gmail.com</t>
  </si>
  <si>
    <t xml:space="preserve">88 Tailwater Ave. </t>
  </si>
  <si>
    <t>Rufina</t>
  </si>
  <si>
    <t>Chandler</t>
  </si>
  <si>
    <t>rufina.chandler@aol.com</t>
  </si>
  <si>
    <t xml:space="preserve">7985 Alderwood Street </t>
  </si>
  <si>
    <t>(631) 254-8497</t>
  </si>
  <si>
    <t>devin.velazquez@aol.com</t>
  </si>
  <si>
    <t xml:space="preserve">61 Redwood St. </t>
  </si>
  <si>
    <t>Bonita</t>
  </si>
  <si>
    <t>bonita.marshall@msn.com</t>
  </si>
  <si>
    <t xml:space="preserve">48 Bald Hill Drive </t>
  </si>
  <si>
    <t>Myrl</t>
  </si>
  <si>
    <t>Gay</t>
  </si>
  <si>
    <t>myrl.gay@hotmail.com</t>
  </si>
  <si>
    <t xml:space="preserve">8708 Taylor Lane </t>
  </si>
  <si>
    <t>earline.gordon@gmail.com</t>
  </si>
  <si>
    <t xml:space="preserve">81 Railroad Drive </t>
  </si>
  <si>
    <t>Sung</t>
  </si>
  <si>
    <t>sung.chambers@gmail.com</t>
  </si>
  <si>
    <t xml:space="preserve">369 N. Virginia Street </t>
  </si>
  <si>
    <t>Gustavo</t>
  </si>
  <si>
    <t>gustavo.gamble@msn.com</t>
  </si>
  <si>
    <t xml:space="preserve">8054 W. Meadowbrook Street </t>
  </si>
  <si>
    <t>ciera.webb@yahoo.com</t>
  </si>
  <si>
    <t xml:space="preserve">958 Anderson Ave. </t>
  </si>
  <si>
    <t>roy.chan@hotmail.com</t>
  </si>
  <si>
    <t xml:space="preserve">7578 Middle River St. </t>
  </si>
  <si>
    <t>Vasquez</t>
  </si>
  <si>
    <t>houston.vasquez@msn.com</t>
  </si>
  <si>
    <t xml:space="preserve">845 Aspen Street </t>
  </si>
  <si>
    <t>Cheree</t>
  </si>
  <si>
    <t>Hale</t>
  </si>
  <si>
    <t>cheree.hale@yahoo.com</t>
  </si>
  <si>
    <t xml:space="preserve">95 Lyme Avenue </t>
  </si>
  <si>
    <t>Odette</t>
  </si>
  <si>
    <t>odette.moses@gmail.com</t>
  </si>
  <si>
    <t xml:space="preserve">899 Overlook Lane </t>
  </si>
  <si>
    <t>Lenita</t>
  </si>
  <si>
    <t>lenita.bonner@aol.com</t>
  </si>
  <si>
    <t xml:space="preserve">7286 Swanson Drive </t>
  </si>
  <si>
    <t>Shona</t>
  </si>
  <si>
    <t>shona.mcmillan@msn.com</t>
  </si>
  <si>
    <t xml:space="preserve">57 West Maple Dr. </t>
  </si>
  <si>
    <t>Piedad</t>
  </si>
  <si>
    <t>piedad.irwin@hotmail.com</t>
  </si>
  <si>
    <t xml:space="preserve">581 Garden St. </t>
  </si>
  <si>
    <t>Loan</t>
  </si>
  <si>
    <t>loan.graham@yahoo.com</t>
  </si>
  <si>
    <t xml:space="preserve">57 Glen Eagles St. </t>
  </si>
  <si>
    <t>Stan</t>
  </si>
  <si>
    <t>stan.saunders@yahoo.com</t>
  </si>
  <si>
    <t xml:space="preserve">407 Essex Dr. </t>
  </si>
  <si>
    <t>Jackeline</t>
  </si>
  <si>
    <t>jackeline.colon@msn.com</t>
  </si>
  <si>
    <t xml:space="preserve">9916 Cedarwood Drive </t>
  </si>
  <si>
    <t>Marlen</t>
  </si>
  <si>
    <t>marlen.dawson@msn.com</t>
  </si>
  <si>
    <t xml:space="preserve">67 Oak Valley Street </t>
  </si>
  <si>
    <t>Alexis</t>
  </si>
  <si>
    <t>(845) 707-6088</t>
  </si>
  <si>
    <t>alexis.mack@aol.com</t>
  </si>
  <si>
    <t xml:space="preserve">7767 Sutor Ave. </t>
  </si>
  <si>
    <t>Mica</t>
  </si>
  <si>
    <t>mica.barry@yahoo.com</t>
  </si>
  <si>
    <t xml:space="preserve">3 SE. Sugar St. </t>
  </si>
  <si>
    <t>Shanice</t>
  </si>
  <si>
    <t>shanice.spears@msn.com</t>
  </si>
  <si>
    <t xml:space="preserve">5 Piper Ave. </t>
  </si>
  <si>
    <t>Garth</t>
  </si>
  <si>
    <t>garth.huff@yahoo.com</t>
  </si>
  <si>
    <t xml:space="preserve">794 East University St. </t>
  </si>
  <si>
    <t>Dione</t>
  </si>
  <si>
    <t>dione.pratt@msn.com</t>
  </si>
  <si>
    <t xml:space="preserve">864 Winding Way St. </t>
  </si>
  <si>
    <t>Victor</t>
  </si>
  <si>
    <t>victor.pittman@aol.com</t>
  </si>
  <si>
    <t xml:space="preserve">9294 Devon Dr. </t>
  </si>
  <si>
    <t>Allie</t>
  </si>
  <si>
    <t>allie.conley@msn.com</t>
  </si>
  <si>
    <t xml:space="preserve">96 High Point Road </t>
  </si>
  <si>
    <t>Shanelle</t>
  </si>
  <si>
    <t>shanelle.anderson@yahoo.com</t>
  </si>
  <si>
    <t xml:space="preserve">646 Surrey Street </t>
  </si>
  <si>
    <t>Minnie</t>
  </si>
  <si>
    <t>minnie.compton@gmail.com</t>
  </si>
  <si>
    <t xml:space="preserve">185 Hudson Street </t>
  </si>
  <si>
    <t>shiloh.bates@msn.com</t>
  </si>
  <si>
    <t xml:space="preserve">15 Wellington Dr. </t>
  </si>
  <si>
    <t>Lakenya</t>
  </si>
  <si>
    <t>lakenya.oliver@yahoo.com</t>
  </si>
  <si>
    <t xml:space="preserve">82 Bayport Court </t>
  </si>
  <si>
    <t>Sally</t>
  </si>
  <si>
    <t>sally.kinney@msn.com</t>
  </si>
  <si>
    <t xml:space="preserve">7565 High Dr. </t>
  </si>
  <si>
    <t>Edith</t>
  </si>
  <si>
    <t>edith.davenport@gmail.com</t>
  </si>
  <si>
    <t xml:space="preserve">685 Alton Road </t>
  </si>
  <si>
    <t>Alline</t>
  </si>
  <si>
    <t>Beasley</t>
  </si>
  <si>
    <t>alline.beasley@yahoo.com</t>
  </si>
  <si>
    <t xml:space="preserve">8704 NE. Olive Ave. </t>
  </si>
  <si>
    <t>Whitley</t>
  </si>
  <si>
    <t>travis.whitley@aol.com</t>
  </si>
  <si>
    <t xml:space="preserve">60 Euclid Ave. </t>
  </si>
  <si>
    <t>Vanessa</t>
  </si>
  <si>
    <t>West</t>
  </si>
  <si>
    <t>vanessa.west@gmail.com</t>
  </si>
  <si>
    <t xml:space="preserve">34 Prairie Lane </t>
  </si>
  <si>
    <t>Trudy</t>
  </si>
  <si>
    <t>trudy.riddle@aol.com</t>
  </si>
  <si>
    <t xml:space="preserve">8943 Johnson Street </t>
  </si>
  <si>
    <t>Shauna</t>
  </si>
  <si>
    <t>shauna.edwards@msn.com</t>
  </si>
  <si>
    <t xml:space="preserve">8 Dogwood Ave. </t>
  </si>
  <si>
    <t>Clorinda</t>
  </si>
  <si>
    <t>clorinda.donovan@msn.com</t>
  </si>
  <si>
    <t xml:space="preserve">9690 E. Morris Ave. </t>
  </si>
  <si>
    <t>Raven</t>
  </si>
  <si>
    <t>raven.curtis@aol.com</t>
  </si>
  <si>
    <t xml:space="preserve">18 Summit Lane </t>
  </si>
  <si>
    <t>Verda</t>
  </si>
  <si>
    <t>verda.gilbert@gmail.com</t>
  </si>
  <si>
    <t xml:space="preserve">54 Hillcrest Drive </t>
  </si>
  <si>
    <t>Renay</t>
  </si>
  <si>
    <t>Atkins</t>
  </si>
  <si>
    <t>renay.atkins@aol.com</t>
  </si>
  <si>
    <t xml:space="preserve">7146 Leeton Ridge Ave. </t>
  </si>
  <si>
    <t>Tama</t>
  </si>
  <si>
    <t>tama.berg@hotmail.com</t>
  </si>
  <si>
    <t xml:space="preserve">3 Cardinal Avenue </t>
  </si>
  <si>
    <t>Dalia</t>
  </si>
  <si>
    <t>(507) 186-2004</t>
  </si>
  <si>
    <t>dalia.carson@aol.com</t>
  </si>
  <si>
    <t xml:space="preserve">7175 Galvin St. </t>
  </si>
  <si>
    <t>America</t>
  </si>
  <si>
    <t>america.swanson@msn.com</t>
  </si>
  <si>
    <t xml:space="preserve">83 South Arlington Lane </t>
  </si>
  <si>
    <t>Cinda</t>
  </si>
  <si>
    <t>cinda.rocha@hotmail.com</t>
  </si>
  <si>
    <t xml:space="preserve">926 North Oklahoma Dr. </t>
  </si>
  <si>
    <t>Shea</t>
  </si>
  <si>
    <t>shea.howell@msn.com</t>
  </si>
  <si>
    <t xml:space="preserve">67 Arch Rd. </t>
  </si>
  <si>
    <t>Kimberli</t>
  </si>
  <si>
    <t>Cline</t>
  </si>
  <si>
    <t>kimberli.cline@yahoo.com</t>
  </si>
  <si>
    <t xml:space="preserve">7115 Stonybrook Court </t>
  </si>
  <si>
    <t>Emanuel</t>
  </si>
  <si>
    <t>emanuel.mckee@yahoo.com</t>
  </si>
  <si>
    <t xml:space="preserve">9411 Lake Dr. </t>
  </si>
  <si>
    <t>whitley.cannon@msn.com</t>
  </si>
  <si>
    <t xml:space="preserve">614 High Point Lane </t>
  </si>
  <si>
    <t>Tereasa</t>
  </si>
  <si>
    <t>Bird</t>
  </si>
  <si>
    <t>tereasa.bird@aol.com</t>
  </si>
  <si>
    <t xml:space="preserve">7526 Vine Drive </t>
  </si>
  <si>
    <t>Dante</t>
  </si>
  <si>
    <t>Grimes</t>
  </si>
  <si>
    <t>dante.grimes@yahoo.com</t>
  </si>
  <si>
    <t xml:space="preserve">23 Shore St. </t>
  </si>
  <si>
    <t>Joeann</t>
  </si>
  <si>
    <t>joeann.garrison@yahoo.com</t>
  </si>
  <si>
    <t xml:space="preserve">1 Harrison St. </t>
  </si>
  <si>
    <t>Omega</t>
  </si>
  <si>
    <t>omega.johnston@gmail.com</t>
  </si>
  <si>
    <t xml:space="preserve">9935 Tarkiln Hill St. </t>
  </si>
  <si>
    <t>Conrad</t>
  </si>
  <si>
    <t>Mueller</t>
  </si>
  <si>
    <t>conrad.mueller@yahoo.com</t>
  </si>
  <si>
    <t xml:space="preserve">3 Myrtle St. </t>
  </si>
  <si>
    <t>Glady</t>
  </si>
  <si>
    <t>Wells</t>
  </si>
  <si>
    <t>glady.wells@gmail.com</t>
  </si>
  <si>
    <t xml:space="preserve">627 Ramblewood Ave. </t>
  </si>
  <si>
    <t>Tisha</t>
  </si>
  <si>
    <t>Petty</t>
  </si>
  <si>
    <t>(210) 851-3122</t>
  </si>
  <si>
    <t>tisha.petty@msn.com</t>
  </si>
  <si>
    <t xml:space="preserve">9083 Lake View Ave. </t>
  </si>
  <si>
    <t>Claris</t>
  </si>
  <si>
    <t>Santiago</t>
  </si>
  <si>
    <t>claris.santiago@msn.com</t>
  </si>
  <si>
    <t xml:space="preserve">763 Mountainview Dr. </t>
  </si>
  <si>
    <t>Obdulia</t>
  </si>
  <si>
    <t>obdulia.barber@gmail.com</t>
  </si>
  <si>
    <t xml:space="preserve">878 Lexington Rd. </t>
  </si>
  <si>
    <t>Shantel</t>
  </si>
  <si>
    <t>shantel.gregory@yahoo.com</t>
  </si>
  <si>
    <t xml:space="preserve">7722 Second Lane </t>
  </si>
  <si>
    <t>Ai</t>
  </si>
  <si>
    <t>Forbes</t>
  </si>
  <si>
    <t>ai.forbes@yahoo.com</t>
  </si>
  <si>
    <t xml:space="preserve">254 Central St. </t>
  </si>
  <si>
    <t>Ebony</t>
  </si>
  <si>
    <t>ebony.cotton@yahoo.com</t>
  </si>
  <si>
    <t xml:space="preserve">8979 Miller St. </t>
  </si>
  <si>
    <t>Arla</t>
  </si>
  <si>
    <t>arla.ellis@yahoo.com</t>
  </si>
  <si>
    <t xml:space="preserve">127 Crescent Ave. </t>
  </si>
  <si>
    <t>Magdalena</t>
  </si>
  <si>
    <t>magdalena.sherman@gmail.com</t>
  </si>
  <si>
    <t xml:space="preserve">176 Sunbeam St. </t>
  </si>
  <si>
    <t>Tarra</t>
  </si>
  <si>
    <t>tarra.guerrero@aol.com</t>
  </si>
  <si>
    <t xml:space="preserve">10 Baker St. </t>
  </si>
  <si>
    <t>Romero</t>
  </si>
  <si>
    <t>consuela.romero@hotmail.com</t>
  </si>
  <si>
    <t xml:space="preserve">54 Elm Court </t>
  </si>
  <si>
    <t>Cindie</t>
  </si>
  <si>
    <t>Franklin</t>
  </si>
  <si>
    <t>cindie.franklin@yahoo.com</t>
  </si>
  <si>
    <t xml:space="preserve">7249 Franklin St. </t>
  </si>
  <si>
    <t>Brewer</t>
  </si>
  <si>
    <t>sharyn.brewer@aol.com</t>
  </si>
  <si>
    <t xml:space="preserve">70 Columbia Ave. </t>
  </si>
  <si>
    <t>Karren</t>
  </si>
  <si>
    <t>karren.stevenson@aol.com</t>
  </si>
  <si>
    <t xml:space="preserve">155 Old York St. </t>
  </si>
  <si>
    <t>divina.reeves@hotmail.com</t>
  </si>
  <si>
    <t xml:space="preserve">767 Bradford Dr. </t>
  </si>
  <si>
    <t>novella.ross@gmail.com</t>
  </si>
  <si>
    <t xml:space="preserve">9418 Acacia Drive </t>
  </si>
  <si>
    <t>omega.huff@aol.com</t>
  </si>
  <si>
    <t xml:space="preserve">63 Devon St. </t>
  </si>
  <si>
    <t>Finch</t>
  </si>
  <si>
    <t>ashleigh.finch@yahoo.com</t>
  </si>
  <si>
    <t xml:space="preserve">82 Hudson Court </t>
  </si>
  <si>
    <t>Corina</t>
  </si>
  <si>
    <t>corina.lynch@msn.com</t>
  </si>
  <si>
    <t xml:space="preserve">44 Sunbeam Dr. </t>
  </si>
  <si>
    <t>Joe</t>
  </si>
  <si>
    <t>joe.melton@gmail.com</t>
  </si>
  <si>
    <t xml:space="preserve">8998 Hartford Street </t>
  </si>
  <si>
    <t>bernetta.summers@aol.com</t>
  </si>
  <si>
    <t xml:space="preserve">1 Young Ave. </t>
  </si>
  <si>
    <t>Inez</t>
  </si>
  <si>
    <t>Snider</t>
  </si>
  <si>
    <t>inez.snider@gmail.com</t>
  </si>
  <si>
    <t xml:space="preserve">837 Catherine Lane </t>
  </si>
  <si>
    <t>Neida</t>
  </si>
  <si>
    <t>(442) 778-1121</t>
  </si>
  <si>
    <t>neida.king@aol.com</t>
  </si>
  <si>
    <t xml:space="preserve">137 Bohemia St. </t>
  </si>
  <si>
    <t>Tona</t>
  </si>
  <si>
    <t>Velasquez</t>
  </si>
  <si>
    <t>tona.velasquez@msn.com</t>
  </si>
  <si>
    <t xml:space="preserve">9166 Trout St. </t>
  </si>
  <si>
    <t>Rozanne</t>
  </si>
  <si>
    <t>rozanne.reyes@aol.com</t>
  </si>
  <si>
    <t xml:space="preserve">11 W. Surrey Drive </t>
  </si>
  <si>
    <t>Lekisha</t>
  </si>
  <si>
    <t>lekisha.pope@msn.com</t>
  </si>
  <si>
    <t xml:space="preserve">390 Livingston Avenue </t>
  </si>
  <si>
    <t>Jama</t>
  </si>
  <si>
    <t>jama.rodriquez@msn.com</t>
  </si>
  <si>
    <t xml:space="preserve">681 Smith Dr. </t>
  </si>
  <si>
    <t>Eloisa</t>
  </si>
  <si>
    <t>Tucker</t>
  </si>
  <si>
    <t>eloisa.tucker@hotmail.com</t>
  </si>
  <si>
    <t xml:space="preserve">7268 Leatherwood Ave. </t>
  </si>
  <si>
    <t>Arie</t>
  </si>
  <si>
    <t>arie.hunter@msn.com</t>
  </si>
  <si>
    <t xml:space="preserve">66 Old State Rd. </t>
  </si>
  <si>
    <t>Sanora</t>
  </si>
  <si>
    <t>(424) 464-7290</t>
  </si>
  <si>
    <t>sanora.webster@msn.com</t>
  </si>
  <si>
    <t xml:space="preserve">74 Beach St. </t>
  </si>
  <si>
    <t>Kate</t>
  </si>
  <si>
    <t>kate.barber@hotmail.com</t>
  </si>
  <si>
    <t xml:space="preserve">46 W. Oak Valley Ave. </t>
  </si>
  <si>
    <t>yvone.guerrero@aol.com</t>
  </si>
  <si>
    <t xml:space="preserve">8548 Jackson Ave. </t>
  </si>
  <si>
    <t>Kami</t>
  </si>
  <si>
    <t>kami.rios@yahoo.com</t>
  </si>
  <si>
    <t xml:space="preserve">8400 8th Dr. </t>
  </si>
  <si>
    <t>Rush</t>
  </si>
  <si>
    <t>annett.rush@hotmail.com</t>
  </si>
  <si>
    <t xml:space="preserve">758 Fordham Lane </t>
  </si>
  <si>
    <t>Carman</t>
  </si>
  <si>
    <t>Hardy</t>
  </si>
  <si>
    <t>carman.hardy@yahoo.com</t>
  </si>
  <si>
    <t xml:space="preserve">800 Whitemarsh St. </t>
  </si>
  <si>
    <t>dorothea.miranda@aol.com</t>
  </si>
  <si>
    <t xml:space="preserve">7882 Parker St. </t>
  </si>
  <si>
    <t>agatha.daniels@yahoo.com</t>
  </si>
  <si>
    <t xml:space="preserve">125 Canal St. </t>
  </si>
  <si>
    <t>Alexandria</t>
  </si>
  <si>
    <t>alexandria.zamora@yahoo.com</t>
  </si>
  <si>
    <t xml:space="preserve">95 Cherry Circle </t>
  </si>
  <si>
    <t>thad.gilliam@hotmail.com</t>
  </si>
  <si>
    <t xml:space="preserve">8844 Gonzales Court </t>
  </si>
  <si>
    <t>Inger</t>
  </si>
  <si>
    <t>Jennings</t>
  </si>
  <si>
    <t>inger.jennings@yahoo.com</t>
  </si>
  <si>
    <t xml:space="preserve">38 NW. Shore Lane </t>
  </si>
  <si>
    <t>(559) 628-2239</t>
  </si>
  <si>
    <t>karren.lamb@aol.com</t>
  </si>
  <si>
    <t xml:space="preserve">35 N. Chapel St. </t>
  </si>
  <si>
    <t>noble.glover@gmail.com</t>
  </si>
  <si>
    <t xml:space="preserve">728 W. Rocky River Street </t>
  </si>
  <si>
    <t>octavia.donaldson@hotmail.com</t>
  </si>
  <si>
    <t xml:space="preserve">8095 Wayne Ave. </t>
  </si>
  <si>
    <t>Latashia</t>
  </si>
  <si>
    <t>latashia.travis@yahoo.com</t>
  </si>
  <si>
    <t xml:space="preserve">7877 King Rd. </t>
  </si>
  <si>
    <t>Destiny</t>
  </si>
  <si>
    <t>destiny.goodman@msn.com</t>
  </si>
  <si>
    <t xml:space="preserve">29 Smoky Hollow St. </t>
  </si>
  <si>
    <t>Westbury</t>
  </si>
  <si>
    <t>Christiana</t>
  </si>
  <si>
    <t>christiana.gross@yahoo.com</t>
  </si>
  <si>
    <t xml:space="preserve">645 North Richardson Road </t>
  </si>
  <si>
    <t>Nestor</t>
  </si>
  <si>
    <t>Haynes</t>
  </si>
  <si>
    <t>(281) 969-4579</t>
  </si>
  <si>
    <t>nestor.haynes@msn.com</t>
  </si>
  <si>
    <t xml:space="preserve">27 Nut Swamp Street </t>
  </si>
  <si>
    <t>Grisel</t>
  </si>
  <si>
    <t>grisel.maynard@msn.com</t>
  </si>
  <si>
    <t xml:space="preserve">353 North Arch St. </t>
  </si>
  <si>
    <t>shenna.espinoza@gmail.com</t>
  </si>
  <si>
    <t xml:space="preserve">202 North George Street </t>
  </si>
  <si>
    <t>trena.rogers@aol.com</t>
  </si>
  <si>
    <t xml:space="preserve">502 Sherwood St. </t>
  </si>
  <si>
    <t>Lucile</t>
  </si>
  <si>
    <t>lucile.manning@yahoo.com</t>
  </si>
  <si>
    <t xml:space="preserve">511 Livingston Lane </t>
  </si>
  <si>
    <t>Veronique</t>
  </si>
  <si>
    <t>Fulton</t>
  </si>
  <si>
    <t>veronique.fulton@yahoo.com</t>
  </si>
  <si>
    <t xml:space="preserve">81 Hilldale Ave. </t>
  </si>
  <si>
    <t>Starr</t>
  </si>
  <si>
    <t>starr.schneider@aol.com</t>
  </si>
  <si>
    <t xml:space="preserve">77 Mulberry Street </t>
  </si>
  <si>
    <t>Rona</t>
  </si>
  <si>
    <t>(408) 611-3553</t>
  </si>
  <si>
    <t>rona.rojas@gmail.com</t>
  </si>
  <si>
    <t xml:space="preserve">815 Riverview St. </t>
  </si>
  <si>
    <t>Pandora</t>
  </si>
  <si>
    <t>pandora.estes@aol.com</t>
  </si>
  <si>
    <t xml:space="preserve">228 Shadow Brook Drive </t>
  </si>
  <si>
    <t>Renna</t>
  </si>
  <si>
    <t>renna.williams@hotmail.com</t>
  </si>
  <si>
    <t xml:space="preserve">7398 SW. Glen Ridge Road </t>
  </si>
  <si>
    <t>Lanora</t>
  </si>
  <si>
    <t>lanora.robbins@hotmail.com</t>
  </si>
  <si>
    <t xml:space="preserve">31 W. Maiden Lane </t>
  </si>
  <si>
    <t>Juliane</t>
  </si>
  <si>
    <t>juliane.dillard@aol.com</t>
  </si>
  <si>
    <t xml:space="preserve">63 Birchwood Court </t>
  </si>
  <si>
    <t>Carlena</t>
  </si>
  <si>
    <t>carlena.salinas@gmail.com</t>
  </si>
  <si>
    <t xml:space="preserve">1 Wagon Street </t>
  </si>
  <si>
    <t>Kimberley</t>
  </si>
  <si>
    <t>kimberley.reynolds@aol.com</t>
  </si>
  <si>
    <t xml:space="preserve">8475 Homewood Street </t>
  </si>
  <si>
    <t>Johana</t>
  </si>
  <si>
    <t>(507) 407-9384</t>
  </si>
  <si>
    <t>johana.jacobson@gmail.com</t>
  </si>
  <si>
    <t xml:space="preserve">29 San Juan St. </t>
  </si>
  <si>
    <t>Enoch</t>
  </si>
  <si>
    <t>(559) 329-7615</t>
  </si>
  <si>
    <t>enoch.rosario@hotmail.com</t>
  </si>
  <si>
    <t xml:space="preserve">186 Arlington St. </t>
  </si>
  <si>
    <t>dorine.thornton@gmail.com</t>
  </si>
  <si>
    <t xml:space="preserve">8730 N. Atlantic Street </t>
  </si>
  <si>
    <t>eliz.lynch@hotmail.com</t>
  </si>
  <si>
    <t xml:space="preserve">717 West Deerfield Ave. </t>
  </si>
  <si>
    <t>Mercedez</t>
  </si>
  <si>
    <t>Brooks</t>
  </si>
  <si>
    <t>mercedez.brooks@hotmail.com</t>
  </si>
  <si>
    <t xml:space="preserve">7483 Ann St. </t>
  </si>
  <si>
    <t>Wynona</t>
  </si>
  <si>
    <t>wynona.douglas@msn.com</t>
  </si>
  <si>
    <t xml:space="preserve">6 Country Ave. </t>
  </si>
  <si>
    <t>Desire</t>
  </si>
  <si>
    <t>(661) 800-8091</t>
  </si>
  <si>
    <t>desire.mcgowan@msn.com</t>
  </si>
  <si>
    <t xml:space="preserve">942 North Ohio Road </t>
  </si>
  <si>
    <t>Sweeney</t>
  </si>
  <si>
    <t>elmo.sweeney@yahoo.com</t>
  </si>
  <si>
    <t xml:space="preserve">43 Arch Ave. </t>
  </si>
  <si>
    <t>Kenton</t>
  </si>
  <si>
    <t>kenton.hughes@gmail.com</t>
  </si>
  <si>
    <t xml:space="preserve">632 Sleepy Hollow Drive </t>
  </si>
  <si>
    <t>(619) 685-5786</t>
  </si>
  <si>
    <t>cesar.wilkins@hotmail.com</t>
  </si>
  <si>
    <t xml:space="preserve">7 Inverness St. </t>
  </si>
  <si>
    <t>Phylicia</t>
  </si>
  <si>
    <t>Stout</t>
  </si>
  <si>
    <t>phylicia.stout@aol.com</t>
  </si>
  <si>
    <t xml:space="preserve">8842 Littleton Lane </t>
  </si>
  <si>
    <t>nanette.harris@hotmail.com</t>
  </si>
  <si>
    <t xml:space="preserve">26 Pin Oak Lane </t>
  </si>
  <si>
    <t>Ulrike</t>
  </si>
  <si>
    <t>ulrike.chan@aol.com</t>
  </si>
  <si>
    <t xml:space="preserve">7949 Lancaster St. </t>
  </si>
  <si>
    <t>genoveva.lloyd@aol.com</t>
  </si>
  <si>
    <t xml:space="preserve">706 Devonshire St. </t>
  </si>
  <si>
    <t>Sheryl</t>
  </si>
  <si>
    <t>sheryl.chase@gmail.com</t>
  </si>
  <si>
    <t xml:space="preserve">388 Cedar Avenue </t>
  </si>
  <si>
    <t>Trista</t>
  </si>
  <si>
    <t>Lambert</t>
  </si>
  <si>
    <t>trista.lambert@gmail.com</t>
  </si>
  <si>
    <t xml:space="preserve">79 River Street </t>
  </si>
  <si>
    <t>Vivian</t>
  </si>
  <si>
    <t>vivian.deleon@msn.com</t>
  </si>
  <si>
    <t xml:space="preserve">9925 Hamilton Street </t>
  </si>
  <si>
    <t>genny.fields@msn.com</t>
  </si>
  <si>
    <t xml:space="preserve">9145 San Juan Dr. </t>
  </si>
  <si>
    <t>Eliseo</t>
  </si>
  <si>
    <t>Knight</t>
  </si>
  <si>
    <t>eliseo.knight@msn.com</t>
  </si>
  <si>
    <t xml:space="preserve">693 Holly Street </t>
  </si>
  <si>
    <t>Delma</t>
  </si>
  <si>
    <t>(657) 454-8493</t>
  </si>
  <si>
    <t>delma.bailey@gmail.com</t>
  </si>
  <si>
    <t xml:space="preserve">9883 West King Lane </t>
  </si>
  <si>
    <t>Dewayne</t>
  </si>
  <si>
    <t>dewayne.herring@aol.com</t>
  </si>
  <si>
    <t xml:space="preserve">9015 Willow Lane </t>
  </si>
  <si>
    <t>Nevada</t>
  </si>
  <si>
    <t>nevada.hood@aol.com</t>
  </si>
  <si>
    <t xml:space="preserve">515 Bank Rd. </t>
  </si>
  <si>
    <t>Angelika</t>
  </si>
  <si>
    <t>angelika.perry@msn.com</t>
  </si>
  <si>
    <t xml:space="preserve">7684 South Branch Drive </t>
  </si>
  <si>
    <t>Shayla</t>
  </si>
  <si>
    <t>shayla.hart@msn.com</t>
  </si>
  <si>
    <t xml:space="preserve">9092 Aspen St. </t>
  </si>
  <si>
    <t>Willetta</t>
  </si>
  <si>
    <t>Murphy</t>
  </si>
  <si>
    <t>willetta.murphy@msn.com</t>
  </si>
  <si>
    <t xml:space="preserve">436 Devonshire Street </t>
  </si>
  <si>
    <t>Sandee</t>
  </si>
  <si>
    <t>sandee.alvarado@aol.com</t>
  </si>
  <si>
    <t xml:space="preserve">69 Bowman Street </t>
  </si>
  <si>
    <t>(248) 234-5902</t>
  </si>
  <si>
    <t>mila.moody@gmail.com</t>
  </si>
  <si>
    <t xml:space="preserve">675 Williams St. </t>
  </si>
  <si>
    <t>Loyce</t>
  </si>
  <si>
    <t>Conway</t>
  </si>
  <si>
    <t>loyce.conway@aol.com</t>
  </si>
  <si>
    <t xml:space="preserve">729 State Lane </t>
  </si>
  <si>
    <t>Thanh</t>
  </si>
  <si>
    <t>thanh.figueroa@yahoo.com</t>
  </si>
  <si>
    <t xml:space="preserve">6 Roberts Drive </t>
  </si>
  <si>
    <t>Farrah</t>
  </si>
  <si>
    <t>farrah.orr@msn.com</t>
  </si>
  <si>
    <t xml:space="preserve">8711 W. Ashley St. </t>
  </si>
  <si>
    <t>Hugh</t>
  </si>
  <si>
    <t>hugh.craft@msn.com</t>
  </si>
  <si>
    <t xml:space="preserve">8716 Homewood Court </t>
  </si>
  <si>
    <t>Eleanor</t>
  </si>
  <si>
    <t>eleanor.mendez@yahoo.com</t>
  </si>
  <si>
    <t xml:space="preserve">4 West St. </t>
  </si>
  <si>
    <t>(716) 294-7174</t>
  </si>
  <si>
    <t>lamar.bush@msn.com</t>
  </si>
  <si>
    <t xml:space="preserve">76 Lilac Drive </t>
  </si>
  <si>
    <t>Lurlene</t>
  </si>
  <si>
    <t>(914) 367-7691</t>
  </si>
  <si>
    <t>lurlene.finch@msn.com</t>
  </si>
  <si>
    <t xml:space="preserve">849 Magnolia St. </t>
  </si>
  <si>
    <t>Shanda</t>
  </si>
  <si>
    <t>shanda.stevenson@yahoo.com</t>
  </si>
  <si>
    <t xml:space="preserve">9547 N. Courtland St. </t>
  </si>
  <si>
    <t>Adrien</t>
  </si>
  <si>
    <t>adrien.hunter@yahoo.com</t>
  </si>
  <si>
    <t xml:space="preserve">720 Thompson Lane </t>
  </si>
  <si>
    <t>ophelia.decker@yahoo.com</t>
  </si>
  <si>
    <t xml:space="preserve">69 Rockwell Court </t>
  </si>
  <si>
    <t>Sonja</t>
  </si>
  <si>
    <t>Walls</t>
  </si>
  <si>
    <t>sonja.walls@aol.com</t>
  </si>
  <si>
    <t xml:space="preserve">30 Marshall Dr. </t>
  </si>
  <si>
    <t>Harold</t>
  </si>
  <si>
    <t>harold.o'connor@gmail.com</t>
  </si>
  <si>
    <t xml:space="preserve">9530 Summerhouse Street </t>
  </si>
  <si>
    <t>miranda.kennedy@gmail.com</t>
  </si>
  <si>
    <t xml:space="preserve">726 East High St. </t>
  </si>
  <si>
    <t>Jasper</t>
  </si>
  <si>
    <t>jasper.castro@aol.com</t>
  </si>
  <si>
    <t xml:space="preserve">977 SE. Railroad Road </t>
  </si>
  <si>
    <t>Penni</t>
  </si>
  <si>
    <t>(657) 611-2991</t>
  </si>
  <si>
    <t>penni.best@msn.com</t>
  </si>
  <si>
    <t xml:space="preserve">875 Second Drive </t>
  </si>
  <si>
    <t>lurlene.cotton@yahoo.com</t>
  </si>
  <si>
    <t xml:space="preserve">8218 George St. </t>
  </si>
  <si>
    <t>Kelsey</t>
  </si>
  <si>
    <t>kelsey.noble@hotmail.com</t>
  </si>
  <si>
    <t xml:space="preserve">36 Pearl Court </t>
  </si>
  <si>
    <t>Edris</t>
  </si>
  <si>
    <t>edris.barrett@hotmail.com</t>
  </si>
  <si>
    <t xml:space="preserve">36 Pulaski Drive </t>
  </si>
  <si>
    <t>Tempie</t>
  </si>
  <si>
    <t>tempie.jacobson@hotmail.com</t>
  </si>
  <si>
    <t xml:space="preserve">136 Old Fairview St. </t>
  </si>
  <si>
    <t>Dollie</t>
  </si>
  <si>
    <t>Cervantes</t>
  </si>
  <si>
    <t>(682) 362-7457</t>
  </si>
  <si>
    <t>dollie.cervantes@aol.com</t>
  </si>
  <si>
    <t xml:space="preserve">8828 Applegate Drive </t>
  </si>
  <si>
    <t>Lashunda</t>
  </si>
  <si>
    <t>lashunda.cole@hotmail.com</t>
  </si>
  <si>
    <t xml:space="preserve">783 Baker St. </t>
  </si>
  <si>
    <t>justina.jenkins@msn.com</t>
  </si>
  <si>
    <t xml:space="preserve">345 SE. Green Lane </t>
  </si>
  <si>
    <t>Londa</t>
  </si>
  <si>
    <t>(361) 206-5550</t>
  </si>
  <si>
    <t>londa.gould@aol.com</t>
  </si>
  <si>
    <t xml:space="preserve">9169 Beech Lane </t>
  </si>
  <si>
    <t>Mikel</t>
  </si>
  <si>
    <t>mikel.wilkerson@msn.com</t>
  </si>
  <si>
    <t xml:space="preserve">9233 Clinton St. </t>
  </si>
  <si>
    <t>carola.johns@msn.com</t>
  </si>
  <si>
    <t xml:space="preserve">7077 Fordham Rd. </t>
  </si>
  <si>
    <t>Justice</t>
  </si>
  <si>
    <t>lorrie.justice@gmail.com</t>
  </si>
  <si>
    <t xml:space="preserve">8396 Brook Drive </t>
  </si>
  <si>
    <t>Tayna</t>
  </si>
  <si>
    <t>(661) 858-1224</t>
  </si>
  <si>
    <t>tayna.wade@hotmail.com</t>
  </si>
  <si>
    <t xml:space="preserve">65 Smith Store Dr. </t>
  </si>
  <si>
    <t>mark.benton@aol.com</t>
  </si>
  <si>
    <t xml:space="preserve">83 Eagle St. </t>
  </si>
  <si>
    <t>Zona</t>
  </si>
  <si>
    <t>zona.cameron@aol.com</t>
  </si>
  <si>
    <t xml:space="preserve">42 Bridle Court </t>
  </si>
  <si>
    <t>Nicola</t>
  </si>
  <si>
    <t>nicola.knight@aol.com</t>
  </si>
  <si>
    <t xml:space="preserve">25 SE. Miles Lane </t>
  </si>
  <si>
    <t>Elana</t>
  </si>
  <si>
    <t>elana.miles@yahoo.com</t>
  </si>
  <si>
    <t xml:space="preserve">7077 Euclid Ave. </t>
  </si>
  <si>
    <t>Merrie</t>
  </si>
  <si>
    <t>merrie.fowler@aol.com</t>
  </si>
  <si>
    <t xml:space="preserve">532 Leatherwood Ave. </t>
  </si>
  <si>
    <t>Macie</t>
  </si>
  <si>
    <t>macie.ayers@msn.com</t>
  </si>
  <si>
    <t xml:space="preserve">8730 Longfellow St. </t>
  </si>
  <si>
    <t>Son</t>
  </si>
  <si>
    <t>son.warner@hotmail.com</t>
  </si>
  <si>
    <t xml:space="preserve">20 W. Rosewood Ave. </t>
  </si>
  <si>
    <t>(408) 807-6157</t>
  </si>
  <si>
    <t>lee.dunn@aol.com</t>
  </si>
  <si>
    <t xml:space="preserve">8626 Grand Ave. </t>
  </si>
  <si>
    <t>Florrie</t>
  </si>
  <si>
    <t>florrie.little@yahoo.com</t>
  </si>
  <si>
    <t xml:space="preserve">8330 Marsh St. </t>
  </si>
  <si>
    <t>Ernest</t>
  </si>
  <si>
    <t>ernest.rollins@yahoo.com</t>
  </si>
  <si>
    <t xml:space="preserve">4 West Ridge Dr. </t>
  </si>
  <si>
    <t>Morrison</t>
  </si>
  <si>
    <t>jamaal.morrison@msn.com</t>
  </si>
  <si>
    <t xml:space="preserve">796 SE. Nut Swamp St. </t>
  </si>
  <si>
    <t>Cassie</t>
  </si>
  <si>
    <t>cassie.cline@gmail.com</t>
  </si>
  <si>
    <t xml:space="preserve">947 Lafayette Drive </t>
  </si>
  <si>
    <t>lezlie.lamb@gmail.com</t>
  </si>
  <si>
    <t xml:space="preserve">401 Brandywine Street </t>
  </si>
  <si>
    <t>ivette.estes@gmail.com</t>
  </si>
  <si>
    <t xml:space="preserve">88 N. Canterbury Ave. </t>
  </si>
  <si>
    <t>Ester</t>
  </si>
  <si>
    <t>ester.acevedo@gmail.com</t>
  </si>
  <si>
    <t xml:space="preserve">671 Miles Court </t>
  </si>
  <si>
    <t>order_id</t>
  </si>
  <si>
    <t>item_id</t>
  </si>
  <si>
    <t>product_id</t>
  </si>
  <si>
    <t>quantity</t>
  </si>
  <si>
    <t>list_price</t>
  </si>
  <si>
    <t>discount</t>
  </si>
  <si>
    <t>Total_price</t>
  </si>
  <si>
    <t>order_status</t>
  </si>
  <si>
    <t>order_date</t>
  </si>
  <si>
    <t>required_date</t>
  </si>
  <si>
    <t>shipped_date</t>
  </si>
  <si>
    <t>store_id</t>
  </si>
  <si>
    <t>staff_id</t>
  </si>
  <si>
    <t>product_name</t>
  </si>
  <si>
    <t>model_year</t>
  </si>
  <si>
    <t>Trek 820 - 2016</t>
  </si>
  <si>
    <t>Ritchey Timberwolf Frameset - 2016</t>
  </si>
  <si>
    <t>Surly Wednesday Frameset - 2016</t>
  </si>
  <si>
    <t>Trek Fuel EX 8 29 - 2016</t>
  </si>
  <si>
    <t>Heller Shagamaw Frame - 2016</t>
  </si>
  <si>
    <t>Surly Ice Cream Truck Frameset - 2016</t>
  </si>
  <si>
    <t>Trek Slash 8 27.5 - 2016</t>
  </si>
  <si>
    <t>Trek Remedy 29 Carbon Frameset - 2016</t>
  </si>
  <si>
    <t>Trek Conduit+ - 2016</t>
  </si>
  <si>
    <t>Surly Straggler - 2016</t>
  </si>
  <si>
    <t>Surly Straggler 650b - 2016</t>
  </si>
  <si>
    <t>Electra Townie Original 21D - 2016</t>
  </si>
  <si>
    <t>Electra Cruiser 1 (24-Inch) - 2016</t>
  </si>
  <si>
    <t>Electra Girl's Hawaii 1 (16-inch) - 2015/2016</t>
  </si>
  <si>
    <t>Electra Moto 1 - 2016</t>
  </si>
  <si>
    <t>Electra Townie Original 7D EQ - 2016</t>
  </si>
  <si>
    <t>Pure Cycles Vine 8-Speed - 2016</t>
  </si>
  <si>
    <t>Pure Cycles Western 3-Speed - Women's - 2015/2016</t>
  </si>
  <si>
    <t>Pure Cycles William 3-Speed - 2016</t>
  </si>
  <si>
    <t>Electra Townie Original 7D EQ - Women's - 2016</t>
  </si>
  <si>
    <t>Electra Girl's Hawaii 1 (20-inch) - 2015/2016</t>
  </si>
  <si>
    <t>Electra Townie Original 7D - 2015/2016</t>
  </si>
  <si>
    <t>Surly Big Dummy Frameset - 2017</t>
  </si>
  <si>
    <t>Surly Karate Monkey 27.5+ Frameset - 2017</t>
  </si>
  <si>
    <t>Trek X-Caliber 8 - 2017</t>
  </si>
  <si>
    <t>Surly Ice Cream Truck Frameset - 2017</t>
  </si>
  <si>
    <t>Surly Wednesday - 2017</t>
  </si>
  <si>
    <t>Trek Farley Alloy Frameset - 2017</t>
  </si>
  <si>
    <t>Surly Wednesday Frameset - 2017</t>
  </si>
  <si>
    <t>Trek Session DH 27.5 Carbon Frameset - 2017</t>
  </si>
  <si>
    <t>Sun Bicycles Spider 3i - 2017</t>
  </si>
  <si>
    <t>Surly Troll Frameset - 2017</t>
  </si>
  <si>
    <t>Haro Flightline One ST - 2017</t>
  </si>
  <si>
    <t>Haro Flightline Two 26 Plus - 2017</t>
  </si>
  <si>
    <t>Trek Stache 5 - 2017</t>
  </si>
  <si>
    <t>Trek Fuel EX 9.8 29 - 2017</t>
  </si>
  <si>
    <t>Haro Shift R3 - 2017</t>
  </si>
  <si>
    <t>Trek Fuel EX 5 27.5 Plus - 2017</t>
  </si>
  <si>
    <t>Trek Fuel EX 9.8 27.5 Plus - 2017</t>
  </si>
  <si>
    <t>Haro SR 1.1 - 2017</t>
  </si>
  <si>
    <t>Haro SR 1.2 - 2017</t>
  </si>
  <si>
    <t>Haro SR 1.3 - 2017</t>
  </si>
  <si>
    <t>Trek Remedy 9.8 - 2017</t>
  </si>
  <si>
    <t>Trek Emonda S 4 - 2017</t>
  </si>
  <si>
    <t>Trek Domane SL 6 - 2017</t>
  </si>
  <si>
    <t>Trek Silque SLR 7 Women's - 2017</t>
  </si>
  <si>
    <t>Trek Silque SLR 8 Women's - 2017</t>
  </si>
  <si>
    <t>Surly Steamroller - 2017</t>
  </si>
  <si>
    <t>Surly Ogre Frameset - 2017</t>
  </si>
  <si>
    <t>Trek Domane SL Disc Frameset - 2017</t>
  </si>
  <si>
    <t>Trek Domane S 6 - 2017</t>
  </si>
  <si>
    <t>Trek Domane SLR 6 Disc - 2017</t>
  </si>
  <si>
    <t>Trek Emonda S 5 - 2017</t>
  </si>
  <si>
    <t>Trek Madone 9.2 - 2017</t>
  </si>
  <si>
    <t>Trek Domane S 5 Disc - 2017</t>
  </si>
  <si>
    <t>Sun Bicycles ElectroLite - 2017</t>
  </si>
  <si>
    <t>Trek Powerfly 8 FS Plus - 2017</t>
  </si>
  <si>
    <t>Trek Boone 7 - 2017</t>
  </si>
  <si>
    <t>Trek Boone Race Shop Limited - 2017</t>
  </si>
  <si>
    <t>Electra Townie Original 7D - 2017</t>
  </si>
  <si>
    <t>Sun Bicycles Lil Bolt Type-R - 2017</t>
  </si>
  <si>
    <t>Sun Bicycles Revolutions 24 - 2017</t>
  </si>
  <si>
    <t>Sun Bicycles Revolutions 24 - Girl's - 2017</t>
  </si>
  <si>
    <t>Sun Bicycles Cruz 3 - 2017</t>
  </si>
  <si>
    <t>Sun Bicycles Cruz 7 - 2017</t>
  </si>
  <si>
    <t>Electra Amsterdam Original 3i - 2015/2017</t>
  </si>
  <si>
    <t>Sun Bicycles Atlas X-Type - 2017</t>
  </si>
  <si>
    <t>Sun Bicycles Biscayne Tandem 7 - 2017</t>
  </si>
  <si>
    <t>Sun Bicycles Brickell Tandem 7 - 2017</t>
  </si>
  <si>
    <t>Electra Cruiser Lux 1 - 2017</t>
  </si>
  <si>
    <t>Electra Cruiser Lux Fat Tire 1 Ladies - 2017</t>
  </si>
  <si>
    <t>Electra Girl's Hawaii 1 16" - 2017</t>
  </si>
  <si>
    <t>Electra Glam Punk 3i Ladies' - 2017</t>
  </si>
  <si>
    <t>Sun Bicycles Biscayne Tandem CB - 2017</t>
  </si>
  <si>
    <t>Sun Bicycles Boardwalk (24-inch Wheels) - 2017</t>
  </si>
  <si>
    <t>Sun Bicycles Brickell Tandem CB - 2017</t>
  </si>
  <si>
    <t>Electra Amsterdam Fashion 7i Ladies' - 2017</t>
  </si>
  <si>
    <t>Electra Amsterdam Original 3i Ladies' - 2017</t>
  </si>
  <si>
    <t>Trek Boy's Kickster - 2015/2017</t>
  </si>
  <si>
    <t>Sun Bicycles Lil Kitt'n - 2017</t>
  </si>
  <si>
    <t>Haro Downtown 16 - 2017</t>
  </si>
  <si>
    <t>Trek Girl's Kickster - 2017</t>
  </si>
  <si>
    <t>Trek Precaliber 12 Boys - 2017</t>
  </si>
  <si>
    <t>Trek Precaliber 12 Girls - 2017</t>
  </si>
  <si>
    <t>Trek Precaliber 16 Boys - 2017</t>
  </si>
  <si>
    <t>Trek Precaliber 16 Girls - 2017</t>
  </si>
  <si>
    <t>Trek Precaliber 24 (21-Speed) - Girls - 2017</t>
  </si>
  <si>
    <t>Haro Shredder 20 - 2017</t>
  </si>
  <si>
    <t>Haro Shredder 20 Girls - 2017</t>
  </si>
  <si>
    <t>Haro Shredder Pro 20 - 2017</t>
  </si>
  <si>
    <t>Electra Moto 3i (20-inch) - Boy's - 2017</t>
  </si>
  <si>
    <t>Electra Savannah 3i (20-inch) - Girl's - 2017</t>
  </si>
  <si>
    <t>Electra Straight 8 3i (20-inch) - Boy's - 2017</t>
  </si>
  <si>
    <t>Electra Sugar Skulls 1 (20-inch) - Girl's - 2017</t>
  </si>
  <si>
    <t>Electra Townie 3i EQ (20-inch) - Boys' - 2017</t>
  </si>
  <si>
    <t>Electra Townie 7D (20-inch) - Boys' - 2017</t>
  </si>
  <si>
    <t>Sun Bicycles Streamway 3 - 2017</t>
  </si>
  <si>
    <t>Sun Bicycles Streamway - 2017</t>
  </si>
  <si>
    <t>Sun Bicycles Streamway 7 - 2017</t>
  </si>
  <si>
    <t>Sun Bicycles Cruz 3 - Women's - 2017</t>
  </si>
  <si>
    <t>Sun Bicycles Cruz 7 - Women's - 2017</t>
  </si>
  <si>
    <t>Sun Bicycles Drifter 7 - 2017</t>
  </si>
  <si>
    <t>Sun Bicycles Drifter 7 - Women's - 2017</t>
  </si>
  <si>
    <t>Trek 820 - 2018</t>
  </si>
  <si>
    <t>Trek Marlin 5 - 2018</t>
  </si>
  <si>
    <t>Trek Marlin 6 - 2018</t>
  </si>
  <si>
    <t>Trek Fuel EX 8 29 - 2018</t>
  </si>
  <si>
    <t>Trek Marlin 7 - 2017/2018</t>
  </si>
  <si>
    <t>Trek Ticket S Frame - 2018</t>
  </si>
  <si>
    <t>Trek X-Caliber 8 - 2018</t>
  </si>
  <si>
    <t>Trek Kids' Neko - 2018</t>
  </si>
  <si>
    <t>Trek Fuel EX 7 29 - 2018</t>
  </si>
  <si>
    <t>Surly Krampus Frameset - 2018</t>
  </si>
  <si>
    <t>Surly Troll Frameset - 2018</t>
  </si>
  <si>
    <t>Trek Farley Carbon Frameset - 2018</t>
  </si>
  <si>
    <t>Surly Krampus - 2018</t>
  </si>
  <si>
    <t>Trek Kids' Dual Sport - 2018</t>
  </si>
  <si>
    <t>Surly Big Fat Dummy Frameset - 2018</t>
  </si>
  <si>
    <t>Surly Pack Rat Frameset - 2018</t>
  </si>
  <si>
    <t>Surly ECR 27.5 - 2018</t>
  </si>
  <si>
    <t>Trek X-Caliber 7 - 2018</t>
  </si>
  <si>
    <t>Trek Stache Carbon Frameset - 2018</t>
  </si>
  <si>
    <t>Heller Bloodhound Trail - 2018</t>
  </si>
  <si>
    <t>Trek Procal AL Frameset - 2018</t>
  </si>
  <si>
    <t>Trek Procaliber Frameset - 2018</t>
  </si>
  <si>
    <t>Trek Remedy 27.5 C Frameset - 2018</t>
  </si>
  <si>
    <t>Trek X-Caliber Frameset - 2018</t>
  </si>
  <si>
    <t>Trek Procaliber 6 - 2018</t>
  </si>
  <si>
    <t>Heller Shagamaw GX1 - 2018</t>
  </si>
  <si>
    <t>Trek Fuel EX 5 Plus - 2018</t>
  </si>
  <si>
    <t>Trek Remedy 7 27.5 - 2018</t>
  </si>
  <si>
    <t>Trek Remedy 9.8 27.5 - 2018</t>
  </si>
  <si>
    <t>Trek Stache 5 - 2018</t>
  </si>
  <si>
    <t>Trek Fuel EX 8 29 XT - 2018</t>
  </si>
  <si>
    <t>Trek Domane ALR 3 - 2018</t>
  </si>
  <si>
    <t>Trek Domane ALR 4 Disc - 2018</t>
  </si>
  <si>
    <t>Trek Domane ALR 5 Disc - 2018</t>
  </si>
  <si>
    <t>Trek Domane SLR 6 - 2018</t>
  </si>
  <si>
    <t>Trek Domane ALR 5 Gravel - 2018</t>
  </si>
  <si>
    <t>Trek Domane SL 8 Disc - 2018</t>
  </si>
  <si>
    <t>Trek Domane SLR 8 Disc - 2018</t>
  </si>
  <si>
    <t>Trek Emonda SL 7 - 2018</t>
  </si>
  <si>
    <t>Trek Domane ALR 4 Disc Women's - 2018</t>
  </si>
  <si>
    <t>Trek Domane SL 5 Disc Women's - 2018</t>
  </si>
  <si>
    <t>Trek Domane SL 7 Women's - 2018</t>
  </si>
  <si>
    <t>Trek Domane SLR 6 Disc Women's - 2018</t>
  </si>
  <si>
    <t>Trek Domane SLR 9 Disc - 2018</t>
  </si>
  <si>
    <t>Trek Domane SL Frameset - 2018</t>
  </si>
  <si>
    <t>Trek Domane SL Frameset Women's - 2018</t>
  </si>
  <si>
    <t>Trek CrossRip 1 - 2018</t>
  </si>
  <si>
    <t>Trek Emonda ALR 6 - 2018</t>
  </si>
  <si>
    <t>Trek Emonda SLR 6 - 2018</t>
  </si>
  <si>
    <t>Surly ECR - 2018</t>
  </si>
  <si>
    <t>Trek Emonda SL 6 Disc - 2018</t>
  </si>
  <si>
    <t>Surly Pack Rat - 2018</t>
  </si>
  <si>
    <t>Surly Straggler 650b - 2018</t>
  </si>
  <si>
    <t>Trek 1120 - 2018</t>
  </si>
  <si>
    <t>Trek Domane AL 2 Women's - 2018</t>
  </si>
  <si>
    <t>Surly ECR Frameset - 2018</t>
  </si>
  <si>
    <t>Surly Straggler - 2018</t>
  </si>
  <si>
    <t>Trek Emonda SLR 8 - 2018</t>
  </si>
  <si>
    <t>Trek CrossRip 2 - 2018</t>
  </si>
  <si>
    <t>Trek Domane SL 6 - 2018</t>
  </si>
  <si>
    <t>Trek Domane ALR Disc Frameset - 2018</t>
  </si>
  <si>
    <t>Trek Domane ALR Frameset - 2018</t>
  </si>
  <si>
    <t>Trek Domane SLR Disc Frameset - 2018</t>
  </si>
  <si>
    <t>Trek Domane SLR Frameset - 2018</t>
  </si>
  <si>
    <t>Trek Madone 9 Frameset - 2018</t>
  </si>
  <si>
    <t>Trek Domane SLR 6 Disc - 2018</t>
  </si>
  <si>
    <t>Trek Domane AL 2 - 2018</t>
  </si>
  <si>
    <t>Trek Domane AL 3 - 2018</t>
  </si>
  <si>
    <t>Trek Domane AL 3 Women's - 2018</t>
  </si>
  <si>
    <t>Trek Domane SL 5 - 2018</t>
  </si>
  <si>
    <t>Trek Domane SL 5 Disc - 2018</t>
  </si>
  <si>
    <t>Trek Domane SL 5 Women's - 2018</t>
  </si>
  <si>
    <t>Trek Domane SL 6 Disc - 2018</t>
  </si>
  <si>
    <t>Trek Conduit+ - 2018</t>
  </si>
  <si>
    <t>Trek CrossRip+ - 2018</t>
  </si>
  <si>
    <t>Trek Neko+ - 2018</t>
  </si>
  <si>
    <t>Trek XM700+ Lowstep - 2018</t>
  </si>
  <si>
    <t>Trek Lift+ Lowstep - 2018</t>
  </si>
  <si>
    <t>Trek Dual Sport+ - 2018</t>
  </si>
  <si>
    <t>Electra Loft Go! 8i - 2018</t>
  </si>
  <si>
    <t>Electra Townie Go! 8i - 2017/2018</t>
  </si>
  <si>
    <t>Trek Lift+ - 2018</t>
  </si>
  <si>
    <t>Trek XM700+ - 2018</t>
  </si>
  <si>
    <t>Electra Townie Go! 8i Ladies' - 2018</t>
  </si>
  <si>
    <t>Trek Verve+ - 2018</t>
  </si>
  <si>
    <t>Trek Verve+ Lowstep - 2018</t>
  </si>
  <si>
    <t>Electra Townie Commute Go! - 2018</t>
  </si>
  <si>
    <t>Electra Townie Commute Go! Ladies' - 2018</t>
  </si>
  <si>
    <t>Trek Powerfly 5 - 2018</t>
  </si>
  <si>
    <t>Trek Powerfly 5 FS - 2018</t>
  </si>
  <si>
    <t>Trek Powerfly 5 Women's - 2018</t>
  </si>
  <si>
    <t>Trek Powerfly 7 FS - 2018</t>
  </si>
  <si>
    <t>Trek Super Commuter+ 7 - 2018</t>
  </si>
  <si>
    <t>Trek Super Commuter+ 8S - 2018</t>
  </si>
  <si>
    <t>Trek Boone 5 Disc - 2018</t>
  </si>
  <si>
    <t>Trek Boone 7 Disc - 2018</t>
  </si>
  <si>
    <t>Trek Crockett 5 Disc - 2018</t>
  </si>
  <si>
    <t>Trek Crockett 7 Disc - 2018</t>
  </si>
  <si>
    <t>Electra Townie Original 21D - 2018</t>
  </si>
  <si>
    <t>Electra Cruiser 1 - 2016/2017/2018</t>
  </si>
  <si>
    <t>Electra Tiger Shark 3i - 2018</t>
  </si>
  <si>
    <t>Electra Queen of Hearts 3i - 2018</t>
  </si>
  <si>
    <t>Electra Super Moto 8i - 2018</t>
  </si>
  <si>
    <t>Electra Straight 8 3i - 2018</t>
  </si>
  <si>
    <t>Electra Cruiser 7D - 2016/2017/2018</t>
  </si>
  <si>
    <t>Electra Moto 3i - 2018</t>
  </si>
  <si>
    <t>Electra Cruiser 1 Ladies' - 2018</t>
  </si>
  <si>
    <t>Electra Cruiser 7D Ladies' - 2016/2018</t>
  </si>
  <si>
    <t>Electra Cruiser 1 Tall - 2016/2018</t>
  </si>
  <si>
    <t>Electra Cruiser Lux 3i - 2018</t>
  </si>
  <si>
    <t>Electra Cruiser Lux 7D - 2018</t>
  </si>
  <si>
    <t>Electra Delivery 3i - 2016/2017/2018</t>
  </si>
  <si>
    <t>Electra Townie Original 21D EQ - 2017/2018</t>
  </si>
  <si>
    <t>Electra Cruiser 7D (24-Inch) Ladies' - 2016/2018</t>
  </si>
  <si>
    <t>Electra Cruiser 7D Tall - 2016/2018</t>
  </si>
  <si>
    <t>Electra Cruiser Lux 1 - 2016/2018</t>
  </si>
  <si>
    <t>Electra Cruiser Lux 1 Ladies' - 2018</t>
  </si>
  <si>
    <t>Electra Cruiser Lux 3i Ladies' - 2018</t>
  </si>
  <si>
    <t>Electra Cruiser Lux 7D Ladies' - 2018</t>
  </si>
  <si>
    <t>Electra Cruiser Lux Fat Tire 7D - 2018</t>
  </si>
  <si>
    <t>Electra Daydreamer 3i Ladies' - 2018</t>
  </si>
  <si>
    <t>Electra Koa 3i Ladies' - 2018</t>
  </si>
  <si>
    <t>Electra Morningstar 3i Ladies' - 2018</t>
  </si>
  <si>
    <t>Electra Relic 3i - 2018</t>
  </si>
  <si>
    <t>Electra Townie Balloon 8D EQ - 2016/2017/2018</t>
  </si>
  <si>
    <t>Electra Townie Balloon 8D EQ Ladies' - 2016/2017/2018</t>
  </si>
  <si>
    <t>Electra Townie Commute 27D Ladies - 2018</t>
  </si>
  <si>
    <t>Electra Townie Commute 8D - 2018</t>
  </si>
  <si>
    <t>Electra Townie Commute 8D Ladies' - 2018</t>
  </si>
  <si>
    <t>Electra Townie Original 21D EQ Ladies' - 2018</t>
  </si>
  <si>
    <t>Electra Townie Original 21D Ladies' - 2018</t>
  </si>
  <si>
    <t>Electra Townie Original 3i EQ - 2017/2018</t>
  </si>
  <si>
    <t>Electra Townie Original 3i EQ Ladies' - 2018</t>
  </si>
  <si>
    <t>Electra Townie Original 7D EQ - 2018</t>
  </si>
  <si>
    <t>Electra Townie Original 7D EQ Ladies' - 2017/2018</t>
  </si>
  <si>
    <t>Electra White Water 3i - 2018</t>
  </si>
  <si>
    <t>Electra Townie Balloon 3i EQ - 2017/2018</t>
  </si>
  <si>
    <t>Electra Townie Balloon 7i EQ Ladies' - 2017/2018</t>
  </si>
  <si>
    <t>Electra Townie Commute 27D - 2018</t>
  </si>
  <si>
    <t>Electra Amsterdam Fashion 3i Ladies' - 2017/2018</t>
  </si>
  <si>
    <t>Electra Amsterdam Royal 8i - 2017/2018</t>
  </si>
  <si>
    <t>Electra Amsterdam Royal 8i Ladies - 2018</t>
  </si>
  <si>
    <t>Electra Townie Balloon 3i EQ Ladies' - 2018</t>
  </si>
  <si>
    <t>Electra Townie Balloon 7i EQ - 2018</t>
  </si>
  <si>
    <t>Trek MT 201 - 2018</t>
  </si>
  <si>
    <t>Strider Classic 12 Balance Bike - 2018</t>
  </si>
  <si>
    <t>Strider Sport 16 - 2018</t>
  </si>
  <si>
    <t>Strider Strider 20 Sport - 2018</t>
  </si>
  <si>
    <t>Trek Superfly 20 - 2018</t>
  </si>
  <si>
    <t>Trek Precaliber 12 Girl's - 2018</t>
  </si>
  <si>
    <t>Trek Kickster - 2018</t>
  </si>
  <si>
    <t>Trek Precaliber 12 Boy's - 2018</t>
  </si>
  <si>
    <t>Trek Precaliber 16 Boy's - 2018</t>
  </si>
  <si>
    <t>Trek Precaliber 16 Girl's - 2018</t>
  </si>
  <si>
    <t>Trek Precaliber 20 6-speed Boy's - 2018</t>
  </si>
  <si>
    <t>Trek Precaliber 20 6-speed Girl's - 2018</t>
  </si>
  <si>
    <t>Trek Precaliber 20 Boy's - 2018</t>
  </si>
  <si>
    <t>Trek Precaliber 20 Girl's - 2018</t>
  </si>
  <si>
    <t>Trek Precaliber 24 (7-Speed) - Boys - 2018</t>
  </si>
  <si>
    <t>Trek Precaliber 24 21-speed Boy's - 2018</t>
  </si>
  <si>
    <t>Trek Precaliber 24 21-speed Girl's - 2018</t>
  </si>
  <si>
    <t>Trek Precaliber 24 7-speed Girl's - 2018</t>
  </si>
  <si>
    <t>Trek Superfly 24 - 2017/2018</t>
  </si>
  <si>
    <t>Electra Cyclosaurus 1 (16-inch) - Boy's - 2018</t>
  </si>
  <si>
    <t>Electra Heartchya 1 (20-inch) - Girl's - 2018</t>
  </si>
  <si>
    <t>Electra Savannah 1 (20-inch) - Girl's - 2018</t>
  </si>
  <si>
    <t>Electra Soft Serve 1 (16-inch) - Girl's - 2018</t>
  </si>
  <si>
    <t>Electra Starship 1 16" - 2018</t>
  </si>
  <si>
    <t>Electra Straight 8 1 (16-inch) - Boy's - 2018</t>
  </si>
  <si>
    <t>Electra Straight 8 1 (20-inch) - Boy's - 2018</t>
  </si>
  <si>
    <t>Electra Superbolt 1 20" - 2018</t>
  </si>
  <si>
    <t>Electra Superbolt 3i 20" - 2018</t>
  </si>
  <si>
    <t>Electra Sweet Ride 1 (20-inch) - Girl's - 2018</t>
  </si>
  <si>
    <t>Electra Sweet Ride 3i (20-inch) - Girls' - 2018</t>
  </si>
  <si>
    <t>Electra Tiger Shark 1 (20-inch) - Boys' - 2018</t>
  </si>
  <si>
    <t>Electra Tiger Shark 3i (20-inch) - Boys' - 2018</t>
  </si>
  <si>
    <t>Electra Treasure 1 20" - 2018</t>
  </si>
  <si>
    <t>Electra Treasure 3i 20" - 2018</t>
  </si>
  <si>
    <t>Electra Under-The-Sea 1 16" - 2018</t>
  </si>
  <si>
    <t>Electra Water Lily 1 (16-inch) - Girl's - 2018</t>
  </si>
  <si>
    <t>Electra Townie Original 1 - 2018</t>
  </si>
  <si>
    <t>Electra Townie Original 1 Ladies' - 2018</t>
  </si>
  <si>
    <t>Trek Checkpoint ALR 4 Women's - 2019</t>
  </si>
  <si>
    <t>Trek Checkpoint ALR 5 - 2019</t>
  </si>
  <si>
    <t>Trek Checkpoint ALR 5 Women's - 2019</t>
  </si>
  <si>
    <t>Trek Checkpoint SL 5 Women's - 2019</t>
  </si>
  <si>
    <t>Trek Checkpoint SL 6 - 2019</t>
  </si>
  <si>
    <t>Trek Checkpoint ALR Frameset - 2019</t>
  </si>
  <si>
    <t>active</t>
  </si>
  <si>
    <t>manager_id</t>
  </si>
  <si>
    <t>Fabiola</t>
  </si>
  <si>
    <t>fabiola.jackson@bikes.shop</t>
  </si>
  <si>
    <t>(831) 555-5554</t>
  </si>
  <si>
    <t>0</t>
  </si>
  <si>
    <t>Mireya</t>
  </si>
  <si>
    <t>mireya.copeland@bikes.shop</t>
  </si>
  <si>
    <t>(831) 555-5555</t>
  </si>
  <si>
    <t>1</t>
  </si>
  <si>
    <t>Genna</t>
  </si>
  <si>
    <t>Serrano</t>
  </si>
  <si>
    <t>genna.serrano@bikes.shop</t>
  </si>
  <si>
    <t>(831) 555-5556</t>
  </si>
  <si>
    <t>2</t>
  </si>
  <si>
    <t>Virgie</t>
  </si>
  <si>
    <t>virgie.wiggins@bikes.shop</t>
  </si>
  <si>
    <t>(831) 555-5557</t>
  </si>
  <si>
    <t>Jannette</t>
  </si>
  <si>
    <t>David</t>
  </si>
  <si>
    <t>jannette.david@bikes.shop</t>
  </si>
  <si>
    <t>(516) 379-4444</t>
  </si>
  <si>
    <t>Marcelene</t>
  </si>
  <si>
    <t>Boyer</t>
  </si>
  <si>
    <t>marcelene.boyer@bikes.shop</t>
  </si>
  <si>
    <t>(516) 379-4445</t>
  </si>
  <si>
    <t>5</t>
  </si>
  <si>
    <t>Venita</t>
  </si>
  <si>
    <t>venita.daniel@bikes.shop</t>
  </si>
  <si>
    <t>(516) 379-4446</t>
  </si>
  <si>
    <t>Kali</t>
  </si>
  <si>
    <t>kali.vargas@bikes.shop</t>
  </si>
  <si>
    <t>(972) 530-5555</t>
  </si>
  <si>
    <t>Layla</t>
  </si>
  <si>
    <t>layla.terrell@bikes.shop</t>
  </si>
  <si>
    <t>(972) 530-5556</t>
  </si>
  <si>
    <t>7</t>
  </si>
  <si>
    <t>Bernardine</t>
  </si>
  <si>
    <t>bernardine.houston@bikes.shop</t>
  </si>
  <si>
    <t>(972) 530-5557</t>
  </si>
  <si>
    <t>store_name</t>
  </si>
  <si>
    <t>Santa Cruz Bikes</t>
  </si>
  <si>
    <t>(831) 476-4321</t>
  </si>
  <si>
    <t>santacruz@bikes.shop</t>
  </si>
  <si>
    <t>3700 Portola Drive</t>
  </si>
  <si>
    <t>Baldwin Bikes</t>
  </si>
  <si>
    <t>(516) 379-8888</t>
  </si>
  <si>
    <t>baldwin@bikes.shop</t>
  </si>
  <si>
    <t>4200 Chestnut Lane</t>
  </si>
  <si>
    <t>Rowlett Bikes</t>
  </si>
  <si>
    <t>rowlett@bikes.shop</t>
  </si>
  <si>
    <t>8000 Fairway Avenue</t>
  </si>
  <si>
    <t>Product name</t>
  </si>
  <si>
    <t>Row Labels</t>
  </si>
  <si>
    <t>Grand Total</t>
  </si>
  <si>
    <t>Sum of Total_price</t>
  </si>
  <si>
    <t>Category ID</t>
  </si>
  <si>
    <t>Brand ID</t>
  </si>
  <si>
    <t>Sum of quantity</t>
  </si>
  <si>
    <t>Discounted_price</t>
  </si>
  <si>
    <t xml:space="preserve">Mean </t>
  </si>
  <si>
    <t xml:space="preserve">Median </t>
  </si>
  <si>
    <t xml:space="preserve">Mode </t>
  </si>
  <si>
    <t>Standard Deviation</t>
  </si>
  <si>
    <t xml:space="preserve">Total Price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</si>
</sst>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</cellXfs>
  <cellStyles count="1">
    <cellStyle name="Normal" xfId="0" builtinId="0"/>
  </cellStyles>
  <dxfs count="3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[Master_retil.xlsm]Pivottable !PivotTable2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'Pivottable 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'Pivottable '!$A$4:$A$9</c:f>
              <c:strCache>
                <c:ptCount val="5"/>
                <c:pt idx="0">
                  <c:v>Heller Shagamaw Frame - 2016</c:v>
                </c:pt>
                <c:pt idx="1">
                  <c:v>Ritchey Timberwolf Frameset - 2016</c:v>
                </c:pt>
                <c:pt idx="2">
                  <c:v>Surly Wednesday Frameset - 2016</c:v>
                </c:pt>
                <c:pt idx="3">
                  <c:v>Trek 820 - 2016</c:v>
                </c:pt>
                <c:pt idx="4">
                  <c:v>Trek Fuel EX 8 29 - 2016</c:v>
                </c:pt>
              </c:strCache>
            </c:strRef>
          </c:cat>
          <c:val>
            <c:numRef>
              <c:f>'Pivottable '!$B$4:$B$9</c:f>
              <c:numCache>
                <c:formatCode>General</c:formatCode>
                <c:ptCount val="5"/>
                <c:pt idx="0">
                  <c:v>33078.639400000022</c:v>
                </c:pt>
                <c:pt idx="1">
                  <c:v>181945.26060000068</c:v>
                </c:pt>
                <c:pt idx="2">
                  <c:v>121550.04340000039</c:v>
                </c:pt>
                <c:pt idx="3">
                  <c:v>191153.69070000103</c:v>
                </c:pt>
                <c:pt idx="4">
                  <c:v>70541.027800000098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7A-4101-9E34-F019B8E62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3044496"/>
        <c:axId val="403036336"/>
      </c:barChart>
      <c:catAx>
        <c:axId val="403044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036336"/>
        <c:crosses val="autoZero"/>
        <c:auto val="1"/>
        <c:lblAlgn val="ctr"/>
        <c:lblOffset val="100"/>
        <c:noMultiLvlLbl val="0"/>
      </c:catAx>
      <c:valAx>
        <c:axId val="40303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044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[Master_retil.xlsm]Pivottable !PivotTable1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'Pivottable '!$B$31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'Pivottable '!$A$32:$A$37</c:f>
              <c:strCache>
                <c:ptCount val="5"/>
                <c:pt idx="0">
                  <c:v>Heller Shagamaw Frame - 2016</c:v>
                </c:pt>
                <c:pt idx="1">
                  <c:v>Ritchey Timberwolf Frameset - 2016</c:v>
                </c:pt>
                <c:pt idx="2">
                  <c:v>Surly Wednesday Frameset - 2016</c:v>
                </c:pt>
                <c:pt idx="3">
                  <c:v>Trek 820 - 2016</c:v>
                </c:pt>
                <c:pt idx="4">
                  <c:v>Trek Fuel EX 8 29 - 2016</c:v>
                </c:pt>
              </c:strCache>
            </c:strRef>
          </c:cat>
          <c:val>
            <c:numRef>
              <c:f>'Pivottable '!$B$32:$B$37</c:f>
              <c:numCache>
                <c:formatCode>General</c:formatCode>
                <c:ptCount val="5"/>
                <c:pt idx="0">
                  <c:v>381</c:v>
                </c:pt>
                <c:pt idx="1">
                  <c:v>1962</c:v>
                </c:pt>
                <c:pt idx="2">
                  <c:v>1449</c:v>
                </c:pt>
                <c:pt idx="3">
                  <c:v>2413</c:v>
                </c:pt>
                <c:pt idx="4">
                  <c:v>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A8-45F2-845B-1AA39BC7F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3048816"/>
        <c:axId val="403048336"/>
      </c:lineChart>
      <c:catAx>
        <c:axId val="403048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048336"/>
        <c:crosses val="autoZero"/>
        <c:auto val="1"/>
        <c:lblAlgn val="ctr"/>
        <c:lblOffset val="100"/>
        <c:noMultiLvlLbl val="0"/>
      </c:catAx>
      <c:valAx>
        <c:axId val="40304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048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541020</xdr:colOff>
          <xdr:row>10</xdr:row>
          <xdr:rowOff>137160</xdr:rowOff>
        </xdr:from>
        <xdr:to>
          <xdr:col>1</xdr:col>
          <xdr:colOff>1059180</xdr:colOff>
          <xdr:row>11</xdr:row>
          <xdr:rowOff>175260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12</xdr:row>
      <xdr:rowOff>133350</xdr:rowOff>
    </xdr:from>
    <xdr:to>
      <xdr:col>4</xdr:col>
      <xdr:colOff>76200</xdr:colOff>
      <xdr:row>27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FB5F601-E90E-A640-D2C3-E9B5A8C029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38</xdr:row>
      <xdr:rowOff>34290</xdr:rowOff>
    </xdr:from>
    <xdr:to>
      <xdr:col>2</xdr:col>
      <xdr:colOff>609600</xdr:colOff>
      <xdr:row>52</xdr:row>
      <xdr:rowOff>175260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4BD48D4-85BD-F959-9885-407C156156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urudh B A" refreshedDate="45791.698307870371" createdVersion="8" refreshedVersion="8" minRefreshableVersion="3" recordCount="4722" xr:uid="{E6F71B0C-87E4-493A-A800-042F831316E2}">
  <cacheSource type="worksheet">
    <worksheetSource name="order_items"/>
  </cacheSource>
  <cacheFields count="10">
    <cacheField name="order_id" numFmtId="0">
      <sharedItems containsSemiMixedTypes="0" containsString="0" containsNumber="1" containsInteger="1" minValue="1" maxValue="1615"/>
    </cacheField>
    <cacheField name="item_id" numFmtId="0">
      <sharedItems containsSemiMixedTypes="0" containsString="0" containsNumber="1" containsInteger="1" minValue="1" maxValue="5"/>
    </cacheField>
    <cacheField name="product_id" numFmtId="0">
      <sharedItems containsSemiMixedTypes="0" containsString="0" containsNumber="1" containsInteger="1" minValue="2" maxValue="315"/>
    </cacheField>
    <cacheField name="Product name" numFmtId="0">
      <sharedItems count="5">
        <s v="Trek 820 - 2016"/>
        <s v="Ritchey Timberwolf Frameset - 2016"/>
        <s v="Surly Wednesday Frameset - 2016"/>
        <s v="Trek Fuel EX 8 29 - 2016"/>
        <s v="Heller Shagamaw Frame - 2016"/>
      </sharedItems>
    </cacheField>
    <cacheField name="quantity" numFmtId="0">
      <sharedItems containsSemiMixedTypes="0" containsString="0" containsNumber="1" containsInteger="1" minValue="1" maxValue="2"/>
    </cacheField>
    <cacheField name="list_price" numFmtId="0">
      <sharedItems containsSemiMixedTypes="0" containsString="0" containsNumber="1" minValue="89.99" maxValue="11999.99"/>
    </cacheField>
    <cacheField name="discount" numFmtId="0">
      <sharedItems containsSemiMixedTypes="0" containsString="0" containsNumber="1" minValue="0.05" maxValue="0.2"/>
    </cacheField>
    <cacheField name="Total_price" numFmtId="0">
      <sharedItems containsSemiMixedTypes="0" containsString="0" containsNumber="1" minValue="5.4995000000000003" maxValue="1499.998"/>
    </cacheField>
    <cacheField name="Category ID" numFmtId="0">
      <sharedItems containsSemiMixedTypes="0" containsString="0" containsNumber="1" containsInteger="1" minValue="3" maxValue="9"/>
    </cacheField>
    <cacheField name="Brand ID" numFmtId="0">
      <sharedItems containsSemiMixedTypes="0" containsString="0" containsNumber="1" containsInteger="1" minValue="6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22">
  <r>
    <n v="1"/>
    <n v="1"/>
    <n v="20"/>
    <x v="0"/>
    <n v="1"/>
    <n v="599.99"/>
    <n v="0.2"/>
    <n v="119.998"/>
    <n v="9"/>
    <n v="6"/>
  </r>
  <r>
    <n v="1"/>
    <n v="2"/>
    <n v="8"/>
    <x v="1"/>
    <n v="2"/>
    <n v="1799.99"/>
    <n v="7.0000000000000007E-2"/>
    <n v="125.99930000000002"/>
    <n v="5"/>
    <n v="6"/>
  </r>
  <r>
    <n v="1"/>
    <n v="3"/>
    <n v="10"/>
    <x v="2"/>
    <n v="2"/>
    <n v="1549"/>
    <n v="0.05"/>
    <n v="77.45"/>
    <n v="8"/>
    <n v="6"/>
  </r>
  <r>
    <n v="1"/>
    <n v="4"/>
    <n v="16"/>
    <x v="3"/>
    <n v="2"/>
    <n v="599.99"/>
    <n v="0.05"/>
    <n v="29.999500000000001"/>
    <n v="9"/>
    <n v="6"/>
  </r>
  <r>
    <n v="1"/>
    <n v="5"/>
    <n v="4"/>
    <x v="4"/>
    <n v="1"/>
    <n v="2899.99"/>
    <n v="0.2"/>
    <n v="579.99799999999993"/>
    <n v="3"/>
    <n v="6"/>
  </r>
  <r>
    <n v="2"/>
    <n v="1"/>
    <n v="20"/>
    <x v="0"/>
    <n v="1"/>
    <n v="599.99"/>
    <n v="7.0000000000000007E-2"/>
    <n v="41.999300000000005"/>
    <n v="9"/>
    <n v="6"/>
  </r>
  <r>
    <n v="2"/>
    <n v="2"/>
    <n v="16"/>
    <x v="1"/>
    <n v="2"/>
    <n v="599.99"/>
    <n v="0.05"/>
    <n v="29.999500000000001"/>
    <n v="5"/>
    <n v="6"/>
  </r>
  <r>
    <n v="3"/>
    <n v="1"/>
    <n v="3"/>
    <x v="0"/>
    <n v="1"/>
    <n v="999.99"/>
    <n v="0.05"/>
    <n v="49.999500000000005"/>
    <n v="9"/>
    <n v="6"/>
  </r>
  <r>
    <n v="3"/>
    <n v="2"/>
    <n v="20"/>
    <x v="1"/>
    <n v="1"/>
    <n v="599.99"/>
    <n v="0.05"/>
    <n v="29.999500000000001"/>
    <n v="5"/>
    <n v="6"/>
  </r>
  <r>
    <n v="4"/>
    <n v="1"/>
    <n v="2"/>
    <x v="0"/>
    <n v="2"/>
    <n v="749.99"/>
    <n v="0.1"/>
    <n v="74.999000000000009"/>
    <n v="9"/>
    <n v="6"/>
  </r>
  <r>
    <n v="5"/>
    <n v="1"/>
    <n v="10"/>
    <x v="0"/>
    <n v="2"/>
    <n v="1549"/>
    <n v="0.05"/>
    <n v="77.45"/>
    <n v="9"/>
    <n v="6"/>
  </r>
  <r>
    <n v="5"/>
    <n v="2"/>
    <n v="17"/>
    <x v="1"/>
    <n v="1"/>
    <n v="429"/>
    <n v="7.0000000000000007E-2"/>
    <n v="30.03"/>
    <n v="5"/>
    <n v="6"/>
  </r>
  <r>
    <n v="5"/>
    <n v="3"/>
    <n v="26"/>
    <x v="2"/>
    <n v="1"/>
    <n v="599.99"/>
    <n v="7.0000000000000007E-2"/>
    <n v="41.999300000000005"/>
    <n v="8"/>
    <n v="6"/>
  </r>
  <r>
    <n v="6"/>
    <n v="1"/>
    <n v="18"/>
    <x v="0"/>
    <n v="1"/>
    <n v="449"/>
    <n v="7.0000000000000007E-2"/>
    <n v="31.430000000000003"/>
    <n v="9"/>
    <n v="6"/>
  </r>
  <r>
    <n v="6"/>
    <n v="2"/>
    <n v="12"/>
    <x v="1"/>
    <n v="2"/>
    <n v="549.99"/>
    <n v="0.05"/>
    <n v="27.499500000000001"/>
    <n v="5"/>
    <n v="6"/>
  </r>
  <r>
    <n v="6"/>
    <n v="3"/>
    <n v="20"/>
    <x v="2"/>
    <n v="1"/>
    <n v="599.99"/>
    <n v="0.1"/>
    <n v="59.999000000000002"/>
    <n v="8"/>
    <n v="6"/>
  </r>
  <r>
    <n v="6"/>
    <n v="4"/>
    <n v="3"/>
    <x v="3"/>
    <n v="2"/>
    <n v="999.99"/>
    <n v="7.0000000000000007E-2"/>
    <n v="69.999300000000005"/>
    <n v="9"/>
    <n v="6"/>
  </r>
  <r>
    <n v="6"/>
    <n v="5"/>
    <n v="9"/>
    <x v="4"/>
    <n v="2"/>
    <n v="2999.99"/>
    <n v="7.0000000000000007E-2"/>
    <n v="209.99930000000001"/>
    <n v="3"/>
    <n v="6"/>
  </r>
  <r>
    <n v="7"/>
    <n v="1"/>
    <n v="15"/>
    <x v="0"/>
    <n v="1"/>
    <n v="529.99"/>
    <n v="7.0000000000000007E-2"/>
    <n v="37.099300000000007"/>
    <n v="9"/>
    <n v="6"/>
  </r>
  <r>
    <n v="7"/>
    <n v="2"/>
    <n v="3"/>
    <x v="1"/>
    <n v="1"/>
    <n v="999.99"/>
    <n v="0.1"/>
    <n v="99.999000000000009"/>
    <n v="5"/>
    <n v="6"/>
  </r>
  <r>
    <n v="7"/>
    <n v="3"/>
    <n v="17"/>
    <x v="2"/>
    <n v="2"/>
    <n v="429"/>
    <n v="0.1"/>
    <n v="42.900000000000006"/>
    <n v="8"/>
    <n v="6"/>
  </r>
  <r>
    <n v="8"/>
    <n v="1"/>
    <n v="22"/>
    <x v="0"/>
    <n v="1"/>
    <n v="269.99"/>
    <n v="0.05"/>
    <n v="13.499500000000001"/>
    <n v="9"/>
    <n v="6"/>
  </r>
  <r>
    <n v="8"/>
    <n v="2"/>
    <n v="20"/>
    <x v="1"/>
    <n v="2"/>
    <n v="599.99"/>
    <n v="7.0000000000000007E-2"/>
    <n v="41.999300000000005"/>
    <n v="5"/>
    <n v="6"/>
  </r>
  <r>
    <n v="9"/>
    <n v="1"/>
    <n v="7"/>
    <x v="0"/>
    <n v="2"/>
    <n v="3999.99"/>
    <n v="0.1"/>
    <n v="399.99900000000002"/>
    <n v="9"/>
    <n v="6"/>
  </r>
  <r>
    <n v="10"/>
    <n v="1"/>
    <n v="14"/>
    <x v="0"/>
    <n v="1"/>
    <n v="269.99"/>
    <n v="0.1"/>
    <n v="26.999000000000002"/>
    <n v="9"/>
    <n v="6"/>
  </r>
  <r>
    <n v="11"/>
    <n v="1"/>
    <n v="8"/>
    <x v="0"/>
    <n v="1"/>
    <n v="1799.99"/>
    <n v="0.05"/>
    <n v="89.999500000000012"/>
    <n v="9"/>
    <n v="6"/>
  </r>
  <r>
    <n v="11"/>
    <n v="2"/>
    <n v="22"/>
    <x v="1"/>
    <n v="2"/>
    <n v="269.99"/>
    <n v="0.1"/>
    <n v="26.999000000000002"/>
    <n v="5"/>
    <n v="6"/>
  </r>
  <r>
    <n v="11"/>
    <n v="3"/>
    <n v="16"/>
    <x v="2"/>
    <n v="2"/>
    <n v="599.99"/>
    <n v="0.2"/>
    <n v="119.998"/>
    <n v="8"/>
    <n v="6"/>
  </r>
  <r>
    <n v="12"/>
    <n v="1"/>
    <n v="4"/>
    <x v="0"/>
    <n v="2"/>
    <n v="2899.99"/>
    <n v="0.1"/>
    <n v="289.99899999999997"/>
    <n v="9"/>
    <n v="6"/>
  </r>
  <r>
    <n v="12"/>
    <n v="2"/>
    <n v="11"/>
    <x v="1"/>
    <n v="1"/>
    <n v="1680.99"/>
    <n v="0.05"/>
    <n v="84.049500000000009"/>
    <n v="5"/>
    <n v="6"/>
  </r>
  <r>
    <n v="13"/>
    <n v="1"/>
    <n v="13"/>
    <x v="0"/>
    <n v="1"/>
    <n v="269.99"/>
    <n v="0.1"/>
    <n v="26.999000000000002"/>
    <n v="9"/>
    <n v="6"/>
  </r>
  <r>
    <n v="13"/>
    <n v="2"/>
    <n v="17"/>
    <x v="1"/>
    <n v="2"/>
    <n v="429"/>
    <n v="0.05"/>
    <n v="21.450000000000003"/>
    <n v="5"/>
    <n v="6"/>
  </r>
  <r>
    <n v="13"/>
    <n v="3"/>
    <n v="20"/>
    <x v="2"/>
    <n v="2"/>
    <n v="599.99"/>
    <n v="0.1"/>
    <n v="59.999000000000002"/>
    <n v="8"/>
    <n v="6"/>
  </r>
  <r>
    <n v="13"/>
    <n v="4"/>
    <n v="16"/>
    <x v="3"/>
    <n v="2"/>
    <n v="599.99"/>
    <n v="0.05"/>
    <n v="29.999500000000001"/>
    <n v="9"/>
    <n v="6"/>
  </r>
  <r>
    <n v="14"/>
    <n v="1"/>
    <n v="6"/>
    <x v="0"/>
    <n v="1"/>
    <n v="469.99"/>
    <n v="7.0000000000000007E-2"/>
    <n v="32.899300000000004"/>
    <n v="9"/>
    <n v="6"/>
  </r>
  <r>
    <n v="15"/>
    <n v="1"/>
    <n v="12"/>
    <x v="0"/>
    <n v="2"/>
    <n v="549.99"/>
    <n v="7.0000000000000007E-2"/>
    <n v="38.499300000000005"/>
    <n v="9"/>
    <n v="6"/>
  </r>
  <r>
    <n v="15"/>
    <n v="2"/>
    <n v="8"/>
    <x v="1"/>
    <n v="1"/>
    <n v="1799.99"/>
    <n v="7.0000000000000007E-2"/>
    <n v="125.99930000000002"/>
    <n v="5"/>
    <n v="6"/>
  </r>
  <r>
    <n v="15"/>
    <n v="3"/>
    <n v="18"/>
    <x v="2"/>
    <n v="2"/>
    <n v="449"/>
    <n v="0.05"/>
    <n v="22.450000000000003"/>
    <n v="8"/>
    <n v="6"/>
  </r>
  <r>
    <n v="15"/>
    <n v="4"/>
    <n v="23"/>
    <x v="3"/>
    <n v="2"/>
    <n v="299.99"/>
    <n v="0.2"/>
    <n v="59.998000000000005"/>
    <n v="9"/>
    <n v="6"/>
  </r>
  <r>
    <n v="16"/>
    <n v="1"/>
    <n v="8"/>
    <x v="0"/>
    <n v="1"/>
    <n v="1799.99"/>
    <n v="0.2"/>
    <n v="359.99800000000005"/>
    <n v="9"/>
    <n v="6"/>
  </r>
  <r>
    <n v="16"/>
    <n v="2"/>
    <n v="21"/>
    <x v="1"/>
    <n v="1"/>
    <n v="269.99"/>
    <n v="0.05"/>
    <n v="13.499500000000001"/>
    <n v="5"/>
    <n v="6"/>
  </r>
  <r>
    <n v="16"/>
    <n v="3"/>
    <n v="13"/>
    <x v="2"/>
    <n v="2"/>
    <n v="269.99"/>
    <n v="7.0000000000000007E-2"/>
    <n v="18.899300000000004"/>
    <n v="8"/>
    <n v="6"/>
  </r>
  <r>
    <n v="16"/>
    <n v="4"/>
    <n v="14"/>
    <x v="3"/>
    <n v="1"/>
    <n v="269.99"/>
    <n v="7.0000000000000007E-2"/>
    <n v="18.899300000000004"/>
    <n v="9"/>
    <n v="6"/>
  </r>
  <r>
    <n v="17"/>
    <n v="1"/>
    <n v="8"/>
    <x v="0"/>
    <n v="1"/>
    <n v="1799.99"/>
    <n v="7.0000000000000007E-2"/>
    <n v="125.99930000000002"/>
    <n v="9"/>
    <n v="6"/>
  </r>
  <r>
    <n v="17"/>
    <n v="2"/>
    <n v="23"/>
    <x v="1"/>
    <n v="1"/>
    <n v="299.99"/>
    <n v="0.1"/>
    <n v="29.999000000000002"/>
    <n v="5"/>
    <n v="6"/>
  </r>
  <r>
    <n v="17"/>
    <n v="3"/>
    <n v="5"/>
    <x v="2"/>
    <n v="1"/>
    <n v="1320.99"/>
    <n v="0.1"/>
    <n v="132.09900000000002"/>
    <n v="8"/>
    <n v="6"/>
  </r>
  <r>
    <n v="17"/>
    <n v="4"/>
    <n v="20"/>
    <x v="3"/>
    <n v="2"/>
    <n v="599.99"/>
    <n v="0.2"/>
    <n v="119.998"/>
    <n v="9"/>
    <n v="6"/>
  </r>
  <r>
    <n v="18"/>
    <n v="1"/>
    <n v="2"/>
    <x v="0"/>
    <n v="2"/>
    <n v="749.99"/>
    <n v="0.2"/>
    <n v="149.99800000000002"/>
    <n v="9"/>
    <n v="6"/>
  </r>
  <r>
    <n v="18"/>
    <n v="2"/>
    <n v="22"/>
    <x v="1"/>
    <n v="1"/>
    <n v="269.99"/>
    <n v="0.05"/>
    <n v="13.499500000000001"/>
    <n v="5"/>
    <n v="6"/>
  </r>
  <r>
    <n v="18"/>
    <n v="3"/>
    <n v="7"/>
    <x v="2"/>
    <n v="1"/>
    <n v="3999.99"/>
    <n v="0.1"/>
    <n v="399.99900000000002"/>
    <n v="8"/>
    <n v="6"/>
  </r>
  <r>
    <n v="18"/>
    <n v="4"/>
    <n v="25"/>
    <x v="3"/>
    <n v="2"/>
    <n v="499.99"/>
    <n v="0.05"/>
    <n v="24.999500000000001"/>
    <n v="9"/>
    <n v="6"/>
  </r>
  <r>
    <n v="18"/>
    <n v="5"/>
    <n v="9"/>
    <x v="4"/>
    <n v="2"/>
    <n v="2999.99"/>
    <n v="0.1"/>
    <n v="299.99899999999997"/>
    <n v="3"/>
    <n v="6"/>
  </r>
  <r>
    <n v="19"/>
    <n v="1"/>
    <n v="10"/>
    <x v="0"/>
    <n v="1"/>
    <n v="1549"/>
    <n v="7.0000000000000007E-2"/>
    <n v="108.43"/>
    <n v="9"/>
    <n v="6"/>
  </r>
  <r>
    <n v="19"/>
    <n v="2"/>
    <n v="9"/>
    <x v="1"/>
    <n v="2"/>
    <n v="2999.99"/>
    <n v="0.2"/>
    <n v="599.99799999999993"/>
    <n v="5"/>
    <n v="6"/>
  </r>
  <r>
    <n v="20"/>
    <n v="1"/>
    <n v="9"/>
    <x v="0"/>
    <n v="1"/>
    <n v="2999.99"/>
    <n v="7.0000000000000007E-2"/>
    <n v="209.99930000000001"/>
    <n v="9"/>
    <n v="6"/>
  </r>
  <r>
    <n v="20"/>
    <n v="2"/>
    <n v="10"/>
    <x v="1"/>
    <n v="2"/>
    <n v="1549"/>
    <n v="7.0000000000000007E-2"/>
    <n v="108.43"/>
    <n v="5"/>
    <n v="6"/>
  </r>
  <r>
    <n v="21"/>
    <n v="1"/>
    <n v="14"/>
    <x v="0"/>
    <n v="1"/>
    <n v="269.99"/>
    <n v="0.05"/>
    <n v="13.499500000000001"/>
    <n v="9"/>
    <n v="6"/>
  </r>
  <r>
    <n v="21"/>
    <n v="2"/>
    <n v="17"/>
    <x v="1"/>
    <n v="1"/>
    <n v="429"/>
    <n v="0.1"/>
    <n v="42.900000000000006"/>
    <n v="5"/>
    <n v="6"/>
  </r>
  <r>
    <n v="21"/>
    <n v="3"/>
    <n v="10"/>
    <x v="2"/>
    <n v="1"/>
    <n v="1549"/>
    <n v="7.0000000000000007E-2"/>
    <n v="108.43"/>
    <n v="8"/>
    <n v="6"/>
  </r>
  <r>
    <n v="22"/>
    <n v="1"/>
    <n v="15"/>
    <x v="0"/>
    <n v="2"/>
    <n v="529.99"/>
    <n v="0.2"/>
    <n v="105.998"/>
    <n v="9"/>
    <n v="6"/>
  </r>
  <r>
    <n v="22"/>
    <n v="2"/>
    <n v="22"/>
    <x v="1"/>
    <n v="1"/>
    <n v="269.99"/>
    <n v="0.05"/>
    <n v="13.499500000000001"/>
    <n v="5"/>
    <n v="6"/>
  </r>
  <r>
    <n v="23"/>
    <n v="1"/>
    <n v="4"/>
    <x v="0"/>
    <n v="2"/>
    <n v="2899.99"/>
    <n v="0.05"/>
    <n v="144.99949999999998"/>
    <n v="9"/>
    <n v="6"/>
  </r>
  <r>
    <n v="23"/>
    <n v="2"/>
    <n v="23"/>
    <x v="1"/>
    <n v="2"/>
    <n v="299.99"/>
    <n v="0.1"/>
    <n v="29.999000000000002"/>
    <n v="5"/>
    <n v="6"/>
  </r>
  <r>
    <n v="23"/>
    <n v="3"/>
    <n v="13"/>
    <x v="2"/>
    <n v="1"/>
    <n v="269.99"/>
    <n v="0.2"/>
    <n v="53.998000000000005"/>
    <n v="8"/>
    <n v="6"/>
  </r>
  <r>
    <n v="24"/>
    <n v="1"/>
    <n v="3"/>
    <x v="0"/>
    <n v="2"/>
    <n v="999.99"/>
    <n v="0.1"/>
    <n v="99.999000000000009"/>
    <n v="9"/>
    <n v="6"/>
  </r>
  <r>
    <n v="24"/>
    <n v="2"/>
    <n v="18"/>
    <x v="1"/>
    <n v="2"/>
    <n v="449"/>
    <n v="7.0000000000000007E-2"/>
    <n v="31.430000000000003"/>
    <n v="5"/>
    <n v="6"/>
  </r>
  <r>
    <n v="25"/>
    <n v="1"/>
    <n v="23"/>
    <x v="0"/>
    <n v="2"/>
    <n v="299.99"/>
    <n v="0.2"/>
    <n v="59.998000000000005"/>
    <n v="9"/>
    <n v="6"/>
  </r>
  <r>
    <n v="25"/>
    <n v="2"/>
    <n v="10"/>
    <x v="1"/>
    <n v="2"/>
    <n v="1549"/>
    <n v="0.2"/>
    <n v="309.8"/>
    <n v="5"/>
    <n v="6"/>
  </r>
  <r>
    <n v="25"/>
    <n v="3"/>
    <n v="22"/>
    <x v="2"/>
    <n v="1"/>
    <n v="269.99"/>
    <n v="0.2"/>
    <n v="53.998000000000005"/>
    <n v="8"/>
    <n v="6"/>
  </r>
  <r>
    <n v="25"/>
    <n v="4"/>
    <n v="14"/>
    <x v="3"/>
    <n v="1"/>
    <n v="269.99"/>
    <n v="0.2"/>
    <n v="53.998000000000005"/>
    <n v="9"/>
    <n v="6"/>
  </r>
  <r>
    <n v="25"/>
    <n v="5"/>
    <n v="21"/>
    <x v="4"/>
    <n v="1"/>
    <n v="269.99"/>
    <n v="0.1"/>
    <n v="26.999000000000002"/>
    <n v="3"/>
    <n v="6"/>
  </r>
  <r>
    <n v="26"/>
    <n v="1"/>
    <n v="7"/>
    <x v="0"/>
    <n v="1"/>
    <n v="3999.99"/>
    <n v="0.05"/>
    <n v="199.99950000000001"/>
    <n v="9"/>
    <n v="6"/>
  </r>
  <r>
    <n v="26"/>
    <n v="2"/>
    <n v="2"/>
    <x v="1"/>
    <n v="1"/>
    <n v="749.99"/>
    <n v="0.2"/>
    <n v="149.99800000000002"/>
    <n v="5"/>
    <n v="6"/>
  </r>
  <r>
    <n v="26"/>
    <n v="3"/>
    <n v="12"/>
    <x v="2"/>
    <n v="1"/>
    <n v="549.99"/>
    <n v="0.2"/>
    <n v="109.998"/>
    <n v="8"/>
    <n v="6"/>
  </r>
  <r>
    <n v="26"/>
    <n v="4"/>
    <n v="21"/>
    <x v="3"/>
    <n v="2"/>
    <n v="269.99"/>
    <n v="7.0000000000000007E-2"/>
    <n v="18.899300000000004"/>
    <n v="9"/>
    <n v="6"/>
  </r>
  <r>
    <n v="27"/>
    <n v="1"/>
    <n v="5"/>
    <x v="0"/>
    <n v="1"/>
    <n v="1320.99"/>
    <n v="0.2"/>
    <n v="264.19800000000004"/>
    <n v="9"/>
    <n v="6"/>
  </r>
  <r>
    <n v="27"/>
    <n v="2"/>
    <n v="19"/>
    <x v="1"/>
    <n v="1"/>
    <n v="449"/>
    <n v="0.2"/>
    <n v="89.800000000000011"/>
    <n v="5"/>
    <n v="6"/>
  </r>
  <r>
    <n v="27"/>
    <n v="3"/>
    <n v="26"/>
    <x v="2"/>
    <n v="2"/>
    <n v="599.99"/>
    <n v="7.0000000000000007E-2"/>
    <n v="41.999300000000005"/>
    <n v="8"/>
    <n v="6"/>
  </r>
  <r>
    <n v="27"/>
    <n v="4"/>
    <n v="8"/>
    <x v="3"/>
    <n v="1"/>
    <n v="1799.99"/>
    <n v="7.0000000000000007E-2"/>
    <n v="125.99930000000002"/>
    <n v="9"/>
    <n v="6"/>
  </r>
  <r>
    <n v="28"/>
    <n v="1"/>
    <n v="5"/>
    <x v="0"/>
    <n v="1"/>
    <n v="1320.99"/>
    <n v="0.05"/>
    <n v="66.049500000000009"/>
    <n v="9"/>
    <n v="6"/>
  </r>
  <r>
    <n v="28"/>
    <n v="2"/>
    <n v="7"/>
    <x v="1"/>
    <n v="2"/>
    <n v="3999.99"/>
    <n v="0.2"/>
    <n v="799.99800000000005"/>
    <n v="5"/>
    <n v="6"/>
  </r>
  <r>
    <n v="28"/>
    <n v="3"/>
    <n v="14"/>
    <x v="2"/>
    <n v="2"/>
    <n v="269.99"/>
    <n v="0.1"/>
    <n v="26.999000000000002"/>
    <n v="8"/>
    <n v="6"/>
  </r>
  <r>
    <n v="28"/>
    <n v="4"/>
    <n v="6"/>
    <x v="3"/>
    <n v="1"/>
    <n v="469.99"/>
    <n v="0.05"/>
    <n v="23.499500000000001"/>
    <n v="9"/>
    <n v="6"/>
  </r>
  <r>
    <n v="29"/>
    <n v="1"/>
    <n v="24"/>
    <x v="0"/>
    <n v="2"/>
    <n v="549.99"/>
    <n v="0.05"/>
    <n v="27.499500000000001"/>
    <n v="9"/>
    <n v="6"/>
  </r>
  <r>
    <n v="29"/>
    <n v="2"/>
    <n v="6"/>
    <x v="1"/>
    <n v="1"/>
    <n v="469.99"/>
    <n v="0.2"/>
    <n v="93.998000000000005"/>
    <n v="5"/>
    <n v="6"/>
  </r>
  <r>
    <n v="29"/>
    <n v="3"/>
    <n v="21"/>
    <x v="2"/>
    <n v="2"/>
    <n v="269.99"/>
    <n v="0.1"/>
    <n v="26.999000000000002"/>
    <n v="8"/>
    <n v="6"/>
  </r>
  <r>
    <n v="29"/>
    <n v="4"/>
    <n v="8"/>
    <x v="3"/>
    <n v="1"/>
    <n v="1799.99"/>
    <n v="0.2"/>
    <n v="359.99800000000005"/>
    <n v="9"/>
    <n v="6"/>
  </r>
  <r>
    <n v="29"/>
    <n v="5"/>
    <n v="14"/>
    <x v="4"/>
    <n v="2"/>
    <n v="269.99"/>
    <n v="0.05"/>
    <n v="13.499500000000001"/>
    <n v="3"/>
    <n v="6"/>
  </r>
  <r>
    <n v="30"/>
    <n v="1"/>
    <n v="26"/>
    <x v="0"/>
    <n v="1"/>
    <n v="599.99"/>
    <n v="0.05"/>
    <n v="29.999500000000001"/>
    <n v="9"/>
    <n v="6"/>
  </r>
  <r>
    <n v="30"/>
    <n v="2"/>
    <n v="17"/>
    <x v="1"/>
    <n v="1"/>
    <n v="429"/>
    <n v="7.0000000000000007E-2"/>
    <n v="30.03"/>
    <n v="5"/>
    <n v="6"/>
  </r>
  <r>
    <n v="30"/>
    <n v="3"/>
    <n v="19"/>
    <x v="2"/>
    <n v="1"/>
    <n v="449"/>
    <n v="0.1"/>
    <n v="44.900000000000006"/>
    <n v="8"/>
    <n v="6"/>
  </r>
  <r>
    <n v="30"/>
    <n v="4"/>
    <n v="4"/>
    <x v="3"/>
    <n v="1"/>
    <n v="2899.99"/>
    <n v="0.1"/>
    <n v="289.99899999999997"/>
    <n v="9"/>
    <n v="6"/>
  </r>
  <r>
    <n v="30"/>
    <n v="5"/>
    <n v="7"/>
    <x v="4"/>
    <n v="2"/>
    <n v="3999.99"/>
    <n v="0.1"/>
    <n v="399.99900000000002"/>
    <n v="3"/>
    <n v="6"/>
  </r>
  <r>
    <n v="31"/>
    <n v="1"/>
    <n v="11"/>
    <x v="0"/>
    <n v="2"/>
    <n v="1680.99"/>
    <n v="0.05"/>
    <n v="84.049500000000009"/>
    <n v="9"/>
    <n v="6"/>
  </r>
  <r>
    <n v="31"/>
    <n v="2"/>
    <n v="9"/>
    <x v="1"/>
    <n v="2"/>
    <n v="2999.99"/>
    <n v="0.2"/>
    <n v="599.99799999999993"/>
    <n v="5"/>
    <n v="6"/>
  </r>
  <r>
    <n v="32"/>
    <n v="1"/>
    <n v="8"/>
    <x v="0"/>
    <n v="2"/>
    <n v="1799.99"/>
    <n v="7.0000000000000007E-2"/>
    <n v="125.99930000000002"/>
    <n v="9"/>
    <n v="6"/>
  </r>
  <r>
    <n v="32"/>
    <n v="2"/>
    <n v="12"/>
    <x v="1"/>
    <n v="2"/>
    <n v="549.99"/>
    <n v="7.0000000000000007E-2"/>
    <n v="38.499300000000005"/>
    <n v="5"/>
    <n v="6"/>
  </r>
  <r>
    <n v="32"/>
    <n v="3"/>
    <n v="25"/>
    <x v="2"/>
    <n v="2"/>
    <n v="499.99"/>
    <n v="0.1"/>
    <n v="49.999000000000002"/>
    <n v="8"/>
    <n v="6"/>
  </r>
  <r>
    <n v="33"/>
    <n v="1"/>
    <n v="23"/>
    <x v="0"/>
    <n v="2"/>
    <n v="299.99"/>
    <n v="7.0000000000000007E-2"/>
    <n v="20.999300000000002"/>
    <n v="9"/>
    <n v="6"/>
  </r>
  <r>
    <n v="33"/>
    <n v="2"/>
    <n v="7"/>
    <x v="1"/>
    <n v="1"/>
    <n v="3999.99"/>
    <n v="0.1"/>
    <n v="399.99900000000002"/>
    <n v="5"/>
    <n v="6"/>
  </r>
  <r>
    <n v="34"/>
    <n v="1"/>
    <n v="8"/>
    <x v="0"/>
    <n v="2"/>
    <n v="1799.99"/>
    <n v="7.0000000000000007E-2"/>
    <n v="125.99930000000002"/>
    <n v="9"/>
    <n v="6"/>
  </r>
  <r>
    <n v="34"/>
    <n v="2"/>
    <n v="10"/>
    <x v="1"/>
    <n v="2"/>
    <n v="1549"/>
    <n v="0.1"/>
    <n v="154.9"/>
    <n v="5"/>
    <n v="6"/>
  </r>
  <r>
    <n v="34"/>
    <n v="3"/>
    <n v="17"/>
    <x v="2"/>
    <n v="2"/>
    <n v="429"/>
    <n v="0.2"/>
    <n v="85.800000000000011"/>
    <n v="8"/>
    <n v="6"/>
  </r>
  <r>
    <n v="35"/>
    <n v="1"/>
    <n v="18"/>
    <x v="0"/>
    <n v="1"/>
    <n v="449"/>
    <n v="0.05"/>
    <n v="22.450000000000003"/>
    <n v="9"/>
    <n v="6"/>
  </r>
  <r>
    <n v="35"/>
    <n v="2"/>
    <n v="20"/>
    <x v="1"/>
    <n v="2"/>
    <n v="599.99"/>
    <n v="0.05"/>
    <n v="29.999500000000001"/>
    <n v="5"/>
    <n v="6"/>
  </r>
  <r>
    <n v="35"/>
    <n v="3"/>
    <n v="5"/>
    <x v="2"/>
    <n v="1"/>
    <n v="1320.99"/>
    <n v="0.2"/>
    <n v="264.19800000000004"/>
    <n v="8"/>
    <n v="6"/>
  </r>
  <r>
    <n v="35"/>
    <n v="4"/>
    <n v="21"/>
    <x v="3"/>
    <n v="2"/>
    <n v="269.99"/>
    <n v="7.0000000000000007E-2"/>
    <n v="18.899300000000004"/>
    <n v="9"/>
    <n v="6"/>
  </r>
  <r>
    <n v="35"/>
    <n v="5"/>
    <n v="22"/>
    <x v="4"/>
    <n v="1"/>
    <n v="269.99"/>
    <n v="7.0000000000000007E-2"/>
    <n v="18.899300000000004"/>
    <n v="3"/>
    <n v="6"/>
  </r>
  <r>
    <n v="36"/>
    <n v="1"/>
    <n v="9"/>
    <x v="0"/>
    <n v="1"/>
    <n v="2999.99"/>
    <n v="7.0000000000000007E-2"/>
    <n v="209.99930000000001"/>
    <n v="9"/>
    <n v="6"/>
  </r>
  <r>
    <n v="36"/>
    <n v="2"/>
    <n v="5"/>
    <x v="1"/>
    <n v="1"/>
    <n v="1320.99"/>
    <n v="0.05"/>
    <n v="66.049500000000009"/>
    <n v="5"/>
    <n v="6"/>
  </r>
  <r>
    <n v="36"/>
    <n v="3"/>
    <n v="3"/>
    <x v="2"/>
    <n v="2"/>
    <n v="999.99"/>
    <n v="0.2"/>
    <n v="199.99800000000002"/>
    <n v="8"/>
    <n v="6"/>
  </r>
  <r>
    <n v="37"/>
    <n v="1"/>
    <n v="16"/>
    <x v="0"/>
    <n v="2"/>
    <n v="599.99"/>
    <n v="0.05"/>
    <n v="29.999500000000001"/>
    <n v="9"/>
    <n v="6"/>
  </r>
  <r>
    <n v="38"/>
    <n v="1"/>
    <n v="7"/>
    <x v="0"/>
    <n v="2"/>
    <n v="3999.99"/>
    <n v="0.05"/>
    <n v="199.99950000000001"/>
    <n v="9"/>
    <n v="6"/>
  </r>
  <r>
    <n v="38"/>
    <n v="2"/>
    <n v="23"/>
    <x v="1"/>
    <n v="1"/>
    <n v="299.99"/>
    <n v="7.0000000000000007E-2"/>
    <n v="20.999300000000002"/>
    <n v="5"/>
    <n v="6"/>
  </r>
  <r>
    <n v="38"/>
    <n v="3"/>
    <n v="25"/>
    <x v="2"/>
    <n v="1"/>
    <n v="499.99"/>
    <n v="0.2"/>
    <n v="99.998000000000005"/>
    <n v="8"/>
    <n v="6"/>
  </r>
  <r>
    <n v="38"/>
    <n v="4"/>
    <n v="10"/>
    <x v="3"/>
    <n v="2"/>
    <n v="1549"/>
    <n v="0.1"/>
    <n v="154.9"/>
    <n v="9"/>
    <n v="6"/>
  </r>
  <r>
    <n v="38"/>
    <n v="5"/>
    <n v="24"/>
    <x v="4"/>
    <n v="1"/>
    <n v="549.99"/>
    <n v="7.0000000000000007E-2"/>
    <n v="38.499300000000005"/>
    <n v="3"/>
    <n v="6"/>
  </r>
  <r>
    <n v="39"/>
    <n v="1"/>
    <n v="22"/>
    <x v="0"/>
    <n v="2"/>
    <n v="269.99"/>
    <n v="0.2"/>
    <n v="53.998000000000005"/>
    <n v="9"/>
    <n v="6"/>
  </r>
  <r>
    <n v="39"/>
    <n v="2"/>
    <n v="16"/>
    <x v="1"/>
    <n v="2"/>
    <n v="599.99"/>
    <n v="0.2"/>
    <n v="119.998"/>
    <n v="5"/>
    <n v="6"/>
  </r>
  <r>
    <n v="39"/>
    <n v="3"/>
    <n v="3"/>
    <x v="2"/>
    <n v="2"/>
    <n v="999.99"/>
    <n v="0.05"/>
    <n v="49.999500000000005"/>
    <n v="8"/>
    <n v="6"/>
  </r>
  <r>
    <n v="39"/>
    <n v="4"/>
    <n v="15"/>
    <x v="3"/>
    <n v="1"/>
    <n v="529.99"/>
    <n v="0.1"/>
    <n v="52.999000000000002"/>
    <n v="9"/>
    <n v="6"/>
  </r>
  <r>
    <n v="40"/>
    <n v="1"/>
    <n v="17"/>
    <x v="0"/>
    <n v="1"/>
    <n v="429"/>
    <n v="0.2"/>
    <n v="85.800000000000011"/>
    <n v="9"/>
    <n v="6"/>
  </r>
  <r>
    <n v="40"/>
    <n v="2"/>
    <n v="8"/>
    <x v="1"/>
    <n v="2"/>
    <n v="1799.99"/>
    <n v="0.2"/>
    <n v="359.99800000000005"/>
    <n v="5"/>
    <n v="6"/>
  </r>
  <r>
    <n v="41"/>
    <n v="1"/>
    <n v="5"/>
    <x v="0"/>
    <n v="1"/>
    <n v="1320.99"/>
    <n v="0.1"/>
    <n v="132.09900000000002"/>
    <n v="9"/>
    <n v="6"/>
  </r>
  <r>
    <n v="41"/>
    <n v="2"/>
    <n v="19"/>
    <x v="1"/>
    <n v="2"/>
    <n v="449"/>
    <n v="0.2"/>
    <n v="89.800000000000011"/>
    <n v="5"/>
    <n v="6"/>
  </r>
  <r>
    <n v="41"/>
    <n v="3"/>
    <n v="26"/>
    <x v="2"/>
    <n v="2"/>
    <n v="599.99"/>
    <n v="0.2"/>
    <n v="119.998"/>
    <n v="8"/>
    <n v="6"/>
  </r>
  <r>
    <n v="42"/>
    <n v="1"/>
    <n v="19"/>
    <x v="0"/>
    <n v="1"/>
    <n v="449"/>
    <n v="0.05"/>
    <n v="22.450000000000003"/>
    <n v="9"/>
    <n v="6"/>
  </r>
  <r>
    <n v="43"/>
    <n v="1"/>
    <n v="13"/>
    <x v="0"/>
    <n v="2"/>
    <n v="269.99"/>
    <n v="0.1"/>
    <n v="26.999000000000002"/>
    <n v="9"/>
    <n v="6"/>
  </r>
  <r>
    <n v="43"/>
    <n v="2"/>
    <n v="12"/>
    <x v="1"/>
    <n v="2"/>
    <n v="549.99"/>
    <n v="0.05"/>
    <n v="27.499500000000001"/>
    <n v="5"/>
    <n v="6"/>
  </r>
  <r>
    <n v="44"/>
    <n v="1"/>
    <n v="7"/>
    <x v="0"/>
    <n v="1"/>
    <n v="3999.99"/>
    <n v="0.1"/>
    <n v="399.99900000000002"/>
    <n v="9"/>
    <n v="6"/>
  </r>
  <r>
    <n v="44"/>
    <n v="2"/>
    <n v="16"/>
    <x v="1"/>
    <n v="1"/>
    <n v="599.99"/>
    <n v="0.05"/>
    <n v="29.999500000000001"/>
    <n v="5"/>
    <n v="6"/>
  </r>
  <r>
    <n v="45"/>
    <n v="1"/>
    <n v="4"/>
    <x v="0"/>
    <n v="2"/>
    <n v="2899.99"/>
    <n v="0.2"/>
    <n v="579.99799999999993"/>
    <n v="9"/>
    <n v="6"/>
  </r>
  <r>
    <n v="45"/>
    <n v="2"/>
    <n v="22"/>
    <x v="1"/>
    <n v="1"/>
    <n v="269.99"/>
    <n v="7.0000000000000007E-2"/>
    <n v="18.899300000000004"/>
    <n v="5"/>
    <n v="6"/>
  </r>
  <r>
    <n v="45"/>
    <n v="3"/>
    <n v="21"/>
    <x v="2"/>
    <n v="2"/>
    <n v="269.99"/>
    <n v="0.05"/>
    <n v="13.499500000000001"/>
    <n v="8"/>
    <n v="6"/>
  </r>
  <r>
    <n v="46"/>
    <n v="1"/>
    <n v="17"/>
    <x v="0"/>
    <n v="1"/>
    <n v="429"/>
    <n v="0.1"/>
    <n v="42.900000000000006"/>
    <n v="9"/>
    <n v="6"/>
  </r>
  <r>
    <n v="47"/>
    <n v="1"/>
    <n v="6"/>
    <x v="0"/>
    <n v="1"/>
    <n v="469.99"/>
    <n v="0.05"/>
    <n v="23.499500000000001"/>
    <n v="9"/>
    <n v="6"/>
  </r>
  <r>
    <n v="47"/>
    <n v="2"/>
    <n v="15"/>
    <x v="1"/>
    <n v="1"/>
    <n v="529.99"/>
    <n v="0.1"/>
    <n v="52.999000000000002"/>
    <n v="5"/>
    <n v="6"/>
  </r>
  <r>
    <n v="47"/>
    <n v="3"/>
    <n v="25"/>
    <x v="2"/>
    <n v="2"/>
    <n v="499.99"/>
    <n v="7.0000000000000007E-2"/>
    <n v="34.999300000000005"/>
    <n v="8"/>
    <n v="6"/>
  </r>
  <r>
    <n v="47"/>
    <n v="4"/>
    <n v="13"/>
    <x v="3"/>
    <n v="1"/>
    <n v="269.99"/>
    <n v="0.2"/>
    <n v="53.998000000000005"/>
    <n v="9"/>
    <n v="6"/>
  </r>
  <r>
    <n v="48"/>
    <n v="1"/>
    <n v="11"/>
    <x v="0"/>
    <n v="1"/>
    <n v="1680.99"/>
    <n v="0.1"/>
    <n v="168.09900000000002"/>
    <n v="9"/>
    <n v="6"/>
  </r>
  <r>
    <n v="48"/>
    <n v="2"/>
    <n v="4"/>
    <x v="1"/>
    <n v="1"/>
    <n v="2899.99"/>
    <n v="0.2"/>
    <n v="579.99799999999993"/>
    <n v="5"/>
    <n v="6"/>
  </r>
  <r>
    <n v="48"/>
    <n v="3"/>
    <n v="5"/>
    <x v="2"/>
    <n v="2"/>
    <n v="1320.99"/>
    <n v="0.1"/>
    <n v="132.09900000000002"/>
    <n v="8"/>
    <n v="6"/>
  </r>
  <r>
    <n v="48"/>
    <n v="4"/>
    <n v="14"/>
    <x v="3"/>
    <n v="2"/>
    <n v="269.99"/>
    <n v="7.0000000000000007E-2"/>
    <n v="18.899300000000004"/>
    <n v="9"/>
    <n v="6"/>
  </r>
  <r>
    <n v="49"/>
    <n v="1"/>
    <n v="13"/>
    <x v="0"/>
    <n v="2"/>
    <n v="269.99"/>
    <n v="7.0000000000000007E-2"/>
    <n v="18.899300000000004"/>
    <n v="9"/>
    <n v="6"/>
  </r>
  <r>
    <n v="50"/>
    <n v="1"/>
    <n v="3"/>
    <x v="0"/>
    <n v="1"/>
    <n v="999.99"/>
    <n v="0.05"/>
    <n v="49.999500000000005"/>
    <n v="9"/>
    <n v="6"/>
  </r>
  <r>
    <n v="50"/>
    <n v="2"/>
    <n v="26"/>
    <x v="1"/>
    <n v="2"/>
    <n v="599.99"/>
    <n v="7.0000000000000007E-2"/>
    <n v="41.999300000000005"/>
    <n v="5"/>
    <n v="6"/>
  </r>
  <r>
    <n v="50"/>
    <n v="3"/>
    <n v="13"/>
    <x v="2"/>
    <n v="2"/>
    <n v="269.99"/>
    <n v="0.2"/>
    <n v="53.998000000000005"/>
    <n v="8"/>
    <n v="6"/>
  </r>
  <r>
    <n v="51"/>
    <n v="1"/>
    <n v="13"/>
    <x v="0"/>
    <n v="1"/>
    <n v="269.99"/>
    <n v="0.05"/>
    <n v="13.499500000000001"/>
    <n v="9"/>
    <n v="6"/>
  </r>
  <r>
    <n v="51"/>
    <n v="2"/>
    <n v="20"/>
    <x v="1"/>
    <n v="1"/>
    <n v="599.99"/>
    <n v="0.05"/>
    <n v="29.999500000000001"/>
    <n v="5"/>
    <n v="6"/>
  </r>
  <r>
    <n v="51"/>
    <n v="3"/>
    <n v="26"/>
    <x v="2"/>
    <n v="2"/>
    <n v="599.99"/>
    <n v="0.2"/>
    <n v="119.998"/>
    <n v="8"/>
    <n v="6"/>
  </r>
  <r>
    <n v="52"/>
    <n v="1"/>
    <n v="25"/>
    <x v="0"/>
    <n v="1"/>
    <n v="499.99"/>
    <n v="7.0000000000000007E-2"/>
    <n v="34.999300000000005"/>
    <n v="9"/>
    <n v="6"/>
  </r>
  <r>
    <n v="53"/>
    <n v="1"/>
    <n v="8"/>
    <x v="0"/>
    <n v="2"/>
    <n v="1799.99"/>
    <n v="0.2"/>
    <n v="359.99800000000005"/>
    <n v="9"/>
    <n v="6"/>
  </r>
  <r>
    <n v="53"/>
    <n v="2"/>
    <n v="23"/>
    <x v="1"/>
    <n v="2"/>
    <n v="299.99"/>
    <n v="0.05"/>
    <n v="14.999500000000001"/>
    <n v="5"/>
    <n v="6"/>
  </r>
  <r>
    <n v="53"/>
    <n v="3"/>
    <n v="14"/>
    <x v="2"/>
    <n v="2"/>
    <n v="269.99"/>
    <n v="0.2"/>
    <n v="53.998000000000005"/>
    <n v="8"/>
    <n v="6"/>
  </r>
  <r>
    <n v="53"/>
    <n v="4"/>
    <n v="25"/>
    <x v="3"/>
    <n v="2"/>
    <n v="499.99"/>
    <n v="0.1"/>
    <n v="49.999000000000002"/>
    <n v="9"/>
    <n v="6"/>
  </r>
  <r>
    <n v="54"/>
    <n v="1"/>
    <n v="26"/>
    <x v="0"/>
    <n v="2"/>
    <n v="599.99"/>
    <n v="0.2"/>
    <n v="119.998"/>
    <n v="9"/>
    <n v="6"/>
  </r>
  <r>
    <n v="54"/>
    <n v="2"/>
    <n v="3"/>
    <x v="1"/>
    <n v="1"/>
    <n v="999.99"/>
    <n v="0.2"/>
    <n v="199.99800000000002"/>
    <n v="5"/>
    <n v="6"/>
  </r>
  <r>
    <n v="55"/>
    <n v="1"/>
    <n v="21"/>
    <x v="0"/>
    <n v="1"/>
    <n v="269.99"/>
    <n v="0.05"/>
    <n v="13.499500000000001"/>
    <n v="9"/>
    <n v="6"/>
  </r>
  <r>
    <n v="55"/>
    <n v="2"/>
    <n v="25"/>
    <x v="1"/>
    <n v="2"/>
    <n v="499.99"/>
    <n v="0.2"/>
    <n v="99.998000000000005"/>
    <n v="5"/>
    <n v="6"/>
  </r>
  <r>
    <n v="55"/>
    <n v="3"/>
    <n v="15"/>
    <x v="2"/>
    <n v="2"/>
    <n v="529.99"/>
    <n v="0.2"/>
    <n v="105.998"/>
    <n v="8"/>
    <n v="6"/>
  </r>
  <r>
    <n v="56"/>
    <n v="1"/>
    <n v="20"/>
    <x v="0"/>
    <n v="2"/>
    <n v="599.99"/>
    <n v="7.0000000000000007E-2"/>
    <n v="41.999300000000005"/>
    <n v="9"/>
    <n v="6"/>
  </r>
  <r>
    <n v="57"/>
    <n v="1"/>
    <n v="23"/>
    <x v="0"/>
    <n v="2"/>
    <n v="299.99"/>
    <n v="0.1"/>
    <n v="29.999000000000002"/>
    <n v="9"/>
    <n v="6"/>
  </r>
  <r>
    <n v="57"/>
    <n v="2"/>
    <n v="19"/>
    <x v="1"/>
    <n v="2"/>
    <n v="449"/>
    <n v="0.2"/>
    <n v="89.800000000000011"/>
    <n v="5"/>
    <n v="6"/>
  </r>
  <r>
    <n v="57"/>
    <n v="3"/>
    <n v="13"/>
    <x v="2"/>
    <n v="1"/>
    <n v="269.99"/>
    <n v="7.0000000000000007E-2"/>
    <n v="18.899300000000004"/>
    <n v="8"/>
    <n v="6"/>
  </r>
  <r>
    <n v="58"/>
    <n v="1"/>
    <n v="14"/>
    <x v="0"/>
    <n v="2"/>
    <n v="269.99"/>
    <n v="0.05"/>
    <n v="13.499500000000001"/>
    <n v="9"/>
    <n v="6"/>
  </r>
  <r>
    <n v="58"/>
    <n v="2"/>
    <n v="18"/>
    <x v="1"/>
    <n v="1"/>
    <n v="449"/>
    <n v="7.0000000000000007E-2"/>
    <n v="31.430000000000003"/>
    <n v="5"/>
    <n v="6"/>
  </r>
  <r>
    <n v="58"/>
    <n v="3"/>
    <n v="23"/>
    <x v="2"/>
    <n v="1"/>
    <n v="299.99"/>
    <n v="0.1"/>
    <n v="29.999000000000002"/>
    <n v="8"/>
    <n v="6"/>
  </r>
  <r>
    <n v="59"/>
    <n v="1"/>
    <n v="21"/>
    <x v="0"/>
    <n v="1"/>
    <n v="269.99"/>
    <n v="0.05"/>
    <n v="13.499500000000001"/>
    <n v="9"/>
    <n v="6"/>
  </r>
  <r>
    <n v="59"/>
    <n v="2"/>
    <n v="2"/>
    <x v="1"/>
    <n v="1"/>
    <n v="749.99"/>
    <n v="0.1"/>
    <n v="74.999000000000009"/>
    <n v="5"/>
    <n v="6"/>
  </r>
  <r>
    <n v="59"/>
    <n v="3"/>
    <n v="17"/>
    <x v="2"/>
    <n v="2"/>
    <n v="429"/>
    <n v="0.1"/>
    <n v="42.900000000000006"/>
    <n v="8"/>
    <n v="6"/>
  </r>
  <r>
    <n v="60"/>
    <n v="1"/>
    <n v="14"/>
    <x v="0"/>
    <n v="2"/>
    <n v="269.99"/>
    <n v="0.05"/>
    <n v="13.499500000000001"/>
    <n v="9"/>
    <n v="6"/>
  </r>
  <r>
    <n v="60"/>
    <n v="2"/>
    <n v="4"/>
    <x v="1"/>
    <n v="1"/>
    <n v="2899.99"/>
    <n v="0.1"/>
    <n v="289.99899999999997"/>
    <n v="5"/>
    <n v="6"/>
  </r>
  <r>
    <n v="60"/>
    <n v="3"/>
    <n v="15"/>
    <x v="2"/>
    <n v="1"/>
    <n v="529.99"/>
    <n v="7.0000000000000007E-2"/>
    <n v="37.099300000000007"/>
    <n v="8"/>
    <n v="6"/>
  </r>
  <r>
    <n v="60"/>
    <n v="4"/>
    <n v="22"/>
    <x v="3"/>
    <n v="1"/>
    <n v="269.99"/>
    <n v="0.2"/>
    <n v="53.998000000000005"/>
    <n v="9"/>
    <n v="6"/>
  </r>
  <r>
    <n v="61"/>
    <n v="1"/>
    <n v="25"/>
    <x v="0"/>
    <n v="1"/>
    <n v="499.99"/>
    <n v="0.1"/>
    <n v="49.999000000000002"/>
    <n v="9"/>
    <n v="6"/>
  </r>
  <r>
    <n v="61"/>
    <n v="2"/>
    <n v="15"/>
    <x v="1"/>
    <n v="2"/>
    <n v="529.99"/>
    <n v="0.05"/>
    <n v="26.499500000000001"/>
    <n v="5"/>
    <n v="6"/>
  </r>
  <r>
    <n v="61"/>
    <n v="3"/>
    <n v="5"/>
    <x v="2"/>
    <n v="2"/>
    <n v="1320.99"/>
    <n v="0.2"/>
    <n v="264.19800000000004"/>
    <n v="8"/>
    <n v="6"/>
  </r>
  <r>
    <n v="62"/>
    <n v="1"/>
    <n v="14"/>
    <x v="0"/>
    <n v="1"/>
    <n v="269.99"/>
    <n v="7.0000000000000007E-2"/>
    <n v="18.899300000000004"/>
    <n v="9"/>
    <n v="6"/>
  </r>
  <r>
    <n v="62"/>
    <n v="2"/>
    <n v="8"/>
    <x v="1"/>
    <n v="2"/>
    <n v="1799.99"/>
    <n v="0.1"/>
    <n v="179.99900000000002"/>
    <n v="5"/>
    <n v="6"/>
  </r>
  <r>
    <n v="62"/>
    <n v="3"/>
    <n v="22"/>
    <x v="2"/>
    <n v="2"/>
    <n v="269.99"/>
    <n v="0.1"/>
    <n v="26.999000000000002"/>
    <n v="8"/>
    <n v="6"/>
  </r>
  <r>
    <n v="63"/>
    <n v="1"/>
    <n v="25"/>
    <x v="0"/>
    <n v="2"/>
    <n v="499.99"/>
    <n v="0.1"/>
    <n v="49.999000000000002"/>
    <n v="9"/>
    <n v="6"/>
  </r>
  <r>
    <n v="63"/>
    <n v="2"/>
    <n v="19"/>
    <x v="1"/>
    <n v="2"/>
    <n v="449"/>
    <n v="0.05"/>
    <n v="22.450000000000003"/>
    <n v="5"/>
    <n v="6"/>
  </r>
  <r>
    <n v="63"/>
    <n v="3"/>
    <n v="3"/>
    <x v="2"/>
    <n v="1"/>
    <n v="999.99"/>
    <n v="0.1"/>
    <n v="99.999000000000009"/>
    <n v="8"/>
    <n v="6"/>
  </r>
  <r>
    <n v="64"/>
    <n v="1"/>
    <n v="25"/>
    <x v="0"/>
    <n v="2"/>
    <n v="499.99"/>
    <n v="0.1"/>
    <n v="49.999000000000002"/>
    <n v="9"/>
    <n v="6"/>
  </r>
  <r>
    <n v="64"/>
    <n v="2"/>
    <n v="22"/>
    <x v="1"/>
    <n v="2"/>
    <n v="269.99"/>
    <n v="0.2"/>
    <n v="53.998000000000005"/>
    <n v="5"/>
    <n v="6"/>
  </r>
  <r>
    <n v="64"/>
    <n v="3"/>
    <n v="23"/>
    <x v="2"/>
    <n v="2"/>
    <n v="299.99"/>
    <n v="0.2"/>
    <n v="59.998000000000005"/>
    <n v="8"/>
    <n v="6"/>
  </r>
  <r>
    <n v="64"/>
    <n v="4"/>
    <n v="24"/>
    <x v="3"/>
    <n v="2"/>
    <n v="549.99"/>
    <n v="0.1"/>
    <n v="54.999000000000002"/>
    <n v="9"/>
    <n v="6"/>
  </r>
  <r>
    <n v="65"/>
    <n v="1"/>
    <n v="12"/>
    <x v="0"/>
    <n v="1"/>
    <n v="549.99"/>
    <n v="0.1"/>
    <n v="54.999000000000002"/>
    <n v="9"/>
    <n v="6"/>
  </r>
  <r>
    <n v="66"/>
    <n v="1"/>
    <n v="2"/>
    <x v="0"/>
    <n v="1"/>
    <n v="749.99"/>
    <n v="0.2"/>
    <n v="149.99800000000002"/>
    <n v="9"/>
    <n v="6"/>
  </r>
  <r>
    <n v="66"/>
    <n v="2"/>
    <n v="23"/>
    <x v="1"/>
    <n v="1"/>
    <n v="299.99"/>
    <n v="7.0000000000000007E-2"/>
    <n v="20.999300000000002"/>
    <n v="5"/>
    <n v="6"/>
  </r>
  <r>
    <n v="66"/>
    <n v="3"/>
    <n v="12"/>
    <x v="2"/>
    <n v="1"/>
    <n v="549.99"/>
    <n v="7.0000000000000007E-2"/>
    <n v="38.499300000000005"/>
    <n v="8"/>
    <n v="6"/>
  </r>
  <r>
    <n v="67"/>
    <n v="1"/>
    <n v="23"/>
    <x v="0"/>
    <n v="2"/>
    <n v="299.99"/>
    <n v="0.2"/>
    <n v="59.998000000000005"/>
    <n v="9"/>
    <n v="6"/>
  </r>
  <r>
    <n v="67"/>
    <n v="2"/>
    <n v="12"/>
    <x v="1"/>
    <n v="2"/>
    <n v="549.99"/>
    <n v="0.1"/>
    <n v="54.999000000000002"/>
    <n v="5"/>
    <n v="6"/>
  </r>
  <r>
    <n v="67"/>
    <n v="3"/>
    <n v="21"/>
    <x v="2"/>
    <n v="1"/>
    <n v="269.99"/>
    <n v="0.2"/>
    <n v="53.998000000000005"/>
    <n v="8"/>
    <n v="6"/>
  </r>
  <r>
    <n v="67"/>
    <n v="4"/>
    <n v="5"/>
    <x v="3"/>
    <n v="2"/>
    <n v="1320.99"/>
    <n v="0.1"/>
    <n v="132.09900000000002"/>
    <n v="9"/>
    <n v="6"/>
  </r>
  <r>
    <n v="67"/>
    <n v="5"/>
    <n v="19"/>
    <x v="4"/>
    <n v="1"/>
    <n v="449"/>
    <n v="0.2"/>
    <n v="89.800000000000011"/>
    <n v="3"/>
    <n v="6"/>
  </r>
  <r>
    <n v="68"/>
    <n v="1"/>
    <n v="13"/>
    <x v="0"/>
    <n v="2"/>
    <n v="269.99"/>
    <n v="7.0000000000000007E-2"/>
    <n v="18.899300000000004"/>
    <n v="9"/>
    <n v="6"/>
  </r>
  <r>
    <n v="68"/>
    <n v="2"/>
    <n v="17"/>
    <x v="1"/>
    <n v="1"/>
    <n v="429"/>
    <n v="0.1"/>
    <n v="42.900000000000006"/>
    <n v="5"/>
    <n v="6"/>
  </r>
  <r>
    <n v="69"/>
    <n v="1"/>
    <n v="22"/>
    <x v="0"/>
    <n v="2"/>
    <n v="269.99"/>
    <n v="0.1"/>
    <n v="26.999000000000002"/>
    <n v="9"/>
    <n v="6"/>
  </r>
  <r>
    <n v="69"/>
    <n v="2"/>
    <n v="5"/>
    <x v="1"/>
    <n v="1"/>
    <n v="1320.99"/>
    <n v="0.2"/>
    <n v="264.19800000000004"/>
    <n v="5"/>
    <n v="6"/>
  </r>
  <r>
    <n v="69"/>
    <n v="3"/>
    <n v="10"/>
    <x v="2"/>
    <n v="1"/>
    <n v="1549"/>
    <n v="0.05"/>
    <n v="77.45"/>
    <n v="8"/>
    <n v="6"/>
  </r>
  <r>
    <n v="70"/>
    <n v="1"/>
    <n v="3"/>
    <x v="0"/>
    <n v="2"/>
    <n v="999.99"/>
    <n v="0.05"/>
    <n v="49.999500000000005"/>
    <n v="9"/>
    <n v="6"/>
  </r>
  <r>
    <n v="70"/>
    <n v="2"/>
    <n v="18"/>
    <x v="1"/>
    <n v="1"/>
    <n v="449"/>
    <n v="0.2"/>
    <n v="89.800000000000011"/>
    <n v="5"/>
    <n v="6"/>
  </r>
  <r>
    <n v="70"/>
    <n v="3"/>
    <n v="20"/>
    <x v="2"/>
    <n v="1"/>
    <n v="599.99"/>
    <n v="0.05"/>
    <n v="29.999500000000001"/>
    <n v="8"/>
    <n v="6"/>
  </r>
  <r>
    <n v="71"/>
    <n v="1"/>
    <n v="26"/>
    <x v="0"/>
    <n v="2"/>
    <n v="599.99"/>
    <n v="0.05"/>
    <n v="29.999500000000001"/>
    <n v="9"/>
    <n v="6"/>
  </r>
  <r>
    <n v="71"/>
    <n v="2"/>
    <n v="24"/>
    <x v="1"/>
    <n v="1"/>
    <n v="549.99"/>
    <n v="0.2"/>
    <n v="109.998"/>
    <n v="5"/>
    <n v="6"/>
  </r>
  <r>
    <n v="71"/>
    <n v="3"/>
    <n v="18"/>
    <x v="2"/>
    <n v="1"/>
    <n v="449"/>
    <n v="0.1"/>
    <n v="44.900000000000006"/>
    <n v="8"/>
    <n v="6"/>
  </r>
  <r>
    <n v="72"/>
    <n v="1"/>
    <n v="17"/>
    <x v="0"/>
    <n v="2"/>
    <n v="429"/>
    <n v="7.0000000000000007E-2"/>
    <n v="30.03"/>
    <n v="9"/>
    <n v="6"/>
  </r>
  <r>
    <n v="72"/>
    <n v="2"/>
    <n v="12"/>
    <x v="1"/>
    <n v="1"/>
    <n v="549.99"/>
    <n v="0.05"/>
    <n v="27.499500000000001"/>
    <n v="5"/>
    <n v="6"/>
  </r>
  <r>
    <n v="72"/>
    <n v="3"/>
    <n v="13"/>
    <x v="2"/>
    <n v="2"/>
    <n v="269.99"/>
    <n v="0.1"/>
    <n v="26.999000000000002"/>
    <n v="8"/>
    <n v="6"/>
  </r>
  <r>
    <n v="73"/>
    <n v="1"/>
    <n v="22"/>
    <x v="0"/>
    <n v="1"/>
    <n v="269.99"/>
    <n v="7.0000000000000007E-2"/>
    <n v="18.899300000000004"/>
    <n v="9"/>
    <n v="6"/>
  </r>
  <r>
    <n v="73"/>
    <n v="2"/>
    <n v="26"/>
    <x v="1"/>
    <n v="2"/>
    <n v="599.99"/>
    <n v="0.05"/>
    <n v="29.999500000000001"/>
    <n v="5"/>
    <n v="6"/>
  </r>
  <r>
    <n v="73"/>
    <n v="3"/>
    <n v="3"/>
    <x v="2"/>
    <n v="2"/>
    <n v="999.99"/>
    <n v="7.0000000000000007E-2"/>
    <n v="69.999300000000005"/>
    <n v="8"/>
    <n v="6"/>
  </r>
  <r>
    <n v="73"/>
    <n v="4"/>
    <n v="25"/>
    <x v="3"/>
    <n v="1"/>
    <n v="499.99"/>
    <n v="7.0000000000000007E-2"/>
    <n v="34.999300000000005"/>
    <n v="9"/>
    <n v="6"/>
  </r>
  <r>
    <n v="73"/>
    <n v="5"/>
    <n v="23"/>
    <x v="4"/>
    <n v="2"/>
    <n v="299.99"/>
    <n v="0.2"/>
    <n v="59.998000000000005"/>
    <n v="3"/>
    <n v="6"/>
  </r>
  <r>
    <n v="74"/>
    <n v="1"/>
    <n v="16"/>
    <x v="0"/>
    <n v="2"/>
    <n v="599.99"/>
    <n v="0.05"/>
    <n v="29.999500000000001"/>
    <n v="9"/>
    <n v="6"/>
  </r>
  <r>
    <n v="74"/>
    <n v="2"/>
    <n v="6"/>
    <x v="1"/>
    <n v="1"/>
    <n v="469.99"/>
    <n v="7.0000000000000007E-2"/>
    <n v="32.899300000000004"/>
    <n v="5"/>
    <n v="6"/>
  </r>
  <r>
    <n v="75"/>
    <n v="1"/>
    <n v="3"/>
    <x v="0"/>
    <n v="1"/>
    <n v="999.99"/>
    <n v="0.1"/>
    <n v="99.999000000000009"/>
    <n v="9"/>
    <n v="6"/>
  </r>
  <r>
    <n v="75"/>
    <n v="2"/>
    <n v="7"/>
    <x v="1"/>
    <n v="2"/>
    <n v="3999.99"/>
    <n v="7.0000000000000007E-2"/>
    <n v="279.99930000000001"/>
    <n v="5"/>
    <n v="6"/>
  </r>
  <r>
    <n v="75"/>
    <n v="3"/>
    <n v="15"/>
    <x v="2"/>
    <n v="1"/>
    <n v="529.99"/>
    <n v="0.2"/>
    <n v="105.998"/>
    <n v="8"/>
    <n v="6"/>
  </r>
  <r>
    <n v="76"/>
    <n v="1"/>
    <n v="12"/>
    <x v="0"/>
    <n v="1"/>
    <n v="549.99"/>
    <n v="0.05"/>
    <n v="27.499500000000001"/>
    <n v="9"/>
    <n v="6"/>
  </r>
  <r>
    <n v="76"/>
    <n v="2"/>
    <n v="11"/>
    <x v="1"/>
    <n v="2"/>
    <n v="1680.99"/>
    <n v="0.1"/>
    <n v="168.09900000000002"/>
    <n v="5"/>
    <n v="6"/>
  </r>
  <r>
    <n v="76"/>
    <n v="3"/>
    <n v="5"/>
    <x v="2"/>
    <n v="1"/>
    <n v="1320.99"/>
    <n v="7.0000000000000007E-2"/>
    <n v="92.469300000000004"/>
    <n v="8"/>
    <n v="6"/>
  </r>
  <r>
    <n v="77"/>
    <n v="1"/>
    <n v="20"/>
    <x v="0"/>
    <n v="1"/>
    <n v="599.99"/>
    <n v="7.0000000000000007E-2"/>
    <n v="41.999300000000005"/>
    <n v="9"/>
    <n v="6"/>
  </r>
  <r>
    <n v="77"/>
    <n v="2"/>
    <n v="24"/>
    <x v="1"/>
    <n v="2"/>
    <n v="549.99"/>
    <n v="0.1"/>
    <n v="54.999000000000002"/>
    <n v="5"/>
    <n v="6"/>
  </r>
  <r>
    <n v="77"/>
    <n v="3"/>
    <n v="26"/>
    <x v="2"/>
    <n v="1"/>
    <n v="599.99"/>
    <n v="0.2"/>
    <n v="119.998"/>
    <n v="8"/>
    <n v="6"/>
  </r>
  <r>
    <n v="77"/>
    <n v="4"/>
    <n v="25"/>
    <x v="3"/>
    <n v="1"/>
    <n v="499.99"/>
    <n v="0.2"/>
    <n v="99.998000000000005"/>
    <n v="9"/>
    <n v="6"/>
  </r>
  <r>
    <n v="78"/>
    <n v="1"/>
    <n v="17"/>
    <x v="0"/>
    <n v="1"/>
    <n v="429"/>
    <n v="7.0000000000000007E-2"/>
    <n v="30.03"/>
    <n v="9"/>
    <n v="6"/>
  </r>
  <r>
    <n v="78"/>
    <n v="2"/>
    <n v="19"/>
    <x v="1"/>
    <n v="1"/>
    <n v="449"/>
    <n v="0.2"/>
    <n v="89.800000000000011"/>
    <n v="5"/>
    <n v="6"/>
  </r>
  <r>
    <n v="78"/>
    <n v="3"/>
    <n v="18"/>
    <x v="2"/>
    <n v="2"/>
    <n v="449"/>
    <n v="0.1"/>
    <n v="44.900000000000006"/>
    <n v="8"/>
    <n v="6"/>
  </r>
  <r>
    <n v="78"/>
    <n v="4"/>
    <n v="14"/>
    <x v="3"/>
    <n v="2"/>
    <n v="269.99"/>
    <n v="0.1"/>
    <n v="26.999000000000002"/>
    <n v="9"/>
    <n v="6"/>
  </r>
  <r>
    <n v="79"/>
    <n v="1"/>
    <n v="9"/>
    <x v="0"/>
    <n v="2"/>
    <n v="2999.99"/>
    <n v="0.1"/>
    <n v="299.99899999999997"/>
    <n v="9"/>
    <n v="6"/>
  </r>
  <r>
    <n v="79"/>
    <n v="2"/>
    <n v="17"/>
    <x v="1"/>
    <n v="2"/>
    <n v="429"/>
    <n v="0.05"/>
    <n v="21.450000000000003"/>
    <n v="5"/>
    <n v="6"/>
  </r>
  <r>
    <n v="79"/>
    <n v="3"/>
    <n v="6"/>
    <x v="2"/>
    <n v="1"/>
    <n v="469.99"/>
    <n v="0.1"/>
    <n v="46.999000000000002"/>
    <n v="8"/>
    <n v="6"/>
  </r>
  <r>
    <n v="79"/>
    <n v="4"/>
    <n v="25"/>
    <x v="3"/>
    <n v="2"/>
    <n v="499.99"/>
    <n v="7.0000000000000007E-2"/>
    <n v="34.999300000000005"/>
    <n v="9"/>
    <n v="6"/>
  </r>
  <r>
    <n v="80"/>
    <n v="1"/>
    <n v="26"/>
    <x v="0"/>
    <n v="1"/>
    <n v="599.99"/>
    <n v="0.1"/>
    <n v="59.999000000000002"/>
    <n v="9"/>
    <n v="6"/>
  </r>
  <r>
    <n v="80"/>
    <n v="2"/>
    <n v="24"/>
    <x v="1"/>
    <n v="1"/>
    <n v="549.99"/>
    <n v="0.1"/>
    <n v="54.999000000000002"/>
    <n v="5"/>
    <n v="6"/>
  </r>
  <r>
    <n v="80"/>
    <n v="3"/>
    <n v="17"/>
    <x v="2"/>
    <n v="1"/>
    <n v="429"/>
    <n v="0.2"/>
    <n v="85.800000000000011"/>
    <n v="8"/>
    <n v="6"/>
  </r>
  <r>
    <n v="81"/>
    <n v="1"/>
    <n v="10"/>
    <x v="0"/>
    <n v="2"/>
    <n v="1549"/>
    <n v="0.2"/>
    <n v="309.8"/>
    <n v="9"/>
    <n v="6"/>
  </r>
  <r>
    <n v="81"/>
    <n v="2"/>
    <n v="23"/>
    <x v="1"/>
    <n v="2"/>
    <n v="299.99"/>
    <n v="0.05"/>
    <n v="14.999500000000001"/>
    <n v="5"/>
    <n v="6"/>
  </r>
  <r>
    <n v="81"/>
    <n v="3"/>
    <n v="25"/>
    <x v="2"/>
    <n v="2"/>
    <n v="499.99"/>
    <n v="0.05"/>
    <n v="24.999500000000001"/>
    <n v="8"/>
    <n v="6"/>
  </r>
  <r>
    <n v="82"/>
    <n v="1"/>
    <n v="25"/>
    <x v="0"/>
    <n v="2"/>
    <n v="499.99"/>
    <n v="0.1"/>
    <n v="49.999000000000002"/>
    <n v="9"/>
    <n v="6"/>
  </r>
  <r>
    <n v="82"/>
    <n v="2"/>
    <n v="11"/>
    <x v="1"/>
    <n v="2"/>
    <n v="1680.99"/>
    <n v="0.2"/>
    <n v="336.19800000000004"/>
    <n v="5"/>
    <n v="6"/>
  </r>
  <r>
    <n v="83"/>
    <n v="1"/>
    <n v="20"/>
    <x v="0"/>
    <n v="1"/>
    <n v="599.99"/>
    <n v="0.2"/>
    <n v="119.998"/>
    <n v="9"/>
    <n v="6"/>
  </r>
  <r>
    <n v="83"/>
    <n v="2"/>
    <n v="3"/>
    <x v="1"/>
    <n v="2"/>
    <n v="999.99"/>
    <n v="0.05"/>
    <n v="49.999500000000005"/>
    <n v="5"/>
    <n v="6"/>
  </r>
  <r>
    <n v="84"/>
    <n v="1"/>
    <n v="23"/>
    <x v="0"/>
    <n v="2"/>
    <n v="299.99"/>
    <n v="7.0000000000000007E-2"/>
    <n v="20.999300000000002"/>
    <n v="9"/>
    <n v="6"/>
  </r>
  <r>
    <n v="84"/>
    <n v="2"/>
    <n v="15"/>
    <x v="1"/>
    <n v="2"/>
    <n v="529.99"/>
    <n v="7.0000000000000007E-2"/>
    <n v="37.099300000000007"/>
    <n v="5"/>
    <n v="6"/>
  </r>
  <r>
    <n v="85"/>
    <n v="1"/>
    <n v="4"/>
    <x v="0"/>
    <n v="2"/>
    <n v="2899.99"/>
    <n v="0.05"/>
    <n v="144.99949999999998"/>
    <n v="9"/>
    <n v="6"/>
  </r>
  <r>
    <n v="85"/>
    <n v="2"/>
    <n v="18"/>
    <x v="1"/>
    <n v="1"/>
    <n v="449"/>
    <n v="7.0000000000000007E-2"/>
    <n v="31.430000000000003"/>
    <n v="5"/>
    <n v="6"/>
  </r>
  <r>
    <n v="86"/>
    <n v="1"/>
    <n v="9"/>
    <x v="0"/>
    <n v="2"/>
    <n v="2999.99"/>
    <n v="0.1"/>
    <n v="299.99899999999997"/>
    <n v="9"/>
    <n v="6"/>
  </r>
  <r>
    <n v="86"/>
    <n v="2"/>
    <n v="23"/>
    <x v="1"/>
    <n v="2"/>
    <n v="299.99"/>
    <n v="7.0000000000000007E-2"/>
    <n v="20.999300000000002"/>
    <n v="5"/>
    <n v="6"/>
  </r>
  <r>
    <n v="86"/>
    <n v="3"/>
    <n v="21"/>
    <x v="2"/>
    <n v="2"/>
    <n v="269.99"/>
    <n v="0.2"/>
    <n v="53.998000000000005"/>
    <n v="8"/>
    <n v="6"/>
  </r>
  <r>
    <n v="86"/>
    <n v="4"/>
    <n v="15"/>
    <x v="3"/>
    <n v="1"/>
    <n v="529.99"/>
    <n v="0.1"/>
    <n v="52.999000000000002"/>
    <n v="9"/>
    <n v="6"/>
  </r>
  <r>
    <n v="87"/>
    <n v="1"/>
    <n v="20"/>
    <x v="0"/>
    <n v="2"/>
    <n v="599.99"/>
    <n v="0.2"/>
    <n v="119.998"/>
    <n v="9"/>
    <n v="6"/>
  </r>
  <r>
    <n v="87"/>
    <n v="2"/>
    <n v="23"/>
    <x v="1"/>
    <n v="2"/>
    <n v="299.99"/>
    <n v="0.1"/>
    <n v="29.999000000000002"/>
    <n v="5"/>
    <n v="6"/>
  </r>
  <r>
    <n v="88"/>
    <n v="1"/>
    <n v="10"/>
    <x v="0"/>
    <n v="1"/>
    <n v="1549"/>
    <n v="7.0000000000000007E-2"/>
    <n v="108.43"/>
    <n v="9"/>
    <n v="6"/>
  </r>
  <r>
    <n v="88"/>
    <n v="2"/>
    <n v="8"/>
    <x v="1"/>
    <n v="2"/>
    <n v="1799.99"/>
    <n v="0.1"/>
    <n v="179.99900000000002"/>
    <n v="5"/>
    <n v="6"/>
  </r>
  <r>
    <n v="88"/>
    <n v="3"/>
    <n v="7"/>
    <x v="2"/>
    <n v="1"/>
    <n v="3999.99"/>
    <n v="0.1"/>
    <n v="399.99900000000002"/>
    <n v="8"/>
    <n v="6"/>
  </r>
  <r>
    <n v="89"/>
    <n v="1"/>
    <n v="5"/>
    <x v="0"/>
    <n v="1"/>
    <n v="1320.99"/>
    <n v="0.05"/>
    <n v="66.049500000000009"/>
    <n v="9"/>
    <n v="6"/>
  </r>
  <r>
    <n v="89"/>
    <n v="2"/>
    <n v="6"/>
    <x v="1"/>
    <n v="2"/>
    <n v="469.99"/>
    <n v="0.1"/>
    <n v="46.999000000000002"/>
    <n v="5"/>
    <n v="6"/>
  </r>
  <r>
    <n v="90"/>
    <n v="1"/>
    <n v="3"/>
    <x v="0"/>
    <n v="1"/>
    <n v="999.99"/>
    <n v="0.1"/>
    <n v="99.999000000000009"/>
    <n v="9"/>
    <n v="6"/>
  </r>
  <r>
    <n v="90"/>
    <n v="2"/>
    <n v="6"/>
    <x v="1"/>
    <n v="1"/>
    <n v="469.99"/>
    <n v="7.0000000000000007E-2"/>
    <n v="32.899300000000004"/>
    <n v="5"/>
    <n v="6"/>
  </r>
  <r>
    <n v="91"/>
    <n v="1"/>
    <n v="11"/>
    <x v="0"/>
    <n v="1"/>
    <n v="1680.99"/>
    <n v="0.1"/>
    <n v="168.09900000000002"/>
    <n v="9"/>
    <n v="6"/>
  </r>
  <r>
    <n v="91"/>
    <n v="2"/>
    <n v="25"/>
    <x v="1"/>
    <n v="1"/>
    <n v="499.99"/>
    <n v="0.05"/>
    <n v="24.999500000000001"/>
    <n v="5"/>
    <n v="6"/>
  </r>
  <r>
    <n v="91"/>
    <n v="3"/>
    <n v="15"/>
    <x v="2"/>
    <n v="2"/>
    <n v="529.99"/>
    <n v="7.0000000000000007E-2"/>
    <n v="37.099300000000007"/>
    <n v="8"/>
    <n v="6"/>
  </r>
  <r>
    <n v="91"/>
    <n v="4"/>
    <n v="13"/>
    <x v="3"/>
    <n v="2"/>
    <n v="269.99"/>
    <n v="7.0000000000000007E-2"/>
    <n v="18.899300000000004"/>
    <n v="9"/>
    <n v="6"/>
  </r>
  <r>
    <n v="92"/>
    <n v="1"/>
    <n v="8"/>
    <x v="0"/>
    <n v="1"/>
    <n v="1799.99"/>
    <n v="0.1"/>
    <n v="179.99900000000002"/>
    <n v="9"/>
    <n v="6"/>
  </r>
  <r>
    <n v="93"/>
    <n v="1"/>
    <n v="22"/>
    <x v="0"/>
    <n v="2"/>
    <n v="269.99"/>
    <n v="7.0000000000000007E-2"/>
    <n v="18.899300000000004"/>
    <n v="9"/>
    <n v="6"/>
  </r>
  <r>
    <n v="93"/>
    <n v="2"/>
    <n v="17"/>
    <x v="1"/>
    <n v="1"/>
    <n v="429"/>
    <n v="0.05"/>
    <n v="21.450000000000003"/>
    <n v="5"/>
    <n v="6"/>
  </r>
  <r>
    <n v="93"/>
    <n v="3"/>
    <n v="21"/>
    <x v="2"/>
    <n v="1"/>
    <n v="269.99"/>
    <n v="0.1"/>
    <n v="26.999000000000002"/>
    <n v="8"/>
    <n v="6"/>
  </r>
  <r>
    <n v="93"/>
    <n v="4"/>
    <n v="2"/>
    <x v="3"/>
    <n v="1"/>
    <n v="749.99"/>
    <n v="0.2"/>
    <n v="149.99800000000002"/>
    <n v="9"/>
    <n v="6"/>
  </r>
  <r>
    <n v="93"/>
    <n v="5"/>
    <n v="10"/>
    <x v="4"/>
    <n v="2"/>
    <n v="1549"/>
    <n v="7.0000000000000007E-2"/>
    <n v="108.43"/>
    <n v="3"/>
    <n v="6"/>
  </r>
  <r>
    <n v="94"/>
    <n v="1"/>
    <n v="12"/>
    <x v="0"/>
    <n v="1"/>
    <n v="549.99"/>
    <n v="0.05"/>
    <n v="27.499500000000001"/>
    <n v="9"/>
    <n v="6"/>
  </r>
  <r>
    <n v="94"/>
    <n v="2"/>
    <n v="4"/>
    <x v="1"/>
    <n v="1"/>
    <n v="2899.99"/>
    <n v="0.2"/>
    <n v="579.99799999999993"/>
    <n v="5"/>
    <n v="6"/>
  </r>
  <r>
    <n v="94"/>
    <n v="3"/>
    <n v="11"/>
    <x v="2"/>
    <n v="1"/>
    <n v="1680.99"/>
    <n v="0.2"/>
    <n v="336.19800000000004"/>
    <n v="8"/>
    <n v="6"/>
  </r>
  <r>
    <n v="94"/>
    <n v="4"/>
    <n v="21"/>
    <x v="3"/>
    <n v="2"/>
    <n v="269.99"/>
    <n v="7.0000000000000007E-2"/>
    <n v="18.899300000000004"/>
    <n v="9"/>
    <n v="6"/>
  </r>
  <r>
    <n v="95"/>
    <n v="1"/>
    <n v="10"/>
    <x v="0"/>
    <n v="2"/>
    <n v="1549"/>
    <n v="0.2"/>
    <n v="309.8"/>
    <n v="9"/>
    <n v="6"/>
  </r>
  <r>
    <n v="95"/>
    <n v="2"/>
    <n v="19"/>
    <x v="1"/>
    <n v="1"/>
    <n v="449"/>
    <n v="0.1"/>
    <n v="44.900000000000006"/>
    <n v="5"/>
    <n v="6"/>
  </r>
  <r>
    <n v="95"/>
    <n v="3"/>
    <n v="8"/>
    <x v="2"/>
    <n v="2"/>
    <n v="1799.99"/>
    <n v="0.2"/>
    <n v="359.99800000000005"/>
    <n v="8"/>
    <n v="6"/>
  </r>
  <r>
    <n v="95"/>
    <n v="4"/>
    <n v="20"/>
    <x v="3"/>
    <n v="2"/>
    <n v="599.99"/>
    <n v="0.05"/>
    <n v="29.999500000000001"/>
    <n v="9"/>
    <n v="6"/>
  </r>
  <r>
    <n v="96"/>
    <n v="1"/>
    <n v="26"/>
    <x v="0"/>
    <n v="1"/>
    <n v="599.99"/>
    <n v="0.1"/>
    <n v="59.999000000000002"/>
    <n v="9"/>
    <n v="6"/>
  </r>
  <r>
    <n v="96"/>
    <n v="2"/>
    <n v="23"/>
    <x v="1"/>
    <n v="1"/>
    <n v="299.99"/>
    <n v="0.05"/>
    <n v="14.999500000000001"/>
    <n v="5"/>
    <n v="6"/>
  </r>
  <r>
    <n v="97"/>
    <n v="1"/>
    <n v="20"/>
    <x v="0"/>
    <n v="2"/>
    <n v="599.99"/>
    <n v="0.2"/>
    <n v="119.998"/>
    <n v="9"/>
    <n v="6"/>
  </r>
  <r>
    <n v="97"/>
    <n v="2"/>
    <n v="2"/>
    <x v="1"/>
    <n v="1"/>
    <n v="749.99"/>
    <n v="7.0000000000000007E-2"/>
    <n v="52.499300000000005"/>
    <n v="5"/>
    <n v="6"/>
  </r>
  <r>
    <n v="97"/>
    <n v="3"/>
    <n v="6"/>
    <x v="2"/>
    <n v="2"/>
    <n v="469.99"/>
    <n v="0.2"/>
    <n v="93.998000000000005"/>
    <n v="8"/>
    <n v="6"/>
  </r>
  <r>
    <n v="97"/>
    <n v="4"/>
    <n v="19"/>
    <x v="3"/>
    <n v="1"/>
    <n v="449"/>
    <n v="0.1"/>
    <n v="44.900000000000006"/>
    <n v="9"/>
    <n v="6"/>
  </r>
  <r>
    <n v="98"/>
    <n v="1"/>
    <n v="19"/>
    <x v="0"/>
    <n v="1"/>
    <n v="449"/>
    <n v="7.0000000000000007E-2"/>
    <n v="31.430000000000003"/>
    <n v="9"/>
    <n v="6"/>
  </r>
  <r>
    <n v="98"/>
    <n v="2"/>
    <n v="21"/>
    <x v="1"/>
    <n v="1"/>
    <n v="269.99"/>
    <n v="0.1"/>
    <n v="26.999000000000002"/>
    <n v="5"/>
    <n v="6"/>
  </r>
  <r>
    <n v="98"/>
    <n v="3"/>
    <n v="2"/>
    <x v="2"/>
    <n v="1"/>
    <n v="749.99"/>
    <n v="0.2"/>
    <n v="149.99800000000002"/>
    <n v="8"/>
    <n v="6"/>
  </r>
  <r>
    <n v="98"/>
    <n v="4"/>
    <n v="22"/>
    <x v="3"/>
    <n v="2"/>
    <n v="269.99"/>
    <n v="0.2"/>
    <n v="53.998000000000005"/>
    <n v="9"/>
    <n v="6"/>
  </r>
  <r>
    <n v="99"/>
    <n v="1"/>
    <n v="13"/>
    <x v="0"/>
    <n v="1"/>
    <n v="269.99"/>
    <n v="0.2"/>
    <n v="53.998000000000005"/>
    <n v="9"/>
    <n v="6"/>
  </r>
  <r>
    <n v="99"/>
    <n v="2"/>
    <n v="21"/>
    <x v="1"/>
    <n v="1"/>
    <n v="269.99"/>
    <n v="0.2"/>
    <n v="53.998000000000005"/>
    <n v="5"/>
    <n v="6"/>
  </r>
  <r>
    <n v="99"/>
    <n v="3"/>
    <n v="25"/>
    <x v="2"/>
    <n v="2"/>
    <n v="499.99"/>
    <n v="0.05"/>
    <n v="24.999500000000001"/>
    <n v="8"/>
    <n v="6"/>
  </r>
  <r>
    <n v="99"/>
    <n v="4"/>
    <n v="7"/>
    <x v="3"/>
    <n v="2"/>
    <n v="3999.99"/>
    <n v="7.0000000000000007E-2"/>
    <n v="279.99930000000001"/>
    <n v="9"/>
    <n v="6"/>
  </r>
  <r>
    <n v="99"/>
    <n v="5"/>
    <n v="23"/>
    <x v="4"/>
    <n v="2"/>
    <n v="299.99"/>
    <n v="0.2"/>
    <n v="59.998000000000005"/>
    <n v="3"/>
    <n v="6"/>
  </r>
  <r>
    <n v="100"/>
    <n v="1"/>
    <n v="12"/>
    <x v="0"/>
    <n v="2"/>
    <n v="549.99"/>
    <n v="0.05"/>
    <n v="27.499500000000001"/>
    <n v="9"/>
    <n v="6"/>
  </r>
  <r>
    <n v="100"/>
    <n v="2"/>
    <n v="11"/>
    <x v="1"/>
    <n v="2"/>
    <n v="1680.99"/>
    <n v="0.1"/>
    <n v="168.09900000000002"/>
    <n v="5"/>
    <n v="6"/>
  </r>
  <r>
    <n v="100"/>
    <n v="3"/>
    <n v="7"/>
    <x v="2"/>
    <n v="2"/>
    <n v="3999.99"/>
    <n v="0.2"/>
    <n v="799.99800000000005"/>
    <n v="8"/>
    <n v="6"/>
  </r>
  <r>
    <n v="100"/>
    <n v="4"/>
    <n v="16"/>
    <x v="3"/>
    <n v="2"/>
    <n v="599.99"/>
    <n v="0.2"/>
    <n v="119.998"/>
    <n v="9"/>
    <n v="6"/>
  </r>
  <r>
    <n v="100"/>
    <n v="5"/>
    <n v="24"/>
    <x v="4"/>
    <n v="2"/>
    <n v="549.99"/>
    <n v="0.1"/>
    <n v="54.999000000000002"/>
    <n v="3"/>
    <n v="6"/>
  </r>
  <r>
    <n v="101"/>
    <n v="1"/>
    <n v="12"/>
    <x v="0"/>
    <n v="2"/>
    <n v="549.99"/>
    <n v="0.2"/>
    <n v="109.998"/>
    <n v="9"/>
    <n v="6"/>
  </r>
  <r>
    <n v="102"/>
    <n v="1"/>
    <n v="15"/>
    <x v="0"/>
    <n v="1"/>
    <n v="529.99"/>
    <n v="0.05"/>
    <n v="26.499500000000001"/>
    <n v="9"/>
    <n v="6"/>
  </r>
  <r>
    <n v="102"/>
    <n v="2"/>
    <n v="22"/>
    <x v="1"/>
    <n v="1"/>
    <n v="269.99"/>
    <n v="7.0000000000000007E-2"/>
    <n v="18.899300000000004"/>
    <n v="5"/>
    <n v="6"/>
  </r>
  <r>
    <n v="103"/>
    <n v="1"/>
    <n v="17"/>
    <x v="0"/>
    <n v="1"/>
    <n v="429"/>
    <n v="7.0000000000000007E-2"/>
    <n v="30.03"/>
    <n v="9"/>
    <n v="6"/>
  </r>
  <r>
    <n v="103"/>
    <n v="2"/>
    <n v="3"/>
    <x v="1"/>
    <n v="1"/>
    <n v="999.99"/>
    <n v="0.05"/>
    <n v="49.999500000000005"/>
    <n v="5"/>
    <n v="6"/>
  </r>
  <r>
    <n v="103"/>
    <n v="3"/>
    <n v="18"/>
    <x v="2"/>
    <n v="1"/>
    <n v="449"/>
    <n v="0.2"/>
    <n v="89.800000000000011"/>
    <n v="8"/>
    <n v="6"/>
  </r>
  <r>
    <n v="103"/>
    <n v="4"/>
    <n v="15"/>
    <x v="3"/>
    <n v="2"/>
    <n v="529.99"/>
    <n v="0.1"/>
    <n v="52.999000000000002"/>
    <n v="9"/>
    <n v="6"/>
  </r>
  <r>
    <n v="103"/>
    <n v="5"/>
    <n v="9"/>
    <x v="4"/>
    <n v="2"/>
    <n v="2999.99"/>
    <n v="0.1"/>
    <n v="299.99899999999997"/>
    <n v="3"/>
    <n v="6"/>
  </r>
  <r>
    <n v="104"/>
    <n v="1"/>
    <n v="19"/>
    <x v="0"/>
    <n v="2"/>
    <n v="449"/>
    <n v="0.1"/>
    <n v="44.900000000000006"/>
    <n v="9"/>
    <n v="6"/>
  </r>
  <r>
    <n v="104"/>
    <n v="2"/>
    <n v="26"/>
    <x v="1"/>
    <n v="1"/>
    <n v="599.99"/>
    <n v="0.05"/>
    <n v="29.999500000000001"/>
    <n v="5"/>
    <n v="6"/>
  </r>
  <r>
    <n v="105"/>
    <n v="1"/>
    <n v="11"/>
    <x v="0"/>
    <n v="2"/>
    <n v="1680.99"/>
    <n v="0.2"/>
    <n v="336.19800000000004"/>
    <n v="9"/>
    <n v="6"/>
  </r>
  <r>
    <n v="105"/>
    <n v="2"/>
    <n v="3"/>
    <x v="1"/>
    <n v="1"/>
    <n v="999.99"/>
    <n v="0.05"/>
    <n v="49.999500000000005"/>
    <n v="5"/>
    <n v="6"/>
  </r>
  <r>
    <n v="105"/>
    <n v="3"/>
    <n v="9"/>
    <x v="2"/>
    <n v="1"/>
    <n v="2999.99"/>
    <n v="0.05"/>
    <n v="149.99949999999998"/>
    <n v="8"/>
    <n v="6"/>
  </r>
  <r>
    <n v="106"/>
    <n v="1"/>
    <n v="17"/>
    <x v="0"/>
    <n v="1"/>
    <n v="429"/>
    <n v="0.1"/>
    <n v="42.900000000000006"/>
    <n v="9"/>
    <n v="6"/>
  </r>
  <r>
    <n v="106"/>
    <n v="2"/>
    <n v="13"/>
    <x v="1"/>
    <n v="2"/>
    <n v="269.99"/>
    <n v="0.1"/>
    <n v="26.999000000000002"/>
    <n v="5"/>
    <n v="6"/>
  </r>
  <r>
    <n v="107"/>
    <n v="1"/>
    <n v="19"/>
    <x v="0"/>
    <n v="1"/>
    <n v="449"/>
    <n v="0.2"/>
    <n v="89.800000000000011"/>
    <n v="9"/>
    <n v="6"/>
  </r>
  <r>
    <n v="107"/>
    <n v="2"/>
    <n v="13"/>
    <x v="1"/>
    <n v="2"/>
    <n v="269.99"/>
    <n v="0.1"/>
    <n v="26.999000000000002"/>
    <n v="5"/>
    <n v="6"/>
  </r>
  <r>
    <n v="108"/>
    <n v="1"/>
    <n v="11"/>
    <x v="0"/>
    <n v="1"/>
    <n v="1680.99"/>
    <n v="0.1"/>
    <n v="168.09900000000002"/>
    <n v="9"/>
    <n v="6"/>
  </r>
  <r>
    <n v="108"/>
    <n v="2"/>
    <n v="22"/>
    <x v="1"/>
    <n v="2"/>
    <n v="269.99"/>
    <n v="7.0000000000000007E-2"/>
    <n v="18.899300000000004"/>
    <n v="5"/>
    <n v="6"/>
  </r>
  <r>
    <n v="108"/>
    <n v="3"/>
    <n v="16"/>
    <x v="2"/>
    <n v="2"/>
    <n v="599.99"/>
    <n v="0.05"/>
    <n v="29.999500000000001"/>
    <n v="8"/>
    <n v="6"/>
  </r>
  <r>
    <n v="109"/>
    <n v="1"/>
    <n v="22"/>
    <x v="0"/>
    <n v="2"/>
    <n v="269.99"/>
    <n v="0.1"/>
    <n v="26.999000000000002"/>
    <n v="9"/>
    <n v="6"/>
  </r>
  <r>
    <n v="109"/>
    <n v="2"/>
    <n v="6"/>
    <x v="1"/>
    <n v="1"/>
    <n v="469.99"/>
    <n v="7.0000000000000007E-2"/>
    <n v="32.899300000000004"/>
    <n v="5"/>
    <n v="6"/>
  </r>
  <r>
    <n v="110"/>
    <n v="1"/>
    <n v="14"/>
    <x v="0"/>
    <n v="1"/>
    <n v="269.99"/>
    <n v="0.1"/>
    <n v="26.999000000000002"/>
    <n v="9"/>
    <n v="6"/>
  </r>
  <r>
    <n v="111"/>
    <n v="1"/>
    <n v="14"/>
    <x v="0"/>
    <n v="1"/>
    <n v="269.99"/>
    <n v="0.1"/>
    <n v="26.999000000000002"/>
    <n v="9"/>
    <n v="6"/>
  </r>
  <r>
    <n v="111"/>
    <n v="2"/>
    <n v="12"/>
    <x v="1"/>
    <n v="2"/>
    <n v="549.99"/>
    <n v="7.0000000000000007E-2"/>
    <n v="38.499300000000005"/>
    <n v="5"/>
    <n v="6"/>
  </r>
  <r>
    <n v="112"/>
    <n v="1"/>
    <n v="23"/>
    <x v="0"/>
    <n v="2"/>
    <n v="299.99"/>
    <n v="0.2"/>
    <n v="59.998000000000005"/>
    <n v="9"/>
    <n v="6"/>
  </r>
  <r>
    <n v="112"/>
    <n v="2"/>
    <n v="25"/>
    <x v="1"/>
    <n v="2"/>
    <n v="499.99"/>
    <n v="7.0000000000000007E-2"/>
    <n v="34.999300000000005"/>
    <n v="5"/>
    <n v="6"/>
  </r>
  <r>
    <n v="112"/>
    <n v="3"/>
    <n v="24"/>
    <x v="2"/>
    <n v="2"/>
    <n v="549.99"/>
    <n v="0.05"/>
    <n v="27.499500000000001"/>
    <n v="8"/>
    <n v="6"/>
  </r>
  <r>
    <n v="112"/>
    <n v="4"/>
    <n v="5"/>
    <x v="3"/>
    <n v="1"/>
    <n v="1320.99"/>
    <n v="0.2"/>
    <n v="264.19800000000004"/>
    <n v="9"/>
    <n v="6"/>
  </r>
  <r>
    <n v="113"/>
    <n v="1"/>
    <n v="12"/>
    <x v="0"/>
    <n v="2"/>
    <n v="549.99"/>
    <n v="7.0000000000000007E-2"/>
    <n v="38.499300000000005"/>
    <n v="9"/>
    <n v="6"/>
  </r>
  <r>
    <n v="113"/>
    <n v="2"/>
    <n v="24"/>
    <x v="1"/>
    <n v="2"/>
    <n v="549.99"/>
    <n v="0.1"/>
    <n v="54.999000000000002"/>
    <n v="5"/>
    <n v="6"/>
  </r>
  <r>
    <n v="113"/>
    <n v="3"/>
    <n v="6"/>
    <x v="2"/>
    <n v="1"/>
    <n v="469.99"/>
    <n v="7.0000000000000007E-2"/>
    <n v="32.899300000000004"/>
    <n v="8"/>
    <n v="6"/>
  </r>
  <r>
    <n v="113"/>
    <n v="4"/>
    <n v="23"/>
    <x v="3"/>
    <n v="1"/>
    <n v="299.99"/>
    <n v="0.2"/>
    <n v="59.998000000000005"/>
    <n v="9"/>
    <n v="6"/>
  </r>
  <r>
    <n v="113"/>
    <n v="5"/>
    <n v="5"/>
    <x v="4"/>
    <n v="2"/>
    <n v="1320.99"/>
    <n v="0.2"/>
    <n v="264.19800000000004"/>
    <n v="3"/>
    <n v="6"/>
  </r>
  <r>
    <n v="114"/>
    <n v="1"/>
    <n v="12"/>
    <x v="0"/>
    <n v="1"/>
    <n v="549.99"/>
    <n v="0.05"/>
    <n v="27.499500000000001"/>
    <n v="9"/>
    <n v="6"/>
  </r>
  <r>
    <n v="114"/>
    <n v="2"/>
    <n v="2"/>
    <x v="1"/>
    <n v="1"/>
    <n v="749.99"/>
    <n v="7.0000000000000007E-2"/>
    <n v="52.499300000000005"/>
    <n v="5"/>
    <n v="6"/>
  </r>
  <r>
    <n v="114"/>
    <n v="3"/>
    <n v="13"/>
    <x v="2"/>
    <n v="2"/>
    <n v="269.99"/>
    <n v="0.1"/>
    <n v="26.999000000000002"/>
    <n v="8"/>
    <n v="6"/>
  </r>
  <r>
    <n v="115"/>
    <n v="1"/>
    <n v="22"/>
    <x v="0"/>
    <n v="1"/>
    <n v="269.99"/>
    <n v="0.2"/>
    <n v="53.998000000000005"/>
    <n v="9"/>
    <n v="6"/>
  </r>
  <r>
    <n v="115"/>
    <n v="2"/>
    <n v="19"/>
    <x v="1"/>
    <n v="1"/>
    <n v="449"/>
    <n v="0.1"/>
    <n v="44.900000000000006"/>
    <n v="5"/>
    <n v="6"/>
  </r>
  <r>
    <n v="116"/>
    <n v="1"/>
    <n v="26"/>
    <x v="0"/>
    <n v="1"/>
    <n v="599.99"/>
    <n v="0.05"/>
    <n v="29.999500000000001"/>
    <n v="9"/>
    <n v="6"/>
  </r>
  <r>
    <n v="117"/>
    <n v="1"/>
    <n v="22"/>
    <x v="0"/>
    <n v="2"/>
    <n v="269.99"/>
    <n v="0.2"/>
    <n v="53.998000000000005"/>
    <n v="9"/>
    <n v="6"/>
  </r>
  <r>
    <n v="117"/>
    <n v="2"/>
    <n v="26"/>
    <x v="1"/>
    <n v="1"/>
    <n v="599.99"/>
    <n v="0.05"/>
    <n v="29.999500000000001"/>
    <n v="5"/>
    <n v="6"/>
  </r>
  <r>
    <n v="117"/>
    <n v="3"/>
    <n v="14"/>
    <x v="2"/>
    <n v="1"/>
    <n v="269.99"/>
    <n v="0.2"/>
    <n v="53.998000000000005"/>
    <n v="8"/>
    <n v="6"/>
  </r>
  <r>
    <n v="117"/>
    <n v="4"/>
    <n v="19"/>
    <x v="3"/>
    <n v="1"/>
    <n v="449"/>
    <n v="0.05"/>
    <n v="22.450000000000003"/>
    <n v="9"/>
    <n v="6"/>
  </r>
  <r>
    <n v="118"/>
    <n v="1"/>
    <n v="18"/>
    <x v="0"/>
    <n v="1"/>
    <n v="449"/>
    <n v="7.0000000000000007E-2"/>
    <n v="31.430000000000003"/>
    <n v="9"/>
    <n v="6"/>
  </r>
  <r>
    <n v="118"/>
    <n v="2"/>
    <n v="4"/>
    <x v="1"/>
    <n v="1"/>
    <n v="2899.99"/>
    <n v="7.0000000000000007E-2"/>
    <n v="202.99930000000001"/>
    <n v="5"/>
    <n v="6"/>
  </r>
  <r>
    <n v="118"/>
    <n v="3"/>
    <n v="6"/>
    <x v="2"/>
    <n v="1"/>
    <n v="469.99"/>
    <n v="7.0000000000000007E-2"/>
    <n v="32.899300000000004"/>
    <n v="8"/>
    <n v="6"/>
  </r>
  <r>
    <n v="118"/>
    <n v="4"/>
    <n v="3"/>
    <x v="3"/>
    <n v="2"/>
    <n v="999.99"/>
    <n v="0.1"/>
    <n v="99.999000000000009"/>
    <n v="9"/>
    <n v="6"/>
  </r>
  <r>
    <n v="118"/>
    <n v="5"/>
    <n v="23"/>
    <x v="4"/>
    <n v="2"/>
    <n v="299.99"/>
    <n v="7.0000000000000007E-2"/>
    <n v="20.999300000000002"/>
    <n v="3"/>
    <n v="6"/>
  </r>
  <r>
    <n v="119"/>
    <n v="1"/>
    <n v="25"/>
    <x v="0"/>
    <n v="1"/>
    <n v="499.99"/>
    <n v="0.05"/>
    <n v="24.999500000000001"/>
    <n v="9"/>
    <n v="6"/>
  </r>
  <r>
    <n v="120"/>
    <n v="1"/>
    <n v="13"/>
    <x v="0"/>
    <n v="2"/>
    <n v="269.99"/>
    <n v="0.05"/>
    <n v="13.499500000000001"/>
    <n v="9"/>
    <n v="6"/>
  </r>
  <r>
    <n v="120"/>
    <n v="2"/>
    <n v="6"/>
    <x v="1"/>
    <n v="2"/>
    <n v="469.99"/>
    <n v="0.05"/>
    <n v="23.499500000000001"/>
    <n v="5"/>
    <n v="6"/>
  </r>
  <r>
    <n v="120"/>
    <n v="3"/>
    <n v="10"/>
    <x v="2"/>
    <n v="2"/>
    <n v="1549"/>
    <n v="0.05"/>
    <n v="77.45"/>
    <n v="8"/>
    <n v="6"/>
  </r>
  <r>
    <n v="120"/>
    <n v="4"/>
    <n v="17"/>
    <x v="3"/>
    <n v="1"/>
    <n v="429"/>
    <n v="0.05"/>
    <n v="21.450000000000003"/>
    <n v="9"/>
    <n v="6"/>
  </r>
  <r>
    <n v="120"/>
    <n v="5"/>
    <n v="16"/>
    <x v="4"/>
    <n v="2"/>
    <n v="599.99"/>
    <n v="0.2"/>
    <n v="119.998"/>
    <n v="3"/>
    <n v="6"/>
  </r>
  <r>
    <n v="121"/>
    <n v="1"/>
    <n v="5"/>
    <x v="0"/>
    <n v="1"/>
    <n v="1320.99"/>
    <n v="0.2"/>
    <n v="264.19800000000004"/>
    <n v="9"/>
    <n v="6"/>
  </r>
  <r>
    <n v="121"/>
    <n v="2"/>
    <n v="14"/>
    <x v="1"/>
    <n v="2"/>
    <n v="269.99"/>
    <n v="0.1"/>
    <n v="26.999000000000002"/>
    <n v="5"/>
    <n v="6"/>
  </r>
  <r>
    <n v="121"/>
    <n v="3"/>
    <n v="4"/>
    <x v="2"/>
    <n v="2"/>
    <n v="2899.99"/>
    <n v="0.1"/>
    <n v="289.99899999999997"/>
    <n v="8"/>
    <n v="6"/>
  </r>
  <r>
    <n v="121"/>
    <n v="4"/>
    <n v="24"/>
    <x v="3"/>
    <n v="2"/>
    <n v="549.99"/>
    <n v="7.0000000000000007E-2"/>
    <n v="38.499300000000005"/>
    <n v="9"/>
    <n v="6"/>
  </r>
  <r>
    <n v="121"/>
    <n v="5"/>
    <n v="2"/>
    <x v="4"/>
    <n v="2"/>
    <n v="749.99"/>
    <n v="0.05"/>
    <n v="37.499500000000005"/>
    <n v="3"/>
    <n v="6"/>
  </r>
  <r>
    <n v="122"/>
    <n v="1"/>
    <n v="16"/>
    <x v="0"/>
    <n v="1"/>
    <n v="599.99"/>
    <n v="0.1"/>
    <n v="59.999000000000002"/>
    <n v="9"/>
    <n v="6"/>
  </r>
  <r>
    <n v="123"/>
    <n v="1"/>
    <n v="12"/>
    <x v="0"/>
    <n v="2"/>
    <n v="549.99"/>
    <n v="0.1"/>
    <n v="54.999000000000002"/>
    <n v="9"/>
    <n v="6"/>
  </r>
  <r>
    <n v="124"/>
    <n v="1"/>
    <n v="16"/>
    <x v="0"/>
    <n v="1"/>
    <n v="599.99"/>
    <n v="0.05"/>
    <n v="29.999500000000001"/>
    <n v="9"/>
    <n v="6"/>
  </r>
  <r>
    <n v="124"/>
    <n v="2"/>
    <n v="4"/>
    <x v="1"/>
    <n v="1"/>
    <n v="2899.99"/>
    <n v="7.0000000000000007E-2"/>
    <n v="202.99930000000001"/>
    <n v="5"/>
    <n v="6"/>
  </r>
  <r>
    <n v="124"/>
    <n v="3"/>
    <n v="7"/>
    <x v="2"/>
    <n v="2"/>
    <n v="3999.99"/>
    <n v="0.05"/>
    <n v="199.99950000000001"/>
    <n v="8"/>
    <n v="6"/>
  </r>
  <r>
    <n v="125"/>
    <n v="1"/>
    <n v="17"/>
    <x v="0"/>
    <n v="1"/>
    <n v="429"/>
    <n v="0.1"/>
    <n v="42.900000000000006"/>
    <n v="9"/>
    <n v="6"/>
  </r>
  <r>
    <n v="126"/>
    <n v="1"/>
    <n v="9"/>
    <x v="0"/>
    <n v="2"/>
    <n v="2999.99"/>
    <n v="0.05"/>
    <n v="149.99949999999998"/>
    <n v="9"/>
    <n v="6"/>
  </r>
  <r>
    <n v="127"/>
    <n v="1"/>
    <n v="17"/>
    <x v="0"/>
    <n v="1"/>
    <n v="429"/>
    <n v="7.0000000000000007E-2"/>
    <n v="30.03"/>
    <n v="9"/>
    <n v="6"/>
  </r>
  <r>
    <n v="127"/>
    <n v="2"/>
    <n v="20"/>
    <x v="1"/>
    <n v="1"/>
    <n v="599.99"/>
    <n v="0.1"/>
    <n v="59.999000000000002"/>
    <n v="5"/>
    <n v="6"/>
  </r>
  <r>
    <n v="127"/>
    <n v="3"/>
    <n v="4"/>
    <x v="2"/>
    <n v="2"/>
    <n v="2899.99"/>
    <n v="7.0000000000000007E-2"/>
    <n v="202.99930000000001"/>
    <n v="8"/>
    <n v="6"/>
  </r>
  <r>
    <n v="128"/>
    <n v="1"/>
    <n v="24"/>
    <x v="0"/>
    <n v="2"/>
    <n v="549.99"/>
    <n v="0.1"/>
    <n v="54.999000000000002"/>
    <n v="9"/>
    <n v="6"/>
  </r>
  <r>
    <n v="128"/>
    <n v="2"/>
    <n v="16"/>
    <x v="1"/>
    <n v="2"/>
    <n v="599.99"/>
    <n v="0.1"/>
    <n v="59.999000000000002"/>
    <n v="5"/>
    <n v="6"/>
  </r>
  <r>
    <n v="128"/>
    <n v="3"/>
    <n v="4"/>
    <x v="2"/>
    <n v="2"/>
    <n v="2899.99"/>
    <n v="0.2"/>
    <n v="579.99799999999993"/>
    <n v="8"/>
    <n v="6"/>
  </r>
  <r>
    <n v="128"/>
    <n v="4"/>
    <n v="3"/>
    <x v="3"/>
    <n v="2"/>
    <n v="999.99"/>
    <n v="0.2"/>
    <n v="199.99800000000002"/>
    <n v="9"/>
    <n v="6"/>
  </r>
  <r>
    <n v="129"/>
    <n v="1"/>
    <n v="18"/>
    <x v="0"/>
    <n v="1"/>
    <n v="449"/>
    <n v="0.1"/>
    <n v="44.900000000000006"/>
    <n v="9"/>
    <n v="6"/>
  </r>
  <r>
    <n v="129"/>
    <n v="2"/>
    <n v="9"/>
    <x v="1"/>
    <n v="1"/>
    <n v="2999.99"/>
    <n v="0.1"/>
    <n v="299.99899999999997"/>
    <n v="5"/>
    <n v="6"/>
  </r>
  <r>
    <n v="130"/>
    <n v="1"/>
    <n v="26"/>
    <x v="0"/>
    <n v="1"/>
    <n v="599.99"/>
    <n v="0.05"/>
    <n v="29.999500000000001"/>
    <n v="9"/>
    <n v="6"/>
  </r>
  <r>
    <n v="130"/>
    <n v="2"/>
    <n v="5"/>
    <x v="1"/>
    <n v="2"/>
    <n v="1320.99"/>
    <n v="7.0000000000000007E-2"/>
    <n v="92.469300000000004"/>
    <n v="5"/>
    <n v="6"/>
  </r>
  <r>
    <n v="131"/>
    <n v="1"/>
    <n v="22"/>
    <x v="0"/>
    <n v="2"/>
    <n v="269.99"/>
    <n v="0.2"/>
    <n v="53.998000000000005"/>
    <n v="9"/>
    <n v="6"/>
  </r>
  <r>
    <n v="131"/>
    <n v="2"/>
    <n v="4"/>
    <x v="1"/>
    <n v="2"/>
    <n v="2899.99"/>
    <n v="7.0000000000000007E-2"/>
    <n v="202.99930000000001"/>
    <n v="5"/>
    <n v="6"/>
  </r>
  <r>
    <n v="131"/>
    <n v="3"/>
    <n v="24"/>
    <x v="2"/>
    <n v="2"/>
    <n v="549.99"/>
    <n v="0.1"/>
    <n v="54.999000000000002"/>
    <n v="8"/>
    <n v="6"/>
  </r>
  <r>
    <n v="132"/>
    <n v="1"/>
    <n v="2"/>
    <x v="0"/>
    <n v="2"/>
    <n v="749.99"/>
    <n v="0.05"/>
    <n v="37.499500000000005"/>
    <n v="9"/>
    <n v="6"/>
  </r>
  <r>
    <n v="132"/>
    <n v="2"/>
    <n v="20"/>
    <x v="1"/>
    <n v="1"/>
    <n v="599.99"/>
    <n v="0.05"/>
    <n v="29.999500000000001"/>
    <n v="5"/>
    <n v="6"/>
  </r>
  <r>
    <n v="132"/>
    <n v="3"/>
    <n v="9"/>
    <x v="2"/>
    <n v="1"/>
    <n v="2999.99"/>
    <n v="0.1"/>
    <n v="299.99899999999997"/>
    <n v="8"/>
    <n v="6"/>
  </r>
  <r>
    <n v="133"/>
    <n v="1"/>
    <n v="13"/>
    <x v="0"/>
    <n v="2"/>
    <n v="269.99"/>
    <n v="0.05"/>
    <n v="13.499500000000001"/>
    <n v="9"/>
    <n v="6"/>
  </r>
  <r>
    <n v="133"/>
    <n v="2"/>
    <n v="22"/>
    <x v="1"/>
    <n v="1"/>
    <n v="269.99"/>
    <n v="0.2"/>
    <n v="53.998000000000005"/>
    <n v="5"/>
    <n v="6"/>
  </r>
  <r>
    <n v="134"/>
    <n v="1"/>
    <n v="19"/>
    <x v="0"/>
    <n v="2"/>
    <n v="449"/>
    <n v="0.1"/>
    <n v="44.900000000000006"/>
    <n v="9"/>
    <n v="6"/>
  </r>
  <r>
    <n v="134"/>
    <n v="2"/>
    <n v="2"/>
    <x v="1"/>
    <n v="2"/>
    <n v="749.99"/>
    <n v="7.0000000000000007E-2"/>
    <n v="52.499300000000005"/>
    <n v="5"/>
    <n v="6"/>
  </r>
  <r>
    <n v="134"/>
    <n v="3"/>
    <n v="18"/>
    <x v="2"/>
    <n v="2"/>
    <n v="449"/>
    <n v="7.0000000000000007E-2"/>
    <n v="31.430000000000003"/>
    <n v="8"/>
    <n v="6"/>
  </r>
  <r>
    <n v="135"/>
    <n v="1"/>
    <n v="5"/>
    <x v="0"/>
    <n v="2"/>
    <n v="1320.99"/>
    <n v="0.05"/>
    <n v="66.049500000000009"/>
    <n v="9"/>
    <n v="6"/>
  </r>
  <r>
    <n v="135"/>
    <n v="2"/>
    <n v="18"/>
    <x v="1"/>
    <n v="2"/>
    <n v="449"/>
    <n v="0.05"/>
    <n v="22.450000000000003"/>
    <n v="5"/>
    <n v="6"/>
  </r>
  <r>
    <n v="135"/>
    <n v="3"/>
    <n v="25"/>
    <x v="2"/>
    <n v="1"/>
    <n v="499.99"/>
    <n v="0.2"/>
    <n v="99.998000000000005"/>
    <n v="8"/>
    <n v="6"/>
  </r>
  <r>
    <n v="135"/>
    <n v="4"/>
    <n v="2"/>
    <x v="3"/>
    <n v="1"/>
    <n v="749.99"/>
    <n v="0.05"/>
    <n v="37.499500000000005"/>
    <n v="9"/>
    <n v="6"/>
  </r>
  <r>
    <n v="136"/>
    <n v="1"/>
    <n v="7"/>
    <x v="0"/>
    <n v="2"/>
    <n v="3999.99"/>
    <n v="0.2"/>
    <n v="799.99800000000005"/>
    <n v="9"/>
    <n v="6"/>
  </r>
  <r>
    <n v="136"/>
    <n v="2"/>
    <n v="3"/>
    <x v="1"/>
    <n v="2"/>
    <n v="999.99"/>
    <n v="0.05"/>
    <n v="49.999500000000005"/>
    <n v="5"/>
    <n v="6"/>
  </r>
  <r>
    <n v="137"/>
    <n v="1"/>
    <n v="23"/>
    <x v="0"/>
    <n v="1"/>
    <n v="299.99"/>
    <n v="7.0000000000000007E-2"/>
    <n v="20.999300000000002"/>
    <n v="9"/>
    <n v="6"/>
  </r>
  <r>
    <n v="137"/>
    <n v="2"/>
    <n v="22"/>
    <x v="1"/>
    <n v="1"/>
    <n v="269.99"/>
    <n v="0.1"/>
    <n v="26.999000000000002"/>
    <n v="5"/>
    <n v="6"/>
  </r>
  <r>
    <n v="138"/>
    <n v="1"/>
    <n v="16"/>
    <x v="0"/>
    <n v="2"/>
    <n v="599.99"/>
    <n v="0.1"/>
    <n v="59.999000000000002"/>
    <n v="9"/>
    <n v="6"/>
  </r>
  <r>
    <n v="138"/>
    <n v="2"/>
    <n v="6"/>
    <x v="1"/>
    <n v="1"/>
    <n v="469.99"/>
    <n v="0.2"/>
    <n v="93.998000000000005"/>
    <n v="5"/>
    <n v="6"/>
  </r>
  <r>
    <n v="139"/>
    <n v="1"/>
    <n v="19"/>
    <x v="0"/>
    <n v="2"/>
    <n v="449"/>
    <n v="7.0000000000000007E-2"/>
    <n v="31.430000000000003"/>
    <n v="9"/>
    <n v="6"/>
  </r>
  <r>
    <n v="139"/>
    <n v="2"/>
    <n v="3"/>
    <x v="1"/>
    <n v="1"/>
    <n v="999.99"/>
    <n v="7.0000000000000007E-2"/>
    <n v="69.999300000000005"/>
    <n v="5"/>
    <n v="6"/>
  </r>
  <r>
    <n v="140"/>
    <n v="1"/>
    <n v="15"/>
    <x v="0"/>
    <n v="1"/>
    <n v="529.99"/>
    <n v="0.2"/>
    <n v="105.998"/>
    <n v="9"/>
    <n v="6"/>
  </r>
  <r>
    <n v="140"/>
    <n v="2"/>
    <n v="21"/>
    <x v="1"/>
    <n v="1"/>
    <n v="269.99"/>
    <n v="0.2"/>
    <n v="53.998000000000005"/>
    <n v="5"/>
    <n v="6"/>
  </r>
  <r>
    <n v="140"/>
    <n v="3"/>
    <n v="12"/>
    <x v="2"/>
    <n v="2"/>
    <n v="549.99"/>
    <n v="0.2"/>
    <n v="109.998"/>
    <n v="8"/>
    <n v="6"/>
  </r>
  <r>
    <n v="140"/>
    <n v="4"/>
    <n v="3"/>
    <x v="3"/>
    <n v="1"/>
    <n v="999.99"/>
    <n v="0.05"/>
    <n v="49.999500000000005"/>
    <n v="9"/>
    <n v="6"/>
  </r>
  <r>
    <n v="141"/>
    <n v="1"/>
    <n v="18"/>
    <x v="0"/>
    <n v="1"/>
    <n v="449"/>
    <n v="0.2"/>
    <n v="89.800000000000011"/>
    <n v="9"/>
    <n v="6"/>
  </r>
  <r>
    <n v="142"/>
    <n v="1"/>
    <n v="16"/>
    <x v="0"/>
    <n v="2"/>
    <n v="599.99"/>
    <n v="0.1"/>
    <n v="59.999000000000002"/>
    <n v="9"/>
    <n v="6"/>
  </r>
  <r>
    <n v="142"/>
    <n v="2"/>
    <n v="11"/>
    <x v="1"/>
    <n v="2"/>
    <n v="1680.99"/>
    <n v="0.1"/>
    <n v="168.09900000000002"/>
    <n v="5"/>
    <n v="6"/>
  </r>
  <r>
    <n v="142"/>
    <n v="3"/>
    <n v="19"/>
    <x v="2"/>
    <n v="1"/>
    <n v="449"/>
    <n v="7.0000000000000007E-2"/>
    <n v="31.430000000000003"/>
    <n v="8"/>
    <n v="6"/>
  </r>
  <r>
    <n v="143"/>
    <n v="1"/>
    <n v="6"/>
    <x v="0"/>
    <n v="1"/>
    <n v="469.99"/>
    <n v="0.2"/>
    <n v="93.998000000000005"/>
    <n v="9"/>
    <n v="6"/>
  </r>
  <r>
    <n v="144"/>
    <n v="1"/>
    <n v="8"/>
    <x v="0"/>
    <n v="2"/>
    <n v="1799.99"/>
    <n v="0.05"/>
    <n v="89.999500000000012"/>
    <n v="9"/>
    <n v="6"/>
  </r>
  <r>
    <n v="145"/>
    <n v="1"/>
    <n v="11"/>
    <x v="0"/>
    <n v="1"/>
    <n v="1680.99"/>
    <n v="0.2"/>
    <n v="336.19800000000004"/>
    <n v="9"/>
    <n v="6"/>
  </r>
  <r>
    <n v="145"/>
    <n v="2"/>
    <n v="9"/>
    <x v="1"/>
    <n v="2"/>
    <n v="2999.99"/>
    <n v="0.1"/>
    <n v="299.99899999999997"/>
    <n v="5"/>
    <n v="6"/>
  </r>
  <r>
    <n v="146"/>
    <n v="1"/>
    <n v="3"/>
    <x v="0"/>
    <n v="2"/>
    <n v="999.99"/>
    <n v="0.2"/>
    <n v="199.99800000000002"/>
    <n v="9"/>
    <n v="6"/>
  </r>
  <r>
    <n v="146"/>
    <n v="2"/>
    <n v="12"/>
    <x v="1"/>
    <n v="1"/>
    <n v="549.99"/>
    <n v="0.1"/>
    <n v="54.999000000000002"/>
    <n v="5"/>
    <n v="6"/>
  </r>
  <r>
    <n v="146"/>
    <n v="3"/>
    <n v="20"/>
    <x v="2"/>
    <n v="2"/>
    <n v="599.99"/>
    <n v="0.1"/>
    <n v="59.999000000000002"/>
    <n v="8"/>
    <n v="6"/>
  </r>
  <r>
    <n v="146"/>
    <n v="4"/>
    <n v="6"/>
    <x v="3"/>
    <n v="2"/>
    <n v="469.99"/>
    <n v="0.05"/>
    <n v="23.499500000000001"/>
    <n v="9"/>
    <n v="6"/>
  </r>
  <r>
    <n v="146"/>
    <n v="5"/>
    <n v="2"/>
    <x v="4"/>
    <n v="1"/>
    <n v="749.99"/>
    <n v="7.0000000000000007E-2"/>
    <n v="52.499300000000005"/>
    <n v="3"/>
    <n v="6"/>
  </r>
  <r>
    <n v="147"/>
    <n v="1"/>
    <n v="26"/>
    <x v="0"/>
    <n v="2"/>
    <n v="599.99"/>
    <n v="0.2"/>
    <n v="119.998"/>
    <n v="9"/>
    <n v="6"/>
  </r>
  <r>
    <n v="148"/>
    <n v="1"/>
    <n v="14"/>
    <x v="0"/>
    <n v="1"/>
    <n v="269.99"/>
    <n v="0.05"/>
    <n v="13.499500000000001"/>
    <n v="9"/>
    <n v="6"/>
  </r>
  <r>
    <n v="149"/>
    <n v="1"/>
    <n v="12"/>
    <x v="0"/>
    <n v="2"/>
    <n v="549.99"/>
    <n v="7.0000000000000007E-2"/>
    <n v="38.499300000000005"/>
    <n v="9"/>
    <n v="6"/>
  </r>
  <r>
    <n v="149"/>
    <n v="2"/>
    <n v="21"/>
    <x v="1"/>
    <n v="2"/>
    <n v="269.99"/>
    <n v="7.0000000000000007E-2"/>
    <n v="18.899300000000004"/>
    <n v="5"/>
    <n v="6"/>
  </r>
  <r>
    <n v="150"/>
    <n v="1"/>
    <n v="7"/>
    <x v="0"/>
    <n v="1"/>
    <n v="3999.99"/>
    <n v="0.1"/>
    <n v="399.99900000000002"/>
    <n v="9"/>
    <n v="6"/>
  </r>
  <r>
    <n v="150"/>
    <n v="2"/>
    <n v="3"/>
    <x v="1"/>
    <n v="1"/>
    <n v="999.99"/>
    <n v="0.2"/>
    <n v="199.99800000000002"/>
    <n v="5"/>
    <n v="6"/>
  </r>
  <r>
    <n v="150"/>
    <n v="3"/>
    <n v="17"/>
    <x v="2"/>
    <n v="1"/>
    <n v="429"/>
    <n v="7.0000000000000007E-2"/>
    <n v="30.03"/>
    <n v="8"/>
    <n v="6"/>
  </r>
  <r>
    <n v="150"/>
    <n v="4"/>
    <n v="25"/>
    <x v="3"/>
    <n v="2"/>
    <n v="499.99"/>
    <n v="7.0000000000000007E-2"/>
    <n v="34.999300000000005"/>
    <n v="9"/>
    <n v="6"/>
  </r>
  <r>
    <n v="151"/>
    <n v="1"/>
    <n v="17"/>
    <x v="0"/>
    <n v="1"/>
    <n v="429"/>
    <n v="0.1"/>
    <n v="42.900000000000006"/>
    <n v="9"/>
    <n v="6"/>
  </r>
  <r>
    <n v="151"/>
    <n v="2"/>
    <n v="26"/>
    <x v="1"/>
    <n v="1"/>
    <n v="599.99"/>
    <n v="0.1"/>
    <n v="59.999000000000002"/>
    <n v="5"/>
    <n v="6"/>
  </r>
  <r>
    <n v="152"/>
    <n v="1"/>
    <n v="6"/>
    <x v="0"/>
    <n v="2"/>
    <n v="469.99"/>
    <n v="0.2"/>
    <n v="93.998000000000005"/>
    <n v="9"/>
    <n v="6"/>
  </r>
  <r>
    <n v="152"/>
    <n v="2"/>
    <n v="22"/>
    <x v="1"/>
    <n v="2"/>
    <n v="269.99"/>
    <n v="0.2"/>
    <n v="53.998000000000005"/>
    <n v="5"/>
    <n v="6"/>
  </r>
  <r>
    <n v="152"/>
    <n v="3"/>
    <n v="16"/>
    <x v="2"/>
    <n v="2"/>
    <n v="599.99"/>
    <n v="7.0000000000000007E-2"/>
    <n v="41.999300000000005"/>
    <n v="8"/>
    <n v="6"/>
  </r>
  <r>
    <n v="153"/>
    <n v="1"/>
    <n v="16"/>
    <x v="0"/>
    <n v="1"/>
    <n v="599.99"/>
    <n v="7.0000000000000007E-2"/>
    <n v="41.999300000000005"/>
    <n v="9"/>
    <n v="6"/>
  </r>
  <r>
    <n v="153"/>
    <n v="2"/>
    <n v="8"/>
    <x v="1"/>
    <n v="1"/>
    <n v="1799.99"/>
    <n v="7.0000000000000007E-2"/>
    <n v="125.99930000000002"/>
    <n v="5"/>
    <n v="6"/>
  </r>
  <r>
    <n v="153"/>
    <n v="3"/>
    <n v="15"/>
    <x v="2"/>
    <n v="2"/>
    <n v="529.99"/>
    <n v="0.05"/>
    <n v="26.499500000000001"/>
    <n v="8"/>
    <n v="6"/>
  </r>
  <r>
    <n v="154"/>
    <n v="1"/>
    <n v="12"/>
    <x v="0"/>
    <n v="1"/>
    <n v="549.99"/>
    <n v="0.1"/>
    <n v="54.999000000000002"/>
    <n v="9"/>
    <n v="6"/>
  </r>
  <r>
    <n v="155"/>
    <n v="1"/>
    <n v="8"/>
    <x v="0"/>
    <n v="1"/>
    <n v="1799.99"/>
    <n v="0.1"/>
    <n v="179.99900000000002"/>
    <n v="9"/>
    <n v="6"/>
  </r>
  <r>
    <n v="156"/>
    <n v="1"/>
    <n v="18"/>
    <x v="0"/>
    <n v="2"/>
    <n v="449"/>
    <n v="0.2"/>
    <n v="89.800000000000011"/>
    <n v="9"/>
    <n v="6"/>
  </r>
  <r>
    <n v="156"/>
    <n v="2"/>
    <n v="17"/>
    <x v="1"/>
    <n v="2"/>
    <n v="429"/>
    <n v="0.05"/>
    <n v="21.450000000000003"/>
    <n v="5"/>
    <n v="6"/>
  </r>
  <r>
    <n v="156"/>
    <n v="3"/>
    <n v="6"/>
    <x v="2"/>
    <n v="1"/>
    <n v="469.99"/>
    <n v="7.0000000000000007E-2"/>
    <n v="32.899300000000004"/>
    <n v="8"/>
    <n v="6"/>
  </r>
  <r>
    <n v="157"/>
    <n v="1"/>
    <n v="4"/>
    <x v="0"/>
    <n v="1"/>
    <n v="2899.99"/>
    <n v="0.1"/>
    <n v="289.99899999999997"/>
    <n v="9"/>
    <n v="6"/>
  </r>
  <r>
    <n v="157"/>
    <n v="2"/>
    <n v="7"/>
    <x v="1"/>
    <n v="2"/>
    <n v="3999.99"/>
    <n v="7.0000000000000007E-2"/>
    <n v="279.99930000000001"/>
    <n v="5"/>
    <n v="6"/>
  </r>
  <r>
    <n v="158"/>
    <n v="1"/>
    <n v="24"/>
    <x v="0"/>
    <n v="1"/>
    <n v="549.99"/>
    <n v="0.1"/>
    <n v="54.999000000000002"/>
    <n v="9"/>
    <n v="6"/>
  </r>
  <r>
    <n v="159"/>
    <n v="1"/>
    <n v="13"/>
    <x v="0"/>
    <n v="1"/>
    <n v="269.99"/>
    <n v="0.2"/>
    <n v="53.998000000000005"/>
    <n v="9"/>
    <n v="6"/>
  </r>
  <r>
    <n v="160"/>
    <n v="1"/>
    <n v="21"/>
    <x v="0"/>
    <n v="1"/>
    <n v="269.99"/>
    <n v="7.0000000000000007E-2"/>
    <n v="18.899300000000004"/>
    <n v="9"/>
    <n v="6"/>
  </r>
  <r>
    <n v="160"/>
    <n v="2"/>
    <n v="15"/>
    <x v="1"/>
    <n v="2"/>
    <n v="529.99"/>
    <n v="7.0000000000000007E-2"/>
    <n v="37.099300000000007"/>
    <n v="5"/>
    <n v="6"/>
  </r>
  <r>
    <n v="160"/>
    <n v="3"/>
    <n v="18"/>
    <x v="2"/>
    <n v="2"/>
    <n v="449"/>
    <n v="0.1"/>
    <n v="44.900000000000006"/>
    <n v="8"/>
    <n v="6"/>
  </r>
  <r>
    <n v="160"/>
    <n v="4"/>
    <n v="11"/>
    <x v="3"/>
    <n v="1"/>
    <n v="1680.99"/>
    <n v="0.05"/>
    <n v="84.049500000000009"/>
    <n v="9"/>
    <n v="6"/>
  </r>
  <r>
    <n v="161"/>
    <n v="1"/>
    <n v="24"/>
    <x v="0"/>
    <n v="2"/>
    <n v="549.99"/>
    <n v="7.0000000000000007E-2"/>
    <n v="38.499300000000005"/>
    <n v="9"/>
    <n v="6"/>
  </r>
  <r>
    <n v="161"/>
    <n v="2"/>
    <n v="22"/>
    <x v="1"/>
    <n v="1"/>
    <n v="269.99"/>
    <n v="0.05"/>
    <n v="13.499500000000001"/>
    <n v="5"/>
    <n v="6"/>
  </r>
  <r>
    <n v="161"/>
    <n v="3"/>
    <n v="7"/>
    <x v="2"/>
    <n v="2"/>
    <n v="3999.99"/>
    <n v="0.05"/>
    <n v="199.99950000000001"/>
    <n v="8"/>
    <n v="6"/>
  </r>
  <r>
    <n v="162"/>
    <n v="1"/>
    <n v="18"/>
    <x v="0"/>
    <n v="1"/>
    <n v="449"/>
    <n v="7.0000000000000007E-2"/>
    <n v="31.430000000000003"/>
    <n v="9"/>
    <n v="6"/>
  </r>
  <r>
    <n v="162"/>
    <n v="2"/>
    <n v="21"/>
    <x v="1"/>
    <n v="2"/>
    <n v="269.99"/>
    <n v="7.0000000000000007E-2"/>
    <n v="18.899300000000004"/>
    <n v="5"/>
    <n v="6"/>
  </r>
  <r>
    <n v="162"/>
    <n v="3"/>
    <n v="3"/>
    <x v="2"/>
    <n v="2"/>
    <n v="999.99"/>
    <n v="0.1"/>
    <n v="99.999000000000009"/>
    <n v="8"/>
    <n v="6"/>
  </r>
  <r>
    <n v="163"/>
    <n v="1"/>
    <n v="12"/>
    <x v="0"/>
    <n v="1"/>
    <n v="549.99"/>
    <n v="0.1"/>
    <n v="54.999000000000002"/>
    <n v="9"/>
    <n v="6"/>
  </r>
  <r>
    <n v="163"/>
    <n v="2"/>
    <n v="18"/>
    <x v="1"/>
    <n v="1"/>
    <n v="449"/>
    <n v="0.2"/>
    <n v="89.800000000000011"/>
    <n v="5"/>
    <n v="6"/>
  </r>
  <r>
    <n v="164"/>
    <n v="1"/>
    <n v="4"/>
    <x v="0"/>
    <n v="2"/>
    <n v="2899.99"/>
    <n v="0.05"/>
    <n v="144.99949999999998"/>
    <n v="9"/>
    <n v="6"/>
  </r>
  <r>
    <n v="164"/>
    <n v="2"/>
    <n v="10"/>
    <x v="1"/>
    <n v="2"/>
    <n v="1549"/>
    <n v="0.05"/>
    <n v="77.45"/>
    <n v="5"/>
    <n v="6"/>
  </r>
  <r>
    <n v="164"/>
    <n v="3"/>
    <n v="14"/>
    <x v="2"/>
    <n v="1"/>
    <n v="269.99"/>
    <n v="0.1"/>
    <n v="26.999000000000002"/>
    <n v="8"/>
    <n v="6"/>
  </r>
  <r>
    <n v="165"/>
    <n v="1"/>
    <n v="4"/>
    <x v="0"/>
    <n v="2"/>
    <n v="2899.99"/>
    <n v="0.05"/>
    <n v="144.99949999999998"/>
    <n v="9"/>
    <n v="6"/>
  </r>
  <r>
    <n v="165"/>
    <n v="2"/>
    <n v="23"/>
    <x v="1"/>
    <n v="1"/>
    <n v="299.99"/>
    <n v="0.2"/>
    <n v="59.998000000000005"/>
    <n v="5"/>
    <n v="6"/>
  </r>
  <r>
    <n v="165"/>
    <n v="3"/>
    <n v="2"/>
    <x v="2"/>
    <n v="1"/>
    <n v="749.99"/>
    <n v="0.05"/>
    <n v="37.499500000000005"/>
    <n v="8"/>
    <n v="6"/>
  </r>
  <r>
    <n v="166"/>
    <n v="1"/>
    <n v="10"/>
    <x v="0"/>
    <n v="2"/>
    <n v="1549"/>
    <n v="0.1"/>
    <n v="154.9"/>
    <n v="9"/>
    <n v="6"/>
  </r>
  <r>
    <n v="166"/>
    <n v="2"/>
    <n v="11"/>
    <x v="1"/>
    <n v="1"/>
    <n v="1680.99"/>
    <n v="0.2"/>
    <n v="336.19800000000004"/>
    <n v="5"/>
    <n v="6"/>
  </r>
  <r>
    <n v="167"/>
    <n v="1"/>
    <n v="12"/>
    <x v="0"/>
    <n v="1"/>
    <n v="549.99"/>
    <n v="0.05"/>
    <n v="27.499500000000001"/>
    <n v="9"/>
    <n v="6"/>
  </r>
  <r>
    <n v="167"/>
    <n v="2"/>
    <n v="10"/>
    <x v="1"/>
    <n v="1"/>
    <n v="1549"/>
    <n v="0.2"/>
    <n v="309.8"/>
    <n v="5"/>
    <n v="6"/>
  </r>
  <r>
    <n v="167"/>
    <n v="3"/>
    <n v="13"/>
    <x v="2"/>
    <n v="2"/>
    <n v="269.99"/>
    <n v="0.05"/>
    <n v="13.499500000000001"/>
    <n v="8"/>
    <n v="6"/>
  </r>
  <r>
    <n v="167"/>
    <n v="4"/>
    <n v="7"/>
    <x v="3"/>
    <n v="2"/>
    <n v="3999.99"/>
    <n v="0.05"/>
    <n v="199.99950000000001"/>
    <n v="9"/>
    <n v="6"/>
  </r>
  <r>
    <n v="168"/>
    <n v="1"/>
    <n v="6"/>
    <x v="0"/>
    <n v="1"/>
    <n v="469.99"/>
    <n v="0.1"/>
    <n v="46.999000000000002"/>
    <n v="9"/>
    <n v="6"/>
  </r>
  <r>
    <n v="168"/>
    <n v="2"/>
    <n v="11"/>
    <x v="1"/>
    <n v="2"/>
    <n v="1680.99"/>
    <n v="7.0000000000000007E-2"/>
    <n v="117.66930000000001"/>
    <n v="5"/>
    <n v="6"/>
  </r>
  <r>
    <n v="168"/>
    <n v="3"/>
    <n v="12"/>
    <x v="2"/>
    <n v="2"/>
    <n v="549.99"/>
    <n v="7.0000000000000007E-2"/>
    <n v="38.499300000000005"/>
    <n v="8"/>
    <n v="6"/>
  </r>
  <r>
    <n v="168"/>
    <n v="4"/>
    <n v="22"/>
    <x v="3"/>
    <n v="2"/>
    <n v="269.99"/>
    <n v="0.2"/>
    <n v="53.998000000000005"/>
    <n v="9"/>
    <n v="6"/>
  </r>
  <r>
    <n v="169"/>
    <n v="1"/>
    <n v="20"/>
    <x v="0"/>
    <n v="2"/>
    <n v="599.99"/>
    <n v="0.1"/>
    <n v="59.999000000000002"/>
    <n v="9"/>
    <n v="6"/>
  </r>
  <r>
    <n v="169"/>
    <n v="2"/>
    <n v="5"/>
    <x v="1"/>
    <n v="1"/>
    <n v="1320.99"/>
    <n v="0.05"/>
    <n v="66.049500000000009"/>
    <n v="5"/>
    <n v="6"/>
  </r>
  <r>
    <n v="169"/>
    <n v="3"/>
    <n v="10"/>
    <x v="2"/>
    <n v="1"/>
    <n v="1549"/>
    <n v="0.2"/>
    <n v="309.8"/>
    <n v="8"/>
    <n v="6"/>
  </r>
  <r>
    <n v="169"/>
    <n v="4"/>
    <n v="11"/>
    <x v="3"/>
    <n v="1"/>
    <n v="1680.99"/>
    <n v="0.2"/>
    <n v="336.19800000000004"/>
    <n v="9"/>
    <n v="6"/>
  </r>
  <r>
    <n v="169"/>
    <n v="5"/>
    <n v="14"/>
    <x v="4"/>
    <n v="2"/>
    <n v="269.99"/>
    <n v="0.05"/>
    <n v="13.499500000000001"/>
    <n v="3"/>
    <n v="6"/>
  </r>
  <r>
    <n v="170"/>
    <n v="1"/>
    <n v="12"/>
    <x v="0"/>
    <n v="2"/>
    <n v="549.99"/>
    <n v="0.1"/>
    <n v="54.999000000000002"/>
    <n v="9"/>
    <n v="6"/>
  </r>
  <r>
    <n v="170"/>
    <n v="2"/>
    <n v="24"/>
    <x v="1"/>
    <n v="1"/>
    <n v="549.99"/>
    <n v="0.05"/>
    <n v="27.499500000000001"/>
    <n v="5"/>
    <n v="6"/>
  </r>
  <r>
    <n v="170"/>
    <n v="3"/>
    <n v="7"/>
    <x v="2"/>
    <n v="1"/>
    <n v="3999.99"/>
    <n v="0.2"/>
    <n v="799.99800000000005"/>
    <n v="8"/>
    <n v="6"/>
  </r>
  <r>
    <n v="170"/>
    <n v="4"/>
    <n v="18"/>
    <x v="3"/>
    <n v="2"/>
    <n v="449"/>
    <n v="0.05"/>
    <n v="22.450000000000003"/>
    <n v="9"/>
    <n v="6"/>
  </r>
  <r>
    <n v="171"/>
    <n v="1"/>
    <n v="8"/>
    <x v="0"/>
    <n v="1"/>
    <n v="1799.99"/>
    <n v="0.05"/>
    <n v="89.999500000000012"/>
    <n v="9"/>
    <n v="6"/>
  </r>
  <r>
    <n v="172"/>
    <n v="1"/>
    <n v="23"/>
    <x v="0"/>
    <n v="1"/>
    <n v="299.99"/>
    <n v="7.0000000000000007E-2"/>
    <n v="20.999300000000002"/>
    <n v="9"/>
    <n v="6"/>
  </r>
  <r>
    <n v="172"/>
    <n v="2"/>
    <n v="16"/>
    <x v="1"/>
    <n v="1"/>
    <n v="599.99"/>
    <n v="0.2"/>
    <n v="119.998"/>
    <n v="5"/>
    <n v="6"/>
  </r>
  <r>
    <n v="173"/>
    <n v="1"/>
    <n v="14"/>
    <x v="0"/>
    <n v="1"/>
    <n v="269.99"/>
    <n v="0.05"/>
    <n v="13.499500000000001"/>
    <n v="9"/>
    <n v="6"/>
  </r>
  <r>
    <n v="173"/>
    <n v="2"/>
    <n v="16"/>
    <x v="1"/>
    <n v="1"/>
    <n v="599.99"/>
    <n v="0.2"/>
    <n v="119.998"/>
    <n v="5"/>
    <n v="6"/>
  </r>
  <r>
    <n v="173"/>
    <n v="3"/>
    <n v="20"/>
    <x v="2"/>
    <n v="2"/>
    <n v="599.99"/>
    <n v="0.05"/>
    <n v="29.999500000000001"/>
    <n v="8"/>
    <n v="6"/>
  </r>
  <r>
    <n v="174"/>
    <n v="1"/>
    <n v="22"/>
    <x v="0"/>
    <n v="2"/>
    <n v="269.99"/>
    <n v="0.2"/>
    <n v="53.998000000000005"/>
    <n v="9"/>
    <n v="6"/>
  </r>
  <r>
    <n v="174"/>
    <n v="2"/>
    <n v="19"/>
    <x v="1"/>
    <n v="2"/>
    <n v="449"/>
    <n v="0.1"/>
    <n v="44.900000000000006"/>
    <n v="5"/>
    <n v="6"/>
  </r>
  <r>
    <n v="175"/>
    <n v="1"/>
    <n v="5"/>
    <x v="0"/>
    <n v="1"/>
    <n v="1320.99"/>
    <n v="0.1"/>
    <n v="132.09900000000002"/>
    <n v="9"/>
    <n v="6"/>
  </r>
  <r>
    <n v="175"/>
    <n v="2"/>
    <n v="2"/>
    <x v="1"/>
    <n v="2"/>
    <n v="749.99"/>
    <n v="0.2"/>
    <n v="149.99800000000002"/>
    <n v="5"/>
    <n v="6"/>
  </r>
  <r>
    <n v="175"/>
    <n v="3"/>
    <n v="21"/>
    <x v="2"/>
    <n v="2"/>
    <n v="269.99"/>
    <n v="0.1"/>
    <n v="26.999000000000002"/>
    <n v="8"/>
    <n v="6"/>
  </r>
  <r>
    <n v="175"/>
    <n v="4"/>
    <n v="19"/>
    <x v="3"/>
    <n v="1"/>
    <n v="449"/>
    <n v="7.0000000000000007E-2"/>
    <n v="31.430000000000003"/>
    <n v="9"/>
    <n v="6"/>
  </r>
  <r>
    <n v="176"/>
    <n v="1"/>
    <n v="2"/>
    <x v="0"/>
    <n v="2"/>
    <n v="749.99"/>
    <n v="7.0000000000000007E-2"/>
    <n v="52.499300000000005"/>
    <n v="9"/>
    <n v="6"/>
  </r>
  <r>
    <n v="176"/>
    <n v="2"/>
    <n v="11"/>
    <x v="1"/>
    <n v="2"/>
    <n v="1680.99"/>
    <n v="0.2"/>
    <n v="336.19800000000004"/>
    <n v="5"/>
    <n v="6"/>
  </r>
  <r>
    <n v="176"/>
    <n v="3"/>
    <n v="16"/>
    <x v="2"/>
    <n v="2"/>
    <n v="599.99"/>
    <n v="0.05"/>
    <n v="29.999500000000001"/>
    <n v="8"/>
    <n v="6"/>
  </r>
  <r>
    <n v="177"/>
    <n v="1"/>
    <n v="20"/>
    <x v="0"/>
    <n v="2"/>
    <n v="599.99"/>
    <n v="0.1"/>
    <n v="59.999000000000002"/>
    <n v="9"/>
    <n v="6"/>
  </r>
  <r>
    <n v="178"/>
    <n v="1"/>
    <n v="10"/>
    <x v="0"/>
    <n v="2"/>
    <n v="1549"/>
    <n v="0.2"/>
    <n v="309.8"/>
    <n v="9"/>
    <n v="6"/>
  </r>
  <r>
    <n v="178"/>
    <n v="2"/>
    <n v="12"/>
    <x v="1"/>
    <n v="1"/>
    <n v="549.99"/>
    <n v="0.05"/>
    <n v="27.499500000000001"/>
    <n v="5"/>
    <n v="6"/>
  </r>
  <r>
    <n v="178"/>
    <n v="3"/>
    <n v="3"/>
    <x v="2"/>
    <n v="1"/>
    <n v="999.99"/>
    <n v="0.1"/>
    <n v="99.999000000000009"/>
    <n v="8"/>
    <n v="6"/>
  </r>
  <r>
    <n v="178"/>
    <n v="4"/>
    <n v="18"/>
    <x v="3"/>
    <n v="1"/>
    <n v="449"/>
    <n v="7.0000000000000007E-2"/>
    <n v="31.430000000000003"/>
    <n v="9"/>
    <n v="6"/>
  </r>
  <r>
    <n v="179"/>
    <n v="1"/>
    <n v="13"/>
    <x v="0"/>
    <n v="2"/>
    <n v="269.99"/>
    <n v="0.05"/>
    <n v="13.499500000000001"/>
    <n v="9"/>
    <n v="6"/>
  </r>
  <r>
    <n v="179"/>
    <n v="2"/>
    <n v="26"/>
    <x v="1"/>
    <n v="1"/>
    <n v="599.99"/>
    <n v="0.1"/>
    <n v="59.999000000000002"/>
    <n v="5"/>
    <n v="6"/>
  </r>
  <r>
    <n v="179"/>
    <n v="3"/>
    <n v="18"/>
    <x v="2"/>
    <n v="1"/>
    <n v="449"/>
    <n v="0.2"/>
    <n v="89.800000000000011"/>
    <n v="8"/>
    <n v="6"/>
  </r>
  <r>
    <n v="179"/>
    <n v="4"/>
    <n v="12"/>
    <x v="3"/>
    <n v="2"/>
    <n v="549.99"/>
    <n v="0.2"/>
    <n v="109.998"/>
    <n v="9"/>
    <n v="6"/>
  </r>
  <r>
    <n v="179"/>
    <n v="5"/>
    <n v="20"/>
    <x v="4"/>
    <n v="2"/>
    <n v="599.99"/>
    <n v="0.1"/>
    <n v="59.999000000000002"/>
    <n v="3"/>
    <n v="6"/>
  </r>
  <r>
    <n v="180"/>
    <n v="1"/>
    <n v="16"/>
    <x v="0"/>
    <n v="1"/>
    <n v="599.99"/>
    <n v="7.0000000000000007E-2"/>
    <n v="41.999300000000005"/>
    <n v="9"/>
    <n v="6"/>
  </r>
  <r>
    <n v="181"/>
    <n v="1"/>
    <n v="10"/>
    <x v="0"/>
    <n v="1"/>
    <n v="1549"/>
    <n v="0.05"/>
    <n v="77.45"/>
    <n v="9"/>
    <n v="6"/>
  </r>
  <r>
    <n v="181"/>
    <n v="2"/>
    <n v="11"/>
    <x v="1"/>
    <n v="1"/>
    <n v="1680.99"/>
    <n v="0.1"/>
    <n v="168.09900000000002"/>
    <n v="5"/>
    <n v="6"/>
  </r>
  <r>
    <n v="181"/>
    <n v="3"/>
    <n v="15"/>
    <x v="2"/>
    <n v="2"/>
    <n v="529.99"/>
    <n v="0.2"/>
    <n v="105.998"/>
    <n v="8"/>
    <n v="6"/>
  </r>
  <r>
    <n v="181"/>
    <n v="4"/>
    <n v="24"/>
    <x v="3"/>
    <n v="2"/>
    <n v="549.99"/>
    <n v="0.05"/>
    <n v="27.499500000000001"/>
    <n v="9"/>
    <n v="6"/>
  </r>
  <r>
    <n v="182"/>
    <n v="1"/>
    <n v="25"/>
    <x v="0"/>
    <n v="2"/>
    <n v="499.99"/>
    <n v="0.05"/>
    <n v="24.999500000000001"/>
    <n v="9"/>
    <n v="6"/>
  </r>
  <r>
    <n v="182"/>
    <n v="2"/>
    <n v="24"/>
    <x v="1"/>
    <n v="2"/>
    <n v="549.99"/>
    <n v="7.0000000000000007E-2"/>
    <n v="38.499300000000005"/>
    <n v="5"/>
    <n v="6"/>
  </r>
  <r>
    <n v="183"/>
    <n v="1"/>
    <n v="11"/>
    <x v="0"/>
    <n v="2"/>
    <n v="1680.99"/>
    <n v="0.2"/>
    <n v="336.19800000000004"/>
    <n v="9"/>
    <n v="6"/>
  </r>
  <r>
    <n v="183"/>
    <n v="2"/>
    <n v="12"/>
    <x v="1"/>
    <n v="2"/>
    <n v="549.99"/>
    <n v="0.05"/>
    <n v="27.499500000000001"/>
    <n v="5"/>
    <n v="6"/>
  </r>
  <r>
    <n v="183"/>
    <n v="3"/>
    <n v="19"/>
    <x v="2"/>
    <n v="1"/>
    <n v="449"/>
    <n v="7.0000000000000007E-2"/>
    <n v="31.430000000000003"/>
    <n v="8"/>
    <n v="6"/>
  </r>
  <r>
    <n v="183"/>
    <n v="4"/>
    <n v="17"/>
    <x v="3"/>
    <n v="1"/>
    <n v="429"/>
    <n v="7.0000000000000007E-2"/>
    <n v="30.03"/>
    <n v="9"/>
    <n v="6"/>
  </r>
  <r>
    <n v="184"/>
    <n v="1"/>
    <n v="4"/>
    <x v="0"/>
    <n v="1"/>
    <n v="2899.99"/>
    <n v="0.2"/>
    <n v="579.99799999999993"/>
    <n v="9"/>
    <n v="6"/>
  </r>
  <r>
    <n v="184"/>
    <n v="2"/>
    <n v="5"/>
    <x v="1"/>
    <n v="1"/>
    <n v="1320.99"/>
    <n v="0.1"/>
    <n v="132.09900000000002"/>
    <n v="5"/>
    <n v="6"/>
  </r>
  <r>
    <n v="184"/>
    <n v="3"/>
    <n v="14"/>
    <x v="2"/>
    <n v="1"/>
    <n v="269.99"/>
    <n v="0.1"/>
    <n v="26.999000000000002"/>
    <n v="8"/>
    <n v="6"/>
  </r>
  <r>
    <n v="185"/>
    <n v="1"/>
    <n v="20"/>
    <x v="0"/>
    <n v="1"/>
    <n v="599.99"/>
    <n v="0.1"/>
    <n v="59.999000000000002"/>
    <n v="9"/>
    <n v="6"/>
  </r>
  <r>
    <n v="185"/>
    <n v="2"/>
    <n v="8"/>
    <x v="1"/>
    <n v="1"/>
    <n v="1799.99"/>
    <n v="0.05"/>
    <n v="89.999500000000012"/>
    <n v="5"/>
    <n v="6"/>
  </r>
  <r>
    <n v="186"/>
    <n v="1"/>
    <n v="4"/>
    <x v="0"/>
    <n v="1"/>
    <n v="2899.99"/>
    <n v="0.1"/>
    <n v="289.99899999999997"/>
    <n v="9"/>
    <n v="6"/>
  </r>
  <r>
    <n v="186"/>
    <n v="2"/>
    <n v="6"/>
    <x v="1"/>
    <n v="1"/>
    <n v="469.99"/>
    <n v="0.1"/>
    <n v="46.999000000000002"/>
    <n v="5"/>
    <n v="6"/>
  </r>
  <r>
    <n v="187"/>
    <n v="1"/>
    <n v="5"/>
    <x v="0"/>
    <n v="1"/>
    <n v="1320.99"/>
    <n v="0.05"/>
    <n v="66.049500000000009"/>
    <n v="9"/>
    <n v="6"/>
  </r>
  <r>
    <n v="188"/>
    <n v="1"/>
    <n v="7"/>
    <x v="0"/>
    <n v="2"/>
    <n v="3999.99"/>
    <n v="7.0000000000000007E-2"/>
    <n v="279.99930000000001"/>
    <n v="9"/>
    <n v="6"/>
  </r>
  <r>
    <n v="189"/>
    <n v="1"/>
    <n v="16"/>
    <x v="0"/>
    <n v="2"/>
    <n v="599.99"/>
    <n v="0.2"/>
    <n v="119.998"/>
    <n v="9"/>
    <n v="6"/>
  </r>
  <r>
    <n v="190"/>
    <n v="1"/>
    <n v="24"/>
    <x v="0"/>
    <n v="1"/>
    <n v="549.99"/>
    <n v="0.05"/>
    <n v="27.499500000000001"/>
    <n v="9"/>
    <n v="6"/>
  </r>
  <r>
    <n v="190"/>
    <n v="2"/>
    <n v="15"/>
    <x v="1"/>
    <n v="1"/>
    <n v="529.99"/>
    <n v="0.2"/>
    <n v="105.998"/>
    <n v="5"/>
    <n v="6"/>
  </r>
  <r>
    <n v="190"/>
    <n v="3"/>
    <n v="3"/>
    <x v="2"/>
    <n v="2"/>
    <n v="999.99"/>
    <n v="0.2"/>
    <n v="199.99800000000002"/>
    <n v="8"/>
    <n v="6"/>
  </r>
  <r>
    <n v="191"/>
    <n v="1"/>
    <n v="25"/>
    <x v="0"/>
    <n v="1"/>
    <n v="499.99"/>
    <n v="0.05"/>
    <n v="24.999500000000001"/>
    <n v="9"/>
    <n v="6"/>
  </r>
  <r>
    <n v="191"/>
    <n v="2"/>
    <n v="12"/>
    <x v="1"/>
    <n v="2"/>
    <n v="549.99"/>
    <n v="0.2"/>
    <n v="109.998"/>
    <n v="5"/>
    <n v="6"/>
  </r>
  <r>
    <n v="191"/>
    <n v="3"/>
    <n v="3"/>
    <x v="2"/>
    <n v="1"/>
    <n v="999.99"/>
    <n v="7.0000000000000007E-2"/>
    <n v="69.999300000000005"/>
    <n v="8"/>
    <n v="6"/>
  </r>
  <r>
    <n v="191"/>
    <n v="4"/>
    <n v="8"/>
    <x v="3"/>
    <n v="2"/>
    <n v="1799.99"/>
    <n v="0.05"/>
    <n v="89.999500000000012"/>
    <n v="9"/>
    <n v="6"/>
  </r>
  <r>
    <n v="191"/>
    <n v="5"/>
    <n v="23"/>
    <x v="4"/>
    <n v="1"/>
    <n v="299.99"/>
    <n v="0.05"/>
    <n v="14.999500000000001"/>
    <n v="3"/>
    <n v="6"/>
  </r>
  <r>
    <n v="192"/>
    <n v="1"/>
    <n v="8"/>
    <x v="0"/>
    <n v="2"/>
    <n v="1799.99"/>
    <n v="0.1"/>
    <n v="179.99900000000002"/>
    <n v="9"/>
    <n v="6"/>
  </r>
  <r>
    <n v="192"/>
    <n v="2"/>
    <n v="25"/>
    <x v="1"/>
    <n v="1"/>
    <n v="499.99"/>
    <n v="7.0000000000000007E-2"/>
    <n v="34.999300000000005"/>
    <n v="5"/>
    <n v="6"/>
  </r>
  <r>
    <n v="192"/>
    <n v="3"/>
    <n v="2"/>
    <x v="2"/>
    <n v="1"/>
    <n v="749.99"/>
    <n v="0.05"/>
    <n v="37.499500000000005"/>
    <n v="8"/>
    <n v="6"/>
  </r>
  <r>
    <n v="192"/>
    <n v="4"/>
    <n v="24"/>
    <x v="3"/>
    <n v="2"/>
    <n v="549.99"/>
    <n v="7.0000000000000007E-2"/>
    <n v="38.499300000000005"/>
    <n v="9"/>
    <n v="6"/>
  </r>
  <r>
    <n v="192"/>
    <n v="5"/>
    <n v="10"/>
    <x v="4"/>
    <n v="2"/>
    <n v="1549"/>
    <n v="0.2"/>
    <n v="309.8"/>
    <n v="3"/>
    <n v="6"/>
  </r>
  <r>
    <n v="193"/>
    <n v="1"/>
    <n v="12"/>
    <x v="0"/>
    <n v="2"/>
    <n v="549.99"/>
    <n v="0.1"/>
    <n v="54.999000000000002"/>
    <n v="9"/>
    <n v="6"/>
  </r>
  <r>
    <n v="194"/>
    <n v="1"/>
    <n v="21"/>
    <x v="0"/>
    <n v="2"/>
    <n v="269.99"/>
    <n v="0.2"/>
    <n v="53.998000000000005"/>
    <n v="9"/>
    <n v="6"/>
  </r>
  <r>
    <n v="195"/>
    <n v="1"/>
    <n v="18"/>
    <x v="0"/>
    <n v="1"/>
    <n v="449"/>
    <n v="0.2"/>
    <n v="89.800000000000011"/>
    <n v="9"/>
    <n v="6"/>
  </r>
  <r>
    <n v="195"/>
    <n v="2"/>
    <n v="14"/>
    <x v="1"/>
    <n v="1"/>
    <n v="269.99"/>
    <n v="0.05"/>
    <n v="13.499500000000001"/>
    <n v="5"/>
    <n v="6"/>
  </r>
  <r>
    <n v="195"/>
    <n v="3"/>
    <n v="5"/>
    <x v="2"/>
    <n v="2"/>
    <n v="1320.99"/>
    <n v="0.2"/>
    <n v="264.19800000000004"/>
    <n v="8"/>
    <n v="6"/>
  </r>
  <r>
    <n v="195"/>
    <n v="4"/>
    <n v="4"/>
    <x v="3"/>
    <n v="2"/>
    <n v="2899.99"/>
    <n v="0.2"/>
    <n v="579.99799999999993"/>
    <n v="9"/>
    <n v="6"/>
  </r>
  <r>
    <n v="195"/>
    <n v="5"/>
    <n v="21"/>
    <x v="4"/>
    <n v="2"/>
    <n v="269.99"/>
    <n v="0.1"/>
    <n v="26.999000000000002"/>
    <n v="3"/>
    <n v="6"/>
  </r>
  <r>
    <n v="196"/>
    <n v="1"/>
    <n v="6"/>
    <x v="0"/>
    <n v="1"/>
    <n v="469.99"/>
    <n v="0.05"/>
    <n v="23.499500000000001"/>
    <n v="9"/>
    <n v="6"/>
  </r>
  <r>
    <n v="196"/>
    <n v="2"/>
    <n v="3"/>
    <x v="1"/>
    <n v="2"/>
    <n v="999.99"/>
    <n v="7.0000000000000007E-2"/>
    <n v="69.999300000000005"/>
    <n v="5"/>
    <n v="6"/>
  </r>
  <r>
    <n v="196"/>
    <n v="3"/>
    <n v="10"/>
    <x v="2"/>
    <n v="2"/>
    <n v="1549"/>
    <n v="7.0000000000000007E-2"/>
    <n v="108.43"/>
    <n v="8"/>
    <n v="6"/>
  </r>
  <r>
    <n v="196"/>
    <n v="4"/>
    <n v="12"/>
    <x v="3"/>
    <n v="1"/>
    <n v="549.99"/>
    <n v="7.0000000000000007E-2"/>
    <n v="38.499300000000005"/>
    <n v="9"/>
    <n v="6"/>
  </r>
  <r>
    <n v="196"/>
    <n v="5"/>
    <n v="20"/>
    <x v="4"/>
    <n v="1"/>
    <n v="599.99"/>
    <n v="0.1"/>
    <n v="59.999000000000002"/>
    <n v="3"/>
    <n v="6"/>
  </r>
  <r>
    <n v="197"/>
    <n v="1"/>
    <n v="4"/>
    <x v="0"/>
    <n v="2"/>
    <n v="2899.99"/>
    <n v="0.2"/>
    <n v="579.99799999999993"/>
    <n v="9"/>
    <n v="6"/>
  </r>
  <r>
    <n v="197"/>
    <n v="2"/>
    <n v="2"/>
    <x v="1"/>
    <n v="2"/>
    <n v="749.99"/>
    <n v="7.0000000000000007E-2"/>
    <n v="52.499300000000005"/>
    <n v="5"/>
    <n v="6"/>
  </r>
  <r>
    <n v="198"/>
    <n v="1"/>
    <n v="6"/>
    <x v="0"/>
    <n v="2"/>
    <n v="469.99"/>
    <n v="0.05"/>
    <n v="23.499500000000001"/>
    <n v="9"/>
    <n v="6"/>
  </r>
  <r>
    <n v="198"/>
    <n v="2"/>
    <n v="20"/>
    <x v="1"/>
    <n v="2"/>
    <n v="599.99"/>
    <n v="7.0000000000000007E-2"/>
    <n v="41.999300000000005"/>
    <n v="5"/>
    <n v="6"/>
  </r>
  <r>
    <n v="198"/>
    <n v="3"/>
    <n v="8"/>
    <x v="2"/>
    <n v="2"/>
    <n v="1799.99"/>
    <n v="0.2"/>
    <n v="359.99800000000005"/>
    <n v="8"/>
    <n v="6"/>
  </r>
  <r>
    <n v="198"/>
    <n v="4"/>
    <n v="13"/>
    <x v="3"/>
    <n v="2"/>
    <n v="269.99"/>
    <n v="0.05"/>
    <n v="13.499500000000001"/>
    <n v="9"/>
    <n v="6"/>
  </r>
  <r>
    <n v="198"/>
    <n v="5"/>
    <n v="17"/>
    <x v="4"/>
    <n v="1"/>
    <n v="429"/>
    <n v="0.05"/>
    <n v="21.450000000000003"/>
    <n v="3"/>
    <n v="6"/>
  </r>
  <r>
    <n v="199"/>
    <n v="1"/>
    <n v="25"/>
    <x v="0"/>
    <n v="2"/>
    <n v="499.99"/>
    <n v="0.05"/>
    <n v="24.999500000000001"/>
    <n v="9"/>
    <n v="6"/>
  </r>
  <r>
    <n v="199"/>
    <n v="2"/>
    <n v="18"/>
    <x v="1"/>
    <n v="2"/>
    <n v="449"/>
    <n v="7.0000000000000007E-2"/>
    <n v="31.430000000000003"/>
    <n v="5"/>
    <n v="6"/>
  </r>
  <r>
    <n v="199"/>
    <n v="3"/>
    <n v="4"/>
    <x v="2"/>
    <n v="1"/>
    <n v="2899.99"/>
    <n v="0.2"/>
    <n v="579.99799999999993"/>
    <n v="8"/>
    <n v="6"/>
  </r>
  <r>
    <n v="200"/>
    <n v="1"/>
    <n v="23"/>
    <x v="0"/>
    <n v="2"/>
    <n v="299.99"/>
    <n v="0.05"/>
    <n v="14.999500000000001"/>
    <n v="9"/>
    <n v="6"/>
  </r>
  <r>
    <n v="200"/>
    <n v="2"/>
    <n v="22"/>
    <x v="1"/>
    <n v="2"/>
    <n v="269.99"/>
    <n v="7.0000000000000007E-2"/>
    <n v="18.899300000000004"/>
    <n v="5"/>
    <n v="6"/>
  </r>
  <r>
    <n v="201"/>
    <n v="1"/>
    <n v="24"/>
    <x v="0"/>
    <n v="1"/>
    <n v="549.99"/>
    <n v="0.05"/>
    <n v="27.499500000000001"/>
    <n v="9"/>
    <n v="6"/>
  </r>
  <r>
    <n v="201"/>
    <n v="2"/>
    <n v="7"/>
    <x v="1"/>
    <n v="1"/>
    <n v="3999.99"/>
    <n v="0.2"/>
    <n v="799.99800000000005"/>
    <n v="5"/>
    <n v="6"/>
  </r>
  <r>
    <n v="201"/>
    <n v="3"/>
    <n v="14"/>
    <x v="2"/>
    <n v="2"/>
    <n v="269.99"/>
    <n v="0.1"/>
    <n v="26.999000000000002"/>
    <n v="8"/>
    <n v="6"/>
  </r>
  <r>
    <n v="201"/>
    <n v="4"/>
    <n v="17"/>
    <x v="3"/>
    <n v="1"/>
    <n v="429"/>
    <n v="0.05"/>
    <n v="21.450000000000003"/>
    <n v="9"/>
    <n v="6"/>
  </r>
  <r>
    <n v="202"/>
    <n v="1"/>
    <n v="8"/>
    <x v="0"/>
    <n v="1"/>
    <n v="1799.99"/>
    <n v="7.0000000000000007E-2"/>
    <n v="125.99930000000002"/>
    <n v="9"/>
    <n v="6"/>
  </r>
  <r>
    <n v="202"/>
    <n v="2"/>
    <n v="17"/>
    <x v="1"/>
    <n v="1"/>
    <n v="429"/>
    <n v="0.05"/>
    <n v="21.450000000000003"/>
    <n v="5"/>
    <n v="6"/>
  </r>
  <r>
    <n v="202"/>
    <n v="3"/>
    <n v="15"/>
    <x v="2"/>
    <n v="2"/>
    <n v="529.99"/>
    <n v="0.05"/>
    <n v="26.499500000000001"/>
    <n v="8"/>
    <n v="6"/>
  </r>
  <r>
    <n v="202"/>
    <n v="4"/>
    <n v="25"/>
    <x v="3"/>
    <n v="2"/>
    <n v="499.99"/>
    <n v="0.05"/>
    <n v="24.999500000000001"/>
    <n v="9"/>
    <n v="6"/>
  </r>
  <r>
    <n v="203"/>
    <n v="1"/>
    <n v="26"/>
    <x v="0"/>
    <n v="1"/>
    <n v="599.99"/>
    <n v="0.05"/>
    <n v="29.999500000000001"/>
    <n v="9"/>
    <n v="6"/>
  </r>
  <r>
    <n v="203"/>
    <n v="2"/>
    <n v="3"/>
    <x v="1"/>
    <n v="2"/>
    <n v="999.99"/>
    <n v="0.1"/>
    <n v="99.999000000000009"/>
    <n v="5"/>
    <n v="6"/>
  </r>
  <r>
    <n v="203"/>
    <n v="3"/>
    <n v="17"/>
    <x v="2"/>
    <n v="2"/>
    <n v="429"/>
    <n v="0.2"/>
    <n v="85.800000000000011"/>
    <n v="8"/>
    <n v="6"/>
  </r>
  <r>
    <n v="203"/>
    <n v="4"/>
    <n v="19"/>
    <x v="3"/>
    <n v="2"/>
    <n v="449"/>
    <n v="7.0000000000000007E-2"/>
    <n v="31.430000000000003"/>
    <n v="9"/>
    <n v="6"/>
  </r>
  <r>
    <n v="204"/>
    <n v="1"/>
    <n v="6"/>
    <x v="0"/>
    <n v="2"/>
    <n v="469.99"/>
    <n v="7.0000000000000007E-2"/>
    <n v="32.899300000000004"/>
    <n v="9"/>
    <n v="6"/>
  </r>
  <r>
    <n v="204"/>
    <n v="2"/>
    <n v="17"/>
    <x v="1"/>
    <n v="2"/>
    <n v="429"/>
    <n v="0.1"/>
    <n v="42.900000000000006"/>
    <n v="5"/>
    <n v="6"/>
  </r>
  <r>
    <n v="205"/>
    <n v="1"/>
    <n v="22"/>
    <x v="0"/>
    <n v="2"/>
    <n v="269.99"/>
    <n v="0.05"/>
    <n v="13.499500000000001"/>
    <n v="9"/>
    <n v="6"/>
  </r>
  <r>
    <n v="205"/>
    <n v="2"/>
    <n v="24"/>
    <x v="1"/>
    <n v="2"/>
    <n v="549.99"/>
    <n v="0.1"/>
    <n v="54.999000000000002"/>
    <n v="5"/>
    <n v="6"/>
  </r>
  <r>
    <n v="206"/>
    <n v="1"/>
    <n v="25"/>
    <x v="0"/>
    <n v="1"/>
    <n v="499.99"/>
    <n v="0.05"/>
    <n v="24.999500000000001"/>
    <n v="9"/>
    <n v="6"/>
  </r>
  <r>
    <n v="206"/>
    <n v="2"/>
    <n v="20"/>
    <x v="1"/>
    <n v="1"/>
    <n v="599.99"/>
    <n v="0.2"/>
    <n v="119.998"/>
    <n v="5"/>
    <n v="6"/>
  </r>
  <r>
    <n v="207"/>
    <n v="1"/>
    <n v="12"/>
    <x v="0"/>
    <n v="2"/>
    <n v="549.99"/>
    <n v="0.2"/>
    <n v="109.998"/>
    <n v="9"/>
    <n v="6"/>
  </r>
  <r>
    <n v="207"/>
    <n v="2"/>
    <n v="5"/>
    <x v="1"/>
    <n v="1"/>
    <n v="1320.99"/>
    <n v="0.05"/>
    <n v="66.049500000000009"/>
    <n v="5"/>
    <n v="6"/>
  </r>
  <r>
    <n v="207"/>
    <n v="3"/>
    <n v="11"/>
    <x v="2"/>
    <n v="2"/>
    <n v="1680.99"/>
    <n v="7.0000000000000007E-2"/>
    <n v="117.66930000000001"/>
    <n v="8"/>
    <n v="6"/>
  </r>
  <r>
    <n v="207"/>
    <n v="4"/>
    <n v="7"/>
    <x v="3"/>
    <n v="2"/>
    <n v="3999.99"/>
    <n v="0.1"/>
    <n v="399.99900000000002"/>
    <n v="9"/>
    <n v="6"/>
  </r>
  <r>
    <n v="208"/>
    <n v="1"/>
    <n v="6"/>
    <x v="0"/>
    <n v="2"/>
    <n v="469.99"/>
    <n v="0.05"/>
    <n v="23.499500000000001"/>
    <n v="9"/>
    <n v="6"/>
  </r>
  <r>
    <n v="208"/>
    <n v="2"/>
    <n v="4"/>
    <x v="1"/>
    <n v="2"/>
    <n v="2899.99"/>
    <n v="7.0000000000000007E-2"/>
    <n v="202.99930000000001"/>
    <n v="5"/>
    <n v="6"/>
  </r>
  <r>
    <n v="208"/>
    <n v="3"/>
    <n v="3"/>
    <x v="2"/>
    <n v="1"/>
    <n v="999.99"/>
    <n v="0.05"/>
    <n v="49.999500000000005"/>
    <n v="8"/>
    <n v="6"/>
  </r>
  <r>
    <n v="208"/>
    <n v="4"/>
    <n v="12"/>
    <x v="3"/>
    <n v="1"/>
    <n v="549.99"/>
    <n v="0.2"/>
    <n v="109.998"/>
    <n v="9"/>
    <n v="6"/>
  </r>
  <r>
    <n v="208"/>
    <n v="5"/>
    <n v="10"/>
    <x v="4"/>
    <n v="2"/>
    <n v="1549"/>
    <n v="0.05"/>
    <n v="77.45"/>
    <n v="3"/>
    <n v="6"/>
  </r>
  <r>
    <n v="209"/>
    <n v="1"/>
    <n v="13"/>
    <x v="0"/>
    <n v="1"/>
    <n v="269.99"/>
    <n v="0.1"/>
    <n v="26.999000000000002"/>
    <n v="9"/>
    <n v="6"/>
  </r>
  <r>
    <n v="210"/>
    <n v="1"/>
    <n v="14"/>
    <x v="0"/>
    <n v="1"/>
    <n v="269.99"/>
    <n v="7.0000000000000007E-2"/>
    <n v="18.899300000000004"/>
    <n v="9"/>
    <n v="6"/>
  </r>
  <r>
    <n v="210"/>
    <n v="2"/>
    <n v="13"/>
    <x v="1"/>
    <n v="2"/>
    <n v="269.99"/>
    <n v="0.2"/>
    <n v="53.998000000000005"/>
    <n v="5"/>
    <n v="6"/>
  </r>
  <r>
    <n v="211"/>
    <n v="1"/>
    <n v="10"/>
    <x v="0"/>
    <n v="1"/>
    <n v="1549"/>
    <n v="7.0000000000000007E-2"/>
    <n v="108.43"/>
    <n v="9"/>
    <n v="6"/>
  </r>
  <r>
    <n v="211"/>
    <n v="2"/>
    <n v="2"/>
    <x v="1"/>
    <n v="2"/>
    <n v="749.99"/>
    <n v="7.0000000000000007E-2"/>
    <n v="52.499300000000005"/>
    <n v="5"/>
    <n v="6"/>
  </r>
  <r>
    <n v="212"/>
    <n v="1"/>
    <n v="16"/>
    <x v="0"/>
    <n v="2"/>
    <n v="599.99"/>
    <n v="7.0000000000000007E-2"/>
    <n v="41.999300000000005"/>
    <n v="9"/>
    <n v="6"/>
  </r>
  <r>
    <n v="212"/>
    <n v="2"/>
    <n v="12"/>
    <x v="1"/>
    <n v="2"/>
    <n v="549.99"/>
    <n v="0.2"/>
    <n v="109.998"/>
    <n v="5"/>
    <n v="6"/>
  </r>
  <r>
    <n v="212"/>
    <n v="3"/>
    <n v="19"/>
    <x v="2"/>
    <n v="1"/>
    <n v="449"/>
    <n v="0.1"/>
    <n v="44.900000000000006"/>
    <n v="8"/>
    <n v="6"/>
  </r>
  <r>
    <n v="212"/>
    <n v="4"/>
    <n v="7"/>
    <x v="3"/>
    <n v="1"/>
    <n v="3999.99"/>
    <n v="0.2"/>
    <n v="799.99800000000005"/>
    <n v="9"/>
    <n v="6"/>
  </r>
  <r>
    <n v="213"/>
    <n v="1"/>
    <n v="13"/>
    <x v="0"/>
    <n v="1"/>
    <n v="269.99"/>
    <n v="0.1"/>
    <n v="26.999000000000002"/>
    <n v="9"/>
    <n v="6"/>
  </r>
  <r>
    <n v="214"/>
    <n v="1"/>
    <n v="21"/>
    <x v="0"/>
    <n v="1"/>
    <n v="269.99"/>
    <n v="0.1"/>
    <n v="26.999000000000002"/>
    <n v="9"/>
    <n v="6"/>
  </r>
  <r>
    <n v="215"/>
    <n v="1"/>
    <n v="19"/>
    <x v="0"/>
    <n v="1"/>
    <n v="449"/>
    <n v="7.0000000000000007E-2"/>
    <n v="31.430000000000003"/>
    <n v="9"/>
    <n v="6"/>
  </r>
  <r>
    <n v="215"/>
    <n v="2"/>
    <n v="12"/>
    <x v="1"/>
    <n v="2"/>
    <n v="549.99"/>
    <n v="0.1"/>
    <n v="54.999000000000002"/>
    <n v="5"/>
    <n v="6"/>
  </r>
  <r>
    <n v="216"/>
    <n v="1"/>
    <n v="22"/>
    <x v="0"/>
    <n v="2"/>
    <n v="269.99"/>
    <n v="0.1"/>
    <n v="26.999000000000002"/>
    <n v="9"/>
    <n v="6"/>
  </r>
  <r>
    <n v="216"/>
    <n v="2"/>
    <n v="16"/>
    <x v="1"/>
    <n v="2"/>
    <n v="599.99"/>
    <n v="0.05"/>
    <n v="29.999500000000001"/>
    <n v="5"/>
    <n v="6"/>
  </r>
  <r>
    <n v="217"/>
    <n v="1"/>
    <n v="18"/>
    <x v="0"/>
    <n v="1"/>
    <n v="449"/>
    <n v="0.1"/>
    <n v="44.900000000000006"/>
    <n v="9"/>
    <n v="6"/>
  </r>
  <r>
    <n v="217"/>
    <n v="2"/>
    <n v="10"/>
    <x v="1"/>
    <n v="2"/>
    <n v="1549"/>
    <n v="0.1"/>
    <n v="154.9"/>
    <n v="5"/>
    <n v="6"/>
  </r>
  <r>
    <n v="217"/>
    <n v="3"/>
    <n v="17"/>
    <x v="2"/>
    <n v="1"/>
    <n v="429"/>
    <n v="7.0000000000000007E-2"/>
    <n v="30.03"/>
    <n v="8"/>
    <n v="6"/>
  </r>
  <r>
    <n v="218"/>
    <n v="1"/>
    <n v="2"/>
    <x v="0"/>
    <n v="2"/>
    <n v="749.99"/>
    <n v="0.1"/>
    <n v="74.999000000000009"/>
    <n v="9"/>
    <n v="6"/>
  </r>
  <r>
    <n v="218"/>
    <n v="2"/>
    <n v="13"/>
    <x v="1"/>
    <n v="1"/>
    <n v="269.99"/>
    <n v="7.0000000000000007E-2"/>
    <n v="18.899300000000004"/>
    <n v="5"/>
    <n v="6"/>
  </r>
  <r>
    <n v="218"/>
    <n v="3"/>
    <n v="12"/>
    <x v="2"/>
    <n v="1"/>
    <n v="549.99"/>
    <n v="0.05"/>
    <n v="27.499500000000001"/>
    <n v="8"/>
    <n v="6"/>
  </r>
  <r>
    <n v="219"/>
    <n v="1"/>
    <n v="26"/>
    <x v="0"/>
    <n v="1"/>
    <n v="599.99"/>
    <n v="0.05"/>
    <n v="29.999500000000001"/>
    <n v="9"/>
    <n v="6"/>
  </r>
  <r>
    <n v="219"/>
    <n v="2"/>
    <n v="5"/>
    <x v="1"/>
    <n v="1"/>
    <n v="1320.99"/>
    <n v="0.2"/>
    <n v="264.19800000000004"/>
    <n v="5"/>
    <n v="6"/>
  </r>
  <r>
    <n v="220"/>
    <n v="1"/>
    <n v="6"/>
    <x v="0"/>
    <n v="2"/>
    <n v="469.99"/>
    <n v="0.05"/>
    <n v="23.499500000000001"/>
    <n v="9"/>
    <n v="6"/>
  </r>
  <r>
    <n v="220"/>
    <n v="2"/>
    <n v="25"/>
    <x v="1"/>
    <n v="1"/>
    <n v="499.99"/>
    <n v="7.0000000000000007E-2"/>
    <n v="34.999300000000005"/>
    <n v="5"/>
    <n v="6"/>
  </r>
  <r>
    <n v="220"/>
    <n v="3"/>
    <n v="22"/>
    <x v="2"/>
    <n v="2"/>
    <n v="269.99"/>
    <n v="0.1"/>
    <n v="26.999000000000002"/>
    <n v="8"/>
    <n v="6"/>
  </r>
  <r>
    <n v="220"/>
    <n v="4"/>
    <n v="3"/>
    <x v="3"/>
    <n v="2"/>
    <n v="999.99"/>
    <n v="0.2"/>
    <n v="199.99800000000002"/>
    <n v="9"/>
    <n v="6"/>
  </r>
  <r>
    <n v="221"/>
    <n v="1"/>
    <n v="11"/>
    <x v="0"/>
    <n v="2"/>
    <n v="1680.99"/>
    <n v="7.0000000000000007E-2"/>
    <n v="117.66930000000001"/>
    <n v="9"/>
    <n v="6"/>
  </r>
  <r>
    <n v="222"/>
    <n v="1"/>
    <n v="10"/>
    <x v="0"/>
    <n v="1"/>
    <n v="1549"/>
    <n v="0.1"/>
    <n v="154.9"/>
    <n v="9"/>
    <n v="6"/>
  </r>
  <r>
    <n v="222"/>
    <n v="2"/>
    <n v="2"/>
    <x v="1"/>
    <n v="2"/>
    <n v="749.99"/>
    <n v="0.1"/>
    <n v="74.999000000000009"/>
    <n v="5"/>
    <n v="6"/>
  </r>
  <r>
    <n v="223"/>
    <n v="1"/>
    <n v="7"/>
    <x v="0"/>
    <n v="2"/>
    <n v="3999.99"/>
    <n v="0.05"/>
    <n v="199.99950000000001"/>
    <n v="9"/>
    <n v="6"/>
  </r>
  <r>
    <n v="223"/>
    <n v="2"/>
    <n v="5"/>
    <x v="1"/>
    <n v="1"/>
    <n v="1320.99"/>
    <n v="0.2"/>
    <n v="264.19800000000004"/>
    <n v="5"/>
    <n v="6"/>
  </r>
  <r>
    <n v="223"/>
    <n v="3"/>
    <n v="21"/>
    <x v="2"/>
    <n v="2"/>
    <n v="269.99"/>
    <n v="0.1"/>
    <n v="26.999000000000002"/>
    <n v="8"/>
    <n v="6"/>
  </r>
  <r>
    <n v="223"/>
    <n v="4"/>
    <n v="20"/>
    <x v="3"/>
    <n v="1"/>
    <n v="599.99"/>
    <n v="0.05"/>
    <n v="29.999500000000001"/>
    <n v="9"/>
    <n v="6"/>
  </r>
  <r>
    <n v="223"/>
    <n v="5"/>
    <n v="15"/>
    <x v="4"/>
    <n v="1"/>
    <n v="529.99"/>
    <n v="0.05"/>
    <n v="26.499500000000001"/>
    <n v="3"/>
    <n v="6"/>
  </r>
  <r>
    <n v="224"/>
    <n v="1"/>
    <n v="6"/>
    <x v="0"/>
    <n v="1"/>
    <n v="469.99"/>
    <n v="7.0000000000000007E-2"/>
    <n v="32.899300000000004"/>
    <n v="9"/>
    <n v="6"/>
  </r>
  <r>
    <n v="224"/>
    <n v="2"/>
    <n v="11"/>
    <x v="1"/>
    <n v="2"/>
    <n v="1680.99"/>
    <n v="0.1"/>
    <n v="168.09900000000002"/>
    <n v="5"/>
    <n v="6"/>
  </r>
  <r>
    <n v="224"/>
    <n v="3"/>
    <n v="10"/>
    <x v="2"/>
    <n v="2"/>
    <n v="1549"/>
    <n v="0.2"/>
    <n v="309.8"/>
    <n v="8"/>
    <n v="6"/>
  </r>
  <r>
    <n v="224"/>
    <n v="4"/>
    <n v="25"/>
    <x v="3"/>
    <n v="1"/>
    <n v="499.99"/>
    <n v="0.05"/>
    <n v="24.999500000000001"/>
    <n v="9"/>
    <n v="6"/>
  </r>
  <r>
    <n v="225"/>
    <n v="1"/>
    <n v="21"/>
    <x v="0"/>
    <n v="1"/>
    <n v="269.99"/>
    <n v="0.1"/>
    <n v="26.999000000000002"/>
    <n v="9"/>
    <n v="6"/>
  </r>
  <r>
    <n v="225"/>
    <n v="2"/>
    <n v="9"/>
    <x v="1"/>
    <n v="1"/>
    <n v="2999.99"/>
    <n v="0.1"/>
    <n v="299.99899999999997"/>
    <n v="5"/>
    <n v="6"/>
  </r>
  <r>
    <n v="226"/>
    <n v="1"/>
    <n v="2"/>
    <x v="0"/>
    <n v="1"/>
    <n v="749.99"/>
    <n v="0.05"/>
    <n v="37.499500000000005"/>
    <n v="9"/>
    <n v="6"/>
  </r>
  <r>
    <n v="227"/>
    <n v="1"/>
    <n v="3"/>
    <x v="0"/>
    <n v="2"/>
    <n v="999.99"/>
    <n v="0.05"/>
    <n v="49.999500000000005"/>
    <n v="9"/>
    <n v="6"/>
  </r>
  <r>
    <n v="227"/>
    <n v="2"/>
    <n v="15"/>
    <x v="1"/>
    <n v="2"/>
    <n v="529.99"/>
    <n v="0.1"/>
    <n v="52.999000000000002"/>
    <n v="5"/>
    <n v="6"/>
  </r>
  <r>
    <n v="228"/>
    <n v="1"/>
    <n v="25"/>
    <x v="0"/>
    <n v="1"/>
    <n v="499.99"/>
    <n v="0.2"/>
    <n v="99.998000000000005"/>
    <n v="9"/>
    <n v="6"/>
  </r>
  <r>
    <n v="228"/>
    <n v="2"/>
    <n v="2"/>
    <x v="1"/>
    <n v="2"/>
    <n v="749.99"/>
    <n v="7.0000000000000007E-2"/>
    <n v="52.499300000000005"/>
    <n v="5"/>
    <n v="6"/>
  </r>
  <r>
    <n v="228"/>
    <n v="3"/>
    <n v="23"/>
    <x v="2"/>
    <n v="2"/>
    <n v="299.99"/>
    <n v="0.1"/>
    <n v="29.999000000000002"/>
    <n v="8"/>
    <n v="6"/>
  </r>
  <r>
    <n v="228"/>
    <n v="4"/>
    <n v="4"/>
    <x v="3"/>
    <n v="1"/>
    <n v="2899.99"/>
    <n v="0.2"/>
    <n v="579.99799999999993"/>
    <n v="9"/>
    <n v="6"/>
  </r>
  <r>
    <n v="228"/>
    <n v="5"/>
    <n v="22"/>
    <x v="4"/>
    <n v="1"/>
    <n v="269.99"/>
    <n v="0.05"/>
    <n v="13.499500000000001"/>
    <n v="3"/>
    <n v="6"/>
  </r>
  <r>
    <n v="229"/>
    <n v="1"/>
    <n v="25"/>
    <x v="0"/>
    <n v="2"/>
    <n v="499.99"/>
    <n v="0.2"/>
    <n v="99.998000000000005"/>
    <n v="9"/>
    <n v="6"/>
  </r>
  <r>
    <n v="229"/>
    <n v="2"/>
    <n v="5"/>
    <x v="1"/>
    <n v="2"/>
    <n v="1320.99"/>
    <n v="0.1"/>
    <n v="132.09900000000002"/>
    <n v="5"/>
    <n v="6"/>
  </r>
  <r>
    <n v="229"/>
    <n v="3"/>
    <n v="8"/>
    <x v="2"/>
    <n v="1"/>
    <n v="1799.99"/>
    <n v="0.2"/>
    <n v="359.99800000000005"/>
    <n v="8"/>
    <n v="6"/>
  </r>
  <r>
    <n v="230"/>
    <n v="1"/>
    <n v="11"/>
    <x v="0"/>
    <n v="2"/>
    <n v="1680.99"/>
    <n v="7.0000000000000007E-2"/>
    <n v="117.66930000000001"/>
    <n v="9"/>
    <n v="6"/>
  </r>
  <r>
    <n v="231"/>
    <n v="1"/>
    <n v="8"/>
    <x v="0"/>
    <n v="2"/>
    <n v="1799.99"/>
    <n v="7.0000000000000007E-2"/>
    <n v="125.99930000000002"/>
    <n v="9"/>
    <n v="6"/>
  </r>
  <r>
    <n v="231"/>
    <n v="2"/>
    <n v="14"/>
    <x v="1"/>
    <n v="2"/>
    <n v="269.99"/>
    <n v="0.2"/>
    <n v="53.998000000000005"/>
    <n v="5"/>
    <n v="6"/>
  </r>
  <r>
    <n v="231"/>
    <n v="3"/>
    <n v="5"/>
    <x v="2"/>
    <n v="2"/>
    <n v="1320.99"/>
    <n v="0.2"/>
    <n v="264.19800000000004"/>
    <n v="8"/>
    <n v="6"/>
  </r>
  <r>
    <n v="232"/>
    <n v="1"/>
    <n v="18"/>
    <x v="0"/>
    <n v="1"/>
    <n v="449"/>
    <n v="7.0000000000000007E-2"/>
    <n v="31.430000000000003"/>
    <n v="9"/>
    <n v="6"/>
  </r>
  <r>
    <n v="232"/>
    <n v="2"/>
    <n v="11"/>
    <x v="1"/>
    <n v="2"/>
    <n v="1680.99"/>
    <n v="0.05"/>
    <n v="84.049500000000009"/>
    <n v="5"/>
    <n v="6"/>
  </r>
  <r>
    <n v="232"/>
    <n v="3"/>
    <n v="26"/>
    <x v="2"/>
    <n v="2"/>
    <n v="599.99"/>
    <n v="7.0000000000000007E-2"/>
    <n v="41.999300000000005"/>
    <n v="8"/>
    <n v="6"/>
  </r>
  <r>
    <n v="232"/>
    <n v="4"/>
    <n v="8"/>
    <x v="3"/>
    <n v="2"/>
    <n v="1799.99"/>
    <n v="0.1"/>
    <n v="179.99900000000002"/>
    <n v="9"/>
    <n v="6"/>
  </r>
  <r>
    <n v="233"/>
    <n v="1"/>
    <n v="14"/>
    <x v="0"/>
    <n v="1"/>
    <n v="269.99"/>
    <n v="0.1"/>
    <n v="26.999000000000002"/>
    <n v="9"/>
    <n v="6"/>
  </r>
  <r>
    <n v="233"/>
    <n v="2"/>
    <n v="16"/>
    <x v="1"/>
    <n v="2"/>
    <n v="599.99"/>
    <n v="0.1"/>
    <n v="59.999000000000002"/>
    <n v="5"/>
    <n v="6"/>
  </r>
  <r>
    <n v="233"/>
    <n v="3"/>
    <n v="12"/>
    <x v="2"/>
    <n v="1"/>
    <n v="549.99"/>
    <n v="0.2"/>
    <n v="109.998"/>
    <n v="8"/>
    <n v="6"/>
  </r>
  <r>
    <n v="233"/>
    <n v="4"/>
    <n v="15"/>
    <x v="3"/>
    <n v="2"/>
    <n v="529.99"/>
    <n v="7.0000000000000007E-2"/>
    <n v="37.099300000000007"/>
    <n v="9"/>
    <n v="6"/>
  </r>
  <r>
    <n v="234"/>
    <n v="1"/>
    <n v="11"/>
    <x v="0"/>
    <n v="2"/>
    <n v="1680.99"/>
    <n v="0.2"/>
    <n v="336.19800000000004"/>
    <n v="9"/>
    <n v="6"/>
  </r>
  <r>
    <n v="234"/>
    <n v="2"/>
    <n v="17"/>
    <x v="1"/>
    <n v="2"/>
    <n v="429"/>
    <n v="0.05"/>
    <n v="21.450000000000003"/>
    <n v="5"/>
    <n v="6"/>
  </r>
  <r>
    <n v="234"/>
    <n v="3"/>
    <n v="12"/>
    <x v="2"/>
    <n v="1"/>
    <n v="549.99"/>
    <n v="0.1"/>
    <n v="54.999000000000002"/>
    <n v="8"/>
    <n v="6"/>
  </r>
  <r>
    <n v="234"/>
    <n v="4"/>
    <n v="7"/>
    <x v="3"/>
    <n v="1"/>
    <n v="3999.99"/>
    <n v="0.05"/>
    <n v="199.99950000000001"/>
    <n v="9"/>
    <n v="6"/>
  </r>
  <r>
    <n v="234"/>
    <n v="5"/>
    <n v="23"/>
    <x v="4"/>
    <n v="1"/>
    <n v="299.99"/>
    <n v="0.1"/>
    <n v="29.999000000000002"/>
    <n v="3"/>
    <n v="6"/>
  </r>
  <r>
    <n v="235"/>
    <n v="1"/>
    <n v="6"/>
    <x v="0"/>
    <n v="1"/>
    <n v="469.99"/>
    <n v="7.0000000000000007E-2"/>
    <n v="32.899300000000004"/>
    <n v="9"/>
    <n v="6"/>
  </r>
  <r>
    <n v="235"/>
    <n v="2"/>
    <n v="13"/>
    <x v="1"/>
    <n v="2"/>
    <n v="269.99"/>
    <n v="0.05"/>
    <n v="13.499500000000001"/>
    <n v="5"/>
    <n v="6"/>
  </r>
  <r>
    <n v="235"/>
    <n v="3"/>
    <n v="7"/>
    <x v="2"/>
    <n v="2"/>
    <n v="3999.99"/>
    <n v="0.05"/>
    <n v="199.99950000000001"/>
    <n v="8"/>
    <n v="6"/>
  </r>
  <r>
    <n v="236"/>
    <n v="1"/>
    <n v="3"/>
    <x v="0"/>
    <n v="2"/>
    <n v="999.99"/>
    <n v="7.0000000000000007E-2"/>
    <n v="69.999300000000005"/>
    <n v="9"/>
    <n v="6"/>
  </r>
  <r>
    <n v="236"/>
    <n v="2"/>
    <n v="2"/>
    <x v="1"/>
    <n v="2"/>
    <n v="749.99"/>
    <n v="0.1"/>
    <n v="74.999000000000009"/>
    <n v="5"/>
    <n v="6"/>
  </r>
  <r>
    <n v="236"/>
    <n v="3"/>
    <n v="4"/>
    <x v="2"/>
    <n v="2"/>
    <n v="2899.99"/>
    <n v="0.1"/>
    <n v="289.99899999999997"/>
    <n v="8"/>
    <n v="6"/>
  </r>
  <r>
    <n v="237"/>
    <n v="1"/>
    <n v="15"/>
    <x v="0"/>
    <n v="1"/>
    <n v="529.99"/>
    <n v="0.2"/>
    <n v="105.998"/>
    <n v="9"/>
    <n v="6"/>
  </r>
  <r>
    <n v="237"/>
    <n v="2"/>
    <n v="24"/>
    <x v="1"/>
    <n v="1"/>
    <n v="549.99"/>
    <n v="7.0000000000000007E-2"/>
    <n v="38.499300000000005"/>
    <n v="5"/>
    <n v="6"/>
  </r>
  <r>
    <n v="237"/>
    <n v="3"/>
    <n v="20"/>
    <x v="2"/>
    <n v="2"/>
    <n v="599.99"/>
    <n v="0.2"/>
    <n v="119.998"/>
    <n v="8"/>
    <n v="6"/>
  </r>
  <r>
    <n v="237"/>
    <n v="4"/>
    <n v="26"/>
    <x v="3"/>
    <n v="1"/>
    <n v="599.99"/>
    <n v="0.05"/>
    <n v="29.999500000000001"/>
    <n v="9"/>
    <n v="6"/>
  </r>
  <r>
    <n v="238"/>
    <n v="1"/>
    <n v="20"/>
    <x v="0"/>
    <n v="2"/>
    <n v="599.99"/>
    <n v="0.2"/>
    <n v="119.998"/>
    <n v="9"/>
    <n v="6"/>
  </r>
  <r>
    <n v="238"/>
    <n v="2"/>
    <n v="25"/>
    <x v="1"/>
    <n v="1"/>
    <n v="499.99"/>
    <n v="7.0000000000000007E-2"/>
    <n v="34.999300000000005"/>
    <n v="5"/>
    <n v="6"/>
  </r>
  <r>
    <n v="238"/>
    <n v="3"/>
    <n v="13"/>
    <x v="2"/>
    <n v="2"/>
    <n v="269.99"/>
    <n v="0.2"/>
    <n v="53.998000000000005"/>
    <n v="8"/>
    <n v="6"/>
  </r>
  <r>
    <n v="238"/>
    <n v="4"/>
    <n v="22"/>
    <x v="3"/>
    <n v="2"/>
    <n v="269.99"/>
    <n v="0.05"/>
    <n v="13.499500000000001"/>
    <n v="9"/>
    <n v="6"/>
  </r>
  <r>
    <n v="238"/>
    <n v="5"/>
    <n v="7"/>
    <x v="4"/>
    <n v="1"/>
    <n v="3999.99"/>
    <n v="7.0000000000000007E-2"/>
    <n v="279.99930000000001"/>
    <n v="3"/>
    <n v="6"/>
  </r>
  <r>
    <n v="239"/>
    <n v="1"/>
    <n v="16"/>
    <x v="0"/>
    <n v="2"/>
    <n v="599.99"/>
    <n v="0.1"/>
    <n v="59.999000000000002"/>
    <n v="9"/>
    <n v="6"/>
  </r>
  <r>
    <n v="239"/>
    <n v="2"/>
    <n v="21"/>
    <x v="1"/>
    <n v="2"/>
    <n v="269.99"/>
    <n v="0.05"/>
    <n v="13.499500000000001"/>
    <n v="5"/>
    <n v="6"/>
  </r>
  <r>
    <n v="239"/>
    <n v="3"/>
    <n v="18"/>
    <x v="2"/>
    <n v="1"/>
    <n v="449"/>
    <n v="7.0000000000000007E-2"/>
    <n v="31.430000000000003"/>
    <n v="8"/>
    <n v="6"/>
  </r>
  <r>
    <n v="239"/>
    <n v="4"/>
    <n v="4"/>
    <x v="3"/>
    <n v="2"/>
    <n v="2899.99"/>
    <n v="7.0000000000000007E-2"/>
    <n v="202.99930000000001"/>
    <n v="9"/>
    <n v="6"/>
  </r>
  <r>
    <n v="240"/>
    <n v="1"/>
    <n v="9"/>
    <x v="0"/>
    <n v="1"/>
    <n v="2999.99"/>
    <n v="7.0000000000000007E-2"/>
    <n v="209.99930000000001"/>
    <n v="9"/>
    <n v="6"/>
  </r>
  <r>
    <n v="240"/>
    <n v="2"/>
    <n v="8"/>
    <x v="1"/>
    <n v="1"/>
    <n v="1799.99"/>
    <n v="7.0000000000000007E-2"/>
    <n v="125.99930000000002"/>
    <n v="5"/>
    <n v="6"/>
  </r>
  <r>
    <n v="240"/>
    <n v="3"/>
    <n v="5"/>
    <x v="2"/>
    <n v="1"/>
    <n v="1320.99"/>
    <n v="7.0000000000000007E-2"/>
    <n v="92.469300000000004"/>
    <n v="8"/>
    <n v="6"/>
  </r>
  <r>
    <n v="240"/>
    <n v="4"/>
    <n v="18"/>
    <x v="3"/>
    <n v="2"/>
    <n v="449"/>
    <n v="7.0000000000000007E-2"/>
    <n v="31.430000000000003"/>
    <n v="9"/>
    <n v="6"/>
  </r>
  <r>
    <n v="241"/>
    <n v="1"/>
    <n v="7"/>
    <x v="0"/>
    <n v="1"/>
    <n v="3999.99"/>
    <n v="0.2"/>
    <n v="799.99800000000005"/>
    <n v="9"/>
    <n v="6"/>
  </r>
  <r>
    <n v="242"/>
    <n v="1"/>
    <n v="3"/>
    <x v="0"/>
    <n v="1"/>
    <n v="999.99"/>
    <n v="0.2"/>
    <n v="199.99800000000002"/>
    <n v="9"/>
    <n v="6"/>
  </r>
  <r>
    <n v="243"/>
    <n v="1"/>
    <n v="25"/>
    <x v="0"/>
    <n v="2"/>
    <n v="499.99"/>
    <n v="0.05"/>
    <n v="24.999500000000001"/>
    <n v="9"/>
    <n v="6"/>
  </r>
  <r>
    <n v="243"/>
    <n v="2"/>
    <n v="19"/>
    <x v="1"/>
    <n v="2"/>
    <n v="449"/>
    <n v="7.0000000000000007E-2"/>
    <n v="31.430000000000003"/>
    <n v="5"/>
    <n v="6"/>
  </r>
  <r>
    <n v="243"/>
    <n v="3"/>
    <n v="7"/>
    <x v="2"/>
    <n v="2"/>
    <n v="3999.99"/>
    <n v="0.05"/>
    <n v="199.99950000000001"/>
    <n v="8"/>
    <n v="6"/>
  </r>
  <r>
    <n v="244"/>
    <n v="1"/>
    <n v="19"/>
    <x v="0"/>
    <n v="1"/>
    <n v="449"/>
    <n v="7.0000000000000007E-2"/>
    <n v="31.430000000000003"/>
    <n v="9"/>
    <n v="6"/>
  </r>
  <r>
    <n v="244"/>
    <n v="2"/>
    <n v="25"/>
    <x v="1"/>
    <n v="1"/>
    <n v="499.99"/>
    <n v="0.2"/>
    <n v="99.998000000000005"/>
    <n v="5"/>
    <n v="6"/>
  </r>
  <r>
    <n v="244"/>
    <n v="3"/>
    <n v="22"/>
    <x v="2"/>
    <n v="1"/>
    <n v="269.99"/>
    <n v="0.1"/>
    <n v="26.999000000000002"/>
    <n v="8"/>
    <n v="6"/>
  </r>
  <r>
    <n v="245"/>
    <n v="1"/>
    <n v="10"/>
    <x v="0"/>
    <n v="2"/>
    <n v="1549"/>
    <n v="0.05"/>
    <n v="77.45"/>
    <n v="9"/>
    <n v="6"/>
  </r>
  <r>
    <n v="245"/>
    <n v="2"/>
    <n v="8"/>
    <x v="1"/>
    <n v="1"/>
    <n v="1799.99"/>
    <n v="0.1"/>
    <n v="179.99900000000002"/>
    <n v="5"/>
    <n v="6"/>
  </r>
  <r>
    <n v="246"/>
    <n v="1"/>
    <n v="17"/>
    <x v="0"/>
    <n v="2"/>
    <n v="429"/>
    <n v="0.2"/>
    <n v="85.800000000000011"/>
    <n v="9"/>
    <n v="6"/>
  </r>
  <r>
    <n v="247"/>
    <n v="1"/>
    <n v="25"/>
    <x v="0"/>
    <n v="1"/>
    <n v="499.99"/>
    <n v="7.0000000000000007E-2"/>
    <n v="34.999300000000005"/>
    <n v="9"/>
    <n v="6"/>
  </r>
  <r>
    <n v="247"/>
    <n v="2"/>
    <n v="3"/>
    <x v="1"/>
    <n v="1"/>
    <n v="999.99"/>
    <n v="0.2"/>
    <n v="199.99800000000002"/>
    <n v="5"/>
    <n v="6"/>
  </r>
  <r>
    <n v="248"/>
    <n v="1"/>
    <n v="13"/>
    <x v="0"/>
    <n v="1"/>
    <n v="269.99"/>
    <n v="0.1"/>
    <n v="26.999000000000002"/>
    <n v="9"/>
    <n v="6"/>
  </r>
  <r>
    <n v="248"/>
    <n v="2"/>
    <n v="26"/>
    <x v="1"/>
    <n v="2"/>
    <n v="599.99"/>
    <n v="0.1"/>
    <n v="59.999000000000002"/>
    <n v="5"/>
    <n v="6"/>
  </r>
  <r>
    <n v="248"/>
    <n v="3"/>
    <n v="17"/>
    <x v="2"/>
    <n v="1"/>
    <n v="429"/>
    <n v="0.1"/>
    <n v="42.900000000000006"/>
    <n v="8"/>
    <n v="6"/>
  </r>
  <r>
    <n v="248"/>
    <n v="4"/>
    <n v="9"/>
    <x v="3"/>
    <n v="1"/>
    <n v="2999.99"/>
    <n v="0.2"/>
    <n v="599.99799999999993"/>
    <n v="9"/>
    <n v="6"/>
  </r>
  <r>
    <n v="249"/>
    <n v="1"/>
    <n v="7"/>
    <x v="0"/>
    <n v="2"/>
    <n v="3999.99"/>
    <n v="0.05"/>
    <n v="199.99950000000001"/>
    <n v="9"/>
    <n v="6"/>
  </r>
  <r>
    <n v="249"/>
    <n v="2"/>
    <n v="18"/>
    <x v="1"/>
    <n v="2"/>
    <n v="449"/>
    <n v="0.05"/>
    <n v="22.450000000000003"/>
    <n v="5"/>
    <n v="6"/>
  </r>
  <r>
    <n v="249"/>
    <n v="3"/>
    <n v="22"/>
    <x v="2"/>
    <n v="1"/>
    <n v="269.99"/>
    <n v="0.1"/>
    <n v="26.999000000000002"/>
    <n v="8"/>
    <n v="6"/>
  </r>
  <r>
    <n v="250"/>
    <n v="1"/>
    <n v="17"/>
    <x v="0"/>
    <n v="2"/>
    <n v="429"/>
    <n v="0.05"/>
    <n v="21.450000000000003"/>
    <n v="9"/>
    <n v="6"/>
  </r>
  <r>
    <n v="250"/>
    <n v="2"/>
    <n v="11"/>
    <x v="1"/>
    <n v="2"/>
    <n v="1680.99"/>
    <n v="0.1"/>
    <n v="168.09900000000002"/>
    <n v="5"/>
    <n v="6"/>
  </r>
  <r>
    <n v="251"/>
    <n v="1"/>
    <n v="23"/>
    <x v="0"/>
    <n v="2"/>
    <n v="299.99"/>
    <n v="0.2"/>
    <n v="59.998000000000005"/>
    <n v="9"/>
    <n v="6"/>
  </r>
  <r>
    <n v="251"/>
    <n v="2"/>
    <n v="22"/>
    <x v="1"/>
    <n v="2"/>
    <n v="269.99"/>
    <n v="0.05"/>
    <n v="13.499500000000001"/>
    <n v="5"/>
    <n v="6"/>
  </r>
  <r>
    <n v="252"/>
    <n v="1"/>
    <n v="11"/>
    <x v="0"/>
    <n v="2"/>
    <n v="1680.99"/>
    <n v="0.1"/>
    <n v="168.09900000000002"/>
    <n v="9"/>
    <n v="6"/>
  </r>
  <r>
    <n v="252"/>
    <n v="2"/>
    <n v="4"/>
    <x v="1"/>
    <n v="1"/>
    <n v="2899.99"/>
    <n v="7.0000000000000007E-2"/>
    <n v="202.99930000000001"/>
    <n v="5"/>
    <n v="6"/>
  </r>
  <r>
    <n v="252"/>
    <n v="3"/>
    <n v="19"/>
    <x v="2"/>
    <n v="1"/>
    <n v="449"/>
    <n v="0.1"/>
    <n v="44.900000000000006"/>
    <n v="8"/>
    <n v="6"/>
  </r>
  <r>
    <n v="253"/>
    <n v="1"/>
    <n v="11"/>
    <x v="0"/>
    <n v="2"/>
    <n v="1680.99"/>
    <n v="7.0000000000000007E-2"/>
    <n v="117.66930000000001"/>
    <n v="9"/>
    <n v="6"/>
  </r>
  <r>
    <n v="254"/>
    <n v="1"/>
    <n v="6"/>
    <x v="0"/>
    <n v="2"/>
    <n v="469.99"/>
    <n v="7.0000000000000007E-2"/>
    <n v="32.899300000000004"/>
    <n v="9"/>
    <n v="6"/>
  </r>
  <r>
    <n v="254"/>
    <n v="2"/>
    <n v="3"/>
    <x v="1"/>
    <n v="1"/>
    <n v="999.99"/>
    <n v="0.05"/>
    <n v="49.999500000000005"/>
    <n v="5"/>
    <n v="6"/>
  </r>
  <r>
    <n v="254"/>
    <n v="3"/>
    <n v="12"/>
    <x v="2"/>
    <n v="1"/>
    <n v="549.99"/>
    <n v="0.05"/>
    <n v="27.499500000000001"/>
    <n v="8"/>
    <n v="6"/>
  </r>
  <r>
    <n v="255"/>
    <n v="1"/>
    <n v="5"/>
    <x v="0"/>
    <n v="2"/>
    <n v="1320.99"/>
    <n v="0.1"/>
    <n v="132.09900000000002"/>
    <n v="9"/>
    <n v="6"/>
  </r>
  <r>
    <n v="255"/>
    <n v="2"/>
    <n v="14"/>
    <x v="1"/>
    <n v="1"/>
    <n v="269.99"/>
    <n v="0.2"/>
    <n v="53.998000000000005"/>
    <n v="5"/>
    <n v="6"/>
  </r>
  <r>
    <n v="255"/>
    <n v="3"/>
    <n v="2"/>
    <x v="2"/>
    <n v="2"/>
    <n v="749.99"/>
    <n v="0.2"/>
    <n v="149.99800000000002"/>
    <n v="8"/>
    <n v="6"/>
  </r>
  <r>
    <n v="255"/>
    <n v="4"/>
    <n v="21"/>
    <x v="3"/>
    <n v="1"/>
    <n v="269.99"/>
    <n v="7.0000000000000007E-2"/>
    <n v="18.899300000000004"/>
    <n v="9"/>
    <n v="6"/>
  </r>
  <r>
    <n v="256"/>
    <n v="1"/>
    <n v="11"/>
    <x v="0"/>
    <n v="1"/>
    <n v="1680.99"/>
    <n v="0.1"/>
    <n v="168.09900000000002"/>
    <n v="9"/>
    <n v="6"/>
  </r>
  <r>
    <n v="256"/>
    <n v="2"/>
    <n v="21"/>
    <x v="1"/>
    <n v="1"/>
    <n v="269.99"/>
    <n v="0.05"/>
    <n v="13.499500000000001"/>
    <n v="5"/>
    <n v="6"/>
  </r>
  <r>
    <n v="257"/>
    <n v="1"/>
    <n v="8"/>
    <x v="0"/>
    <n v="2"/>
    <n v="1799.99"/>
    <n v="7.0000000000000007E-2"/>
    <n v="125.99930000000002"/>
    <n v="9"/>
    <n v="6"/>
  </r>
  <r>
    <n v="257"/>
    <n v="2"/>
    <n v="13"/>
    <x v="1"/>
    <n v="2"/>
    <n v="269.99"/>
    <n v="0.2"/>
    <n v="53.998000000000005"/>
    <n v="5"/>
    <n v="6"/>
  </r>
  <r>
    <n v="257"/>
    <n v="3"/>
    <n v="10"/>
    <x v="2"/>
    <n v="2"/>
    <n v="1549"/>
    <n v="0.1"/>
    <n v="154.9"/>
    <n v="8"/>
    <n v="6"/>
  </r>
  <r>
    <n v="257"/>
    <n v="4"/>
    <n v="15"/>
    <x v="3"/>
    <n v="1"/>
    <n v="529.99"/>
    <n v="0.1"/>
    <n v="52.999000000000002"/>
    <n v="9"/>
    <n v="6"/>
  </r>
  <r>
    <n v="258"/>
    <n v="1"/>
    <n v="8"/>
    <x v="0"/>
    <n v="2"/>
    <n v="1799.99"/>
    <n v="0.05"/>
    <n v="89.999500000000012"/>
    <n v="9"/>
    <n v="6"/>
  </r>
  <r>
    <n v="258"/>
    <n v="2"/>
    <n v="4"/>
    <x v="1"/>
    <n v="1"/>
    <n v="2899.99"/>
    <n v="7.0000000000000007E-2"/>
    <n v="202.99930000000001"/>
    <n v="5"/>
    <n v="6"/>
  </r>
  <r>
    <n v="258"/>
    <n v="3"/>
    <n v="19"/>
    <x v="2"/>
    <n v="1"/>
    <n v="449"/>
    <n v="7.0000000000000007E-2"/>
    <n v="31.430000000000003"/>
    <n v="8"/>
    <n v="6"/>
  </r>
  <r>
    <n v="258"/>
    <n v="4"/>
    <n v="18"/>
    <x v="3"/>
    <n v="1"/>
    <n v="449"/>
    <n v="0.05"/>
    <n v="22.450000000000003"/>
    <n v="9"/>
    <n v="6"/>
  </r>
  <r>
    <n v="259"/>
    <n v="1"/>
    <n v="26"/>
    <x v="0"/>
    <n v="1"/>
    <n v="599.99"/>
    <n v="0.05"/>
    <n v="29.999500000000001"/>
    <n v="9"/>
    <n v="6"/>
  </r>
  <r>
    <n v="259"/>
    <n v="2"/>
    <n v="6"/>
    <x v="1"/>
    <n v="2"/>
    <n v="469.99"/>
    <n v="0.1"/>
    <n v="46.999000000000002"/>
    <n v="5"/>
    <n v="6"/>
  </r>
  <r>
    <n v="259"/>
    <n v="3"/>
    <n v="2"/>
    <x v="2"/>
    <n v="2"/>
    <n v="749.99"/>
    <n v="0.2"/>
    <n v="149.99800000000002"/>
    <n v="8"/>
    <n v="6"/>
  </r>
  <r>
    <n v="259"/>
    <n v="4"/>
    <n v="4"/>
    <x v="3"/>
    <n v="1"/>
    <n v="2899.99"/>
    <n v="0.1"/>
    <n v="289.99899999999997"/>
    <n v="9"/>
    <n v="6"/>
  </r>
  <r>
    <n v="260"/>
    <n v="1"/>
    <n v="23"/>
    <x v="0"/>
    <n v="2"/>
    <n v="299.99"/>
    <n v="0.2"/>
    <n v="59.998000000000005"/>
    <n v="9"/>
    <n v="6"/>
  </r>
  <r>
    <n v="260"/>
    <n v="2"/>
    <n v="10"/>
    <x v="1"/>
    <n v="1"/>
    <n v="1549"/>
    <n v="0.2"/>
    <n v="309.8"/>
    <n v="5"/>
    <n v="6"/>
  </r>
  <r>
    <n v="260"/>
    <n v="3"/>
    <n v="24"/>
    <x v="2"/>
    <n v="2"/>
    <n v="549.99"/>
    <n v="0.2"/>
    <n v="109.998"/>
    <n v="8"/>
    <n v="6"/>
  </r>
  <r>
    <n v="261"/>
    <n v="1"/>
    <n v="16"/>
    <x v="0"/>
    <n v="2"/>
    <n v="599.99"/>
    <n v="0.05"/>
    <n v="29.999500000000001"/>
    <n v="9"/>
    <n v="6"/>
  </r>
  <r>
    <n v="261"/>
    <n v="2"/>
    <n v="14"/>
    <x v="1"/>
    <n v="1"/>
    <n v="269.99"/>
    <n v="0.1"/>
    <n v="26.999000000000002"/>
    <n v="5"/>
    <n v="6"/>
  </r>
  <r>
    <n v="261"/>
    <n v="3"/>
    <n v="17"/>
    <x v="2"/>
    <n v="2"/>
    <n v="429"/>
    <n v="0.1"/>
    <n v="42.900000000000006"/>
    <n v="8"/>
    <n v="6"/>
  </r>
  <r>
    <n v="262"/>
    <n v="1"/>
    <n v="2"/>
    <x v="0"/>
    <n v="1"/>
    <n v="749.99"/>
    <n v="7.0000000000000007E-2"/>
    <n v="52.499300000000005"/>
    <n v="9"/>
    <n v="6"/>
  </r>
  <r>
    <n v="262"/>
    <n v="2"/>
    <n v="9"/>
    <x v="1"/>
    <n v="2"/>
    <n v="2999.99"/>
    <n v="0.05"/>
    <n v="149.99949999999998"/>
    <n v="5"/>
    <n v="6"/>
  </r>
  <r>
    <n v="263"/>
    <n v="1"/>
    <n v="9"/>
    <x v="0"/>
    <n v="1"/>
    <n v="2999.99"/>
    <n v="7.0000000000000007E-2"/>
    <n v="209.99930000000001"/>
    <n v="9"/>
    <n v="6"/>
  </r>
  <r>
    <n v="263"/>
    <n v="2"/>
    <n v="3"/>
    <x v="1"/>
    <n v="1"/>
    <n v="999.99"/>
    <n v="0.2"/>
    <n v="199.99800000000002"/>
    <n v="5"/>
    <n v="6"/>
  </r>
  <r>
    <n v="263"/>
    <n v="3"/>
    <n v="2"/>
    <x v="2"/>
    <n v="2"/>
    <n v="749.99"/>
    <n v="0.05"/>
    <n v="37.499500000000005"/>
    <n v="8"/>
    <n v="6"/>
  </r>
  <r>
    <n v="264"/>
    <n v="1"/>
    <n v="10"/>
    <x v="0"/>
    <n v="1"/>
    <n v="1549"/>
    <n v="0.2"/>
    <n v="309.8"/>
    <n v="9"/>
    <n v="6"/>
  </r>
  <r>
    <n v="264"/>
    <n v="2"/>
    <n v="24"/>
    <x v="1"/>
    <n v="2"/>
    <n v="549.99"/>
    <n v="0.05"/>
    <n v="27.499500000000001"/>
    <n v="5"/>
    <n v="6"/>
  </r>
  <r>
    <n v="264"/>
    <n v="3"/>
    <n v="15"/>
    <x v="2"/>
    <n v="2"/>
    <n v="529.99"/>
    <n v="0.1"/>
    <n v="52.999000000000002"/>
    <n v="8"/>
    <n v="6"/>
  </r>
  <r>
    <n v="264"/>
    <n v="4"/>
    <n v="3"/>
    <x v="3"/>
    <n v="2"/>
    <n v="999.99"/>
    <n v="7.0000000000000007E-2"/>
    <n v="69.999300000000005"/>
    <n v="9"/>
    <n v="6"/>
  </r>
  <r>
    <n v="265"/>
    <n v="1"/>
    <n v="9"/>
    <x v="0"/>
    <n v="2"/>
    <n v="2999.99"/>
    <n v="0.2"/>
    <n v="599.99799999999993"/>
    <n v="9"/>
    <n v="6"/>
  </r>
  <r>
    <n v="266"/>
    <n v="1"/>
    <n v="6"/>
    <x v="0"/>
    <n v="2"/>
    <n v="469.99"/>
    <n v="7.0000000000000007E-2"/>
    <n v="32.899300000000004"/>
    <n v="9"/>
    <n v="6"/>
  </r>
  <r>
    <n v="266"/>
    <n v="2"/>
    <n v="19"/>
    <x v="1"/>
    <n v="1"/>
    <n v="449"/>
    <n v="0.2"/>
    <n v="89.800000000000011"/>
    <n v="5"/>
    <n v="6"/>
  </r>
  <r>
    <n v="266"/>
    <n v="3"/>
    <n v="25"/>
    <x v="2"/>
    <n v="1"/>
    <n v="499.99"/>
    <n v="0.05"/>
    <n v="24.999500000000001"/>
    <n v="8"/>
    <n v="6"/>
  </r>
  <r>
    <n v="267"/>
    <n v="1"/>
    <n v="22"/>
    <x v="0"/>
    <n v="2"/>
    <n v="269.99"/>
    <n v="0.2"/>
    <n v="53.998000000000005"/>
    <n v="9"/>
    <n v="6"/>
  </r>
  <r>
    <n v="267"/>
    <n v="2"/>
    <n v="23"/>
    <x v="1"/>
    <n v="2"/>
    <n v="299.99"/>
    <n v="0.1"/>
    <n v="29.999000000000002"/>
    <n v="5"/>
    <n v="6"/>
  </r>
  <r>
    <n v="267"/>
    <n v="3"/>
    <n v="24"/>
    <x v="2"/>
    <n v="1"/>
    <n v="549.99"/>
    <n v="0.1"/>
    <n v="54.999000000000002"/>
    <n v="8"/>
    <n v="6"/>
  </r>
  <r>
    <n v="267"/>
    <n v="4"/>
    <n v="7"/>
    <x v="3"/>
    <n v="2"/>
    <n v="3999.99"/>
    <n v="7.0000000000000007E-2"/>
    <n v="279.99930000000001"/>
    <n v="9"/>
    <n v="6"/>
  </r>
  <r>
    <n v="267"/>
    <n v="5"/>
    <n v="21"/>
    <x v="4"/>
    <n v="1"/>
    <n v="269.99"/>
    <n v="0.05"/>
    <n v="13.499500000000001"/>
    <n v="3"/>
    <n v="6"/>
  </r>
  <r>
    <n v="268"/>
    <n v="1"/>
    <n v="7"/>
    <x v="0"/>
    <n v="1"/>
    <n v="3999.99"/>
    <n v="0.05"/>
    <n v="199.99950000000001"/>
    <n v="9"/>
    <n v="6"/>
  </r>
  <r>
    <n v="268"/>
    <n v="2"/>
    <n v="6"/>
    <x v="1"/>
    <n v="2"/>
    <n v="469.99"/>
    <n v="0.2"/>
    <n v="93.998000000000005"/>
    <n v="5"/>
    <n v="6"/>
  </r>
  <r>
    <n v="268"/>
    <n v="3"/>
    <n v="9"/>
    <x v="2"/>
    <n v="1"/>
    <n v="2999.99"/>
    <n v="0.1"/>
    <n v="299.99899999999997"/>
    <n v="8"/>
    <n v="6"/>
  </r>
  <r>
    <n v="269"/>
    <n v="1"/>
    <n v="5"/>
    <x v="0"/>
    <n v="1"/>
    <n v="1320.99"/>
    <n v="7.0000000000000007E-2"/>
    <n v="92.469300000000004"/>
    <n v="9"/>
    <n v="6"/>
  </r>
  <r>
    <n v="269"/>
    <n v="2"/>
    <n v="23"/>
    <x v="1"/>
    <n v="2"/>
    <n v="299.99"/>
    <n v="7.0000000000000007E-2"/>
    <n v="20.999300000000002"/>
    <n v="5"/>
    <n v="6"/>
  </r>
  <r>
    <n v="269"/>
    <n v="3"/>
    <n v="18"/>
    <x v="2"/>
    <n v="1"/>
    <n v="449"/>
    <n v="0.05"/>
    <n v="22.450000000000003"/>
    <n v="8"/>
    <n v="6"/>
  </r>
  <r>
    <n v="269"/>
    <n v="4"/>
    <n v="3"/>
    <x v="3"/>
    <n v="1"/>
    <n v="999.99"/>
    <n v="0.05"/>
    <n v="49.999500000000005"/>
    <n v="9"/>
    <n v="6"/>
  </r>
  <r>
    <n v="270"/>
    <n v="1"/>
    <n v="25"/>
    <x v="0"/>
    <n v="2"/>
    <n v="499.99"/>
    <n v="0.2"/>
    <n v="99.998000000000005"/>
    <n v="9"/>
    <n v="6"/>
  </r>
  <r>
    <n v="270"/>
    <n v="2"/>
    <n v="15"/>
    <x v="1"/>
    <n v="1"/>
    <n v="529.99"/>
    <n v="0.1"/>
    <n v="52.999000000000002"/>
    <n v="5"/>
    <n v="6"/>
  </r>
  <r>
    <n v="271"/>
    <n v="1"/>
    <n v="11"/>
    <x v="0"/>
    <n v="2"/>
    <n v="1680.99"/>
    <n v="7.0000000000000007E-2"/>
    <n v="117.66930000000001"/>
    <n v="9"/>
    <n v="6"/>
  </r>
  <r>
    <n v="271"/>
    <n v="2"/>
    <n v="6"/>
    <x v="1"/>
    <n v="2"/>
    <n v="469.99"/>
    <n v="0.05"/>
    <n v="23.499500000000001"/>
    <n v="5"/>
    <n v="6"/>
  </r>
  <r>
    <n v="271"/>
    <n v="3"/>
    <n v="13"/>
    <x v="2"/>
    <n v="1"/>
    <n v="269.99"/>
    <n v="0.1"/>
    <n v="26.999000000000002"/>
    <n v="8"/>
    <n v="6"/>
  </r>
  <r>
    <n v="271"/>
    <n v="4"/>
    <n v="7"/>
    <x v="3"/>
    <n v="2"/>
    <n v="3999.99"/>
    <n v="0.1"/>
    <n v="399.99900000000002"/>
    <n v="9"/>
    <n v="6"/>
  </r>
  <r>
    <n v="272"/>
    <n v="1"/>
    <n v="2"/>
    <x v="0"/>
    <n v="2"/>
    <n v="749.99"/>
    <n v="7.0000000000000007E-2"/>
    <n v="52.499300000000005"/>
    <n v="9"/>
    <n v="6"/>
  </r>
  <r>
    <n v="272"/>
    <n v="2"/>
    <n v="11"/>
    <x v="1"/>
    <n v="1"/>
    <n v="1680.99"/>
    <n v="7.0000000000000007E-2"/>
    <n v="117.66930000000001"/>
    <n v="5"/>
    <n v="6"/>
  </r>
  <r>
    <n v="273"/>
    <n v="1"/>
    <n v="21"/>
    <x v="0"/>
    <n v="1"/>
    <n v="269.99"/>
    <n v="0.1"/>
    <n v="26.999000000000002"/>
    <n v="9"/>
    <n v="6"/>
  </r>
  <r>
    <n v="274"/>
    <n v="1"/>
    <n v="11"/>
    <x v="0"/>
    <n v="2"/>
    <n v="1680.99"/>
    <n v="0.05"/>
    <n v="84.049500000000009"/>
    <n v="9"/>
    <n v="6"/>
  </r>
  <r>
    <n v="274"/>
    <n v="2"/>
    <n v="25"/>
    <x v="1"/>
    <n v="2"/>
    <n v="499.99"/>
    <n v="0.1"/>
    <n v="49.999000000000002"/>
    <n v="5"/>
    <n v="6"/>
  </r>
  <r>
    <n v="274"/>
    <n v="3"/>
    <n v="9"/>
    <x v="2"/>
    <n v="2"/>
    <n v="2999.99"/>
    <n v="7.0000000000000007E-2"/>
    <n v="209.99930000000001"/>
    <n v="8"/>
    <n v="6"/>
  </r>
  <r>
    <n v="275"/>
    <n v="1"/>
    <n v="18"/>
    <x v="0"/>
    <n v="1"/>
    <n v="449"/>
    <n v="0.05"/>
    <n v="22.450000000000003"/>
    <n v="9"/>
    <n v="6"/>
  </r>
  <r>
    <n v="275"/>
    <n v="2"/>
    <n v="25"/>
    <x v="1"/>
    <n v="1"/>
    <n v="499.99"/>
    <n v="0.1"/>
    <n v="49.999000000000002"/>
    <n v="5"/>
    <n v="6"/>
  </r>
  <r>
    <n v="275"/>
    <n v="3"/>
    <n v="7"/>
    <x v="2"/>
    <n v="2"/>
    <n v="3999.99"/>
    <n v="0.05"/>
    <n v="199.99950000000001"/>
    <n v="8"/>
    <n v="6"/>
  </r>
  <r>
    <n v="276"/>
    <n v="1"/>
    <n v="3"/>
    <x v="0"/>
    <n v="2"/>
    <n v="999.99"/>
    <n v="0.2"/>
    <n v="199.99800000000002"/>
    <n v="9"/>
    <n v="6"/>
  </r>
  <r>
    <n v="276"/>
    <n v="2"/>
    <n v="17"/>
    <x v="1"/>
    <n v="1"/>
    <n v="429"/>
    <n v="0.05"/>
    <n v="21.450000000000003"/>
    <n v="5"/>
    <n v="6"/>
  </r>
  <r>
    <n v="276"/>
    <n v="3"/>
    <n v="9"/>
    <x v="2"/>
    <n v="2"/>
    <n v="2999.99"/>
    <n v="7.0000000000000007E-2"/>
    <n v="209.99930000000001"/>
    <n v="8"/>
    <n v="6"/>
  </r>
  <r>
    <n v="277"/>
    <n v="1"/>
    <n v="20"/>
    <x v="0"/>
    <n v="2"/>
    <n v="599.99"/>
    <n v="0.2"/>
    <n v="119.998"/>
    <n v="9"/>
    <n v="6"/>
  </r>
  <r>
    <n v="277"/>
    <n v="2"/>
    <n v="6"/>
    <x v="1"/>
    <n v="2"/>
    <n v="469.99"/>
    <n v="0.2"/>
    <n v="93.998000000000005"/>
    <n v="5"/>
    <n v="6"/>
  </r>
  <r>
    <n v="277"/>
    <n v="3"/>
    <n v="13"/>
    <x v="2"/>
    <n v="2"/>
    <n v="269.99"/>
    <n v="0.1"/>
    <n v="26.999000000000002"/>
    <n v="8"/>
    <n v="6"/>
  </r>
  <r>
    <n v="278"/>
    <n v="1"/>
    <n v="16"/>
    <x v="0"/>
    <n v="1"/>
    <n v="599.99"/>
    <n v="0.2"/>
    <n v="119.998"/>
    <n v="9"/>
    <n v="6"/>
  </r>
  <r>
    <n v="278"/>
    <n v="2"/>
    <n v="19"/>
    <x v="1"/>
    <n v="2"/>
    <n v="449"/>
    <n v="7.0000000000000007E-2"/>
    <n v="31.430000000000003"/>
    <n v="5"/>
    <n v="6"/>
  </r>
  <r>
    <n v="278"/>
    <n v="3"/>
    <n v="13"/>
    <x v="2"/>
    <n v="1"/>
    <n v="269.99"/>
    <n v="7.0000000000000007E-2"/>
    <n v="18.899300000000004"/>
    <n v="8"/>
    <n v="6"/>
  </r>
  <r>
    <n v="278"/>
    <n v="4"/>
    <n v="11"/>
    <x v="3"/>
    <n v="2"/>
    <n v="1680.99"/>
    <n v="7.0000000000000007E-2"/>
    <n v="117.66930000000001"/>
    <n v="9"/>
    <n v="6"/>
  </r>
  <r>
    <n v="279"/>
    <n v="1"/>
    <n v="25"/>
    <x v="0"/>
    <n v="1"/>
    <n v="499.99"/>
    <n v="7.0000000000000007E-2"/>
    <n v="34.999300000000005"/>
    <n v="9"/>
    <n v="6"/>
  </r>
  <r>
    <n v="280"/>
    <n v="1"/>
    <n v="25"/>
    <x v="0"/>
    <n v="1"/>
    <n v="499.99"/>
    <n v="7.0000000000000007E-2"/>
    <n v="34.999300000000005"/>
    <n v="9"/>
    <n v="6"/>
  </r>
  <r>
    <n v="280"/>
    <n v="2"/>
    <n v="26"/>
    <x v="1"/>
    <n v="2"/>
    <n v="599.99"/>
    <n v="7.0000000000000007E-2"/>
    <n v="41.999300000000005"/>
    <n v="5"/>
    <n v="6"/>
  </r>
  <r>
    <n v="280"/>
    <n v="3"/>
    <n v="13"/>
    <x v="2"/>
    <n v="1"/>
    <n v="269.99"/>
    <n v="7.0000000000000007E-2"/>
    <n v="18.899300000000004"/>
    <n v="8"/>
    <n v="6"/>
  </r>
  <r>
    <n v="281"/>
    <n v="1"/>
    <n v="22"/>
    <x v="0"/>
    <n v="1"/>
    <n v="269.99"/>
    <n v="7.0000000000000007E-2"/>
    <n v="18.899300000000004"/>
    <n v="9"/>
    <n v="6"/>
  </r>
  <r>
    <n v="281"/>
    <n v="2"/>
    <n v="14"/>
    <x v="1"/>
    <n v="2"/>
    <n v="269.99"/>
    <n v="0.1"/>
    <n v="26.999000000000002"/>
    <n v="5"/>
    <n v="6"/>
  </r>
  <r>
    <n v="281"/>
    <n v="3"/>
    <n v="7"/>
    <x v="2"/>
    <n v="2"/>
    <n v="3999.99"/>
    <n v="7.0000000000000007E-2"/>
    <n v="279.99930000000001"/>
    <n v="8"/>
    <n v="6"/>
  </r>
  <r>
    <n v="282"/>
    <n v="1"/>
    <n v="20"/>
    <x v="0"/>
    <n v="1"/>
    <n v="599.99"/>
    <n v="7.0000000000000007E-2"/>
    <n v="41.999300000000005"/>
    <n v="9"/>
    <n v="6"/>
  </r>
  <r>
    <n v="282"/>
    <n v="2"/>
    <n v="7"/>
    <x v="1"/>
    <n v="2"/>
    <n v="3999.99"/>
    <n v="7.0000000000000007E-2"/>
    <n v="279.99930000000001"/>
    <n v="5"/>
    <n v="6"/>
  </r>
  <r>
    <n v="282"/>
    <n v="3"/>
    <n v="3"/>
    <x v="2"/>
    <n v="2"/>
    <n v="999.99"/>
    <n v="0.05"/>
    <n v="49.999500000000005"/>
    <n v="8"/>
    <n v="6"/>
  </r>
  <r>
    <n v="282"/>
    <n v="4"/>
    <n v="16"/>
    <x v="3"/>
    <n v="2"/>
    <n v="599.99"/>
    <n v="7.0000000000000007E-2"/>
    <n v="41.999300000000005"/>
    <n v="9"/>
    <n v="6"/>
  </r>
  <r>
    <n v="283"/>
    <n v="1"/>
    <n v="9"/>
    <x v="0"/>
    <n v="1"/>
    <n v="2999.99"/>
    <n v="0.05"/>
    <n v="149.99949999999998"/>
    <n v="9"/>
    <n v="6"/>
  </r>
  <r>
    <n v="283"/>
    <n v="2"/>
    <n v="16"/>
    <x v="1"/>
    <n v="2"/>
    <n v="599.99"/>
    <n v="0.2"/>
    <n v="119.998"/>
    <n v="5"/>
    <n v="6"/>
  </r>
  <r>
    <n v="284"/>
    <n v="1"/>
    <n v="24"/>
    <x v="0"/>
    <n v="2"/>
    <n v="549.99"/>
    <n v="0.2"/>
    <n v="109.998"/>
    <n v="9"/>
    <n v="6"/>
  </r>
  <r>
    <n v="284"/>
    <n v="2"/>
    <n v="20"/>
    <x v="1"/>
    <n v="1"/>
    <n v="599.99"/>
    <n v="0.2"/>
    <n v="119.998"/>
    <n v="5"/>
    <n v="6"/>
  </r>
  <r>
    <n v="285"/>
    <n v="1"/>
    <n v="16"/>
    <x v="0"/>
    <n v="2"/>
    <n v="599.99"/>
    <n v="0.05"/>
    <n v="29.999500000000001"/>
    <n v="9"/>
    <n v="6"/>
  </r>
  <r>
    <n v="285"/>
    <n v="2"/>
    <n v="12"/>
    <x v="1"/>
    <n v="1"/>
    <n v="549.99"/>
    <n v="0.05"/>
    <n v="27.499500000000001"/>
    <n v="5"/>
    <n v="6"/>
  </r>
  <r>
    <n v="285"/>
    <n v="3"/>
    <n v="2"/>
    <x v="2"/>
    <n v="1"/>
    <n v="749.99"/>
    <n v="0.1"/>
    <n v="74.999000000000009"/>
    <n v="8"/>
    <n v="6"/>
  </r>
  <r>
    <n v="286"/>
    <n v="1"/>
    <n v="26"/>
    <x v="0"/>
    <n v="2"/>
    <n v="599.99"/>
    <n v="0.2"/>
    <n v="119.998"/>
    <n v="9"/>
    <n v="6"/>
  </r>
  <r>
    <n v="286"/>
    <n v="2"/>
    <n v="21"/>
    <x v="1"/>
    <n v="2"/>
    <n v="269.99"/>
    <n v="7.0000000000000007E-2"/>
    <n v="18.899300000000004"/>
    <n v="5"/>
    <n v="6"/>
  </r>
  <r>
    <n v="286"/>
    <n v="3"/>
    <n v="16"/>
    <x v="2"/>
    <n v="2"/>
    <n v="599.99"/>
    <n v="0.1"/>
    <n v="59.999000000000002"/>
    <n v="8"/>
    <n v="6"/>
  </r>
  <r>
    <n v="286"/>
    <n v="4"/>
    <n v="7"/>
    <x v="3"/>
    <n v="1"/>
    <n v="3999.99"/>
    <n v="0.1"/>
    <n v="399.99900000000002"/>
    <n v="9"/>
    <n v="6"/>
  </r>
  <r>
    <n v="287"/>
    <n v="1"/>
    <n v="5"/>
    <x v="0"/>
    <n v="1"/>
    <n v="1320.99"/>
    <n v="0.2"/>
    <n v="264.19800000000004"/>
    <n v="9"/>
    <n v="6"/>
  </r>
  <r>
    <n v="287"/>
    <n v="2"/>
    <n v="10"/>
    <x v="1"/>
    <n v="1"/>
    <n v="1549"/>
    <n v="0.05"/>
    <n v="77.45"/>
    <n v="5"/>
    <n v="6"/>
  </r>
  <r>
    <n v="287"/>
    <n v="3"/>
    <n v="2"/>
    <x v="2"/>
    <n v="1"/>
    <n v="749.99"/>
    <n v="0.05"/>
    <n v="37.499500000000005"/>
    <n v="8"/>
    <n v="6"/>
  </r>
  <r>
    <n v="287"/>
    <n v="4"/>
    <n v="20"/>
    <x v="3"/>
    <n v="1"/>
    <n v="599.99"/>
    <n v="0.05"/>
    <n v="29.999500000000001"/>
    <n v="9"/>
    <n v="6"/>
  </r>
  <r>
    <n v="288"/>
    <n v="1"/>
    <n v="4"/>
    <x v="0"/>
    <n v="1"/>
    <n v="2899.99"/>
    <n v="0.2"/>
    <n v="579.99799999999993"/>
    <n v="9"/>
    <n v="6"/>
  </r>
  <r>
    <n v="288"/>
    <n v="2"/>
    <n v="10"/>
    <x v="1"/>
    <n v="1"/>
    <n v="1549"/>
    <n v="0.1"/>
    <n v="154.9"/>
    <n v="5"/>
    <n v="6"/>
  </r>
  <r>
    <n v="288"/>
    <n v="3"/>
    <n v="7"/>
    <x v="2"/>
    <n v="2"/>
    <n v="3999.99"/>
    <n v="0.05"/>
    <n v="199.99950000000001"/>
    <n v="8"/>
    <n v="6"/>
  </r>
  <r>
    <n v="289"/>
    <n v="1"/>
    <n v="13"/>
    <x v="0"/>
    <n v="1"/>
    <n v="269.99"/>
    <n v="7.0000000000000007E-2"/>
    <n v="18.899300000000004"/>
    <n v="9"/>
    <n v="6"/>
  </r>
  <r>
    <n v="289"/>
    <n v="2"/>
    <n v="24"/>
    <x v="1"/>
    <n v="1"/>
    <n v="549.99"/>
    <n v="0.2"/>
    <n v="109.998"/>
    <n v="5"/>
    <n v="6"/>
  </r>
  <r>
    <n v="289"/>
    <n v="3"/>
    <n v="17"/>
    <x v="2"/>
    <n v="1"/>
    <n v="429"/>
    <n v="0.2"/>
    <n v="85.800000000000011"/>
    <n v="8"/>
    <n v="6"/>
  </r>
  <r>
    <n v="290"/>
    <n v="1"/>
    <n v="2"/>
    <x v="0"/>
    <n v="2"/>
    <n v="749.99"/>
    <n v="7.0000000000000007E-2"/>
    <n v="52.499300000000005"/>
    <n v="9"/>
    <n v="6"/>
  </r>
  <r>
    <n v="290"/>
    <n v="2"/>
    <n v="5"/>
    <x v="1"/>
    <n v="2"/>
    <n v="1320.99"/>
    <n v="7.0000000000000007E-2"/>
    <n v="92.469300000000004"/>
    <n v="5"/>
    <n v="6"/>
  </r>
  <r>
    <n v="290"/>
    <n v="3"/>
    <n v="21"/>
    <x v="2"/>
    <n v="1"/>
    <n v="269.99"/>
    <n v="0.1"/>
    <n v="26.999000000000002"/>
    <n v="8"/>
    <n v="6"/>
  </r>
  <r>
    <n v="291"/>
    <n v="1"/>
    <n v="6"/>
    <x v="0"/>
    <n v="2"/>
    <n v="469.99"/>
    <n v="0.05"/>
    <n v="23.499500000000001"/>
    <n v="9"/>
    <n v="6"/>
  </r>
  <r>
    <n v="291"/>
    <n v="2"/>
    <n v="21"/>
    <x v="1"/>
    <n v="2"/>
    <n v="269.99"/>
    <n v="7.0000000000000007E-2"/>
    <n v="18.899300000000004"/>
    <n v="5"/>
    <n v="6"/>
  </r>
  <r>
    <n v="292"/>
    <n v="1"/>
    <n v="18"/>
    <x v="0"/>
    <n v="2"/>
    <n v="449"/>
    <n v="0.1"/>
    <n v="44.900000000000006"/>
    <n v="9"/>
    <n v="6"/>
  </r>
  <r>
    <n v="292"/>
    <n v="2"/>
    <n v="4"/>
    <x v="1"/>
    <n v="1"/>
    <n v="2899.99"/>
    <n v="7.0000000000000007E-2"/>
    <n v="202.99930000000001"/>
    <n v="5"/>
    <n v="6"/>
  </r>
  <r>
    <n v="292"/>
    <n v="3"/>
    <n v="10"/>
    <x v="2"/>
    <n v="2"/>
    <n v="1549"/>
    <n v="0.05"/>
    <n v="77.45"/>
    <n v="8"/>
    <n v="6"/>
  </r>
  <r>
    <n v="293"/>
    <n v="1"/>
    <n v="19"/>
    <x v="0"/>
    <n v="2"/>
    <n v="449"/>
    <n v="0.05"/>
    <n v="22.450000000000003"/>
    <n v="9"/>
    <n v="6"/>
  </r>
  <r>
    <n v="293"/>
    <n v="2"/>
    <n v="6"/>
    <x v="1"/>
    <n v="1"/>
    <n v="469.99"/>
    <n v="0.2"/>
    <n v="93.998000000000005"/>
    <n v="5"/>
    <n v="6"/>
  </r>
  <r>
    <n v="294"/>
    <n v="1"/>
    <n v="18"/>
    <x v="0"/>
    <n v="1"/>
    <n v="449"/>
    <n v="0.2"/>
    <n v="89.800000000000011"/>
    <n v="9"/>
    <n v="6"/>
  </r>
  <r>
    <n v="294"/>
    <n v="2"/>
    <n v="14"/>
    <x v="1"/>
    <n v="1"/>
    <n v="269.99"/>
    <n v="0.2"/>
    <n v="53.998000000000005"/>
    <n v="5"/>
    <n v="6"/>
  </r>
  <r>
    <n v="294"/>
    <n v="3"/>
    <n v="7"/>
    <x v="2"/>
    <n v="2"/>
    <n v="3999.99"/>
    <n v="0.05"/>
    <n v="199.99950000000001"/>
    <n v="8"/>
    <n v="6"/>
  </r>
  <r>
    <n v="294"/>
    <n v="4"/>
    <n v="25"/>
    <x v="3"/>
    <n v="2"/>
    <n v="499.99"/>
    <n v="0.2"/>
    <n v="99.998000000000005"/>
    <n v="9"/>
    <n v="6"/>
  </r>
  <r>
    <n v="295"/>
    <n v="1"/>
    <n v="22"/>
    <x v="0"/>
    <n v="2"/>
    <n v="269.99"/>
    <n v="7.0000000000000007E-2"/>
    <n v="18.899300000000004"/>
    <n v="9"/>
    <n v="6"/>
  </r>
  <r>
    <n v="296"/>
    <n v="1"/>
    <n v="25"/>
    <x v="0"/>
    <n v="2"/>
    <n v="499.99"/>
    <n v="7.0000000000000007E-2"/>
    <n v="34.999300000000005"/>
    <n v="9"/>
    <n v="6"/>
  </r>
  <r>
    <n v="296"/>
    <n v="2"/>
    <n v="12"/>
    <x v="1"/>
    <n v="2"/>
    <n v="549.99"/>
    <n v="0.1"/>
    <n v="54.999000000000002"/>
    <n v="5"/>
    <n v="6"/>
  </r>
  <r>
    <n v="296"/>
    <n v="3"/>
    <n v="11"/>
    <x v="2"/>
    <n v="2"/>
    <n v="1680.99"/>
    <n v="0.1"/>
    <n v="168.09900000000002"/>
    <n v="8"/>
    <n v="6"/>
  </r>
  <r>
    <n v="296"/>
    <n v="4"/>
    <n v="9"/>
    <x v="3"/>
    <n v="1"/>
    <n v="2999.99"/>
    <n v="0.2"/>
    <n v="599.99799999999993"/>
    <n v="9"/>
    <n v="6"/>
  </r>
  <r>
    <n v="297"/>
    <n v="1"/>
    <n v="4"/>
    <x v="0"/>
    <n v="2"/>
    <n v="2899.99"/>
    <n v="0.2"/>
    <n v="579.99799999999993"/>
    <n v="9"/>
    <n v="6"/>
  </r>
  <r>
    <n v="298"/>
    <n v="1"/>
    <n v="23"/>
    <x v="0"/>
    <n v="1"/>
    <n v="299.99"/>
    <n v="0.2"/>
    <n v="59.998000000000005"/>
    <n v="9"/>
    <n v="6"/>
  </r>
  <r>
    <n v="298"/>
    <n v="2"/>
    <n v="6"/>
    <x v="1"/>
    <n v="2"/>
    <n v="469.99"/>
    <n v="0.05"/>
    <n v="23.499500000000001"/>
    <n v="5"/>
    <n v="6"/>
  </r>
  <r>
    <n v="298"/>
    <n v="3"/>
    <n v="22"/>
    <x v="2"/>
    <n v="1"/>
    <n v="269.99"/>
    <n v="0.2"/>
    <n v="53.998000000000005"/>
    <n v="8"/>
    <n v="6"/>
  </r>
  <r>
    <n v="298"/>
    <n v="4"/>
    <n v="9"/>
    <x v="3"/>
    <n v="1"/>
    <n v="2999.99"/>
    <n v="7.0000000000000007E-2"/>
    <n v="209.99930000000001"/>
    <n v="9"/>
    <n v="6"/>
  </r>
  <r>
    <n v="298"/>
    <n v="5"/>
    <n v="14"/>
    <x v="4"/>
    <n v="2"/>
    <n v="269.99"/>
    <n v="0.1"/>
    <n v="26.999000000000002"/>
    <n v="3"/>
    <n v="6"/>
  </r>
  <r>
    <n v="299"/>
    <n v="1"/>
    <n v="11"/>
    <x v="0"/>
    <n v="2"/>
    <n v="1680.99"/>
    <n v="0.05"/>
    <n v="84.049500000000009"/>
    <n v="9"/>
    <n v="6"/>
  </r>
  <r>
    <n v="299"/>
    <n v="2"/>
    <n v="10"/>
    <x v="1"/>
    <n v="2"/>
    <n v="1549"/>
    <n v="0.2"/>
    <n v="309.8"/>
    <n v="5"/>
    <n v="6"/>
  </r>
  <r>
    <n v="300"/>
    <n v="1"/>
    <n v="16"/>
    <x v="0"/>
    <n v="2"/>
    <n v="599.99"/>
    <n v="0.1"/>
    <n v="59.999000000000002"/>
    <n v="9"/>
    <n v="6"/>
  </r>
  <r>
    <n v="300"/>
    <n v="2"/>
    <n v="9"/>
    <x v="1"/>
    <n v="2"/>
    <n v="2999.99"/>
    <n v="0.1"/>
    <n v="299.99899999999997"/>
    <n v="5"/>
    <n v="6"/>
  </r>
  <r>
    <n v="300"/>
    <n v="3"/>
    <n v="10"/>
    <x v="2"/>
    <n v="1"/>
    <n v="1549"/>
    <n v="0.1"/>
    <n v="154.9"/>
    <n v="8"/>
    <n v="6"/>
  </r>
  <r>
    <n v="300"/>
    <n v="4"/>
    <n v="11"/>
    <x v="3"/>
    <n v="2"/>
    <n v="1680.99"/>
    <n v="0.2"/>
    <n v="336.19800000000004"/>
    <n v="9"/>
    <n v="6"/>
  </r>
  <r>
    <n v="301"/>
    <n v="1"/>
    <n v="6"/>
    <x v="0"/>
    <n v="1"/>
    <n v="469.99"/>
    <n v="0.05"/>
    <n v="23.499500000000001"/>
    <n v="9"/>
    <n v="6"/>
  </r>
  <r>
    <n v="301"/>
    <n v="2"/>
    <n v="22"/>
    <x v="1"/>
    <n v="1"/>
    <n v="269.99"/>
    <n v="0.1"/>
    <n v="26.999000000000002"/>
    <n v="5"/>
    <n v="6"/>
  </r>
  <r>
    <n v="302"/>
    <n v="1"/>
    <n v="24"/>
    <x v="0"/>
    <n v="2"/>
    <n v="549.99"/>
    <n v="0.2"/>
    <n v="109.998"/>
    <n v="9"/>
    <n v="6"/>
  </r>
  <r>
    <n v="302"/>
    <n v="2"/>
    <n v="18"/>
    <x v="1"/>
    <n v="2"/>
    <n v="449"/>
    <n v="7.0000000000000007E-2"/>
    <n v="31.430000000000003"/>
    <n v="5"/>
    <n v="6"/>
  </r>
  <r>
    <n v="302"/>
    <n v="3"/>
    <n v="2"/>
    <x v="2"/>
    <n v="2"/>
    <n v="749.99"/>
    <n v="0.2"/>
    <n v="149.99800000000002"/>
    <n v="8"/>
    <n v="6"/>
  </r>
  <r>
    <n v="303"/>
    <n v="1"/>
    <n v="8"/>
    <x v="0"/>
    <n v="2"/>
    <n v="1799.99"/>
    <n v="0.05"/>
    <n v="89.999500000000012"/>
    <n v="9"/>
    <n v="6"/>
  </r>
  <r>
    <n v="303"/>
    <n v="2"/>
    <n v="24"/>
    <x v="1"/>
    <n v="2"/>
    <n v="549.99"/>
    <n v="0.05"/>
    <n v="27.499500000000001"/>
    <n v="5"/>
    <n v="6"/>
  </r>
  <r>
    <n v="304"/>
    <n v="1"/>
    <n v="10"/>
    <x v="0"/>
    <n v="1"/>
    <n v="1549"/>
    <n v="0.05"/>
    <n v="77.45"/>
    <n v="9"/>
    <n v="6"/>
  </r>
  <r>
    <n v="304"/>
    <n v="2"/>
    <n v="7"/>
    <x v="1"/>
    <n v="2"/>
    <n v="3999.99"/>
    <n v="0.1"/>
    <n v="399.99900000000002"/>
    <n v="5"/>
    <n v="6"/>
  </r>
  <r>
    <n v="304"/>
    <n v="3"/>
    <n v="20"/>
    <x v="2"/>
    <n v="1"/>
    <n v="599.99"/>
    <n v="0.1"/>
    <n v="59.999000000000002"/>
    <n v="8"/>
    <n v="6"/>
  </r>
  <r>
    <n v="305"/>
    <n v="1"/>
    <n v="10"/>
    <x v="0"/>
    <n v="1"/>
    <n v="1549"/>
    <n v="7.0000000000000007E-2"/>
    <n v="108.43"/>
    <n v="9"/>
    <n v="6"/>
  </r>
  <r>
    <n v="305"/>
    <n v="2"/>
    <n v="6"/>
    <x v="1"/>
    <n v="1"/>
    <n v="469.99"/>
    <n v="0.1"/>
    <n v="46.999000000000002"/>
    <n v="5"/>
    <n v="6"/>
  </r>
  <r>
    <n v="305"/>
    <n v="3"/>
    <n v="3"/>
    <x v="2"/>
    <n v="2"/>
    <n v="999.99"/>
    <n v="0.2"/>
    <n v="199.99800000000002"/>
    <n v="8"/>
    <n v="6"/>
  </r>
  <r>
    <n v="306"/>
    <n v="1"/>
    <n v="10"/>
    <x v="0"/>
    <n v="1"/>
    <n v="1549"/>
    <n v="0.2"/>
    <n v="309.8"/>
    <n v="9"/>
    <n v="6"/>
  </r>
  <r>
    <n v="306"/>
    <n v="2"/>
    <n v="22"/>
    <x v="1"/>
    <n v="1"/>
    <n v="269.99"/>
    <n v="7.0000000000000007E-2"/>
    <n v="18.899300000000004"/>
    <n v="5"/>
    <n v="6"/>
  </r>
  <r>
    <n v="307"/>
    <n v="1"/>
    <n v="15"/>
    <x v="0"/>
    <n v="2"/>
    <n v="529.99"/>
    <n v="0.05"/>
    <n v="26.499500000000001"/>
    <n v="9"/>
    <n v="6"/>
  </r>
  <r>
    <n v="308"/>
    <n v="1"/>
    <n v="7"/>
    <x v="0"/>
    <n v="1"/>
    <n v="3999.99"/>
    <n v="0.1"/>
    <n v="399.99900000000002"/>
    <n v="9"/>
    <n v="6"/>
  </r>
  <r>
    <n v="308"/>
    <n v="2"/>
    <n v="18"/>
    <x v="1"/>
    <n v="2"/>
    <n v="449"/>
    <n v="0.2"/>
    <n v="89.800000000000011"/>
    <n v="5"/>
    <n v="6"/>
  </r>
  <r>
    <n v="308"/>
    <n v="3"/>
    <n v="14"/>
    <x v="2"/>
    <n v="1"/>
    <n v="269.99"/>
    <n v="0.2"/>
    <n v="53.998000000000005"/>
    <n v="8"/>
    <n v="6"/>
  </r>
  <r>
    <n v="309"/>
    <n v="1"/>
    <n v="3"/>
    <x v="0"/>
    <n v="1"/>
    <n v="999.99"/>
    <n v="0.05"/>
    <n v="49.999500000000005"/>
    <n v="9"/>
    <n v="6"/>
  </r>
  <r>
    <n v="309"/>
    <n v="2"/>
    <n v="12"/>
    <x v="1"/>
    <n v="1"/>
    <n v="549.99"/>
    <n v="0.05"/>
    <n v="27.499500000000001"/>
    <n v="5"/>
    <n v="6"/>
  </r>
  <r>
    <n v="310"/>
    <n v="1"/>
    <n v="7"/>
    <x v="0"/>
    <n v="2"/>
    <n v="3999.99"/>
    <n v="7.0000000000000007E-2"/>
    <n v="279.99930000000001"/>
    <n v="9"/>
    <n v="6"/>
  </r>
  <r>
    <n v="310"/>
    <n v="2"/>
    <n v="14"/>
    <x v="1"/>
    <n v="2"/>
    <n v="269.99"/>
    <n v="0.1"/>
    <n v="26.999000000000002"/>
    <n v="5"/>
    <n v="6"/>
  </r>
  <r>
    <n v="310"/>
    <n v="3"/>
    <n v="5"/>
    <x v="2"/>
    <n v="2"/>
    <n v="1320.99"/>
    <n v="0.2"/>
    <n v="264.19800000000004"/>
    <n v="8"/>
    <n v="6"/>
  </r>
  <r>
    <n v="310"/>
    <n v="4"/>
    <n v="8"/>
    <x v="3"/>
    <n v="1"/>
    <n v="1799.99"/>
    <n v="0.2"/>
    <n v="359.99800000000005"/>
    <n v="9"/>
    <n v="6"/>
  </r>
  <r>
    <n v="311"/>
    <n v="1"/>
    <n v="17"/>
    <x v="0"/>
    <n v="2"/>
    <n v="429"/>
    <n v="0.05"/>
    <n v="21.450000000000003"/>
    <n v="9"/>
    <n v="6"/>
  </r>
  <r>
    <n v="311"/>
    <n v="2"/>
    <n v="5"/>
    <x v="1"/>
    <n v="2"/>
    <n v="1320.99"/>
    <n v="0.2"/>
    <n v="264.19800000000004"/>
    <n v="5"/>
    <n v="6"/>
  </r>
  <r>
    <n v="312"/>
    <n v="1"/>
    <n v="24"/>
    <x v="0"/>
    <n v="2"/>
    <n v="549.99"/>
    <n v="0.05"/>
    <n v="27.499500000000001"/>
    <n v="9"/>
    <n v="6"/>
  </r>
  <r>
    <n v="312"/>
    <n v="2"/>
    <n v="14"/>
    <x v="1"/>
    <n v="2"/>
    <n v="269.99"/>
    <n v="7.0000000000000007E-2"/>
    <n v="18.899300000000004"/>
    <n v="5"/>
    <n v="6"/>
  </r>
  <r>
    <n v="312"/>
    <n v="3"/>
    <n v="16"/>
    <x v="2"/>
    <n v="2"/>
    <n v="599.99"/>
    <n v="0.05"/>
    <n v="29.999500000000001"/>
    <n v="8"/>
    <n v="6"/>
  </r>
  <r>
    <n v="313"/>
    <n v="1"/>
    <n v="4"/>
    <x v="0"/>
    <n v="1"/>
    <n v="2899.99"/>
    <n v="7.0000000000000007E-2"/>
    <n v="202.99930000000001"/>
    <n v="9"/>
    <n v="6"/>
  </r>
  <r>
    <n v="313"/>
    <n v="2"/>
    <n v="10"/>
    <x v="1"/>
    <n v="2"/>
    <n v="1549"/>
    <n v="7.0000000000000007E-2"/>
    <n v="108.43"/>
    <n v="5"/>
    <n v="6"/>
  </r>
  <r>
    <n v="314"/>
    <n v="1"/>
    <n v="5"/>
    <x v="0"/>
    <n v="1"/>
    <n v="1320.99"/>
    <n v="7.0000000000000007E-2"/>
    <n v="92.469300000000004"/>
    <n v="9"/>
    <n v="6"/>
  </r>
  <r>
    <n v="314"/>
    <n v="2"/>
    <n v="9"/>
    <x v="1"/>
    <n v="1"/>
    <n v="2999.99"/>
    <n v="0.05"/>
    <n v="149.99949999999998"/>
    <n v="5"/>
    <n v="6"/>
  </r>
  <r>
    <n v="314"/>
    <n v="3"/>
    <n v="22"/>
    <x v="2"/>
    <n v="2"/>
    <n v="269.99"/>
    <n v="0.2"/>
    <n v="53.998000000000005"/>
    <n v="8"/>
    <n v="6"/>
  </r>
  <r>
    <n v="314"/>
    <n v="4"/>
    <n v="7"/>
    <x v="3"/>
    <n v="2"/>
    <n v="3999.99"/>
    <n v="7.0000000000000007E-2"/>
    <n v="279.99930000000001"/>
    <n v="9"/>
    <n v="6"/>
  </r>
  <r>
    <n v="315"/>
    <n v="1"/>
    <n v="11"/>
    <x v="0"/>
    <n v="1"/>
    <n v="1680.99"/>
    <n v="0.2"/>
    <n v="336.19800000000004"/>
    <n v="9"/>
    <n v="6"/>
  </r>
  <r>
    <n v="315"/>
    <n v="2"/>
    <n v="9"/>
    <x v="1"/>
    <n v="1"/>
    <n v="2999.99"/>
    <n v="0.1"/>
    <n v="299.99899999999997"/>
    <n v="5"/>
    <n v="6"/>
  </r>
  <r>
    <n v="316"/>
    <n v="1"/>
    <n v="2"/>
    <x v="0"/>
    <n v="2"/>
    <n v="749.99"/>
    <n v="0.2"/>
    <n v="149.99800000000002"/>
    <n v="9"/>
    <n v="6"/>
  </r>
  <r>
    <n v="316"/>
    <n v="2"/>
    <n v="16"/>
    <x v="1"/>
    <n v="2"/>
    <n v="599.99"/>
    <n v="0.1"/>
    <n v="59.999000000000002"/>
    <n v="5"/>
    <n v="6"/>
  </r>
  <r>
    <n v="316"/>
    <n v="3"/>
    <n v="20"/>
    <x v="2"/>
    <n v="1"/>
    <n v="599.99"/>
    <n v="0.1"/>
    <n v="59.999000000000002"/>
    <n v="8"/>
    <n v="6"/>
  </r>
  <r>
    <n v="316"/>
    <n v="4"/>
    <n v="19"/>
    <x v="3"/>
    <n v="1"/>
    <n v="449"/>
    <n v="0.2"/>
    <n v="89.800000000000011"/>
    <n v="9"/>
    <n v="6"/>
  </r>
  <r>
    <n v="316"/>
    <n v="5"/>
    <n v="17"/>
    <x v="4"/>
    <n v="1"/>
    <n v="429"/>
    <n v="0.05"/>
    <n v="21.450000000000003"/>
    <n v="3"/>
    <n v="6"/>
  </r>
  <r>
    <n v="317"/>
    <n v="1"/>
    <n v="10"/>
    <x v="0"/>
    <n v="1"/>
    <n v="1549"/>
    <n v="0.2"/>
    <n v="309.8"/>
    <n v="9"/>
    <n v="6"/>
  </r>
  <r>
    <n v="317"/>
    <n v="2"/>
    <n v="22"/>
    <x v="1"/>
    <n v="1"/>
    <n v="269.99"/>
    <n v="0.05"/>
    <n v="13.499500000000001"/>
    <n v="5"/>
    <n v="6"/>
  </r>
  <r>
    <n v="317"/>
    <n v="3"/>
    <n v="15"/>
    <x v="2"/>
    <n v="1"/>
    <n v="529.99"/>
    <n v="0.05"/>
    <n v="26.499500000000001"/>
    <n v="8"/>
    <n v="6"/>
  </r>
  <r>
    <n v="317"/>
    <n v="4"/>
    <n v="13"/>
    <x v="3"/>
    <n v="2"/>
    <n v="269.99"/>
    <n v="0.2"/>
    <n v="53.998000000000005"/>
    <n v="9"/>
    <n v="6"/>
  </r>
  <r>
    <n v="318"/>
    <n v="1"/>
    <n v="13"/>
    <x v="0"/>
    <n v="2"/>
    <n v="269.99"/>
    <n v="0.1"/>
    <n v="26.999000000000002"/>
    <n v="9"/>
    <n v="6"/>
  </r>
  <r>
    <n v="318"/>
    <n v="2"/>
    <n v="25"/>
    <x v="1"/>
    <n v="2"/>
    <n v="499.99"/>
    <n v="0.2"/>
    <n v="99.998000000000005"/>
    <n v="5"/>
    <n v="6"/>
  </r>
  <r>
    <n v="318"/>
    <n v="3"/>
    <n v="9"/>
    <x v="2"/>
    <n v="1"/>
    <n v="2999.99"/>
    <n v="0.05"/>
    <n v="149.99949999999998"/>
    <n v="8"/>
    <n v="6"/>
  </r>
  <r>
    <n v="319"/>
    <n v="1"/>
    <n v="11"/>
    <x v="0"/>
    <n v="1"/>
    <n v="1680.99"/>
    <n v="7.0000000000000007E-2"/>
    <n v="117.66930000000001"/>
    <n v="9"/>
    <n v="6"/>
  </r>
  <r>
    <n v="319"/>
    <n v="2"/>
    <n v="21"/>
    <x v="1"/>
    <n v="1"/>
    <n v="269.99"/>
    <n v="0.2"/>
    <n v="53.998000000000005"/>
    <n v="5"/>
    <n v="6"/>
  </r>
  <r>
    <n v="319"/>
    <n v="3"/>
    <n v="15"/>
    <x v="2"/>
    <n v="2"/>
    <n v="529.99"/>
    <n v="0.1"/>
    <n v="52.999000000000002"/>
    <n v="8"/>
    <n v="6"/>
  </r>
  <r>
    <n v="319"/>
    <n v="4"/>
    <n v="23"/>
    <x v="3"/>
    <n v="1"/>
    <n v="299.99"/>
    <n v="0.05"/>
    <n v="14.999500000000001"/>
    <n v="9"/>
    <n v="6"/>
  </r>
  <r>
    <n v="320"/>
    <n v="1"/>
    <n v="2"/>
    <x v="0"/>
    <n v="1"/>
    <n v="749.99"/>
    <n v="0.1"/>
    <n v="74.999000000000009"/>
    <n v="9"/>
    <n v="6"/>
  </r>
  <r>
    <n v="321"/>
    <n v="1"/>
    <n v="4"/>
    <x v="0"/>
    <n v="2"/>
    <n v="2899.99"/>
    <n v="0.2"/>
    <n v="579.99799999999993"/>
    <n v="9"/>
    <n v="6"/>
  </r>
  <r>
    <n v="321"/>
    <n v="2"/>
    <n v="12"/>
    <x v="1"/>
    <n v="2"/>
    <n v="549.99"/>
    <n v="0.2"/>
    <n v="109.998"/>
    <n v="5"/>
    <n v="6"/>
  </r>
  <r>
    <n v="321"/>
    <n v="3"/>
    <n v="26"/>
    <x v="2"/>
    <n v="1"/>
    <n v="599.99"/>
    <n v="0.2"/>
    <n v="119.998"/>
    <n v="8"/>
    <n v="6"/>
  </r>
  <r>
    <n v="321"/>
    <n v="4"/>
    <n v="23"/>
    <x v="3"/>
    <n v="2"/>
    <n v="299.99"/>
    <n v="0.2"/>
    <n v="59.998000000000005"/>
    <n v="9"/>
    <n v="6"/>
  </r>
  <r>
    <n v="322"/>
    <n v="1"/>
    <n v="13"/>
    <x v="0"/>
    <n v="2"/>
    <n v="269.99"/>
    <n v="0.2"/>
    <n v="53.998000000000005"/>
    <n v="9"/>
    <n v="6"/>
  </r>
  <r>
    <n v="322"/>
    <n v="2"/>
    <n v="21"/>
    <x v="1"/>
    <n v="1"/>
    <n v="269.99"/>
    <n v="7.0000000000000007E-2"/>
    <n v="18.899300000000004"/>
    <n v="5"/>
    <n v="6"/>
  </r>
  <r>
    <n v="323"/>
    <n v="1"/>
    <n v="13"/>
    <x v="0"/>
    <n v="2"/>
    <n v="269.99"/>
    <n v="7.0000000000000007E-2"/>
    <n v="18.899300000000004"/>
    <n v="9"/>
    <n v="6"/>
  </r>
  <r>
    <n v="323"/>
    <n v="2"/>
    <n v="26"/>
    <x v="1"/>
    <n v="2"/>
    <n v="599.99"/>
    <n v="0.1"/>
    <n v="59.999000000000002"/>
    <n v="5"/>
    <n v="6"/>
  </r>
  <r>
    <n v="324"/>
    <n v="1"/>
    <n v="2"/>
    <x v="0"/>
    <n v="2"/>
    <n v="749.99"/>
    <n v="0.1"/>
    <n v="74.999000000000009"/>
    <n v="9"/>
    <n v="6"/>
  </r>
  <r>
    <n v="324"/>
    <n v="2"/>
    <n v="17"/>
    <x v="1"/>
    <n v="1"/>
    <n v="429"/>
    <n v="0.2"/>
    <n v="85.800000000000011"/>
    <n v="5"/>
    <n v="6"/>
  </r>
  <r>
    <n v="324"/>
    <n v="3"/>
    <n v="22"/>
    <x v="2"/>
    <n v="2"/>
    <n v="269.99"/>
    <n v="0.2"/>
    <n v="53.998000000000005"/>
    <n v="8"/>
    <n v="6"/>
  </r>
  <r>
    <n v="324"/>
    <n v="4"/>
    <n v="19"/>
    <x v="3"/>
    <n v="1"/>
    <n v="449"/>
    <n v="0.05"/>
    <n v="22.450000000000003"/>
    <n v="9"/>
    <n v="6"/>
  </r>
  <r>
    <n v="324"/>
    <n v="5"/>
    <n v="12"/>
    <x v="4"/>
    <n v="1"/>
    <n v="549.99"/>
    <n v="0.05"/>
    <n v="27.499500000000001"/>
    <n v="3"/>
    <n v="6"/>
  </r>
  <r>
    <n v="325"/>
    <n v="1"/>
    <n v="7"/>
    <x v="0"/>
    <n v="1"/>
    <n v="3999.99"/>
    <n v="0.05"/>
    <n v="199.99950000000001"/>
    <n v="9"/>
    <n v="6"/>
  </r>
  <r>
    <n v="325"/>
    <n v="2"/>
    <n v="12"/>
    <x v="1"/>
    <n v="1"/>
    <n v="549.99"/>
    <n v="0.2"/>
    <n v="109.998"/>
    <n v="5"/>
    <n v="6"/>
  </r>
  <r>
    <n v="325"/>
    <n v="3"/>
    <n v="6"/>
    <x v="2"/>
    <n v="2"/>
    <n v="469.99"/>
    <n v="0.2"/>
    <n v="93.998000000000005"/>
    <n v="8"/>
    <n v="6"/>
  </r>
  <r>
    <n v="326"/>
    <n v="1"/>
    <n v="12"/>
    <x v="0"/>
    <n v="1"/>
    <n v="549.99"/>
    <n v="0.1"/>
    <n v="54.999000000000002"/>
    <n v="9"/>
    <n v="6"/>
  </r>
  <r>
    <n v="326"/>
    <n v="2"/>
    <n v="23"/>
    <x v="1"/>
    <n v="1"/>
    <n v="299.99"/>
    <n v="7.0000000000000007E-2"/>
    <n v="20.999300000000002"/>
    <n v="5"/>
    <n v="6"/>
  </r>
  <r>
    <n v="327"/>
    <n v="1"/>
    <n v="12"/>
    <x v="0"/>
    <n v="2"/>
    <n v="549.99"/>
    <n v="7.0000000000000007E-2"/>
    <n v="38.499300000000005"/>
    <n v="9"/>
    <n v="6"/>
  </r>
  <r>
    <n v="327"/>
    <n v="2"/>
    <n v="13"/>
    <x v="1"/>
    <n v="1"/>
    <n v="269.99"/>
    <n v="7.0000000000000007E-2"/>
    <n v="18.899300000000004"/>
    <n v="5"/>
    <n v="6"/>
  </r>
  <r>
    <n v="327"/>
    <n v="3"/>
    <n v="4"/>
    <x v="2"/>
    <n v="1"/>
    <n v="2899.99"/>
    <n v="0.05"/>
    <n v="144.99949999999998"/>
    <n v="8"/>
    <n v="6"/>
  </r>
  <r>
    <n v="328"/>
    <n v="1"/>
    <n v="6"/>
    <x v="0"/>
    <n v="2"/>
    <n v="469.99"/>
    <n v="0.1"/>
    <n v="46.999000000000002"/>
    <n v="9"/>
    <n v="6"/>
  </r>
  <r>
    <n v="329"/>
    <n v="1"/>
    <n v="14"/>
    <x v="0"/>
    <n v="2"/>
    <n v="269.99"/>
    <n v="7.0000000000000007E-2"/>
    <n v="18.899300000000004"/>
    <n v="9"/>
    <n v="6"/>
  </r>
  <r>
    <n v="329"/>
    <n v="2"/>
    <n v="8"/>
    <x v="1"/>
    <n v="2"/>
    <n v="1799.99"/>
    <n v="0.05"/>
    <n v="89.999500000000012"/>
    <n v="5"/>
    <n v="6"/>
  </r>
  <r>
    <n v="329"/>
    <n v="3"/>
    <n v="23"/>
    <x v="2"/>
    <n v="1"/>
    <n v="299.99"/>
    <n v="0.2"/>
    <n v="59.998000000000005"/>
    <n v="8"/>
    <n v="6"/>
  </r>
  <r>
    <n v="329"/>
    <n v="4"/>
    <n v="17"/>
    <x v="3"/>
    <n v="1"/>
    <n v="429"/>
    <n v="7.0000000000000007E-2"/>
    <n v="30.03"/>
    <n v="9"/>
    <n v="6"/>
  </r>
  <r>
    <n v="329"/>
    <n v="5"/>
    <n v="26"/>
    <x v="4"/>
    <n v="2"/>
    <n v="599.99"/>
    <n v="0.05"/>
    <n v="29.999500000000001"/>
    <n v="3"/>
    <n v="6"/>
  </r>
  <r>
    <n v="330"/>
    <n v="1"/>
    <n v="21"/>
    <x v="0"/>
    <n v="2"/>
    <n v="269.99"/>
    <n v="0.05"/>
    <n v="13.499500000000001"/>
    <n v="9"/>
    <n v="6"/>
  </r>
  <r>
    <n v="331"/>
    <n v="1"/>
    <n v="17"/>
    <x v="0"/>
    <n v="2"/>
    <n v="429"/>
    <n v="0.1"/>
    <n v="42.900000000000006"/>
    <n v="9"/>
    <n v="6"/>
  </r>
  <r>
    <n v="332"/>
    <n v="1"/>
    <n v="18"/>
    <x v="0"/>
    <n v="2"/>
    <n v="449"/>
    <n v="0.05"/>
    <n v="22.450000000000003"/>
    <n v="9"/>
    <n v="6"/>
  </r>
  <r>
    <n v="333"/>
    <n v="1"/>
    <n v="18"/>
    <x v="0"/>
    <n v="2"/>
    <n v="449"/>
    <n v="7.0000000000000007E-2"/>
    <n v="31.430000000000003"/>
    <n v="9"/>
    <n v="6"/>
  </r>
  <r>
    <n v="333"/>
    <n v="2"/>
    <n v="8"/>
    <x v="1"/>
    <n v="2"/>
    <n v="1799.99"/>
    <n v="0.05"/>
    <n v="89.999500000000012"/>
    <n v="5"/>
    <n v="6"/>
  </r>
  <r>
    <n v="333"/>
    <n v="3"/>
    <n v="3"/>
    <x v="2"/>
    <n v="1"/>
    <n v="999.99"/>
    <n v="0.2"/>
    <n v="199.99800000000002"/>
    <n v="8"/>
    <n v="6"/>
  </r>
  <r>
    <n v="334"/>
    <n v="1"/>
    <n v="16"/>
    <x v="0"/>
    <n v="2"/>
    <n v="599.99"/>
    <n v="0.2"/>
    <n v="119.998"/>
    <n v="9"/>
    <n v="6"/>
  </r>
  <r>
    <n v="334"/>
    <n v="2"/>
    <n v="9"/>
    <x v="1"/>
    <n v="1"/>
    <n v="2999.99"/>
    <n v="0.05"/>
    <n v="149.99949999999998"/>
    <n v="5"/>
    <n v="6"/>
  </r>
  <r>
    <n v="334"/>
    <n v="3"/>
    <n v="3"/>
    <x v="2"/>
    <n v="2"/>
    <n v="999.99"/>
    <n v="0.05"/>
    <n v="49.999500000000005"/>
    <n v="8"/>
    <n v="6"/>
  </r>
  <r>
    <n v="335"/>
    <n v="1"/>
    <n v="6"/>
    <x v="0"/>
    <n v="1"/>
    <n v="469.99"/>
    <n v="0.1"/>
    <n v="46.999000000000002"/>
    <n v="9"/>
    <n v="6"/>
  </r>
  <r>
    <n v="335"/>
    <n v="2"/>
    <n v="2"/>
    <x v="1"/>
    <n v="2"/>
    <n v="749.99"/>
    <n v="0.1"/>
    <n v="74.999000000000009"/>
    <n v="5"/>
    <n v="6"/>
  </r>
  <r>
    <n v="335"/>
    <n v="3"/>
    <n v="21"/>
    <x v="2"/>
    <n v="1"/>
    <n v="269.99"/>
    <n v="7.0000000000000007E-2"/>
    <n v="18.899300000000004"/>
    <n v="8"/>
    <n v="6"/>
  </r>
  <r>
    <n v="336"/>
    <n v="1"/>
    <n v="4"/>
    <x v="0"/>
    <n v="1"/>
    <n v="2899.99"/>
    <n v="0.1"/>
    <n v="289.99899999999997"/>
    <n v="9"/>
    <n v="6"/>
  </r>
  <r>
    <n v="336"/>
    <n v="2"/>
    <n v="12"/>
    <x v="1"/>
    <n v="1"/>
    <n v="549.99"/>
    <n v="0.2"/>
    <n v="109.998"/>
    <n v="5"/>
    <n v="6"/>
  </r>
  <r>
    <n v="337"/>
    <n v="1"/>
    <n v="18"/>
    <x v="0"/>
    <n v="1"/>
    <n v="449"/>
    <n v="0.05"/>
    <n v="22.450000000000003"/>
    <n v="9"/>
    <n v="6"/>
  </r>
  <r>
    <n v="337"/>
    <n v="2"/>
    <n v="4"/>
    <x v="1"/>
    <n v="1"/>
    <n v="2899.99"/>
    <n v="0.05"/>
    <n v="144.99949999999998"/>
    <n v="5"/>
    <n v="6"/>
  </r>
  <r>
    <n v="338"/>
    <n v="1"/>
    <n v="6"/>
    <x v="0"/>
    <n v="2"/>
    <n v="469.99"/>
    <n v="7.0000000000000007E-2"/>
    <n v="32.899300000000004"/>
    <n v="9"/>
    <n v="6"/>
  </r>
  <r>
    <n v="338"/>
    <n v="2"/>
    <n v="10"/>
    <x v="1"/>
    <n v="1"/>
    <n v="1549"/>
    <n v="7.0000000000000007E-2"/>
    <n v="108.43"/>
    <n v="5"/>
    <n v="6"/>
  </r>
  <r>
    <n v="338"/>
    <n v="3"/>
    <n v="22"/>
    <x v="2"/>
    <n v="1"/>
    <n v="269.99"/>
    <n v="0.1"/>
    <n v="26.999000000000002"/>
    <n v="8"/>
    <n v="6"/>
  </r>
  <r>
    <n v="338"/>
    <n v="4"/>
    <n v="11"/>
    <x v="3"/>
    <n v="2"/>
    <n v="1680.99"/>
    <n v="7.0000000000000007E-2"/>
    <n v="117.66930000000001"/>
    <n v="9"/>
    <n v="6"/>
  </r>
  <r>
    <n v="338"/>
    <n v="5"/>
    <n v="9"/>
    <x v="4"/>
    <n v="1"/>
    <n v="2999.99"/>
    <n v="0.05"/>
    <n v="149.99949999999998"/>
    <n v="3"/>
    <n v="6"/>
  </r>
  <r>
    <n v="339"/>
    <n v="1"/>
    <n v="13"/>
    <x v="0"/>
    <n v="1"/>
    <n v="269.99"/>
    <n v="0.1"/>
    <n v="26.999000000000002"/>
    <n v="9"/>
    <n v="6"/>
  </r>
  <r>
    <n v="339"/>
    <n v="2"/>
    <n v="15"/>
    <x v="1"/>
    <n v="2"/>
    <n v="529.99"/>
    <n v="0.05"/>
    <n v="26.499500000000001"/>
    <n v="5"/>
    <n v="6"/>
  </r>
  <r>
    <n v="340"/>
    <n v="1"/>
    <n v="11"/>
    <x v="0"/>
    <n v="1"/>
    <n v="1680.99"/>
    <n v="0.05"/>
    <n v="84.049500000000009"/>
    <n v="9"/>
    <n v="6"/>
  </r>
  <r>
    <n v="340"/>
    <n v="2"/>
    <n v="24"/>
    <x v="1"/>
    <n v="1"/>
    <n v="549.99"/>
    <n v="0.05"/>
    <n v="27.499500000000001"/>
    <n v="5"/>
    <n v="6"/>
  </r>
  <r>
    <n v="340"/>
    <n v="3"/>
    <n v="13"/>
    <x v="2"/>
    <n v="2"/>
    <n v="269.99"/>
    <n v="0.1"/>
    <n v="26.999000000000002"/>
    <n v="8"/>
    <n v="6"/>
  </r>
  <r>
    <n v="340"/>
    <n v="4"/>
    <n v="12"/>
    <x v="3"/>
    <n v="2"/>
    <n v="549.99"/>
    <n v="7.0000000000000007E-2"/>
    <n v="38.499300000000005"/>
    <n v="9"/>
    <n v="6"/>
  </r>
  <r>
    <n v="340"/>
    <n v="5"/>
    <n v="10"/>
    <x v="4"/>
    <n v="2"/>
    <n v="1549"/>
    <n v="0.1"/>
    <n v="154.9"/>
    <n v="3"/>
    <n v="6"/>
  </r>
  <r>
    <n v="341"/>
    <n v="1"/>
    <n v="23"/>
    <x v="0"/>
    <n v="2"/>
    <n v="299.99"/>
    <n v="0.05"/>
    <n v="14.999500000000001"/>
    <n v="9"/>
    <n v="6"/>
  </r>
  <r>
    <n v="342"/>
    <n v="1"/>
    <n v="26"/>
    <x v="0"/>
    <n v="1"/>
    <n v="599.99"/>
    <n v="7.0000000000000007E-2"/>
    <n v="41.999300000000005"/>
    <n v="9"/>
    <n v="6"/>
  </r>
  <r>
    <n v="342"/>
    <n v="2"/>
    <n v="9"/>
    <x v="1"/>
    <n v="1"/>
    <n v="2999.99"/>
    <n v="0.2"/>
    <n v="599.99799999999993"/>
    <n v="5"/>
    <n v="6"/>
  </r>
  <r>
    <n v="342"/>
    <n v="3"/>
    <n v="16"/>
    <x v="2"/>
    <n v="2"/>
    <n v="599.99"/>
    <n v="0.1"/>
    <n v="59.999000000000002"/>
    <n v="8"/>
    <n v="6"/>
  </r>
  <r>
    <n v="343"/>
    <n v="1"/>
    <n v="20"/>
    <x v="0"/>
    <n v="2"/>
    <n v="599.99"/>
    <n v="0.2"/>
    <n v="119.998"/>
    <n v="9"/>
    <n v="6"/>
  </r>
  <r>
    <n v="343"/>
    <n v="2"/>
    <n v="25"/>
    <x v="1"/>
    <n v="1"/>
    <n v="499.99"/>
    <n v="0.05"/>
    <n v="24.999500000000001"/>
    <n v="5"/>
    <n v="6"/>
  </r>
  <r>
    <n v="343"/>
    <n v="3"/>
    <n v="5"/>
    <x v="2"/>
    <n v="2"/>
    <n v="1320.99"/>
    <n v="0.05"/>
    <n v="66.049500000000009"/>
    <n v="8"/>
    <n v="6"/>
  </r>
  <r>
    <n v="343"/>
    <n v="4"/>
    <n v="10"/>
    <x v="3"/>
    <n v="1"/>
    <n v="1549"/>
    <n v="0.1"/>
    <n v="154.9"/>
    <n v="9"/>
    <n v="6"/>
  </r>
  <r>
    <n v="344"/>
    <n v="1"/>
    <n v="22"/>
    <x v="0"/>
    <n v="1"/>
    <n v="269.99"/>
    <n v="0.05"/>
    <n v="13.499500000000001"/>
    <n v="9"/>
    <n v="6"/>
  </r>
  <r>
    <n v="344"/>
    <n v="2"/>
    <n v="18"/>
    <x v="1"/>
    <n v="2"/>
    <n v="449"/>
    <n v="7.0000000000000007E-2"/>
    <n v="31.430000000000003"/>
    <n v="5"/>
    <n v="6"/>
  </r>
  <r>
    <n v="344"/>
    <n v="3"/>
    <n v="14"/>
    <x v="2"/>
    <n v="1"/>
    <n v="269.99"/>
    <n v="0.2"/>
    <n v="53.998000000000005"/>
    <n v="8"/>
    <n v="6"/>
  </r>
  <r>
    <n v="345"/>
    <n v="1"/>
    <n v="18"/>
    <x v="0"/>
    <n v="2"/>
    <n v="449"/>
    <n v="0.1"/>
    <n v="44.900000000000006"/>
    <n v="9"/>
    <n v="6"/>
  </r>
  <r>
    <n v="345"/>
    <n v="2"/>
    <n v="24"/>
    <x v="1"/>
    <n v="2"/>
    <n v="549.99"/>
    <n v="7.0000000000000007E-2"/>
    <n v="38.499300000000005"/>
    <n v="5"/>
    <n v="6"/>
  </r>
  <r>
    <n v="346"/>
    <n v="1"/>
    <n v="13"/>
    <x v="0"/>
    <n v="1"/>
    <n v="269.99"/>
    <n v="7.0000000000000007E-2"/>
    <n v="18.899300000000004"/>
    <n v="9"/>
    <n v="6"/>
  </r>
  <r>
    <n v="346"/>
    <n v="2"/>
    <n v="23"/>
    <x v="1"/>
    <n v="1"/>
    <n v="299.99"/>
    <n v="0.2"/>
    <n v="59.998000000000005"/>
    <n v="5"/>
    <n v="6"/>
  </r>
  <r>
    <n v="346"/>
    <n v="3"/>
    <n v="21"/>
    <x v="2"/>
    <n v="1"/>
    <n v="269.99"/>
    <n v="0.1"/>
    <n v="26.999000000000002"/>
    <n v="8"/>
    <n v="6"/>
  </r>
  <r>
    <n v="346"/>
    <n v="4"/>
    <n v="15"/>
    <x v="3"/>
    <n v="1"/>
    <n v="529.99"/>
    <n v="0.05"/>
    <n v="26.499500000000001"/>
    <n v="9"/>
    <n v="6"/>
  </r>
  <r>
    <n v="346"/>
    <n v="5"/>
    <n v="18"/>
    <x v="4"/>
    <n v="2"/>
    <n v="449"/>
    <n v="0.05"/>
    <n v="22.450000000000003"/>
    <n v="3"/>
    <n v="6"/>
  </r>
  <r>
    <n v="347"/>
    <n v="1"/>
    <n v="23"/>
    <x v="0"/>
    <n v="1"/>
    <n v="299.99"/>
    <n v="7.0000000000000007E-2"/>
    <n v="20.999300000000002"/>
    <n v="9"/>
    <n v="6"/>
  </r>
  <r>
    <n v="348"/>
    <n v="1"/>
    <n v="5"/>
    <x v="0"/>
    <n v="2"/>
    <n v="1320.99"/>
    <n v="0.05"/>
    <n v="66.049500000000009"/>
    <n v="9"/>
    <n v="6"/>
  </r>
  <r>
    <n v="348"/>
    <n v="2"/>
    <n v="15"/>
    <x v="1"/>
    <n v="2"/>
    <n v="529.99"/>
    <n v="7.0000000000000007E-2"/>
    <n v="37.099300000000007"/>
    <n v="5"/>
    <n v="6"/>
  </r>
  <r>
    <n v="349"/>
    <n v="1"/>
    <n v="20"/>
    <x v="0"/>
    <n v="2"/>
    <n v="599.99"/>
    <n v="0.2"/>
    <n v="119.998"/>
    <n v="9"/>
    <n v="6"/>
  </r>
  <r>
    <n v="350"/>
    <n v="1"/>
    <n v="6"/>
    <x v="0"/>
    <n v="2"/>
    <n v="469.99"/>
    <n v="0.05"/>
    <n v="23.499500000000001"/>
    <n v="9"/>
    <n v="6"/>
  </r>
  <r>
    <n v="350"/>
    <n v="2"/>
    <n v="20"/>
    <x v="1"/>
    <n v="1"/>
    <n v="599.99"/>
    <n v="7.0000000000000007E-2"/>
    <n v="41.999300000000005"/>
    <n v="5"/>
    <n v="6"/>
  </r>
  <r>
    <n v="350"/>
    <n v="3"/>
    <n v="3"/>
    <x v="2"/>
    <n v="1"/>
    <n v="999.99"/>
    <n v="7.0000000000000007E-2"/>
    <n v="69.999300000000005"/>
    <n v="8"/>
    <n v="6"/>
  </r>
  <r>
    <n v="351"/>
    <n v="1"/>
    <n v="4"/>
    <x v="0"/>
    <n v="2"/>
    <n v="2899.99"/>
    <n v="0.05"/>
    <n v="144.99949999999998"/>
    <n v="9"/>
    <n v="6"/>
  </r>
  <r>
    <n v="351"/>
    <n v="2"/>
    <n v="24"/>
    <x v="1"/>
    <n v="2"/>
    <n v="549.99"/>
    <n v="0.1"/>
    <n v="54.999000000000002"/>
    <n v="5"/>
    <n v="6"/>
  </r>
  <r>
    <n v="351"/>
    <n v="3"/>
    <n v="20"/>
    <x v="2"/>
    <n v="1"/>
    <n v="599.99"/>
    <n v="0.2"/>
    <n v="119.998"/>
    <n v="8"/>
    <n v="6"/>
  </r>
  <r>
    <n v="351"/>
    <n v="4"/>
    <n v="22"/>
    <x v="3"/>
    <n v="2"/>
    <n v="269.99"/>
    <n v="7.0000000000000007E-2"/>
    <n v="18.899300000000004"/>
    <n v="9"/>
    <n v="6"/>
  </r>
  <r>
    <n v="352"/>
    <n v="1"/>
    <n v="11"/>
    <x v="0"/>
    <n v="1"/>
    <n v="1680.99"/>
    <n v="0.2"/>
    <n v="336.19800000000004"/>
    <n v="9"/>
    <n v="6"/>
  </r>
  <r>
    <n v="352"/>
    <n v="2"/>
    <n v="14"/>
    <x v="1"/>
    <n v="1"/>
    <n v="269.99"/>
    <n v="0.2"/>
    <n v="53.998000000000005"/>
    <n v="5"/>
    <n v="6"/>
  </r>
  <r>
    <n v="353"/>
    <n v="1"/>
    <n v="2"/>
    <x v="0"/>
    <n v="2"/>
    <n v="749.99"/>
    <n v="0.2"/>
    <n v="149.99800000000002"/>
    <n v="9"/>
    <n v="6"/>
  </r>
  <r>
    <n v="354"/>
    <n v="1"/>
    <n v="21"/>
    <x v="0"/>
    <n v="1"/>
    <n v="269.99"/>
    <n v="0.2"/>
    <n v="53.998000000000005"/>
    <n v="9"/>
    <n v="6"/>
  </r>
  <r>
    <n v="354"/>
    <n v="2"/>
    <n v="19"/>
    <x v="1"/>
    <n v="1"/>
    <n v="449"/>
    <n v="0.05"/>
    <n v="22.450000000000003"/>
    <n v="5"/>
    <n v="6"/>
  </r>
  <r>
    <n v="355"/>
    <n v="1"/>
    <n v="16"/>
    <x v="0"/>
    <n v="1"/>
    <n v="599.99"/>
    <n v="0.1"/>
    <n v="59.999000000000002"/>
    <n v="9"/>
    <n v="6"/>
  </r>
  <r>
    <n v="355"/>
    <n v="2"/>
    <n v="14"/>
    <x v="1"/>
    <n v="2"/>
    <n v="269.99"/>
    <n v="7.0000000000000007E-2"/>
    <n v="18.899300000000004"/>
    <n v="5"/>
    <n v="6"/>
  </r>
  <r>
    <n v="356"/>
    <n v="1"/>
    <n v="23"/>
    <x v="0"/>
    <n v="2"/>
    <n v="299.99"/>
    <n v="0.05"/>
    <n v="14.999500000000001"/>
    <n v="9"/>
    <n v="6"/>
  </r>
  <r>
    <n v="356"/>
    <n v="2"/>
    <n v="4"/>
    <x v="1"/>
    <n v="1"/>
    <n v="2899.99"/>
    <n v="0.05"/>
    <n v="144.99949999999998"/>
    <n v="5"/>
    <n v="6"/>
  </r>
  <r>
    <n v="356"/>
    <n v="3"/>
    <n v="13"/>
    <x v="2"/>
    <n v="1"/>
    <n v="269.99"/>
    <n v="0.05"/>
    <n v="13.499500000000001"/>
    <n v="8"/>
    <n v="6"/>
  </r>
  <r>
    <n v="357"/>
    <n v="1"/>
    <n v="17"/>
    <x v="0"/>
    <n v="2"/>
    <n v="429"/>
    <n v="0.05"/>
    <n v="21.450000000000003"/>
    <n v="9"/>
    <n v="6"/>
  </r>
  <r>
    <n v="357"/>
    <n v="2"/>
    <n v="21"/>
    <x v="1"/>
    <n v="2"/>
    <n v="269.99"/>
    <n v="7.0000000000000007E-2"/>
    <n v="18.899300000000004"/>
    <n v="5"/>
    <n v="6"/>
  </r>
  <r>
    <n v="357"/>
    <n v="3"/>
    <n v="24"/>
    <x v="2"/>
    <n v="1"/>
    <n v="549.99"/>
    <n v="7.0000000000000007E-2"/>
    <n v="38.499300000000005"/>
    <n v="8"/>
    <n v="6"/>
  </r>
  <r>
    <n v="357"/>
    <n v="4"/>
    <n v="9"/>
    <x v="3"/>
    <n v="1"/>
    <n v="2999.99"/>
    <n v="0.05"/>
    <n v="149.99949999999998"/>
    <n v="9"/>
    <n v="6"/>
  </r>
  <r>
    <n v="358"/>
    <n v="1"/>
    <n v="21"/>
    <x v="0"/>
    <n v="2"/>
    <n v="269.99"/>
    <n v="0.1"/>
    <n v="26.999000000000002"/>
    <n v="9"/>
    <n v="6"/>
  </r>
  <r>
    <n v="358"/>
    <n v="2"/>
    <n v="6"/>
    <x v="1"/>
    <n v="2"/>
    <n v="469.99"/>
    <n v="7.0000000000000007E-2"/>
    <n v="32.899300000000004"/>
    <n v="5"/>
    <n v="6"/>
  </r>
  <r>
    <n v="358"/>
    <n v="3"/>
    <n v="8"/>
    <x v="2"/>
    <n v="2"/>
    <n v="1799.99"/>
    <n v="0.05"/>
    <n v="89.999500000000012"/>
    <n v="8"/>
    <n v="6"/>
  </r>
  <r>
    <n v="358"/>
    <n v="4"/>
    <n v="18"/>
    <x v="3"/>
    <n v="2"/>
    <n v="449"/>
    <n v="0.1"/>
    <n v="44.900000000000006"/>
    <n v="9"/>
    <n v="6"/>
  </r>
  <r>
    <n v="359"/>
    <n v="1"/>
    <n v="15"/>
    <x v="0"/>
    <n v="2"/>
    <n v="529.99"/>
    <n v="7.0000000000000007E-2"/>
    <n v="37.099300000000007"/>
    <n v="9"/>
    <n v="6"/>
  </r>
  <r>
    <n v="359"/>
    <n v="2"/>
    <n v="9"/>
    <x v="1"/>
    <n v="2"/>
    <n v="2999.99"/>
    <n v="7.0000000000000007E-2"/>
    <n v="209.99930000000001"/>
    <n v="5"/>
    <n v="6"/>
  </r>
  <r>
    <n v="359"/>
    <n v="3"/>
    <n v="7"/>
    <x v="2"/>
    <n v="2"/>
    <n v="3999.99"/>
    <n v="0.2"/>
    <n v="799.99800000000005"/>
    <n v="8"/>
    <n v="6"/>
  </r>
  <r>
    <n v="360"/>
    <n v="1"/>
    <n v="26"/>
    <x v="0"/>
    <n v="1"/>
    <n v="599.99"/>
    <n v="0.05"/>
    <n v="29.999500000000001"/>
    <n v="9"/>
    <n v="6"/>
  </r>
  <r>
    <n v="360"/>
    <n v="2"/>
    <n v="7"/>
    <x v="1"/>
    <n v="2"/>
    <n v="3999.99"/>
    <n v="0.2"/>
    <n v="799.99800000000005"/>
    <n v="5"/>
    <n v="6"/>
  </r>
  <r>
    <n v="360"/>
    <n v="3"/>
    <n v="13"/>
    <x v="2"/>
    <n v="2"/>
    <n v="269.99"/>
    <n v="0.05"/>
    <n v="13.499500000000001"/>
    <n v="8"/>
    <n v="6"/>
  </r>
  <r>
    <n v="360"/>
    <n v="4"/>
    <n v="25"/>
    <x v="3"/>
    <n v="1"/>
    <n v="499.99"/>
    <n v="0.1"/>
    <n v="49.999000000000002"/>
    <n v="9"/>
    <n v="6"/>
  </r>
  <r>
    <n v="361"/>
    <n v="1"/>
    <n v="24"/>
    <x v="0"/>
    <n v="2"/>
    <n v="549.99"/>
    <n v="0.05"/>
    <n v="27.499500000000001"/>
    <n v="9"/>
    <n v="6"/>
  </r>
  <r>
    <n v="361"/>
    <n v="2"/>
    <n v="6"/>
    <x v="1"/>
    <n v="2"/>
    <n v="469.99"/>
    <n v="0.1"/>
    <n v="46.999000000000002"/>
    <n v="5"/>
    <n v="6"/>
  </r>
  <r>
    <n v="361"/>
    <n v="3"/>
    <n v="11"/>
    <x v="2"/>
    <n v="1"/>
    <n v="1680.99"/>
    <n v="0.1"/>
    <n v="168.09900000000002"/>
    <n v="8"/>
    <n v="6"/>
  </r>
  <r>
    <n v="362"/>
    <n v="1"/>
    <n v="2"/>
    <x v="0"/>
    <n v="1"/>
    <n v="749.99"/>
    <n v="7.0000000000000007E-2"/>
    <n v="52.499300000000005"/>
    <n v="9"/>
    <n v="6"/>
  </r>
  <r>
    <n v="363"/>
    <n v="1"/>
    <n v="21"/>
    <x v="0"/>
    <n v="2"/>
    <n v="269.99"/>
    <n v="0.1"/>
    <n v="26.999000000000002"/>
    <n v="9"/>
    <n v="6"/>
  </r>
  <r>
    <n v="363"/>
    <n v="2"/>
    <n v="14"/>
    <x v="1"/>
    <n v="1"/>
    <n v="269.99"/>
    <n v="7.0000000000000007E-2"/>
    <n v="18.899300000000004"/>
    <n v="5"/>
    <n v="6"/>
  </r>
  <r>
    <n v="363"/>
    <n v="3"/>
    <n v="15"/>
    <x v="2"/>
    <n v="1"/>
    <n v="529.99"/>
    <n v="0.1"/>
    <n v="52.999000000000002"/>
    <n v="8"/>
    <n v="6"/>
  </r>
  <r>
    <n v="363"/>
    <n v="4"/>
    <n v="20"/>
    <x v="3"/>
    <n v="1"/>
    <n v="599.99"/>
    <n v="0.2"/>
    <n v="119.998"/>
    <n v="9"/>
    <n v="6"/>
  </r>
  <r>
    <n v="364"/>
    <n v="1"/>
    <n v="25"/>
    <x v="0"/>
    <n v="2"/>
    <n v="499.99"/>
    <n v="0.05"/>
    <n v="24.999500000000001"/>
    <n v="9"/>
    <n v="6"/>
  </r>
  <r>
    <n v="365"/>
    <n v="1"/>
    <n v="24"/>
    <x v="0"/>
    <n v="2"/>
    <n v="549.99"/>
    <n v="7.0000000000000007E-2"/>
    <n v="38.499300000000005"/>
    <n v="9"/>
    <n v="6"/>
  </r>
  <r>
    <n v="366"/>
    <n v="1"/>
    <n v="21"/>
    <x v="0"/>
    <n v="1"/>
    <n v="269.99"/>
    <n v="0.1"/>
    <n v="26.999000000000002"/>
    <n v="9"/>
    <n v="6"/>
  </r>
  <r>
    <n v="366"/>
    <n v="2"/>
    <n v="4"/>
    <x v="1"/>
    <n v="1"/>
    <n v="2899.99"/>
    <n v="7.0000000000000007E-2"/>
    <n v="202.99930000000001"/>
    <n v="5"/>
    <n v="6"/>
  </r>
  <r>
    <n v="366"/>
    <n v="3"/>
    <n v="16"/>
    <x v="2"/>
    <n v="2"/>
    <n v="599.99"/>
    <n v="0.2"/>
    <n v="119.998"/>
    <n v="8"/>
    <n v="6"/>
  </r>
  <r>
    <n v="367"/>
    <n v="1"/>
    <n v="26"/>
    <x v="0"/>
    <n v="2"/>
    <n v="599.99"/>
    <n v="0.1"/>
    <n v="59.999000000000002"/>
    <n v="9"/>
    <n v="6"/>
  </r>
  <r>
    <n v="367"/>
    <n v="2"/>
    <n v="14"/>
    <x v="1"/>
    <n v="1"/>
    <n v="269.99"/>
    <n v="0.05"/>
    <n v="13.499500000000001"/>
    <n v="5"/>
    <n v="6"/>
  </r>
  <r>
    <n v="367"/>
    <n v="3"/>
    <n v="10"/>
    <x v="2"/>
    <n v="2"/>
    <n v="1549"/>
    <n v="0.05"/>
    <n v="77.45"/>
    <n v="8"/>
    <n v="6"/>
  </r>
  <r>
    <n v="368"/>
    <n v="1"/>
    <n v="5"/>
    <x v="0"/>
    <n v="1"/>
    <n v="1320.99"/>
    <n v="0.2"/>
    <n v="264.19800000000004"/>
    <n v="9"/>
    <n v="6"/>
  </r>
  <r>
    <n v="368"/>
    <n v="2"/>
    <n v="10"/>
    <x v="1"/>
    <n v="2"/>
    <n v="1549"/>
    <n v="0.2"/>
    <n v="309.8"/>
    <n v="5"/>
    <n v="6"/>
  </r>
  <r>
    <n v="368"/>
    <n v="3"/>
    <n v="21"/>
    <x v="2"/>
    <n v="2"/>
    <n v="269.99"/>
    <n v="0.1"/>
    <n v="26.999000000000002"/>
    <n v="8"/>
    <n v="6"/>
  </r>
  <r>
    <n v="368"/>
    <n v="4"/>
    <n v="19"/>
    <x v="3"/>
    <n v="1"/>
    <n v="449"/>
    <n v="0.05"/>
    <n v="22.450000000000003"/>
    <n v="9"/>
    <n v="6"/>
  </r>
  <r>
    <n v="369"/>
    <n v="1"/>
    <n v="10"/>
    <x v="0"/>
    <n v="2"/>
    <n v="1549"/>
    <n v="7.0000000000000007E-2"/>
    <n v="108.43"/>
    <n v="9"/>
    <n v="6"/>
  </r>
  <r>
    <n v="370"/>
    <n v="1"/>
    <n v="25"/>
    <x v="0"/>
    <n v="2"/>
    <n v="499.99"/>
    <n v="0.05"/>
    <n v="24.999500000000001"/>
    <n v="9"/>
    <n v="6"/>
  </r>
  <r>
    <n v="370"/>
    <n v="2"/>
    <n v="4"/>
    <x v="1"/>
    <n v="2"/>
    <n v="2899.99"/>
    <n v="0.1"/>
    <n v="289.99899999999997"/>
    <n v="5"/>
    <n v="6"/>
  </r>
  <r>
    <n v="371"/>
    <n v="1"/>
    <n v="14"/>
    <x v="0"/>
    <n v="1"/>
    <n v="269.99"/>
    <n v="0.2"/>
    <n v="53.998000000000005"/>
    <n v="9"/>
    <n v="6"/>
  </r>
  <r>
    <n v="371"/>
    <n v="2"/>
    <n v="12"/>
    <x v="1"/>
    <n v="1"/>
    <n v="549.99"/>
    <n v="0.2"/>
    <n v="109.998"/>
    <n v="5"/>
    <n v="6"/>
  </r>
  <r>
    <n v="372"/>
    <n v="1"/>
    <n v="11"/>
    <x v="0"/>
    <n v="1"/>
    <n v="1680.99"/>
    <n v="0.05"/>
    <n v="84.049500000000009"/>
    <n v="9"/>
    <n v="6"/>
  </r>
  <r>
    <n v="372"/>
    <n v="2"/>
    <n v="14"/>
    <x v="1"/>
    <n v="2"/>
    <n v="269.99"/>
    <n v="0.1"/>
    <n v="26.999000000000002"/>
    <n v="5"/>
    <n v="6"/>
  </r>
  <r>
    <n v="372"/>
    <n v="3"/>
    <n v="5"/>
    <x v="2"/>
    <n v="1"/>
    <n v="1320.99"/>
    <n v="0.1"/>
    <n v="132.09900000000002"/>
    <n v="8"/>
    <n v="6"/>
  </r>
  <r>
    <n v="373"/>
    <n v="1"/>
    <n v="8"/>
    <x v="0"/>
    <n v="2"/>
    <n v="1799.99"/>
    <n v="0.05"/>
    <n v="89.999500000000012"/>
    <n v="9"/>
    <n v="6"/>
  </r>
  <r>
    <n v="373"/>
    <n v="2"/>
    <n v="22"/>
    <x v="1"/>
    <n v="1"/>
    <n v="269.99"/>
    <n v="0.1"/>
    <n v="26.999000000000002"/>
    <n v="5"/>
    <n v="6"/>
  </r>
  <r>
    <n v="373"/>
    <n v="3"/>
    <n v="19"/>
    <x v="2"/>
    <n v="2"/>
    <n v="449"/>
    <n v="0.2"/>
    <n v="89.800000000000011"/>
    <n v="8"/>
    <n v="6"/>
  </r>
  <r>
    <n v="373"/>
    <n v="4"/>
    <n v="12"/>
    <x v="3"/>
    <n v="1"/>
    <n v="549.99"/>
    <n v="0.1"/>
    <n v="54.999000000000002"/>
    <n v="9"/>
    <n v="6"/>
  </r>
  <r>
    <n v="373"/>
    <n v="5"/>
    <n v="13"/>
    <x v="4"/>
    <n v="1"/>
    <n v="269.99"/>
    <n v="0.1"/>
    <n v="26.999000000000002"/>
    <n v="3"/>
    <n v="6"/>
  </r>
  <r>
    <n v="374"/>
    <n v="1"/>
    <n v="10"/>
    <x v="0"/>
    <n v="1"/>
    <n v="1549"/>
    <n v="0.1"/>
    <n v="154.9"/>
    <n v="9"/>
    <n v="6"/>
  </r>
  <r>
    <n v="374"/>
    <n v="2"/>
    <n v="7"/>
    <x v="1"/>
    <n v="1"/>
    <n v="3999.99"/>
    <n v="7.0000000000000007E-2"/>
    <n v="279.99930000000001"/>
    <n v="5"/>
    <n v="6"/>
  </r>
  <r>
    <n v="375"/>
    <n v="1"/>
    <n v="21"/>
    <x v="0"/>
    <n v="2"/>
    <n v="269.99"/>
    <n v="0.05"/>
    <n v="13.499500000000001"/>
    <n v="9"/>
    <n v="6"/>
  </r>
  <r>
    <n v="375"/>
    <n v="2"/>
    <n v="2"/>
    <x v="1"/>
    <n v="2"/>
    <n v="749.99"/>
    <n v="0.05"/>
    <n v="37.499500000000005"/>
    <n v="5"/>
    <n v="6"/>
  </r>
  <r>
    <n v="375"/>
    <n v="3"/>
    <n v="4"/>
    <x v="2"/>
    <n v="2"/>
    <n v="2899.99"/>
    <n v="7.0000000000000007E-2"/>
    <n v="202.99930000000001"/>
    <n v="8"/>
    <n v="6"/>
  </r>
  <r>
    <n v="375"/>
    <n v="4"/>
    <n v="12"/>
    <x v="3"/>
    <n v="2"/>
    <n v="549.99"/>
    <n v="0.05"/>
    <n v="27.499500000000001"/>
    <n v="9"/>
    <n v="6"/>
  </r>
  <r>
    <n v="376"/>
    <n v="1"/>
    <n v="2"/>
    <x v="0"/>
    <n v="2"/>
    <n v="749.99"/>
    <n v="7.0000000000000007E-2"/>
    <n v="52.499300000000005"/>
    <n v="9"/>
    <n v="6"/>
  </r>
  <r>
    <n v="376"/>
    <n v="2"/>
    <n v="23"/>
    <x v="1"/>
    <n v="2"/>
    <n v="299.99"/>
    <n v="0.1"/>
    <n v="29.999000000000002"/>
    <n v="5"/>
    <n v="6"/>
  </r>
  <r>
    <n v="377"/>
    <n v="1"/>
    <n v="8"/>
    <x v="0"/>
    <n v="1"/>
    <n v="1799.99"/>
    <n v="0.05"/>
    <n v="89.999500000000012"/>
    <n v="9"/>
    <n v="6"/>
  </r>
  <r>
    <n v="377"/>
    <n v="2"/>
    <n v="14"/>
    <x v="1"/>
    <n v="1"/>
    <n v="269.99"/>
    <n v="7.0000000000000007E-2"/>
    <n v="18.899300000000004"/>
    <n v="5"/>
    <n v="6"/>
  </r>
  <r>
    <n v="378"/>
    <n v="1"/>
    <n v="26"/>
    <x v="0"/>
    <n v="2"/>
    <n v="599.99"/>
    <n v="0.05"/>
    <n v="29.999500000000001"/>
    <n v="9"/>
    <n v="6"/>
  </r>
  <r>
    <n v="379"/>
    <n v="1"/>
    <n v="9"/>
    <x v="0"/>
    <n v="1"/>
    <n v="2999.99"/>
    <n v="7.0000000000000007E-2"/>
    <n v="209.99930000000001"/>
    <n v="9"/>
    <n v="6"/>
  </r>
  <r>
    <n v="379"/>
    <n v="2"/>
    <n v="16"/>
    <x v="1"/>
    <n v="1"/>
    <n v="599.99"/>
    <n v="0.2"/>
    <n v="119.998"/>
    <n v="5"/>
    <n v="6"/>
  </r>
  <r>
    <n v="380"/>
    <n v="1"/>
    <n v="16"/>
    <x v="0"/>
    <n v="1"/>
    <n v="599.99"/>
    <n v="0.05"/>
    <n v="29.999500000000001"/>
    <n v="9"/>
    <n v="6"/>
  </r>
  <r>
    <n v="380"/>
    <n v="2"/>
    <n v="11"/>
    <x v="1"/>
    <n v="2"/>
    <n v="1680.99"/>
    <n v="0.05"/>
    <n v="84.049500000000009"/>
    <n v="5"/>
    <n v="6"/>
  </r>
  <r>
    <n v="381"/>
    <n v="1"/>
    <n v="21"/>
    <x v="0"/>
    <n v="2"/>
    <n v="269.99"/>
    <n v="7.0000000000000007E-2"/>
    <n v="18.899300000000004"/>
    <n v="9"/>
    <n v="6"/>
  </r>
  <r>
    <n v="382"/>
    <n v="1"/>
    <n v="8"/>
    <x v="0"/>
    <n v="1"/>
    <n v="1799.99"/>
    <n v="0.1"/>
    <n v="179.99900000000002"/>
    <n v="9"/>
    <n v="6"/>
  </r>
  <r>
    <n v="382"/>
    <n v="2"/>
    <n v="9"/>
    <x v="1"/>
    <n v="1"/>
    <n v="2999.99"/>
    <n v="0.1"/>
    <n v="299.99899999999997"/>
    <n v="5"/>
    <n v="6"/>
  </r>
  <r>
    <n v="382"/>
    <n v="3"/>
    <n v="13"/>
    <x v="2"/>
    <n v="1"/>
    <n v="269.99"/>
    <n v="7.0000000000000007E-2"/>
    <n v="18.899300000000004"/>
    <n v="8"/>
    <n v="6"/>
  </r>
  <r>
    <n v="383"/>
    <n v="1"/>
    <n v="19"/>
    <x v="0"/>
    <n v="1"/>
    <n v="449"/>
    <n v="7.0000000000000007E-2"/>
    <n v="31.430000000000003"/>
    <n v="9"/>
    <n v="6"/>
  </r>
  <r>
    <n v="383"/>
    <n v="2"/>
    <n v="22"/>
    <x v="1"/>
    <n v="2"/>
    <n v="269.99"/>
    <n v="0.05"/>
    <n v="13.499500000000001"/>
    <n v="5"/>
    <n v="6"/>
  </r>
  <r>
    <n v="383"/>
    <n v="3"/>
    <n v="13"/>
    <x v="2"/>
    <n v="1"/>
    <n v="269.99"/>
    <n v="0.1"/>
    <n v="26.999000000000002"/>
    <n v="8"/>
    <n v="6"/>
  </r>
  <r>
    <n v="383"/>
    <n v="4"/>
    <n v="21"/>
    <x v="3"/>
    <n v="2"/>
    <n v="269.99"/>
    <n v="0.05"/>
    <n v="13.499500000000001"/>
    <n v="9"/>
    <n v="6"/>
  </r>
  <r>
    <n v="383"/>
    <n v="5"/>
    <n v="14"/>
    <x v="4"/>
    <n v="1"/>
    <n v="269.99"/>
    <n v="0.1"/>
    <n v="26.999000000000002"/>
    <n v="3"/>
    <n v="6"/>
  </r>
  <r>
    <n v="384"/>
    <n v="1"/>
    <n v="20"/>
    <x v="0"/>
    <n v="1"/>
    <n v="599.99"/>
    <n v="0.1"/>
    <n v="59.999000000000002"/>
    <n v="9"/>
    <n v="6"/>
  </r>
  <r>
    <n v="384"/>
    <n v="2"/>
    <n v="21"/>
    <x v="1"/>
    <n v="2"/>
    <n v="269.99"/>
    <n v="0.2"/>
    <n v="53.998000000000005"/>
    <n v="5"/>
    <n v="6"/>
  </r>
  <r>
    <n v="384"/>
    <n v="3"/>
    <n v="8"/>
    <x v="2"/>
    <n v="1"/>
    <n v="1799.99"/>
    <n v="0.05"/>
    <n v="89.999500000000012"/>
    <n v="8"/>
    <n v="6"/>
  </r>
  <r>
    <n v="384"/>
    <n v="4"/>
    <n v="15"/>
    <x v="3"/>
    <n v="1"/>
    <n v="529.99"/>
    <n v="0.1"/>
    <n v="52.999000000000002"/>
    <n v="9"/>
    <n v="6"/>
  </r>
  <r>
    <n v="384"/>
    <n v="5"/>
    <n v="4"/>
    <x v="4"/>
    <n v="1"/>
    <n v="2899.99"/>
    <n v="0.2"/>
    <n v="579.99799999999993"/>
    <n v="3"/>
    <n v="6"/>
  </r>
  <r>
    <n v="385"/>
    <n v="1"/>
    <n v="21"/>
    <x v="0"/>
    <n v="1"/>
    <n v="269.99"/>
    <n v="7.0000000000000007E-2"/>
    <n v="18.899300000000004"/>
    <n v="9"/>
    <n v="6"/>
  </r>
  <r>
    <n v="385"/>
    <n v="2"/>
    <n v="7"/>
    <x v="1"/>
    <n v="2"/>
    <n v="3999.99"/>
    <n v="0.2"/>
    <n v="799.99800000000005"/>
    <n v="5"/>
    <n v="6"/>
  </r>
  <r>
    <n v="385"/>
    <n v="3"/>
    <n v="26"/>
    <x v="2"/>
    <n v="2"/>
    <n v="599.99"/>
    <n v="0.05"/>
    <n v="29.999500000000001"/>
    <n v="8"/>
    <n v="6"/>
  </r>
  <r>
    <n v="386"/>
    <n v="1"/>
    <n v="8"/>
    <x v="0"/>
    <n v="1"/>
    <n v="1799.99"/>
    <n v="0.2"/>
    <n v="359.99800000000005"/>
    <n v="9"/>
    <n v="6"/>
  </r>
  <r>
    <n v="386"/>
    <n v="2"/>
    <n v="3"/>
    <x v="1"/>
    <n v="2"/>
    <n v="999.99"/>
    <n v="0.05"/>
    <n v="49.999500000000005"/>
    <n v="5"/>
    <n v="6"/>
  </r>
  <r>
    <n v="386"/>
    <n v="3"/>
    <n v="16"/>
    <x v="2"/>
    <n v="2"/>
    <n v="599.99"/>
    <n v="0.2"/>
    <n v="119.998"/>
    <n v="8"/>
    <n v="6"/>
  </r>
  <r>
    <n v="387"/>
    <n v="1"/>
    <n v="18"/>
    <x v="0"/>
    <n v="1"/>
    <n v="449"/>
    <n v="0.2"/>
    <n v="89.800000000000011"/>
    <n v="9"/>
    <n v="6"/>
  </r>
  <r>
    <n v="388"/>
    <n v="1"/>
    <n v="19"/>
    <x v="0"/>
    <n v="2"/>
    <n v="449"/>
    <n v="0.2"/>
    <n v="89.800000000000011"/>
    <n v="9"/>
    <n v="6"/>
  </r>
  <r>
    <n v="388"/>
    <n v="2"/>
    <n v="13"/>
    <x v="1"/>
    <n v="2"/>
    <n v="269.99"/>
    <n v="7.0000000000000007E-2"/>
    <n v="18.899300000000004"/>
    <n v="5"/>
    <n v="6"/>
  </r>
  <r>
    <n v="388"/>
    <n v="3"/>
    <n v="2"/>
    <x v="2"/>
    <n v="1"/>
    <n v="749.99"/>
    <n v="7.0000000000000007E-2"/>
    <n v="52.499300000000005"/>
    <n v="8"/>
    <n v="6"/>
  </r>
  <r>
    <n v="388"/>
    <n v="4"/>
    <n v="11"/>
    <x v="3"/>
    <n v="1"/>
    <n v="1680.99"/>
    <n v="0.1"/>
    <n v="168.09900000000002"/>
    <n v="9"/>
    <n v="6"/>
  </r>
  <r>
    <n v="389"/>
    <n v="1"/>
    <n v="2"/>
    <x v="0"/>
    <n v="1"/>
    <n v="749.99"/>
    <n v="7.0000000000000007E-2"/>
    <n v="52.499300000000005"/>
    <n v="9"/>
    <n v="6"/>
  </r>
  <r>
    <n v="389"/>
    <n v="2"/>
    <n v="15"/>
    <x v="1"/>
    <n v="2"/>
    <n v="529.99"/>
    <n v="7.0000000000000007E-2"/>
    <n v="37.099300000000007"/>
    <n v="5"/>
    <n v="6"/>
  </r>
  <r>
    <n v="389"/>
    <n v="3"/>
    <n v="10"/>
    <x v="2"/>
    <n v="2"/>
    <n v="1549"/>
    <n v="0.05"/>
    <n v="77.45"/>
    <n v="8"/>
    <n v="6"/>
  </r>
  <r>
    <n v="389"/>
    <n v="4"/>
    <n v="5"/>
    <x v="3"/>
    <n v="1"/>
    <n v="1320.99"/>
    <n v="0.05"/>
    <n v="66.049500000000009"/>
    <n v="9"/>
    <n v="6"/>
  </r>
  <r>
    <n v="389"/>
    <n v="5"/>
    <n v="9"/>
    <x v="4"/>
    <n v="1"/>
    <n v="2999.99"/>
    <n v="0.2"/>
    <n v="599.99799999999993"/>
    <n v="3"/>
    <n v="6"/>
  </r>
  <r>
    <n v="390"/>
    <n v="1"/>
    <n v="23"/>
    <x v="0"/>
    <n v="1"/>
    <n v="299.99"/>
    <n v="0.05"/>
    <n v="14.999500000000001"/>
    <n v="9"/>
    <n v="6"/>
  </r>
  <r>
    <n v="390"/>
    <n v="2"/>
    <n v="7"/>
    <x v="1"/>
    <n v="2"/>
    <n v="3999.99"/>
    <n v="7.0000000000000007E-2"/>
    <n v="279.99930000000001"/>
    <n v="5"/>
    <n v="6"/>
  </r>
  <r>
    <n v="390"/>
    <n v="3"/>
    <n v="9"/>
    <x v="2"/>
    <n v="1"/>
    <n v="2999.99"/>
    <n v="0.05"/>
    <n v="149.99949999999998"/>
    <n v="8"/>
    <n v="6"/>
  </r>
  <r>
    <n v="391"/>
    <n v="1"/>
    <n v="8"/>
    <x v="0"/>
    <n v="1"/>
    <n v="1799.99"/>
    <n v="7.0000000000000007E-2"/>
    <n v="125.99930000000002"/>
    <n v="9"/>
    <n v="6"/>
  </r>
  <r>
    <n v="391"/>
    <n v="2"/>
    <n v="5"/>
    <x v="1"/>
    <n v="2"/>
    <n v="1320.99"/>
    <n v="0.2"/>
    <n v="264.19800000000004"/>
    <n v="5"/>
    <n v="6"/>
  </r>
  <r>
    <n v="391"/>
    <n v="3"/>
    <n v="24"/>
    <x v="2"/>
    <n v="2"/>
    <n v="549.99"/>
    <n v="7.0000000000000007E-2"/>
    <n v="38.499300000000005"/>
    <n v="8"/>
    <n v="6"/>
  </r>
  <r>
    <n v="392"/>
    <n v="1"/>
    <n v="14"/>
    <x v="0"/>
    <n v="2"/>
    <n v="269.99"/>
    <n v="0.1"/>
    <n v="26.999000000000002"/>
    <n v="9"/>
    <n v="6"/>
  </r>
  <r>
    <n v="392"/>
    <n v="2"/>
    <n v="3"/>
    <x v="1"/>
    <n v="2"/>
    <n v="999.99"/>
    <n v="0.05"/>
    <n v="49.999500000000005"/>
    <n v="5"/>
    <n v="6"/>
  </r>
  <r>
    <n v="393"/>
    <n v="1"/>
    <n v="6"/>
    <x v="0"/>
    <n v="2"/>
    <n v="469.99"/>
    <n v="0.2"/>
    <n v="93.998000000000005"/>
    <n v="9"/>
    <n v="6"/>
  </r>
  <r>
    <n v="394"/>
    <n v="1"/>
    <n v="23"/>
    <x v="0"/>
    <n v="1"/>
    <n v="299.99"/>
    <n v="0.05"/>
    <n v="14.999500000000001"/>
    <n v="9"/>
    <n v="6"/>
  </r>
  <r>
    <n v="394"/>
    <n v="2"/>
    <n v="16"/>
    <x v="1"/>
    <n v="1"/>
    <n v="599.99"/>
    <n v="0.2"/>
    <n v="119.998"/>
    <n v="5"/>
    <n v="6"/>
  </r>
  <r>
    <n v="394"/>
    <n v="3"/>
    <n v="14"/>
    <x v="2"/>
    <n v="2"/>
    <n v="269.99"/>
    <n v="0.2"/>
    <n v="53.998000000000005"/>
    <n v="8"/>
    <n v="6"/>
  </r>
  <r>
    <n v="395"/>
    <n v="1"/>
    <n v="14"/>
    <x v="0"/>
    <n v="1"/>
    <n v="269.99"/>
    <n v="0.05"/>
    <n v="13.499500000000001"/>
    <n v="9"/>
    <n v="6"/>
  </r>
  <r>
    <n v="396"/>
    <n v="1"/>
    <n v="12"/>
    <x v="0"/>
    <n v="1"/>
    <n v="549.99"/>
    <n v="0.1"/>
    <n v="54.999000000000002"/>
    <n v="9"/>
    <n v="6"/>
  </r>
  <r>
    <n v="396"/>
    <n v="2"/>
    <n v="25"/>
    <x v="1"/>
    <n v="2"/>
    <n v="499.99"/>
    <n v="0.05"/>
    <n v="24.999500000000001"/>
    <n v="5"/>
    <n v="6"/>
  </r>
  <r>
    <n v="396"/>
    <n v="3"/>
    <n v="5"/>
    <x v="2"/>
    <n v="1"/>
    <n v="1320.99"/>
    <n v="0.2"/>
    <n v="264.19800000000004"/>
    <n v="8"/>
    <n v="6"/>
  </r>
  <r>
    <n v="397"/>
    <n v="1"/>
    <n v="7"/>
    <x v="0"/>
    <n v="1"/>
    <n v="3999.99"/>
    <n v="0.05"/>
    <n v="199.99950000000001"/>
    <n v="9"/>
    <n v="6"/>
  </r>
  <r>
    <n v="398"/>
    <n v="1"/>
    <n v="8"/>
    <x v="0"/>
    <n v="2"/>
    <n v="1799.99"/>
    <n v="0.05"/>
    <n v="89.999500000000012"/>
    <n v="9"/>
    <n v="6"/>
  </r>
  <r>
    <n v="398"/>
    <n v="2"/>
    <n v="18"/>
    <x v="1"/>
    <n v="2"/>
    <n v="449"/>
    <n v="0.05"/>
    <n v="22.450000000000003"/>
    <n v="5"/>
    <n v="6"/>
  </r>
  <r>
    <n v="398"/>
    <n v="3"/>
    <n v="25"/>
    <x v="2"/>
    <n v="1"/>
    <n v="499.99"/>
    <n v="0.2"/>
    <n v="99.998000000000005"/>
    <n v="8"/>
    <n v="6"/>
  </r>
  <r>
    <n v="398"/>
    <n v="4"/>
    <n v="17"/>
    <x v="3"/>
    <n v="1"/>
    <n v="429"/>
    <n v="0.05"/>
    <n v="21.450000000000003"/>
    <n v="9"/>
    <n v="6"/>
  </r>
  <r>
    <n v="399"/>
    <n v="1"/>
    <n v="25"/>
    <x v="0"/>
    <n v="1"/>
    <n v="499.99"/>
    <n v="0.05"/>
    <n v="24.999500000000001"/>
    <n v="9"/>
    <n v="6"/>
  </r>
  <r>
    <n v="399"/>
    <n v="2"/>
    <n v="11"/>
    <x v="1"/>
    <n v="2"/>
    <n v="1680.99"/>
    <n v="0.05"/>
    <n v="84.049500000000009"/>
    <n v="5"/>
    <n v="6"/>
  </r>
  <r>
    <n v="399"/>
    <n v="3"/>
    <n v="14"/>
    <x v="2"/>
    <n v="1"/>
    <n v="269.99"/>
    <n v="0.1"/>
    <n v="26.999000000000002"/>
    <n v="8"/>
    <n v="6"/>
  </r>
  <r>
    <n v="400"/>
    <n v="1"/>
    <n v="24"/>
    <x v="0"/>
    <n v="2"/>
    <n v="549.99"/>
    <n v="7.0000000000000007E-2"/>
    <n v="38.499300000000005"/>
    <n v="9"/>
    <n v="6"/>
  </r>
  <r>
    <n v="400"/>
    <n v="2"/>
    <n v="9"/>
    <x v="1"/>
    <n v="1"/>
    <n v="2999.99"/>
    <n v="0.2"/>
    <n v="599.99799999999993"/>
    <n v="5"/>
    <n v="6"/>
  </r>
  <r>
    <n v="400"/>
    <n v="3"/>
    <n v="3"/>
    <x v="2"/>
    <n v="2"/>
    <n v="999.99"/>
    <n v="0.2"/>
    <n v="199.99800000000002"/>
    <n v="8"/>
    <n v="6"/>
  </r>
  <r>
    <n v="401"/>
    <n v="1"/>
    <n v="23"/>
    <x v="0"/>
    <n v="1"/>
    <n v="299.99"/>
    <n v="0.2"/>
    <n v="59.998000000000005"/>
    <n v="9"/>
    <n v="6"/>
  </r>
  <r>
    <n v="401"/>
    <n v="2"/>
    <n v="10"/>
    <x v="1"/>
    <n v="2"/>
    <n v="1549"/>
    <n v="0.2"/>
    <n v="309.8"/>
    <n v="5"/>
    <n v="6"/>
  </r>
  <r>
    <n v="402"/>
    <n v="1"/>
    <n v="6"/>
    <x v="0"/>
    <n v="2"/>
    <n v="469.99"/>
    <n v="7.0000000000000007E-2"/>
    <n v="32.899300000000004"/>
    <n v="9"/>
    <n v="6"/>
  </r>
  <r>
    <n v="402"/>
    <n v="2"/>
    <n v="5"/>
    <x v="1"/>
    <n v="1"/>
    <n v="1320.99"/>
    <n v="7.0000000000000007E-2"/>
    <n v="92.469300000000004"/>
    <n v="5"/>
    <n v="6"/>
  </r>
  <r>
    <n v="402"/>
    <n v="3"/>
    <n v="26"/>
    <x v="2"/>
    <n v="1"/>
    <n v="599.99"/>
    <n v="0.05"/>
    <n v="29.999500000000001"/>
    <n v="8"/>
    <n v="6"/>
  </r>
  <r>
    <n v="403"/>
    <n v="1"/>
    <n v="12"/>
    <x v="0"/>
    <n v="2"/>
    <n v="549.99"/>
    <n v="0.1"/>
    <n v="54.999000000000002"/>
    <n v="9"/>
    <n v="6"/>
  </r>
  <r>
    <n v="403"/>
    <n v="2"/>
    <n v="7"/>
    <x v="1"/>
    <n v="2"/>
    <n v="3999.99"/>
    <n v="0.2"/>
    <n v="799.99800000000005"/>
    <n v="5"/>
    <n v="6"/>
  </r>
  <r>
    <n v="403"/>
    <n v="3"/>
    <n v="22"/>
    <x v="2"/>
    <n v="2"/>
    <n v="269.99"/>
    <n v="0.05"/>
    <n v="13.499500000000001"/>
    <n v="8"/>
    <n v="6"/>
  </r>
  <r>
    <n v="403"/>
    <n v="4"/>
    <n v="24"/>
    <x v="3"/>
    <n v="1"/>
    <n v="549.99"/>
    <n v="0.2"/>
    <n v="109.998"/>
    <n v="9"/>
    <n v="6"/>
  </r>
  <r>
    <n v="404"/>
    <n v="1"/>
    <n v="9"/>
    <x v="0"/>
    <n v="1"/>
    <n v="2999.99"/>
    <n v="7.0000000000000007E-2"/>
    <n v="209.99930000000001"/>
    <n v="9"/>
    <n v="6"/>
  </r>
  <r>
    <n v="404"/>
    <n v="2"/>
    <n v="25"/>
    <x v="1"/>
    <n v="2"/>
    <n v="499.99"/>
    <n v="0.05"/>
    <n v="24.999500000000001"/>
    <n v="5"/>
    <n v="6"/>
  </r>
  <r>
    <n v="404"/>
    <n v="3"/>
    <n v="16"/>
    <x v="2"/>
    <n v="2"/>
    <n v="599.99"/>
    <n v="0.2"/>
    <n v="119.998"/>
    <n v="8"/>
    <n v="6"/>
  </r>
  <r>
    <n v="405"/>
    <n v="1"/>
    <n v="3"/>
    <x v="0"/>
    <n v="2"/>
    <n v="999.99"/>
    <n v="0.2"/>
    <n v="199.99800000000002"/>
    <n v="9"/>
    <n v="6"/>
  </r>
  <r>
    <n v="405"/>
    <n v="2"/>
    <n v="10"/>
    <x v="1"/>
    <n v="2"/>
    <n v="1549"/>
    <n v="0.1"/>
    <n v="154.9"/>
    <n v="5"/>
    <n v="6"/>
  </r>
  <r>
    <n v="405"/>
    <n v="3"/>
    <n v="14"/>
    <x v="2"/>
    <n v="2"/>
    <n v="269.99"/>
    <n v="7.0000000000000007E-2"/>
    <n v="18.899300000000004"/>
    <n v="8"/>
    <n v="6"/>
  </r>
  <r>
    <n v="406"/>
    <n v="1"/>
    <n v="4"/>
    <x v="0"/>
    <n v="1"/>
    <n v="2899.99"/>
    <n v="0.2"/>
    <n v="579.99799999999993"/>
    <n v="9"/>
    <n v="6"/>
  </r>
  <r>
    <n v="407"/>
    <n v="1"/>
    <n v="20"/>
    <x v="0"/>
    <n v="1"/>
    <n v="599.99"/>
    <n v="0.2"/>
    <n v="119.998"/>
    <n v="9"/>
    <n v="6"/>
  </r>
  <r>
    <n v="407"/>
    <n v="2"/>
    <n v="5"/>
    <x v="1"/>
    <n v="1"/>
    <n v="1320.99"/>
    <n v="0.05"/>
    <n v="66.049500000000009"/>
    <n v="5"/>
    <n v="6"/>
  </r>
  <r>
    <n v="408"/>
    <n v="1"/>
    <n v="18"/>
    <x v="0"/>
    <n v="1"/>
    <n v="449"/>
    <n v="0.2"/>
    <n v="89.800000000000011"/>
    <n v="9"/>
    <n v="6"/>
  </r>
  <r>
    <n v="408"/>
    <n v="2"/>
    <n v="3"/>
    <x v="1"/>
    <n v="1"/>
    <n v="999.99"/>
    <n v="7.0000000000000007E-2"/>
    <n v="69.999300000000005"/>
    <n v="5"/>
    <n v="6"/>
  </r>
  <r>
    <n v="408"/>
    <n v="3"/>
    <n v="2"/>
    <x v="2"/>
    <n v="2"/>
    <n v="749.99"/>
    <n v="7.0000000000000007E-2"/>
    <n v="52.499300000000005"/>
    <n v="8"/>
    <n v="6"/>
  </r>
  <r>
    <n v="408"/>
    <n v="4"/>
    <n v="17"/>
    <x v="3"/>
    <n v="2"/>
    <n v="429"/>
    <n v="0.2"/>
    <n v="85.800000000000011"/>
    <n v="9"/>
    <n v="6"/>
  </r>
  <r>
    <n v="409"/>
    <n v="1"/>
    <n v="15"/>
    <x v="0"/>
    <n v="1"/>
    <n v="529.99"/>
    <n v="7.0000000000000007E-2"/>
    <n v="37.099300000000007"/>
    <n v="9"/>
    <n v="6"/>
  </r>
  <r>
    <n v="409"/>
    <n v="2"/>
    <n v="16"/>
    <x v="1"/>
    <n v="2"/>
    <n v="599.99"/>
    <n v="0.2"/>
    <n v="119.998"/>
    <n v="5"/>
    <n v="6"/>
  </r>
  <r>
    <n v="409"/>
    <n v="3"/>
    <n v="21"/>
    <x v="2"/>
    <n v="1"/>
    <n v="269.99"/>
    <n v="0.05"/>
    <n v="13.499500000000001"/>
    <n v="8"/>
    <n v="6"/>
  </r>
  <r>
    <n v="410"/>
    <n v="1"/>
    <n v="25"/>
    <x v="0"/>
    <n v="1"/>
    <n v="499.99"/>
    <n v="0.1"/>
    <n v="49.999000000000002"/>
    <n v="9"/>
    <n v="6"/>
  </r>
  <r>
    <n v="410"/>
    <n v="2"/>
    <n v="9"/>
    <x v="1"/>
    <n v="2"/>
    <n v="2999.99"/>
    <n v="0.05"/>
    <n v="149.99949999999998"/>
    <n v="5"/>
    <n v="6"/>
  </r>
  <r>
    <n v="410"/>
    <n v="3"/>
    <n v="24"/>
    <x v="2"/>
    <n v="2"/>
    <n v="549.99"/>
    <n v="0.1"/>
    <n v="54.999000000000002"/>
    <n v="8"/>
    <n v="6"/>
  </r>
  <r>
    <n v="411"/>
    <n v="1"/>
    <n v="2"/>
    <x v="0"/>
    <n v="1"/>
    <n v="749.99"/>
    <n v="7.0000000000000007E-2"/>
    <n v="52.499300000000005"/>
    <n v="9"/>
    <n v="6"/>
  </r>
  <r>
    <n v="411"/>
    <n v="2"/>
    <n v="26"/>
    <x v="1"/>
    <n v="2"/>
    <n v="599.99"/>
    <n v="0.05"/>
    <n v="29.999500000000001"/>
    <n v="5"/>
    <n v="6"/>
  </r>
  <r>
    <n v="412"/>
    <n v="1"/>
    <n v="7"/>
    <x v="0"/>
    <n v="1"/>
    <n v="3999.99"/>
    <n v="0.1"/>
    <n v="399.99900000000002"/>
    <n v="9"/>
    <n v="6"/>
  </r>
  <r>
    <n v="412"/>
    <n v="2"/>
    <n v="24"/>
    <x v="1"/>
    <n v="1"/>
    <n v="549.99"/>
    <n v="7.0000000000000007E-2"/>
    <n v="38.499300000000005"/>
    <n v="5"/>
    <n v="6"/>
  </r>
  <r>
    <n v="412"/>
    <n v="3"/>
    <n v="17"/>
    <x v="2"/>
    <n v="1"/>
    <n v="429"/>
    <n v="0.1"/>
    <n v="42.900000000000006"/>
    <n v="8"/>
    <n v="6"/>
  </r>
  <r>
    <n v="413"/>
    <n v="1"/>
    <n v="8"/>
    <x v="0"/>
    <n v="2"/>
    <n v="1799.99"/>
    <n v="0.05"/>
    <n v="89.999500000000012"/>
    <n v="9"/>
    <n v="6"/>
  </r>
  <r>
    <n v="413"/>
    <n v="2"/>
    <n v="25"/>
    <x v="1"/>
    <n v="1"/>
    <n v="499.99"/>
    <n v="0.1"/>
    <n v="49.999000000000002"/>
    <n v="5"/>
    <n v="6"/>
  </r>
  <r>
    <n v="413"/>
    <n v="3"/>
    <n v="9"/>
    <x v="2"/>
    <n v="1"/>
    <n v="2999.99"/>
    <n v="7.0000000000000007E-2"/>
    <n v="209.99930000000001"/>
    <n v="8"/>
    <n v="6"/>
  </r>
  <r>
    <n v="414"/>
    <n v="1"/>
    <n v="4"/>
    <x v="0"/>
    <n v="2"/>
    <n v="2899.99"/>
    <n v="0.1"/>
    <n v="289.99899999999997"/>
    <n v="9"/>
    <n v="6"/>
  </r>
  <r>
    <n v="415"/>
    <n v="1"/>
    <n v="3"/>
    <x v="0"/>
    <n v="1"/>
    <n v="999.99"/>
    <n v="7.0000000000000007E-2"/>
    <n v="69.999300000000005"/>
    <n v="9"/>
    <n v="6"/>
  </r>
  <r>
    <n v="415"/>
    <n v="2"/>
    <n v="23"/>
    <x v="1"/>
    <n v="2"/>
    <n v="299.99"/>
    <n v="0.2"/>
    <n v="59.998000000000005"/>
    <n v="5"/>
    <n v="6"/>
  </r>
  <r>
    <n v="415"/>
    <n v="3"/>
    <n v="5"/>
    <x v="2"/>
    <n v="1"/>
    <n v="1320.99"/>
    <n v="0.2"/>
    <n v="264.19800000000004"/>
    <n v="8"/>
    <n v="6"/>
  </r>
  <r>
    <n v="415"/>
    <n v="4"/>
    <n v="6"/>
    <x v="3"/>
    <n v="2"/>
    <n v="469.99"/>
    <n v="0.05"/>
    <n v="23.499500000000001"/>
    <n v="9"/>
    <n v="6"/>
  </r>
  <r>
    <n v="416"/>
    <n v="1"/>
    <n v="22"/>
    <x v="0"/>
    <n v="1"/>
    <n v="269.99"/>
    <n v="7.0000000000000007E-2"/>
    <n v="18.899300000000004"/>
    <n v="9"/>
    <n v="6"/>
  </r>
  <r>
    <n v="416"/>
    <n v="2"/>
    <n v="14"/>
    <x v="1"/>
    <n v="1"/>
    <n v="269.99"/>
    <n v="7.0000000000000007E-2"/>
    <n v="18.899300000000004"/>
    <n v="5"/>
    <n v="6"/>
  </r>
  <r>
    <n v="416"/>
    <n v="3"/>
    <n v="24"/>
    <x v="2"/>
    <n v="1"/>
    <n v="549.99"/>
    <n v="0.1"/>
    <n v="54.999000000000002"/>
    <n v="8"/>
    <n v="6"/>
  </r>
  <r>
    <n v="417"/>
    <n v="1"/>
    <n v="26"/>
    <x v="0"/>
    <n v="2"/>
    <n v="599.99"/>
    <n v="7.0000000000000007E-2"/>
    <n v="41.999300000000005"/>
    <n v="9"/>
    <n v="6"/>
  </r>
  <r>
    <n v="417"/>
    <n v="2"/>
    <n v="6"/>
    <x v="1"/>
    <n v="2"/>
    <n v="469.99"/>
    <n v="7.0000000000000007E-2"/>
    <n v="32.899300000000004"/>
    <n v="5"/>
    <n v="6"/>
  </r>
  <r>
    <n v="418"/>
    <n v="1"/>
    <n v="12"/>
    <x v="0"/>
    <n v="1"/>
    <n v="549.99"/>
    <n v="0.05"/>
    <n v="27.499500000000001"/>
    <n v="9"/>
    <n v="6"/>
  </r>
  <r>
    <n v="418"/>
    <n v="2"/>
    <n v="20"/>
    <x v="1"/>
    <n v="1"/>
    <n v="599.99"/>
    <n v="0.05"/>
    <n v="29.999500000000001"/>
    <n v="5"/>
    <n v="6"/>
  </r>
  <r>
    <n v="419"/>
    <n v="1"/>
    <n v="9"/>
    <x v="0"/>
    <n v="1"/>
    <n v="2999.99"/>
    <n v="0.05"/>
    <n v="149.99949999999998"/>
    <n v="9"/>
    <n v="6"/>
  </r>
  <r>
    <n v="420"/>
    <n v="1"/>
    <n v="17"/>
    <x v="0"/>
    <n v="2"/>
    <n v="429"/>
    <n v="0.2"/>
    <n v="85.800000000000011"/>
    <n v="9"/>
    <n v="6"/>
  </r>
  <r>
    <n v="420"/>
    <n v="2"/>
    <n v="15"/>
    <x v="1"/>
    <n v="2"/>
    <n v="529.99"/>
    <n v="0.1"/>
    <n v="52.999000000000002"/>
    <n v="5"/>
    <n v="6"/>
  </r>
  <r>
    <n v="420"/>
    <n v="3"/>
    <n v="3"/>
    <x v="2"/>
    <n v="2"/>
    <n v="999.99"/>
    <n v="0.05"/>
    <n v="49.999500000000005"/>
    <n v="8"/>
    <n v="6"/>
  </r>
  <r>
    <n v="421"/>
    <n v="1"/>
    <n v="6"/>
    <x v="0"/>
    <n v="2"/>
    <n v="469.99"/>
    <n v="7.0000000000000007E-2"/>
    <n v="32.899300000000004"/>
    <n v="9"/>
    <n v="6"/>
  </r>
  <r>
    <n v="421"/>
    <n v="2"/>
    <n v="3"/>
    <x v="1"/>
    <n v="2"/>
    <n v="999.99"/>
    <n v="0.2"/>
    <n v="199.99800000000002"/>
    <n v="5"/>
    <n v="6"/>
  </r>
  <r>
    <n v="421"/>
    <n v="3"/>
    <n v="20"/>
    <x v="2"/>
    <n v="2"/>
    <n v="599.99"/>
    <n v="0.2"/>
    <n v="119.998"/>
    <n v="8"/>
    <n v="6"/>
  </r>
  <r>
    <n v="421"/>
    <n v="4"/>
    <n v="4"/>
    <x v="3"/>
    <n v="1"/>
    <n v="2899.99"/>
    <n v="7.0000000000000007E-2"/>
    <n v="202.99930000000001"/>
    <n v="9"/>
    <n v="6"/>
  </r>
  <r>
    <n v="421"/>
    <n v="5"/>
    <n v="23"/>
    <x v="4"/>
    <n v="2"/>
    <n v="299.99"/>
    <n v="0.2"/>
    <n v="59.998000000000005"/>
    <n v="3"/>
    <n v="6"/>
  </r>
  <r>
    <n v="422"/>
    <n v="1"/>
    <n v="20"/>
    <x v="0"/>
    <n v="2"/>
    <n v="599.99"/>
    <n v="0.05"/>
    <n v="29.999500000000001"/>
    <n v="9"/>
    <n v="6"/>
  </r>
  <r>
    <n v="423"/>
    <n v="1"/>
    <n v="8"/>
    <x v="0"/>
    <n v="2"/>
    <n v="1799.99"/>
    <n v="0.05"/>
    <n v="89.999500000000012"/>
    <n v="9"/>
    <n v="6"/>
  </r>
  <r>
    <n v="423"/>
    <n v="2"/>
    <n v="17"/>
    <x v="1"/>
    <n v="1"/>
    <n v="429"/>
    <n v="0.2"/>
    <n v="85.800000000000011"/>
    <n v="5"/>
    <n v="6"/>
  </r>
  <r>
    <n v="423"/>
    <n v="3"/>
    <n v="23"/>
    <x v="2"/>
    <n v="2"/>
    <n v="299.99"/>
    <n v="7.0000000000000007E-2"/>
    <n v="20.999300000000002"/>
    <n v="8"/>
    <n v="6"/>
  </r>
  <r>
    <n v="423"/>
    <n v="4"/>
    <n v="2"/>
    <x v="3"/>
    <n v="1"/>
    <n v="749.99"/>
    <n v="0.2"/>
    <n v="149.99800000000002"/>
    <n v="9"/>
    <n v="6"/>
  </r>
  <r>
    <n v="424"/>
    <n v="1"/>
    <n v="22"/>
    <x v="0"/>
    <n v="1"/>
    <n v="269.99"/>
    <n v="0.1"/>
    <n v="26.999000000000002"/>
    <n v="9"/>
    <n v="6"/>
  </r>
  <r>
    <n v="424"/>
    <n v="2"/>
    <n v="6"/>
    <x v="1"/>
    <n v="1"/>
    <n v="469.99"/>
    <n v="0.05"/>
    <n v="23.499500000000001"/>
    <n v="5"/>
    <n v="6"/>
  </r>
  <r>
    <n v="425"/>
    <n v="1"/>
    <n v="6"/>
    <x v="0"/>
    <n v="1"/>
    <n v="469.99"/>
    <n v="0.1"/>
    <n v="46.999000000000002"/>
    <n v="9"/>
    <n v="6"/>
  </r>
  <r>
    <n v="425"/>
    <n v="2"/>
    <n v="21"/>
    <x v="1"/>
    <n v="2"/>
    <n v="269.99"/>
    <n v="7.0000000000000007E-2"/>
    <n v="18.899300000000004"/>
    <n v="5"/>
    <n v="6"/>
  </r>
  <r>
    <n v="425"/>
    <n v="3"/>
    <n v="19"/>
    <x v="2"/>
    <n v="1"/>
    <n v="449"/>
    <n v="0.05"/>
    <n v="22.450000000000003"/>
    <n v="8"/>
    <n v="6"/>
  </r>
  <r>
    <n v="426"/>
    <n v="1"/>
    <n v="10"/>
    <x v="0"/>
    <n v="1"/>
    <n v="1549"/>
    <n v="0.1"/>
    <n v="154.9"/>
    <n v="9"/>
    <n v="6"/>
  </r>
  <r>
    <n v="426"/>
    <n v="2"/>
    <n v="23"/>
    <x v="1"/>
    <n v="2"/>
    <n v="299.99"/>
    <n v="0.05"/>
    <n v="14.999500000000001"/>
    <n v="5"/>
    <n v="6"/>
  </r>
  <r>
    <n v="427"/>
    <n v="1"/>
    <n v="12"/>
    <x v="0"/>
    <n v="2"/>
    <n v="549.99"/>
    <n v="7.0000000000000007E-2"/>
    <n v="38.499300000000005"/>
    <n v="9"/>
    <n v="6"/>
  </r>
  <r>
    <n v="427"/>
    <n v="2"/>
    <n v="15"/>
    <x v="1"/>
    <n v="2"/>
    <n v="529.99"/>
    <n v="0.1"/>
    <n v="52.999000000000002"/>
    <n v="5"/>
    <n v="6"/>
  </r>
  <r>
    <n v="427"/>
    <n v="3"/>
    <n v="26"/>
    <x v="2"/>
    <n v="2"/>
    <n v="599.99"/>
    <n v="7.0000000000000007E-2"/>
    <n v="41.999300000000005"/>
    <n v="8"/>
    <n v="6"/>
  </r>
  <r>
    <n v="428"/>
    <n v="1"/>
    <n v="5"/>
    <x v="0"/>
    <n v="2"/>
    <n v="1320.99"/>
    <n v="0.2"/>
    <n v="264.19800000000004"/>
    <n v="9"/>
    <n v="6"/>
  </r>
  <r>
    <n v="428"/>
    <n v="2"/>
    <n v="14"/>
    <x v="1"/>
    <n v="1"/>
    <n v="269.99"/>
    <n v="0.2"/>
    <n v="53.998000000000005"/>
    <n v="5"/>
    <n v="6"/>
  </r>
  <r>
    <n v="429"/>
    <n v="1"/>
    <n v="11"/>
    <x v="0"/>
    <n v="1"/>
    <n v="1680.99"/>
    <n v="0.2"/>
    <n v="336.19800000000004"/>
    <n v="9"/>
    <n v="6"/>
  </r>
  <r>
    <n v="429"/>
    <n v="2"/>
    <n v="4"/>
    <x v="1"/>
    <n v="2"/>
    <n v="2899.99"/>
    <n v="0.1"/>
    <n v="289.99899999999997"/>
    <n v="5"/>
    <n v="6"/>
  </r>
  <r>
    <n v="429"/>
    <n v="3"/>
    <n v="5"/>
    <x v="2"/>
    <n v="2"/>
    <n v="1320.99"/>
    <n v="0.05"/>
    <n v="66.049500000000009"/>
    <n v="8"/>
    <n v="6"/>
  </r>
  <r>
    <n v="429"/>
    <n v="4"/>
    <n v="6"/>
    <x v="3"/>
    <n v="1"/>
    <n v="469.99"/>
    <n v="7.0000000000000007E-2"/>
    <n v="32.899300000000004"/>
    <n v="9"/>
    <n v="6"/>
  </r>
  <r>
    <n v="429"/>
    <n v="5"/>
    <n v="2"/>
    <x v="4"/>
    <n v="1"/>
    <n v="749.99"/>
    <n v="0.1"/>
    <n v="74.999000000000009"/>
    <n v="3"/>
    <n v="6"/>
  </r>
  <r>
    <n v="430"/>
    <n v="1"/>
    <n v="22"/>
    <x v="0"/>
    <n v="2"/>
    <n v="269.99"/>
    <n v="0.1"/>
    <n v="26.999000000000002"/>
    <n v="9"/>
    <n v="6"/>
  </r>
  <r>
    <n v="430"/>
    <n v="2"/>
    <n v="11"/>
    <x v="1"/>
    <n v="1"/>
    <n v="1680.99"/>
    <n v="7.0000000000000007E-2"/>
    <n v="117.66930000000001"/>
    <n v="5"/>
    <n v="6"/>
  </r>
  <r>
    <n v="430"/>
    <n v="3"/>
    <n v="4"/>
    <x v="2"/>
    <n v="2"/>
    <n v="2899.99"/>
    <n v="0.2"/>
    <n v="579.99799999999993"/>
    <n v="8"/>
    <n v="6"/>
  </r>
  <r>
    <n v="430"/>
    <n v="4"/>
    <n v="13"/>
    <x v="3"/>
    <n v="2"/>
    <n v="269.99"/>
    <n v="0.2"/>
    <n v="53.998000000000005"/>
    <n v="9"/>
    <n v="6"/>
  </r>
  <r>
    <n v="430"/>
    <n v="5"/>
    <n v="8"/>
    <x v="4"/>
    <n v="1"/>
    <n v="1799.99"/>
    <n v="0.2"/>
    <n v="359.99800000000005"/>
    <n v="3"/>
    <n v="6"/>
  </r>
  <r>
    <n v="431"/>
    <n v="1"/>
    <n v="14"/>
    <x v="0"/>
    <n v="2"/>
    <n v="269.99"/>
    <n v="0.2"/>
    <n v="53.998000000000005"/>
    <n v="9"/>
    <n v="6"/>
  </r>
  <r>
    <n v="431"/>
    <n v="2"/>
    <n v="6"/>
    <x v="1"/>
    <n v="1"/>
    <n v="469.99"/>
    <n v="0.1"/>
    <n v="46.999000000000002"/>
    <n v="5"/>
    <n v="6"/>
  </r>
  <r>
    <n v="431"/>
    <n v="3"/>
    <n v="18"/>
    <x v="2"/>
    <n v="1"/>
    <n v="449"/>
    <n v="0.2"/>
    <n v="89.800000000000011"/>
    <n v="8"/>
    <n v="6"/>
  </r>
  <r>
    <n v="431"/>
    <n v="4"/>
    <n v="13"/>
    <x v="3"/>
    <n v="2"/>
    <n v="269.99"/>
    <n v="7.0000000000000007E-2"/>
    <n v="18.899300000000004"/>
    <n v="9"/>
    <n v="6"/>
  </r>
  <r>
    <n v="431"/>
    <n v="5"/>
    <n v="19"/>
    <x v="4"/>
    <n v="1"/>
    <n v="449"/>
    <n v="7.0000000000000007E-2"/>
    <n v="31.430000000000003"/>
    <n v="3"/>
    <n v="6"/>
  </r>
  <r>
    <n v="432"/>
    <n v="1"/>
    <n v="10"/>
    <x v="0"/>
    <n v="2"/>
    <n v="1549"/>
    <n v="0.2"/>
    <n v="309.8"/>
    <n v="9"/>
    <n v="6"/>
  </r>
  <r>
    <n v="432"/>
    <n v="2"/>
    <n v="7"/>
    <x v="1"/>
    <n v="2"/>
    <n v="3999.99"/>
    <n v="0.05"/>
    <n v="199.99950000000001"/>
    <n v="5"/>
    <n v="6"/>
  </r>
  <r>
    <n v="433"/>
    <n v="1"/>
    <n v="6"/>
    <x v="0"/>
    <n v="1"/>
    <n v="469.99"/>
    <n v="0.1"/>
    <n v="46.999000000000002"/>
    <n v="9"/>
    <n v="6"/>
  </r>
  <r>
    <n v="433"/>
    <n v="2"/>
    <n v="10"/>
    <x v="1"/>
    <n v="1"/>
    <n v="1549"/>
    <n v="0.2"/>
    <n v="309.8"/>
    <n v="5"/>
    <n v="6"/>
  </r>
  <r>
    <n v="433"/>
    <n v="3"/>
    <n v="24"/>
    <x v="2"/>
    <n v="1"/>
    <n v="549.99"/>
    <n v="0.1"/>
    <n v="54.999000000000002"/>
    <n v="8"/>
    <n v="6"/>
  </r>
  <r>
    <n v="433"/>
    <n v="4"/>
    <n v="4"/>
    <x v="3"/>
    <n v="1"/>
    <n v="2899.99"/>
    <n v="0.2"/>
    <n v="579.99799999999993"/>
    <n v="9"/>
    <n v="6"/>
  </r>
  <r>
    <n v="434"/>
    <n v="1"/>
    <n v="21"/>
    <x v="0"/>
    <n v="1"/>
    <n v="269.99"/>
    <n v="0.05"/>
    <n v="13.499500000000001"/>
    <n v="9"/>
    <n v="6"/>
  </r>
  <r>
    <n v="434"/>
    <n v="2"/>
    <n v="20"/>
    <x v="1"/>
    <n v="1"/>
    <n v="599.99"/>
    <n v="0.1"/>
    <n v="59.999000000000002"/>
    <n v="5"/>
    <n v="6"/>
  </r>
  <r>
    <n v="434"/>
    <n v="3"/>
    <n v="9"/>
    <x v="2"/>
    <n v="1"/>
    <n v="2999.99"/>
    <n v="0.2"/>
    <n v="599.99799999999993"/>
    <n v="8"/>
    <n v="6"/>
  </r>
  <r>
    <n v="434"/>
    <n v="4"/>
    <n v="11"/>
    <x v="3"/>
    <n v="2"/>
    <n v="1680.99"/>
    <n v="7.0000000000000007E-2"/>
    <n v="117.66930000000001"/>
    <n v="9"/>
    <n v="6"/>
  </r>
  <r>
    <n v="434"/>
    <n v="5"/>
    <n v="18"/>
    <x v="4"/>
    <n v="2"/>
    <n v="449"/>
    <n v="0.05"/>
    <n v="22.450000000000003"/>
    <n v="3"/>
    <n v="6"/>
  </r>
  <r>
    <n v="435"/>
    <n v="1"/>
    <n v="22"/>
    <x v="0"/>
    <n v="1"/>
    <n v="269.99"/>
    <n v="0.05"/>
    <n v="13.499500000000001"/>
    <n v="9"/>
    <n v="6"/>
  </r>
  <r>
    <n v="435"/>
    <n v="2"/>
    <n v="9"/>
    <x v="1"/>
    <n v="1"/>
    <n v="2999.99"/>
    <n v="0.05"/>
    <n v="149.99949999999998"/>
    <n v="5"/>
    <n v="6"/>
  </r>
  <r>
    <n v="435"/>
    <n v="3"/>
    <n v="18"/>
    <x v="2"/>
    <n v="1"/>
    <n v="449"/>
    <n v="0.05"/>
    <n v="22.450000000000003"/>
    <n v="8"/>
    <n v="6"/>
  </r>
  <r>
    <n v="436"/>
    <n v="1"/>
    <n v="3"/>
    <x v="0"/>
    <n v="1"/>
    <n v="999.99"/>
    <n v="0.05"/>
    <n v="49.999500000000005"/>
    <n v="9"/>
    <n v="6"/>
  </r>
  <r>
    <n v="436"/>
    <n v="2"/>
    <n v="23"/>
    <x v="1"/>
    <n v="1"/>
    <n v="299.99"/>
    <n v="0.2"/>
    <n v="59.998000000000005"/>
    <n v="5"/>
    <n v="6"/>
  </r>
  <r>
    <n v="437"/>
    <n v="1"/>
    <n v="3"/>
    <x v="0"/>
    <n v="1"/>
    <n v="999.99"/>
    <n v="0.05"/>
    <n v="49.999500000000005"/>
    <n v="9"/>
    <n v="6"/>
  </r>
  <r>
    <n v="437"/>
    <n v="2"/>
    <n v="10"/>
    <x v="1"/>
    <n v="1"/>
    <n v="1549"/>
    <n v="0.05"/>
    <n v="77.45"/>
    <n v="5"/>
    <n v="6"/>
  </r>
  <r>
    <n v="437"/>
    <n v="3"/>
    <n v="8"/>
    <x v="2"/>
    <n v="2"/>
    <n v="1799.99"/>
    <n v="0.05"/>
    <n v="89.999500000000012"/>
    <n v="8"/>
    <n v="6"/>
  </r>
  <r>
    <n v="438"/>
    <n v="1"/>
    <n v="4"/>
    <x v="0"/>
    <n v="1"/>
    <n v="2899.99"/>
    <n v="7.0000000000000007E-2"/>
    <n v="202.99930000000001"/>
    <n v="9"/>
    <n v="6"/>
  </r>
  <r>
    <n v="438"/>
    <n v="2"/>
    <n v="22"/>
    <x v="1"/>
    <n v="1"/>
    <n v="269.99"/>
    <n v="0.1"/>
    <n v="26.999000000000002"/>
    <n v="5"/>
    <n v="6"/>
  </r>
  <r>
    <n v="438"/>
    <n v="3"/>
    <n v="8"/>
    <x v="2"/>
    <n v="2"/>
    <n v="1799.99"/>
    <n v="0.05"/>
    <n v="89.999500000000012"/>
    <n v="8"/>
    <n v="6"/>
  </r>
  <r>
    <n v="438"/>
    <n v="4"/>
    <n v="13"/>
    <x v="3"/>
    <n v="2"/>
    <n v="269.99"/>
    <n v="0.05"/>
    <n v="13.499500000000001"/>
    <n v="9"/>
    <n v="6"/>
  </r>
  <r>
    <n v="439"/>
    <n v="1"/>
    <n v="6"/>
    <x v="0"/>
    <n v="2"/>
    <n v="469.99"/>
    <n v="7.0000000000000007E-2"/>
    <n v="32.899300000000004"/>
    <n v="9"/>
    <n v="6"/>
  </r>
  <r>
    <n v="439"/>
    <n v="2"/>
    <n v="7"/>
    <x v="1"/>
    <n v="2"/>
    <n v="3999.99"/>
    <n v="0.05"/>
    <n v="199.99950000000001"/>
    <n v="5"/>
    <n v="6"/>
  </r>
  <r>
    <n v="440"/>
    <n v="1"/>
    <n v="19"/>
    <x v="0"/>
    <n v="2"/>
    <n v="449"/>
    <n v="7.0000000000000007E-2"/>
    <n v="31.430000000000003"/>
    <n v="9"/>
    <n v="6"/>
  </r>
  <r>
    <n v="440"/>
    <n v="2"/>
    <n v="4"/>
    <x v="1"/>
    <n v="2"/>
    <n v="2899.99"/>
    <n v="7.0000000000000007E-2"/>
    <n v="202.99930000000001"/>
    <n v="5"/>
    <n v="6"/>
  </r>
  <r>
    <n v="441"/>
    <n v="1"/>
    <n v="12"/>
    <x v="0"/>
    <n v="1"/>
    <n v="549.99"/>
    <n v="7.0000000000000007E-2"/>
    <n v="38.499300000000005"/>
    <n v="9"/>
    <n v="6"/>
  </r>
  <r>
    <n v="441"/>
    <n v="2"/>
    <n v="15"/>
    <x v="1"/>
    <n v="1"/>
    <n v="529.99"/>
    <n v="0.1"/>
    <n v="52.999000000000002"/>
    <n v="5"/>
    <n v="6"/>
  </r>
  <r>
    <n v="442"/>
    <n v="1"/>
    <n v="16"/>
    <x v="0"/>
    <n v="2"/>
    <n v="599.99"/>
    <n v="7.0000000000000007E-2"/>
    <n v="41.999300000000005"/>
    <n v="9"/>
    <n v="6"/>
  </r>
  <r>
    <n v="442"/>
    <n v="2"/>
    <n v="26"/>
    <x v="1"/>
    <n v="2"/>
    <n v="599.99"/>
    <n v="0.2"/>
    <n v="119.998"/>
    <n v="5"/>
    <n v="6"/>
  </r>
  <r>
    <n v="442"/>
    <n v="3"/>
    <n v="6"/>
    <x v="2"/>
    <n v="2"/>
    <n v="469.99"/>
    <n v="0.2"/>
    <n v="93.998000000000005"/>
    <n v="8"/>
    <n v="6"/>
  </r>
  <r>
    <n v="443"/>
    <n v="1"/>
    <n v="5"/>
    <x v="0"/>
    <n v="1"/>
    <n v="1320.99"/>
    <n v="0.05"/>
    <n v="66.049500000000009"/>
    <n v="9"/>
    <n v="6"/>
  </r>
  <r>
    <n v="443"/>
    <n v="2"/>
    <n v="26"/>
    <x v="1"/>
    <n v="1"/>
    <n v="599.99"/>
    <n v="0.2"/>
    <n v="119.998"/>
    <n v="5"/>
    <n v="6"/>
  </r>
  <r>
    <n v="444"/>
    <n v="1"/>
    <n v="22"/>
    <x v="0"/>
    <n v="1"/>
    <n v="269.99"/>
    <n v="7.0000000000000007E-2"/>
    <n v="18.899300000000004"/>
    <n v="9"/>
    <n v="6"/>
  </r>
  <r>
    <n v="444"/>
    <n v="2"/>
    <n v="15"/>
    <x v="1"/>
    <n v="2"/>
    <n v="529.99"/>
    <n v="7.0000000000000007E-2"/>
    <n v="37.099300000000007"/>
    <n v="5"/>
    <n v="6"/>
  </r>
  <r>
    <n v="444"/>
    <n v="3"/>
    <n v="20"/>
    <x v="2"/>
    <n v="2"/>
    <n v="599.99"/>
    <n v="0.05"/>
    <n v="29.999500000000001"/>
    <n v="8"/>
    <n v="6"/>
  </r>
  <r>
    <n v="444"/>
    <n v="4"/>
    <n v="16"/>
    <x v="3"/>
    <n v="1"/>
    <n v="599.99"/>
    <n v="0.1"/>
    <n v="59.999000000000002"/>
    <n v="9"/>
    <n v="6"/>
  </r>
  <r>
    <n v="444"/>
    <n v="5"/>
    <n v="10"/>
    <x v="4"/>
    <n v="2"/>
    <n v="1549"/>
    <n v="0.2"/>
    <n v="309.8"/>
    <n v="3"/>
    <n v="6"/>
  </r>
  <r>
    <n v="445"/>
    <n v="1"/>
    <n v="7"/>
    <x v="0"/>
    <n v="1"/>
    <n v="3999.99"/>
    <n v="0.2"/>
    <n v="799.99800000000005"/>
    <n v="9"/>
    <n v="6"/>
  </r>
  <r>
    <n v="445"/>
    <n v="2"/>
    <n v="16"/>
    <x v="1"/>
    <n v="1"/>
    <n v="599.99"/>
    <n v="7.0000000000000007E-2"/>
    <n v="41.999300000000005"/>
    <n v="5"/>
    <n v="6"/>
  </r>
  <r>
    <n v="445"/>
    <n v="3"/>
    <n v="23"/>
    <x v="2"/>
    <n v="1"/>
    <n v="299.99"/>
    <n v="0.2"/>
    <n v="59.998000000000005"/>
    <n v="8"/>
    <n v="6"/>
  </r>
  <r>
    <n v="446"/>
    <n v="1"/>
    <n v="22"/>
    <x v="0"/>
    <n v="1"/>
    <n v="269.99"/>
    <n v="0.2"/>
    <n v="53.998000000000005"/>
    <n v="9"/>
    <n v="6"/>
  </r>
  <r>
    <n v="446"/>
    <n v="2"/>
    <n v="16"/>
    <x v="1"/>
    <n v="2"/>
    <n v="599.99"/>
    <n v="7.0000000000000007E-2"/>
    <n v="41.999300000000005"/>
    <n v="5"/>
    <n v="6"/>
  </r>
  <r>
    <n v="447"/>
    <n v="1"/>
    <n v="4"/>
    <x v="0"/>
    <n v="2"/>
    <n v="2899.99"/>
    <n v="0.05"/>
    <n v="144.99949999999998"/>
    <n v="9"/>
    <n v="6"/>
  </r>
  <r>
    <n v="447"/>
    <n v="2"/>
    <n v="3"/>
    <x v="1"/>
    <n v="1"/>
    <n v="999.99"/>
    <n v="0.1"/>
    <n v="99.999000000000009"/>
    <n v="5"/>
    <n v="6"/>
  </r>
  <r>
    <n v="447"/>
    <n v="3"/>
    <n v="8"/>
    <x v="2"/>
    <n v="1"/>
    <n v="1799.99"/>
    <n v="7.0000000000000007E-2"/>
    <n v="125.99930000000002"/>
    <n v="8"/>
    <n v="6"/>
  </r>
  <r>
    <n v="448"/>
    <n v="1"/>
    <n v="13"/>
    <x v="0"/>
    <n v="2"/>
    <n v="269.99"/>
    <n v="0.05"/>
    <n v="13.499500000000001"/>
    <n v="9"/>
    <n v="6"/>
  </r>
  <r>
    <n v="448"/>
    <n v="2"/>
    <n v="6"/>
    <x v="1"/>
    <n v="2"/>
    <n v="469.99"/>
    <n v="0.05"/>
    <n v="23.499500000000001"/>
    <n v="5"/>
    <n v="6"/>
  </r>
  <r>
    <n v="449"/>
    <n v="1"/>
    <n v="17"/>
    <x v="0"/>
    <n v="2"/>
    <n v="429"/>
    <n v="0.05"/>
    <n v="21.450000000000003"/>
    <n v="9"/>
    <n v="6"/>
  </r>
  <r>
    <n v="449"/>
    <n v="2"/>
    <n v="2"/>
    <x v="1"/>
    <n v="1"/>
    <n v="749.99"/>
    <n v="0.05"/>
    <n v="37.499500000000005"/>
    <n v="5"/>
    <n v="6"/>
  </r>
  <r>
    <n v="449"/>
    <n v="3"/>
    <n v="7"/>
    <x v="2"/>
    <n v="2"/>
    <n v="3999.99"/>
    <n v="7.0000000000000007E-2"/>
    <n v="279.99930000000001"/>
    <n v="8"/>
    <n v="6"/>
  </r>
  <r>
    <n v="449"/>
    <n v="4"/>
    <n v="26"/>
    <x v="3"/>
    <n v="2"/>
    <n v="599.99"/>
    <n v="0.2"/>
    <n v="119.998"/>
    <n v="9"/>
    <n v="6"/>
  </r>
  <r>
    <n v="450"/>
    <n v="1"/>
    <n v="24"/>
    <x v="0"/>
    <n v="1"/>
    <n v="549.99"/>
    <n v="0.05"/>
    <n v="27.499500000000001"/>
    <n v="9"/>
    <n v="6"/>
  </r>
  <r>
    <n v="450"/>
    <n v="2"/>
    <n v="12"/>
    <x v="1"/>
    <n v="1"/>
    <n v="549.99"/>
    <n v="7.0000000000000007E-2"/>
    <n v="38.499300000000005"/>
    <n v="5"/>
    <n v="6"/>
  </r>
  <r>
    <n v="450"/>
    <n v="3"/>
    <n v="5"/>
    <x v="2"/>
    <n v="1"/>
    <n v="1320.99"/>
    <n v="0.1"/>
    <n v="132.09900000000002"/>
    <n v="8"/>
    <n v="6"/>
  </r>
  <r>
    <n v="451"/>
    <n v="1"/>
    <n v="14"/>
    <x v="0"/>
    <n v="2"/>
    <n v="269.99"/>
    <n v="0.05"/>
    <n v="13.499500000000001"/>
    <n v="9"/>
    <n v="6"/>
  </r>
  <r>
    <n v="452"/>
    <n v="1"/>
    <n v="11"/>
    <x v="0"/>
    <n v="1"/>
    <n v="1680.99"/>
    <n v="0.05"/>
    <n v="84.049500000000009"/>
    <n v="9"/>
    <n v="6"/>
  </r>
  <r>
    <n v="452"/>
    <n v="2"/>
    <n v="16"/>
    <x v="1"/>
    <n v="1"/>
    <n v="599.99"/>
    <n v="0.05"/>
    <n v="29.999500000000001"/>
    <n v="5"/>
    <n v="6"/>
  </r>
  <r>
    <n v="452"/>
    <n v="3"/>
    <n v="7"/>
    <x v="2"/>
    <n v="2"/>
    <n v="3999.99"/>
    <n v="0.1"/>
    <n v="399.99900000000002"/>
    <n v="8"/>
    <n v="6"/>
  </r>
  <r>
    <n v="452"/>
    <n v="4"/>
    <n v="8"/>
    <x v="3"/>
    <n v="1"/>
    <n v="1799.99"/>
    <n v="0.1"/>
    <n v="179.99900000000002"/>
    <n v="9"/>
    <n v="6"/>
  </r>
  <r>
    <n v="453"/>
    <n v="1"/>
    <n v="23"/>
    <x v="0"/>
    <n v="1"/>
    <n v="299.99"/>
    <n v="0.05"/>
    <n v="14.999500000000001"/>
    <n v="9"/>
    <n v="6"/>
  </r>
  <r>
    <n v="453"/>
    <n v="2"/>
    <n v="20"/>
    <x v="1"/>
    <n v="2"/>
    <n v="599.99"/>
    <n v="0.2"/>
    <n v="119.998"/>
    <n v="5"/>
    <n v="6"/>
  </r>
  <r>
    <n v="453"/>
    <n v="3"/>
    <n v="4"/>
    <x v="2"/>
    <n v="1"/>
    <n v="2899.99"/>
    <n v="0.2"/>
    <n v="579.99799999999993"/>
    <n v="8"/>
    <n v="6"/>
  </r>
  <r>
    <n v="454"/>
    <n v="1"/>
    <n v="25"/>
    <x v="0"/>
    <n v="2"/>
    <n v="499.99"/>
    <n v="7.0000000000000007E-2"/>
    <n v="34.999300000000005"/>
    <n v="9"/>
    <n v="6"/>
  </r>
  <r>
    <n v="454"/>
    <n v="2"/>
    <n v="13"/>
    <x v="1"/>
    <n v="2"/>
    <n v="269.99"/>
    <n v="0.05"/>
    <n v="13.499500000000001"/>
    <n v="5"/>
    <n v="6"/>
  </r>
  <r>
    <n v="454"/>
    <n v="3"/>
    <n v="24"/>
    <x v="2"/>
    <n v="2"/>
    <n v="549.99"/>
    <n v="0.1"/>
    <n v="54.999000000000002"/>
    <n v="8"/>
    <n v="6"/>
  </r>
  <r>
    <n v="455"/>
    <n v="1"/>
    <n v="9"/>
    <x v="0"/>
    <n v="1"/>
    <n v="2999.99"/>
    <n v="0.05"/>
    <n v="149.99949999999998"/>
    <n v="9"/>
    <n v="6"/>
  </r>
  <r>
    <n v="456"/>
    <n v="1"/>
    <n v="17"/>
    <x v="0"/>
    <n v="2"/>
    <n v="429"/>
    <n v="7.0000000000000007E-2"/>
    <n v="30.03"/>
    <n v="9"/>
    <n v="6"/>
  </r>
  <r>
    <n v="456"/>
    <n v="2"/>
    <n v="23"/>
    <x v="1"/>
    <n v="1"/>
    <n v="299.99"/>
    <n v="7.0000000000000007E-2"/>
    <n v="20.999300000000002"/>
    <n v="5"/>
    <n v="6"/>
  </r>
  <r>
    <n v="457"/>
    <n v="1"/>
    <n v="24"/>
    <x v="0"/>
    <n v="2"/>
    <n v="549.99"/>
    <n v="7.0000000000000007E-2"/>
    <n v="38.499300000000005"/>
    <n v="9"/>
    <n v="6"/>
  </r>
  <r>
    <n v="457"/>
    <n v="2"/>
    <n v="2"/>
    <x v="1"/>
    <n v="1"/>
    <n v="749.99"/>
    <n v="0.05"/>
    <n v="37.499500000000005"/>
    <n v="5"/>
    <n v="6"/>
  </r>
  <r>
    <n v="457"/>
    <n v="3"/>
    <n v="7"/>
    <x v="2"/>
    <n v="2"/>
    <n v="3999.99"/>
    <n v="0.1"/>
    <n v="399.99900000000002"/>
    <n v="8"/>
    <n v="6"/>
  </r>
  <r>
    <n v="457"/>
    <n v="4"/>
    <n v="17"/>
    <x v="3"/>
    <n v="1"/>
    <n v="429"/>
    <n v="0.2"/>
    <n v="85.800000000000011"/>
    <n v="9"/>
    <n v="6"/>
  </r>
  <r>
    <n v="458"/>
    <n v="1"/>
    <n v="2"/>
    <x v="0"/>
    <n v="1"/>
    <n v="749.99"/>
    <n v="0.2"/>
    <n v="149.99800000000002"/>
    <n v="9"/>
    <n v="6"/>
  </r>
  <r>
    <n v="458"/>
    <n v="2"/>
    <n v="21"/>
    <x v="1"/>
    <n v="2"/>
    <n v="269.99"/>
    <n v="7.0000000000000007E-2"/>
    <n v="18.899300000000004"/>
    <n v="5"/>
    <n v="6"/>
  </r>
  <r>
    <n v="458"/>
    <n v="3"/>
    <n v="11"/>
    <x v="2"/>
    <n v="1"/>
    <n v="1680.99"/>
    <n v="0.1"/>
    <n v="168.09900000000002"/>
    <n v="8"/>
    <n v="6"/>
  </r>
  <r>
    <n v="458"/>
    <n v="4"/>
    <n v="24"/>
    <x v="3"/>
    <n v="1"/>
    <n v="549.99"/>
    <n v="0.2"/>
    <n v="109.998"/>
    <n v="9"/>
    <n v="6"/>
  </r>
  <r>
    <n v="458"/>
    <n v="5"/>
    <n v="3"/>
    <x v="4"/>
    <n v="2"/>
    <n v="999.99"/>
    <n v="0.2"/>
    <n v="199.99800000000002"/>
    <n v="3"/>
    <n v="6"/>
  </r>
  <r>
    <n v="459"/>
    <n v="1"/>
    <n v="11"/>
    <x v="0"/>
    <n v="1"/>
    <n v="1680.99"/>
    <n v="0.2"/>
    <n v="336.19800000000004"/>
    <n v="9"/>
    <n v="6"/>
  </r>
  <r>
    <n v="460"/>
    <n v="1"/>
    <n v="19"/>
    <x v="0"/>
    <n v="1"/>
    <n v="449"/>
    <n v="0.05"/>
    <n v="22.450000000000003"/>
    <n v="9"/>
    <n v="6"/>
  </r>
  <r>
    <n v="460"/>
    <n v="2"/>
    <n v="18"/>
    <x v="1"/>
    <n v="2"/>
    <n v="449"/>
    <n v="7.0000000000000007E-2"/>
    <n v="31.430000000000003"/>
    <n v="5"/>
    <n v="6"/>
  </r>
  <r>
    <n v="460"/>
    <n v="3"/>
    <n v="4"/>
    <x v="2"/>
    <n v="1"/>
    <n v="2899.99"/>
    <n v="0.2"/>
    <n v="579.99799999999993"/>
    <n v="8"/>
    <n v="6"/>
  </r>
  <r>
    <n v="460"/>
    <n v="4"/>
    <n v="22"/>
    <x v="3"/>
    <n v="2"/>
    <n v="269.99"/>
    <n v="0.1"/>
    <n v="26.999000000000002"/>
    <n v="9"/>
    <n v="6"/>
  </r>
  <r>
    <n v="461"/>
    <n v="1"/>
    <n v="16"/>
    <x v="0"/>
    <n v="1"/>
    <n v="599.99"/>
    <n v="7.0000000000000007E-2"/>
    <n v="41.999300000000005"/>
    <n v="9"/>
    <n v="6"/>
  </r>
  <r>
    <n v="461"/>
    <n v="2"/>
    <n v="4"/>
    <x v="1"/>
    <n v="1"/>
    <n v="2899.99"/>
    <n v="0.2"/>
    <n v="579.99799999999993"/>
    <n v="5"/>
    <n v="6"/>
  </r>
  <r>
    <n v="461"/>
    <n v="3"/>
    <n v="8"/>
    <x v="2"/>
    <n v="2"/>
    <n v="1799.99"/>
    <n v="0.05"/>
    <n v="89.999500000000012"/>
    <n v="8"/>
    <n v="6"/>
  </r>
  <r>
    <n v="461"/>
    <n v="4"/>
    <n v="24"/>
    <x v="3"/>
    <n v="1"/>
    <n v="549.99"/>
    <n v="0.1"/>
    <n v="54.999000000000002"/>
    <n v="9"/>
    <n v="6"/>
  </r>
  <r>
    <n v="461"/>
    <n v="5"/>
    <n v="18"/>
    <x v="4"/>
    <n v="2"/>
    <n v="449"/>
    <n v="0.1"/>
    <n v="44.900000000000006"/>
    <n v="3"/>
    <n v="6"/>
  </r>
  <r>
    <n v="462"/>
    <n v="1"/>
    <n v="12"/>
    <x v="0"/>
    <n v="2"/>
    <n v="549.99"/>
    <n v="0.1"/>
    <n v="54.999000000000002"/>
    <n v="9"/>
    <n v="6"/>
  </r>
  <r>
    <n v="463"/>
    <n v="1"/>
    <n v="13"/>
    <x v="0"/>
    <n v="2"/>
    <n v="269.99"/>
    <n v="7.0000000000000007E-2"/>
    <n v="18.899300000000004"/>
    <n v="9"/>
    <n v="6"/>
  </r>
  <r>
    <n v="464"/>
    <n v="1"/>
    <n v="7"/>
    <x v="0"/>
    <n v="1"/>
    <n v="3999.99"/>
    <n v="0.1"/>
    <n v="399.99900000000002"/>
    <n v="9"/>
    <n v="6"/>
  </r>
  <r>
    <n v="465"/>
    <n v="1"/>
    <n v="6"/>
    <x v="0"/>
    <n v="2"/>
    <n v="469.99"/>
    <n v="0.1"/>
    <n v="46.999000000000002"/>
    <n v="9"/>
    <n v="6"/>
  </r>
  <r>
    <n v="465"/>
    <n v="2"/>
    <n v="25"/>
    <x v="1"/>
    <n v="2"/>
    <n v="499.99"/>
    <n v="0.1"/>
    <n v="49.999000000000002"/>
    <n v="5"/>
    <n v="6"/>
  </r>
  <r>
    <n v="466"/>
    <n v="1"/>
    <n v="19"/>
    <x v="0"/>
    <n v="2"/>
    <n v="449"/>
    <n v="0.2"/>
    <n v="89.800000000000011"/>
    <n v="9"/>
    <n v="6"/>
  </r>
  <r>
    <n v="466"/>
    <n v="2"/>
    <n v="6"/>
    <x v="1"/>
    <n v="1"/>
    <n v="469.99"/>
    <n v="0.2"/>
    <n v="93.998000000000005"/>
    <n v="5"/>
    <n v="6"/>
  </r>
  <r>
    <n v="466"/>
    <n v="3"/>
    <n v="7"/>
    <x v="2"/>
    <n v="2"/>
    <n v="3999.99"/>
    <n v="0.05"/>
    <n v="199.99950000000001"/>
    <n v="8"/>
    <n v="6"/>
  </r>
  <r>
    <n v="466"/>
    <n v="4"/>
    <n v="15"/>
    <x v="3"/>
    <n v="1"/>
    <n v="529.99"/>
    <n v="0.1"/>
    <n v="52.999000000000002"/>
    <n v="9"/>
    <n v="6"/>
  </r>
  <r>
    <n v="466"/>
    <n v="5"/>
    <n v="5"/>
    <x v="4"/>
    <n v="1"/>
    <n v="1320.99"/>
    <n v="0.1"/>
    <n v="132.09900000000002"/>
    <n v="3"/>
    <n v="6"/>
  </r>
  <r>
    <n v="467"/>
    <n v="1"/>
    <n v="19"/>
    <x v="0"/>
    <n v="1"/>
    <n v="449"/>
    <n v="7.0000000000000007E-2"/>
    <n v="31.430000000000003"/>
    <n v="9"/>
    <n v="6"/>
  </r>
  <r>
    <n v="467"/>
    <n v="2"/>
    <n v="10"/>
    <x v="1"/>
    <n v="1"/>
    <n v="1549"/>
    <n v="7.0000000000000007E-2"/>
    <n v="108.43"/>
    <n v="5"/>
    <n v="6"/>
  </r>
  <r>
    <n v="467"/>
    <n v="3"/>
    <n v="22"/>
    <x v="2"/>
    <n v="2"/>
    <n v="269.99"/>
    <n v="0.1"/>
    <n v="26.999000000000002"/>
    <n v="8"/>
    <n v="6"/>
  </r>
  <r>
    <n v="467"/>
    <n v="4"/>
    <n v="17"/>
    <x v="3"/>
    <n v="2"/>
    <n v="429"/>
    <n v="7.0000000000000007E-2"/>
    <n v="30.03"/>
    <n v="9"/>
    <n v="6"/>
  </r>
  <r>
    <n v="467"/>
    <n v="5"/>
    <n v="11"/>
    <x v="4"/>
    <n v="1"/>
    <n v="1680.99"/>
    <n v="0.1"/>
    <n v="168.09900000000002"/>
    <n v="3"/>
    <n v="6"/>
  </r>
  <r>
    <n v="468"/>
    <n v="1"/>
    <n v="19"/>
    <x v="0"/>
    <n v="1"/>
    <n v="449"/>
    <n v="0.1"/>
    <n v="44.900000000000006"/>
    <n v="9"/>
    <n v="6"/>
  </r>
  <r>
    <n v="468"/>
    <n v="2"/>
    <n v="9"/>
    <x v="1"/>
    <n v="2"/>
    <n v="2999.99"/>
    <n v="0.05"/>
    <n v="149.99949999999998"/>
    <n v="5"/>
    <n v="6"/>
  </r>
  <r>
    <n v="468"/>
    <n v="3"/>
    <n v="10"/>
    <x v="2"/>
    <n v="2"/>
    <n v="1549"/>
    <n v="0.05"/>
    <n v="77.45"/>
    <n v="8"/>
    <n v="6"/>
  </r>
  <r>
    <n v="468"/>
    <n v="4"/>
    <n v="25"/>
    <x v="3"/>
    <n v="1"/>
    <n v="499.99"/>
    <n v="0.1"/>
    <n v="49.999000000000002"/>
    <n v="9"/>
    <n v="6"/>
  </r>
  <r>
    <n v="469"/>
    <n v="1"/>
    <n v="8"/>
    <x v="0"/>
    <n v="2"/>
    <n v="1799.99"/>
    <n v="0.1"/>
    <n v="179.99900000000002"/>
    <n v="9"/>
    <n v="6"/>
  </r>
  <r>
    <n v="469"/>
    <n v="2"/>
    <n v="4"/>
    <x v="1"/>
    <n v="1"/>
    <n v="2899.99"/>
    <n v="7.0000000000000007E-2"/>
    <n v="202.99930000000001"/>
    <n v="5"/>
    <n v="6"/>
  </r>
  <r>
    <n v="469"/>
    <n v="3"/>
    <n v="15"/>
    <x v="2"/>
    <n v="2"/>
    <n v="529.99"/>
    <n v="0.2"/>
    <n v="105.998"/>
    <n v="8"/>
    <n v="6"/>
  </r>
  <r>
    <n v="470"/>
    <n v="1"/>
    <n v="18"/>
    <x v="0"/>
    <n v="1"/>
    <n v="449"/>
    <n v="0.05"/>
    <n v="22.450000000000003"/>
    <n v="9"/>
    <n v="6"/>
  </r>
  <r>
    <n v="470"/>
    <n v="2"/>
    <n v="13"/>
    <x v="1"/>
    <n v="1"/>
    <n v="269.99"/>
    <n v="0.05"/>
    <n v="13.499500000000001"/>
    <n v="5"/>
    <n v="6"/>
  </r>
  <r>
    <n v="470"/>
    <n v="3"/>
    <n v="8"/>
    <x v="2"/>
    <n v="2"/>
    <n v="1799.99"/>
    <n v="0.2"/>
    <n v="359.99800000000005"/>
    <n v="8"/>
    <n v="6"/>
  </r>
  <r>
    <n v="471"/>
    <n v="1"/>
    <n v="14"/>
    <x v="0"/>
    <n v="1"/>
    <n v="269.99"/>
    <n v="0.2"/>
    <n v="53.998000000000005"/>
    <n v="9"/>
    <n v="6"/>
  </r>
  <r>
    <n v="471"/>
    <n v="2"/>
    <n v="13"/>
    <x v="1"/>
    <n v="2"/>
    <n v="269.99"/>
    <n v="0.05"/>
    <n v="13.499500000000001"/>
    <n v="5"/>
    <n v="6"/>
  </r>
  <r>
    <n v="472"/>
    <n v="1"/>
    <n v="15"/>
    <x v="0"/>
    <n v="1"/>
    <n v="529.99"/>
    <n v="0.1"/>
    <n v="52.999000000000002"/>
    <n v="9"/>
    <n v="6"/>
  </r>
  <r>
    <n v="472"/>
    <n v="2"/>
    <n v="21"/>
    <x v="1"/>
    <n v="2"/>
    <n v="269.99"/>
    <n v="0.1"/>
    <n v="26.999000000000002"/>
    <n v="5"/>
    <n v="6"/>
  </r>
  <r>
    <n v="473"/>
    <n v="1"/>
    <n v="26"/>
    <x v="0"/>
    <n v="1"/>
    <n v="599.99"/>
    <n v="7.0000000000000007E-2"/>
    <n v="41.999300000000005"/>
    <n v="9"/>
    <n v="6"/>
  </r>
  <r>
    <n v="474"/>
    <n v="1"/>
    <n v="19"/>
    <x v="0"/>
    <n v="2"/>
    <n v="449"/>
    <n v="0.05"/>
    <n v="22.450000000000003"/>
    <n v="9"/>
    <n v="6"/>
  </r>
  <r>
    <n v="474"/>
    <n v="2"/>
    <n v="11"/>
    <x v="1"/>
    <n v="1"/>
    <n v="1680.99"/>
    <n v="0.2"/>
    <n v="336.19800000000004"/>
    <n v="5"/>
    <n v="6"/>
  </r>
  <r>
    <n v="475"/>
    <n v="1"/>
    <n v="17"/>
    <x v="0"/>
    <n v="2"/>
    <n v="429"/>
    <n v="7.0000000000000007E-2"/>
    <n v="30.03"/>
    <n v="9"/>
    <n v="6"/>
  </r>
  <r>
    <n v="475"/>
    <n v="2"/>
    <n v="26"/>
    <x v="1"/>
    <n v="2"/>
    <n v="599.99"/>
    <n v="0.2"/>
    <n v="119.998"/>
    <n v="5"/>
    <n v="6"/>
  </r>
  <r>
    <n v="475"/>
    <n v="3"/>
    <n v="25"/>
    <x v="2"/>
    <n v="1"/>
    <n v="499.99"/>
    <n v="0.2"/>
    <n v="99.998000000000005"/>
    <n v="8"/>
    <n v="6"/>
  </r>
  <r>
    <n v="476"/>
    <n v="1"/>
    <n v="22"/>
    <x v="0"/>
    <n v="2"/>
    <n v="269.99"/>
    <n v="7.0000000000000007E-2"/>
    <n v="18.899300000000004"/>
    <n v="9"/>
    <n v="6"/>
  </r>
  <r>
    <n v="476"/>
    <n v="2"/>
    <n v="4"/>
    <x v="1"/>
    <n v="2"/>
    <n v="2899.99"/>
    <n v="0.2"/>
    <n v="579.99799999999993"/>
    <n v="5"/>
    <n v="6"/>
  </r>
  <r>
    <n v="476"/>
    <n v="3"/>
    <n v="11"/>
    <x v="2"/>
    <n v="2"/>
    <n v="1680.99"/>
    <n v="7.0000000000000007E-2"/>
    <n v="117.66930000000001"/>
    <n v="8"/>
    <n v="6"/>
  </r>
  <r>
    <n v="476"/>
    <n v="4"/>
    <n v="20"/>
    <x v="3"/>
    <n v="2"/>
    <n v="599.99"/>
    <n v="0.05"/>
    <n v="29.999500000000001"/>
    <n v="9"/>
    <n v="6"/>
  </r>
  <r>
    <n v="477"/>
    <n v="1"/>
    <n v="6"/>
    <x v="0"/>
    <n v="1"/>
    <n v="469.99"/>
    <n v="0.1"/>
    <n v="46.999000000000002"/>
    <n v="9"/>
    <n v="6"/>
  </r>
  <r>
    <n v="477"/>
    <n v="2"/>
    <n v="10"/>
    <x v="1"/>
    <n v="1"/>
    <n v="1549"/>
    <n v="0.05"/>
    <n v="77.45"/>
    <n v="5"/>
    <n v="6"/>
  </r>
  <r>
    <n v="478"/>
    <n v="1"/>
    <n v="21"/>
    <x v="0"/>
    <n v="2"/>
    <n v="269.99"/>
    <n v="7.0000000000000007E-2"/>
    <n v="18.899300000000004"/>
    <n v="9"/>
    <n v="6"/>
  </r>
  <r>
    <n v="479"/>
    <n v="1"/>
    <n v="26"/>
    <x v="0"/>
    <n v="1"/>
    <n v="599.99"/>
    <n v="7.0000000000000007E-2"/>
    <n v="41.999300000000005"/>
    <n v="9"/>
    <n v="6"/>
  </r>
  <r>
    <n v="479"/>
    <n v="2"/>
    <n v="12"/>
    <x v="1"/>
    <n v="1"/>
    <n v="549.99"/>
    <n v="0.05"/>
    <n v="27.499500000000001"/>
    <n v="5"/>
    <n v="6"/>
  </r>
  <r>
    <n v="479"/>
    <n v="3"/>
    <n v="21"/>
    <x v="2"/>
    <n v="1"/>
    <n v="269.99"/>
    <n v="0.2"/>
    <n v="53.998000000000005"/>
    <n v="8"/>
    <n v="6"/>
  </r>
  <r>
    <n v="479"/>
    <n v="4"/>
    <n v="7"/>
    <x v="3"/>
    <n v="1"/>
    <n v="3999.99"/>
    <n v="0.05"/>
    <n v="199.99950000000001"/>
    <n v="9"/>
    <n v="6"/>
  </r>
  <r>
    <n v="479"/>
    <n v="5"/>
    <n v="10"/>
    <x v="4"/>
    <n v="1"/>
    <n v="1549"/>
    <n v="0.2"/>
    <n v="309.8"/>
    <n v="3"/>
    <n v="6"/>
  </r>
  <r>
    <n v="480"/>
    <n v="1"/>
    <n v="4"/>
    <x v="0"/>
    <n v="1"/>
    <n v="2899.99"/>
    <n v="0.05"/>
    <n v="144.99949999999998"/>
    <n v="9"/>
    <n v="6"/>
  </r>
  <r>
    <n v="480"/>
    <n v="2"/>
    <n v="15"/>
    <x v="1"/>
    <n v="1"/>
    <n v="529.99"/>
    <n v="0.05"/>
    <n v="26.499500000000001"/>
    <n v="5"/>
    <n v="6"/>
  </r>
  <r>
    <n v="480"/>
    <n v="3"/>
    <n v="23"/>
    <x v="2"/>
    <n v="2"/>
    <n v="299.99"/>
    <n v="7.0000000000000007E-2"/>
    <n v="20.999300000000002"/>
    <n v="8"/>
    <n v="6"/>
  </r>
  <r>
    <n v="481"/>
    <n v="1"/>
    <n v="13"/>
    <x v="0"/>
    <n v="2"/>
    <n v="269.99"/>
    <n v="0.2"/>
    <n v="53.998000000000005"/>
    <n v="9"/>
    <n v="6"/>
  </r>
  <r>
    <n v="481"/>
    <n v="2"/>
    <n v="16"/>
    <x v="1"/>
    <n v="2"/>
    <n v="599.99"/>
    <n v="7.0000000000000007E-2"/>
    <n v="41.999300000000005"/>
    <n v="5"/>
    <n v="6"/>
  </r>
  <r>
    <n v="481"/>
    <n v="3"/>
    <n v="9"/>
    <x v="2"/>
    <n v="2"/>
    <n v="2999.99"/>
    <n v="0.1"/>
    <n v="299.99899999999997"/>
    <n v="8"/>
    <n v="6"/>
  </r>
  <r>
    <n v="482"/>
    <n v="1"/>
    <n v="13"/>
    <x v="0"/>
    <n v="1"/>
    <n v="269.99"/>
    <n v="0.2"/>
    <n v="53.998000000000005"/>
    <n v="9"/>
    <n v="6"/>
  </r>
  <r>
    <n v="482"/>
    <n v="2"/>
    <n v="14"/>
    <x v="1"/>
    <n v="1"/>
    <n v="269.99"/>
    <n v="0.1"/>
    <n v="26.999000000000002"/>
    <n v="5"/>
    <n v="6"/>
  </r>
  <r>
    <n v="483"/>
    <n v="1"/>
    <n v="17"/>
    <x v="0"/>
    <n v="1"/>
    <n v="429"/>
    <n v="7.0000000000000007E-2"/>
    <n v="30.03"/>
    <n v="9"/>
    <n v="6"/>
  </r>
  <r>
    <n v="484"/>
    <n v="1"/>
    <n v="8"/>
    <x v="0"/>
    <n v="2"/>
    <n v="1799.99"/>
    <n v="0.1"/>
    <n v="179.99900000000002"/>
    <n v="9"/>
    <n v="6"/>
  </r>
  <r>
    <n v="484"/>
    <n v="2"/>
    <n v="24"/>
    <x v="1"/>
    <n v="1"/>
    <n v="549.99"/>
    <n v="0.05"/>
    <n v="27.499500000000001"/>
    <n v="5"/>
    <n v="6"/>
  </r>
  <r>
    <n v="484"/>
    <n v="3"/>
    <n v="9"/>
    <x v="2"/>
    <n v="2"/>
    <n v="2999.99"/>
    <n v="0.05"/>
    <n v="149.99949999999998"/>
    <n v="8"/>
    <n v="6"/>
  </r>
  <r>
    <n v="484"/>
    <n v="4"/>
    <n v="6"/>
    <x v="3"/>
    <n v="1"/>
    <n v="469.99"/>
    <n v="0.2"/>
    <n v="93.998000000000005"/>
    <n v="9"/>
    <n v="6"/>
  </r>
  <r>
    <n v="485"/>
    <n v="1"/>
    <n v="13"/>
    <x v="0"/>
    <n v="1"/>
    <n v="269.99"/>
    <n v="0.1"/>
    <n v="26.999000000000002"/>
    <n v="9"/>
    <n v="6"/>
  </r>
  <r>
    <n v="485"/>
    <n v="2"/>
    <n v="26"/>
    <x v="1"/>
    <n v="2"/>
    <n v="599.99"/>
    <n v="0.05"/>
    <n v="29.999500000000001"/>
    <n v="5"/>
    <n v="6"/>
  </r>
  <r>
    <n v="486"/>
    <n v="1"/>
    <n v="9"/>
    <x v="0"/>
    <n v="1"/>
    <n v="2999.99"/>
    <n v="7.0000000000000007E-2"/>
    <n v="209.99930000000001"/>
    <n v="9"/>
    <n v="6"/>
  </r>
  <r>
    <n v="486"/>
    <n v="2"/>
    <n v="23"/>
    <x v="1"/>
    <n v="2"/>
    <n v="299.99"/>
    <n v="0.05"/>
    <n v="14.999500000000001"/>
    <n v="5"/>
    <n v="6"/>
  </r>
  <r>
    <n v="487"/>
    <n v="1"/>
    <n v="6"/>
    <x v="0"/>
    <n v="1"/>
    <n v="469.99"/>
    <n v="0.2"/>
    <n v="93.998000000000005"/>
    <n v="9"/>
    <n v="6"/>
  </r>
  <r>
    <n v="488"/>
    <n v="1"/>
    <n v="13"/>
    <x v="0"/>
    <n v="2"/>
    <n v="269.99"/>
    <n v="7.0000000000000007E-2"/>
    <n v="18.899300000000004"/>
    <n v="9"/>
    <n v="6"/>
  </r>
  <r>
    <n v="488"/>
    <n v="2"/>
    <n v="23"/>
    <x v="1"/>
    <n v="2"/>
    <n v="299.99"/>
    <n v="0.05"/>
    <n v="14.999500000000001"/>
    <n v="5"/>
    <n v="6"/>
  </r>
  <r>
    <n v="488"/>
    <n v="3"/>
    <n v="22"/>
    <x v="2"/>
    <n v="1"/>
    <n v="269.99"/>
    <n v="0.05"/>
    <n v="13.499500000000001"/>
    <n v="8"/>
    <n v="6"/>
  </r>
  <r>
    <n v="489"/>
    <n v="1"/>
    <n v="8"/>
    <x v="0"/>
    <n v="2"/>
    <n v="1799.99"/>
    <n v="0.1"/>
    <n v="179.99900000000002"/>
    <n v="9"/>
    <n v="6"/>
  </r>
  <r>
    <n v="490"/>
    <n v="1"/>
    <n v="12"/>
    <x v="0"/>
    <n v="1"/>
    <n v="549.99"/>
    <n v="0.1"/>
    <n v="54.999000000000002"/>
    <n v="9"/>
    <n v="6"/>
  </r>
  <r>
    <n v="490"/>
    <n v="2"/>
    <n v="23"/>
    <x v="1"/>
    <n v="1"/>
    <n v="299.99"/>
    <n v="0.05"/>
    <n v="14.999500000000001"/>
    <n v="5"/>
    <n v="6"/>
  </r>
  <r>
    <n v="490"/>
    <n v="3"/>
    <n v="14"/>
    <x v="2"/>
    <n v="1"/>
    <n v="269.99"/>
    <n v="0.1"/>
    <n v="26.999000000000002"/>
    <n v="8"/>
    <n v="6"/>
  </r>
  <r>
    <n v="490"/>
    <n v="4"/>
    <n v="13"/>
    <x v="3"/>
    <n v="2"/>
    <n v="269.99"/>
    <n v="7.0000000000000007E-2"/>
    <n v="18.899300000000004"/>
    <n v="9"/>
    <n v="6"/>
  </r>
  <r>
    <n v="491"/>
    <n v="1"/>
    <n v="9"/>
    <x v="0"/>
    <n v="2"/>
    <n v="2999.99"/>
    <n v="0.2"/>
    <n v="599.99799999999993"/>
    <n v="9"/>
    <n v="6"/>
  </r>
  <r>
    <n v="491"/>
    <n v="2"/>
    <n v="21"/>
    <x v="1"/>
    <n v="2"/>
    <n v="269.99"/>
    <n v="0.05"/>
    <n v="13.499500000000001"/>
    <n v="5"/>
    <n v="6"/>
  </r>
  <r>
    <n v="491"/>
    <n v="3"/>
    <n v="15"/>
    <x v="2"/>
    <n v="2"/>
    <n v="529.99"/>
    <n v="0.05"/>
    <n v="26.499500000000001"/>
    <n v="8"/>
    <n v="6"/>
  </r>
  <r>
    <n v="492"/>
    <n v="1"/>
    <n v="6"/>
    <x v="0"/>
    <n v="1"/>
    <n v="469.99"/>
    <n v="0.1"/>
    <n v="46.999000000000002"/>
    <n v="9"/>
    <n v="6"/>
  </r>
  <r>
    <n v="492"/>
    <n v="2"/>
    <n v="22"/>
    <x v="1"/>
    <n v="2"/>
    <n v="269.99"/>
    <n v="0.1"/>
    <n v="26.999000000000002"/>
    <n v="5"/>
    <n v="6"/>
  </r>
  <r>
    <n v="492"/>
    <n v="3"/>
    <n v="26"/>
    <x v="2"/>
    <n v="1"/>
    <n v="599.99"/>
    <n v="0.05"/>
    <n v="29.999500000000001"/>
    <n v="8"/>
    <n v="6"/>
  </r>
  <r>
    <n v="493"/>
    <n v="1"/>
    <n v="15"/>
    <x v="0"/>
    <n v="1"/>
    <n v="529.99"/>
    <n v="0.05"/>
    <n v="26.499500000000001"/>
    <n v="9"/>
    <n v="6"/>
  </r>
  <r>
    <n v="493"/>
    <n v="2"/>
    <n v="18"/>
    <x v="1"/>
    <n v="2"/>
    <n v="449"/>
    <n v="0.05"/>
    <n v="22.450000000000003"/>
    <n v="5"/>
    <n v="6"/>
  </r>
  <r>
    <n v="493"/>
    <n v="3"/>
    <n v="26"/>
    <x v="2"/>
    <n v="1"/>
    <n v="599.99"/>
    <n v="0.05"/>
    <n v="29.999500000000001"/>
    <n v="8"/>
    <n v="6"/>
  </r>
  <r>
    <n v="494"/>
    <n v="1"/>
    <n v="23"/>
    <x v="0"/>
    <n v="1"/>
    <n v="299.99"/>
    <n v="0.1"/>
    <n v="29.999000000000002"/>
    <n v="9"/>
    <n v="6"/>
  </r>
  <r>
    <n v="495"/>
    <n v="1"/>
    <n v="22"/>
    <x v="0"/>
    <n v="1"/>
    <n v="269.99"/>
    <n v="0.2"/>
    <n v="53.998000000000005"/>
    <n v="9"/>
    <n v="6"/>
  </r>
  <r>
    <n v="495"/>
    <n v="2"/>
    <n v="9"/>
    <x v="1"/>
    <n v="1"/>
    <n v="2999.99"/>
    <n v="0.05"/>
    <n v="149.99949999999998"/>
    <n v="5"/>
    <n v="6"/>
  </r>
  <r>
    <n v="496"/>
    <n v="1"/>
    <n v="23"/>
    <x v="0"/>
    <n v="1"/>
    <n v="299.99"/>
    <n v="0.2"/>
    <n v="59.998000000000005"/>
    <n v="9"/>
    <n v="6"/>
  </r>
  <r>
    <n v="496"/>
    <n v="2"/>
    <n v="13"/>
    <x v="1"/>
    <n v="1"/>
    <n v="269.99"/>
    <n v="0.1"/>
    <n v="26.999000000000002"/>
    <n v="5"/>
    <n v="6"/>
  </r>
  <r>
    <n v="496"/>
    <n v="3"/>
    <n v="21"/>
    <x v="2"/>
    <n v="2"/>
    <n v="269.99"/>
    <n v="0.2"/>
    <n v="53.998000000000005"/>
    <n v="8"/>
    <n v="6"/>
  </r>
  <r>
    <n v="497"/>
    <n v="1"/>
    <n v="25"/>
    <x v="0"/>
    <n v="2"/>
    <n v="499.99"/>
    <n v="7.0000000000000007E-2"/>
    <n v="34.999300000000005"/>
    <n v="9"/>
    <n v="6"/>
  </r>
  <r>
    <n v="498"/>
    <n v="1"/>
    <n v="24"/>
    <x v="0"/>
    <n v="1"/>
    <n v="549.99"/>
    <n v="7.0000000000000007E-2"/>
    <n v="38.499300000000005"/>
    <n v="9"/>
    <n v="6"/>
  </r>
  <r>
    <n v="498"/>
    <n v="2"/>
    <n v="21"/>
    <x v="1"/>
    <n v="1"/>
    <n v="269.99"/>
    <n v="0.1"/>
    <n v="26.999000000000002"/>
    <n v="5"/>
    <n v="6"/>
  </r>
  <r>
    <n v="498"/>
    <n v="3"/>
    <n v="10"/>
    <x v="2"/>
    <n v="1"/>
    <n v="1549"/>
    <n v="7.0000000000000007E-2"/>
    <n v="108.43"/>
    <n v="8"/>
    <n v="6"/>
  </r>
  <r>
    <n v="499"/>
    <n v="1"/>
    <n v="11"/>
    <x v="0"/>
    <n v="1"/>
    <n v="1680.99"/>
    <n v="0.2"/>
    <n v="336.19800000000004"/>
    <n v="9"/>
    <n v="6"/>
  </r>
  <r>
    <n v="499"/>
    <n v="2"/>
    <n v="15"/>
    <x v="1"/>
    <n v="1"/>
    <n v="529.99"/>
    <n v="7.0000000000000007E-2"/>
    <n v="37.099300000000007"/>
    <n v="5"/>
    <n v="6"/>
  </r>
  <r>
    <n v="499"/>
    <n v="3"/>
    <n v="14"/>
    <x v="2"/>
    <n v="2"/>
    <n v="269.99"/>
    <n v="0.2"/>
    <n v="53.998000000000005"/>
    <n v="8"/>
    <n v="6"/>
  </r>
  <r>
    <n v="499"/>
    <n v="4"/>
    <n v="20"/>
    <x v="3"/>
    <n v="2"/>
    <n v="599.99"/>
    <n v="0.1"/>
    <n v="59.999000000000002"/>
    <n v="9"/>
    <n v="6"/>
  </r>
  <r>
    <n v="500"/>
    <n v="1"/>
    <n v="12"/>
    <x v="0"/>
    <n v="2"/>
    <n v="549.99"/>
    <n v="0.05"/>
    <n v="27.499500000000001"/>
    <n v="9"/>
    <n v="6"/>
  </r>
  <r>
    <n v="500"/>
    <n v="2"/>
    <n v="14"/>
    <x v="1"/>
    <n v="1"/>
    <n v="269.99"/>
    <n v="0.2"/>
    <n v="53.998000000000005"/>
    <n v="5"/>
    <n v="6"/>
  </r>
  <r>
    <n v="501"/>
    <n v="1"/>
    <n v="19"/>
    <x v="0"/>
    <n v="2"/>
    <n v="449"/>
    <n v="0.05"/>
    <n v="22.450000000000003"/>
    <n v="9"/>
    <n v="6"/>
  </r>
  <r>
    <n v="501"/>
    <n v="2"/>
    <n v="8"/>
    <x v="1"/>
    <n v="1"/>
    <n v="1799.99"/>
    <n v="7.0000000000000007E-2"/>
    <n v="125.99930000000002"/>
    <n v="5"/>
    <n v="6"/>
  </r>
  <r>
    <n v="501"/>
    <n v="3"/>
    <n v="14"/>
    <x v="2"/>
    <n v="1"/>
    <n v="269.99"/>
    <n v="0.1"/>
    <n v="26.999000000000002"/>
    <n v="8"/>
    <n v="6"/>
  </r>
  <r>
    <n v="501"/>
    <n v="4"/>
    <n v="23"/>
    <x v="3"/>
    <n v="2"/>
    <n v="299.99"/>
    <n v="7.0000000000000007E-2"/>
    <n v="20.999300000000002"/>
    <n v="9"/>
    <n v="6"/>
  </r>
  <r>
    <n v="502"/>
    <n v="1"/>
    <n v="13"/>
    <x v="0"/>
    <n v="1"/>
    <n v="269.99"/>
    <n v="0.05"/>
    <n v="13.499500000000001"/>
    <n v="9"/>
    <n v="6"/>
  </r>
  <r>
    <n v="503"/>
    <n v="1"/>
    <n v="13"/>
    <x v="0"/>
    <n v="2"/>
    <n v="269.99"/>
    <n v="7.0000000000000007E-2"/>
    <n v="18.899300000000004"/>
    <n v="9"/>
    <n v="6"/>
  </r>
  <r>
    <n v="503"/>
    <n v="2"/>
    <n v="10"/>
    <x v="1"/>
    <n v="1"/>
    <n v="1549"/>
    <n v="0.05"/>
    <n v="77.45"/>
    <n v="5"/>
    <n v="6"/>
  </r>
  <r>
    <n v="504"/>
    <n v="1"/>
    <n v="24"/>
    <x v="0"/>
    <n v="2"/>
    <n v="549.99"/>
    <n v="0.1"/>
    <n v="54.999000000000002"/>
    <n v="9"/>
    <n v="6"/>
  </r>
  <r>
    <n v="504"/>
    <n v="2"/>
    <n v="2"/>
    <x v="1"/>
    <n v="2"/>
    <n v="749.99"/>
    <n v="0.05"/>
    <n v="37.499500000000005"/>
    <n v="5"/>
    <n v="6"/>
  </r>
  <r>
    <n v="505"/>
    <n v="1"/>
    <n v="26"/>
    <x v="0"/>
    <n v="1"/>
    <n v="599.99"/>
    <n v="0.2"/>
    <n v="119.998"/>
    <n v="9"/>
    <n v="6"/>
  </r>
  <r>
    <n v="506"/>
    <n v="1"/>
    <n v="25"/>
    <x v="0"/>
    <n v="1"/>
    <n v="499.99"/>
    <n v="0.1"/>
    <n v="49.999000000000002"/>
    <n v="9"/>
    <n v="6"/>
  </r>
  <r>
    <n v="506"/>
    <n v="2"/>
    <n v="7"/>
    <x v="1"/>
    <n v="1"/>
    <n v="3999.99"/>
    <n v="7.0000000000000007E-2"/>
    <n v="279.99930000000001"/>
    <n v="5"/>
    <n v="6"/>
  </r>
  <r>
    <n v="507"/>
    <n v="1"/>
    <n v="11"/>
    <x v="0"/>
    <n v="2"/>
    <n v="1680.99"/>
    <n v="0.05"/>
    <n v="84.049500000000009"/>
    <n v="9"/>
    <n v="6"/>
  </r>
  <r>
    <n v="507"/>
    <n v="2"/>
    <n v="13"/>
    <x v="1"/>
    <n v="2"/>
    <n v="269.99"/>
    <n v="7.0000000000000007E-2"/>
    <n v="18.899300000000004"/>
    <n v="5"/>
    <n v="6"/>
  </r>
  <r>
    <n v="507"/>
    <n v="3"/>
    <n v="20"/>
    <x v="2"/>
    <n v="2"/>
    <n v="599.99"/>
    <n v="0.1"/>
    <n v="59.999000000000002"/>
    <n v="8"/>
    <n v="6"/>
  </r>
  <r>
    <n v="508"/>
    <n v="1"/>
    <n v="8"/>
    <x v="0"/>
    <n v="1"/>
    <n v="1799.99"/>
    <n v="0.05"/>
    <n v="89.999500000000012"/>
    <n v="9"/>
    <n v="6"/>
  </r>
  <r>
    <n v="508"/>
    <n v="2"/>
    <n v="2"/>
    <x v="1"/>
    <n v="2"/>
    <n v="749.99"/>
    <n v="0.05"/>
    <n v="37.499500000000005"/>
    <n v="5"/>
    <n v="6"/>
  </r>
  <r>
    <n v="508"/>
    <n v="3"/>
    <n v="10"/>
    <x v="2"/>
    <n v="2"/>
    <n v="1549"/>
    <n v="0.05"/>
    <n v="77.45"/>
    <n v="8"/>
    <n v="6"/>
  </r>
  <r>
    <n v="508"/>
    <n v="4"/>
    <n v="25"/>
    <x v="3"/>
    <n v="1"/>
    <n v="499.99"/>
    <n v="7.0000000000000007E-2"/>
    <n v="34.999300000000005"/>
    <n v="9"/>
    <n v="6"/>
  </r>
  <r>
    <n v="509"/>
    <n v="1"/>
    <n v="23"/>
    <x v="0"/>
    <n v="2"/>
    <n v="299.99"/>
    <n v="0.2"/>
    <n v="59.998000000000005"/>
    <n v="9"/>
    <n v="6"/>
  </r>
  <r>
    <n v="509"/>
    <n v="2"/>
    <n v="4"/>
    <x v="1"/>
    <n v="2"/>
    <n v="2899.99"/>
    <n v="0.05"/>
    <n v="144.99949999999998"/>
    <n v="5"/>
    <n v="6"/>
  </r>
  <r>
    <n v="510"/>
    <n v="1"/>
    <n v="17"/>
    <x v="0"/>
    <n v="1"/>
    <n v="429"/>
    <n v="0.1"/>
    <n v="42.900000000000006"/>
    <n v="9"/>
    <n v="6"/>
  </r>
  <r>
    <n v="511"/>
    <n v="1"/>
    <n v="22"/>
    <x v="0"/>
    <n v="2"/>
    <n v="269.99"/>
    <n v="0.05"/>
    <n v="13.499500000000001"/>
    <n v="9"/>
    <n v="6"/>
  </r>
  <r>
    <n v="511"/>
    <n v="2"/>
    <n v="13"/>
    <x v="1"/>
    <n v="1"/>
    <n v="269.99"/>
    <n v="0.1"/>
    <n v="26.999000000000002"/>
    <n v="5"/>
    <n v="6"/>
  </r>
  <r>
    <n v="512"/>
    <n v="1"/>
    <n v="21"/>
    <x v="0"/>
    <n v="1"/>
    <n v="269.99"/>
    <n v="7.0000000000000007E-2"/>
    <n v="18.899300000000004"/>
    <n v="9"/>
    <n v="6"/>
  </r>
  <r>
    <n v="513"/>
    <n v="1"/>
    <n v="7"/>
    <x v="0"/>
    <n v="1"/>
    <n v="3999.99"/>
    <n v="7.0000000000000007E-2"/>
    <n v="279.99930000000001"/>
    <n v="9"/>
    <n v="6"/>
  </r>
  <r>
    <n v="513"/>
    <n v="2"/>
    <n v="13"/>
    <x v="1"/>
    <n v="1"/>
    <n v="269.99"/>
    <n v="0.2"/>
    <n v="53.998000000000005"/>
    <n v="5"/>
    <n v="6"/>
  </r>
  <r>
    <n v="513"/>
    <n v="3"/>
    <n v="23"/>
    <x v="2"/>
    <n v="1"/>
    <n v="299.99"/>
    <n v="7.0000000000000007E-2"/>
    <n v="20.999300000000002"/>
    <n v="8"/>
    <n v="6"/>
  </r>
  <r>
    <n v="514"/>
    <n v="1"/>
    <n v="18"/>
    <x v="0"/>
    <n v="2"/>
    <n v="449"/>
    <n v="0.2"/>
    <n v="89.800000000000011"/>
    <n v="9"/>
    <n v="6"/>
  </r>
  <r>
    <n v="514"/>
    <n v="2"/>
    <n v="17"/>
    <x v="1"/>
    <n v="2"/>
    <n v="429"/>
    <n v="7.0000000000000007E-2"/>
    <n v="30.03"/>
    <n v="5"/>
    <n v="6"/>
  </r>
  <r>
    <n v="515"/>
    <n v="1"/>
    <n v="8"/>
    <x v="0"/>
    <n v="1"/>
    <n v="1799.99"/>
    <n v="7.0000000000000007E-2"/>
    <n v="125.99930000000002"/>
    <n v="9"/>
    <n v="6"/>
  </r>
  <r>
    <n v="515"/>
    <n v="2"/>
    <n v="5"/>
    <x v="1"/>
    <n v="1"/>
    <n v="1320.99"/>
    <n v="0.1"/>
    <n v="132.09900000000002"/>
    <n v="5"/>
    <n v="6"/>
  </r>
  <r>
    <n v="515"/>
    <n v="3"/>
    <n v="25"/>
    <x v="2"/>
    <n v="2"/>
    <n v="499.99"/>
    <n v="7.0000000000000007E-2"/>
    <n v="34.999300000000005"/>
    <n v="8"/>
    <n v="6"/>
  </r>
  <r>
    <n v="515"/>
    <n v="4"/>
    <n v="6"/>
    <x v="3"/>
    <n v="2"/>
    <n v="469.99"/>
    <n v="0.2"/>
    <n v="93.998000000000005"/>
    <n v="9"/>
    <n v="6"/>
  </r>
  <r>
    <n v="516"/>
    <n v="1"/>
    <n v="7"/>
    <x v="0"/>
    <n v="1"/>
    <n v="3999.99"/>
    <n v="0.05"/>
    <n v="199.99950000000001"/>
    <n v="9"/>
    <n v="6"/>
  </r>
  <r>
    <n v="516"/>
    <n v="2"/>
    <n v="5"/>
    <x v="1"/>
    <n v="2"/>
    <n v="1320.99"/>
    <n v="0.1"/>
    <n v="132.09900000000002"/>
    <n v="5"/>
    <n v="6"/>
  </r>
  <r>
    <n v="517"/>
    <n v="1"/>
    <n v="21"/>
    <x v="0"/>
    <n v="2"/>
    <n v="269.99"/>
    <n v="7.0000000000000007E-2"/>
    <n v="18.899300000000004"/>
    <n v="9"/>
    <n v="6"/>
  </r>
  <r>
    <n v="518"/>
    <n v="1"/>
    <n v="16"/>
    <x v="0"/>
    <n v="2"/>
    <n v="599.99"/>
    <n v="0.2"/>
    <n v="119.998"/>
    <n v="9"/>
    <n v="6"/>
  </r>
  <r>
    <n v="518"/>
    <n v="2"/>
    <n v="5"/>
    <x v="1"/>
    <n v="2"/>
    <n v="1320.99"/>
    <n v="0.05"/>
    <n v="66.049500000000009"/>
    <n v="5"/>
    <n v="6"/>
  </r>
  <r>
    <n v="518"/>
    <n v="3"/>
    <n v="25"/>
    <x v="2"/>
    <n v="2"/>
    <n v="499.99"/>
    <n v="0.05"/>
    <n v="24.999500000000001"/>
    <n v="8"/>
    <n v="6"/>
  </r>
  <r>
    <n v="518"/>
    <n v="4"/>
    <n v="15"/>
    <x v="3"/>
    <n v="2"/>
    <n v="529.99"/>
    <n v="0.2"/>
    <n v="105.998"/>
    <n v="9"/>
    <n v="6"/>
  </r>
  <r>
    <n v="518"/>
    <n v="5"/>
    <n v="11"/>
    <x v="4"/>
    <n v="2"/>
    <n v="1680.99"/>
    <n v="7.0000000000000007E-2"/>
    <n v="117.66930000000001"/>
    <n v="3"/>
    <n v="6"/>
  </r>
  <r>
    <n v="519"/>
    <n v="1"/>
    <n v="6"/>
    <x v="0"/>
    <n v="1"/>
    <n v="469.99"/>
    <n v="7.0000000000000007E-2"/>
    <n v="32.899300000000004"/>
    <n v="9"/>
    <n v="6"/>
  </r>
  <r>
    <n v="519"/>
    <n v="2"/>
    <n v="16"/>
    <x v="1"/>
    <n v="1"/>
    <n v="599.99"/>
    <n v="0.1"/>
    <n v="59.999000000000002"/>
    <n v="5"/>
    <n v="6"/>
  </r>
  <r>
    <n v="519"/>
    <n v="3"/>
    <n v="23"/>
    <x v="2"/>
    <n v="2"/>
    <n v="299.99"/>
    <n v="0.05"/>
    <n v="14.999500000000001"/>
    <n v="8"/>
    <n v="6"/>
  </r>
  <r>
    <n v="519"/>
    <n v="4"/>
    <n v="18"/>
    <x v="3"/>
    <n v="2"/>
    <n v="449"/>
    <n v="0.2"/>
    <n v="89.800000000000011"/>
    <n v="9"/>
    <n v="6"/>
  </r>
  <r>
    <n v="519"/>
    <n v="5"/>
    <n v="7"/>
    <x v="4"/>
    <n v="1"/>
    <n v="3999.99"/>
    <n v="0.05"/>
    <n v="199.99950000000001"/>
    <n v="3"/>
    <n v="6"/>
  </r>
  <r>
    <n v="520"/>
    <n v="1"/>
    <n v="26"/>
    <x v="0"/>
    <n v="1"/>
    <n v="599.99"/>
    <n v="0.1"/>
    <n v="59.999000000000002"/>
    <n v="9"/>
    <n v="6"/>
  </r>
  <r>
    <n v="520"/>
    <n v="2"/>
    <n v="24"/>
    <x v="1"/>
    <n v="1"/>
    <n v="549.99"/>
    <n v="0.2"/>
    <n v="109.998"/>
    <n v="5"/>
    <n v="6"/>
  </r>
  <r>
    <n v="520"/>
    <n v="3"/>
    <n v="10"/>
    <x v="2"/>
    <n v="1"/>
    <n v="1549"/>
    <n v="7.0000000000000007E-2"/>
    <n v="108.43"/>
    <n v="8"/>
    <n v="6"/>
  </r>
  <r>
    <n v="521"/>
    <n v="1"/>
    <n v="5"/>
    <x v="0"/>
    <n v="1"/>
    <n v="1320.99"/>
    <n v="0.2"/>
    <n v="264.19800000000004"/>
    <n v="9"/>
    <n v="6"/>
  </r>
  <r>
    <n v="521"/>
    <n v="2"/>
    <n v="14"/>
    <x v="1"/>
    <n v="1"/>
    <n v="269.99"/>
    <n v="0.2"/>
    <n v="53.998000000000005"/>
    <n v="5"/>
    <n v="6"/>
  </r>
  <r>
    <n v="522"/>
    <n v="1"/>
    <n v="4"/>
    <x v="0"/>
    <n v="2"/>
    <n v="2899.99"/>
    <n v="7.0000000000000007E-2"/>
    <n v="202.99930000000001"/>
    <n v="9"/>
    <n v="6"/>
  </r>
  <r>
    <n v="522"/>
    <n v="2"/>
    <n v="22"/>
    <x v="1"/>
    <n v="2"/>
    <n v="269.99"/>
    <n v="7.0000000000000007E-2"/>
    <n v="18.899300000000004"/>
    <n v="5"/>
    <n v="6"/>
  </r>
  <r>
    <n v="522"/>
    <n v="3"/>
    <n v="21"/>
    <x v="2"/>
    <n v="1"/>
    <n v="269.99"/>
    <n v="0.05"/>
    <n v="13.499500000000001"/>
    <n v="8"/>
    <n v="6"/>
  </r>
  <r>
    <n v="523"/>
    <n v="1"/>
    <n v="12"/>
    <x v="0"/>
    <n v="1"/>
    <n v="549.99"/>
    <n v="0.2"/>
    <n v="109.998"/>
    <n v="9"/>
    <n v="6"/>
  </r>
  <r>
    <n v="523"/>
    <n v="2"/>
    <n v="20"/>
    <x v="1"/>
    <n v="1"/>
    <n v="599.99"/>
    <n v="0.05"/>
    <n v="29.999500000000001"/>
    <n v="5"/>
    <n v="6"/>
  </r>
  <r>
    <n v="523"/>
    <n v="3"/>
    <n v="5"/>
    <x v="2"/>
    <n v="2"/>
    <n v="1320.99"/>
    <n v="0.1"/>
    <n v="132.09900000000002"/>
    <n v="8"/>
    <n v="6"/>
  </r>
  <r>
    <n v="523"/>
    <n v="4"/>
    <n v="16"/>
    <x v="3"/>
    <n v="2"/>
    <n v="599.99"/>
    <n v="7.0000000000000007E-2"/>
    <n v="41.999300000000005"/>
    <n v="9"/>
    <n v="6"/>
  </r>
  <r>
    <n v="524"/>
    <n v="1"/>
    <n v="11"/>
    <x v="0"/>
    <n v="1"/>
    <n v="1680.99"/>
    <n v="7.0000000000000007E-2"/>
    <n v="117.66930000000001"/>
    <n v="9"/>
    <n v="6"/>
  </r>
  <r>
    <n v="524"/>
    <n v="2"/>
    <n v="2"/>
    <x v="1"/>
    <n v="1"/>
    <n v="749.99"/>
    <n v="0.05"/>
    <n v="37.499500000000005"/>
    <n v="5"/>
    <n v="6"/>
  </r>
  <r>
    <n v="524"/>
    <n v="3"/>
    <n v="9"/>
    <x v="2"/>
    <n v="1"/>
    <n v="2999.99"/>
    <n v="0.2"/>
    <n v="599.99799999999993"/>
    <n v="8"/>
    <n v="6"/>
  </r>
  <r>
    <n v="524"/>
    <n v="4"/>
    <n v="3"/>
    <x v="3"/>
    <n v="2"/>
    <n v="999.99"/>
    <n v="7.0000000000000007E-2"/>
    <n v="69.999300000000005"/>
    <n v="9"/>
    <n v="6"/>
  </r>
  <r>
    <n v="524"/>
    <n v="5"/>
    <n v="26"/>
    <x v="4"/>
    <n v="1"/>
    <n v="599.99"/>
    <n v="0.05"/>
    <n v="29.999500000000001"/>
    <n v="3"/>
    <n v="6"/>
  </r>
  <r>
    <n v="525"/>
    <n v="1"/>
    <n v="9"/>
    <x v="0"/>
    <n v="2"/>
    <n v="2999.99"/>
    <n v="7.0000000000000007E-2"/>
    <n v="209.99930000000001"/>
    <n v="9"/>
    <n v="6"/>
  </r>
  <r>
    <n v="525"/>
    <n v="2"/>
    <n v="6"/>
    <x v="1"/>
    <n v="2"/>
    <n v="469.99"/>
    <n v="7.0000000000000007E-2"/>
    <n v="32.899300000000004"/>
    <n v="5"/>
    <n v="6"/>
  </r>
  <r>
    <n v="525"/>
    <n v="3"/>
    <n v="10"/>
    <x v="2"/>
    <n v="1"/>
    <n v="1549"/>
    <n v="0.1"/>
    <n v="154.9"/>
    <n v="8"/>
    <n v="6"/>
  </r>
  <r>
    <n v="526"/>
    <n v="1"/>
    <n v="3"/>
    <x v="0"/>
    <n v="2"/>
    <n v="999.99"/>
    <n v="0.1"/>
    <n v="99.999000000000009"/>
    <n v="9"/>
    <n v="6"/>
  </r>
  <r>
    <n v="526"/>
    <n v="2"/>
    <n v="8"/>
    <x v="1"/>
    <n v="1"/>
    <n v="1799.99"/>
    <n v="0.1"/>
    <n v="179.99900000000002"/>
    <n v="5"/>
    <n v="6"/>
  </r>
  <r>
    <n v="526"/>
    <n v="3"/>
    <n v="21"/>
    <x v="2"/>
    <n v="1"/>
    <n v="269.99"/>
    <n v="0.05"/>
    <n v="13.499500000000001"/>
    <n v="8"/>
    <n v="6"/>
  </r>
  <r>
    <n v="526"/>
    <n v="4"/>
    <n v="15"/>
    <x v="3"/>
    <n v="1"/>
    <n v="529.99"/>
    <n v="7.0000000000000007E-2"/>
    <n v="37.099300000000007"/>
    <n v="9"/>
    <n v="6"/>
  </r>
  <r>
    <n v="527"/>
    <n v="1"/>
    <n v="18"/>
    <x v="0"/>
    <n v="2"/>
    <n v="449"/>
    <n v="7.0000000000000007E-2"/>
    <n v="31.430000000000003"/>
    <n v="9"/>
    <n v="6"/>
  </r>
  <r>
    <n v="527"/>
    <n v="2"/>
    <n v="4"/>
    <x v="1"/>
    <n v="1"/>
    <n v="2899.99"/>
    <n v="0.2"/>
    <n v="579.99799999999993"/>
    <n v="5"/>
    <n v="6"/>
  </r>
  <r>
    <n v="527"/>
    <n v="3"/>
    <n v="19"/>
    <x v="2"/>
    <n v="1"/>
    <n v="449"/>
    <n v="0.1"/>
    <n v="44.900000000000006"/>
    <n v="8"/>
    <n v="6"/>
  </r>
  <r>
    <n v="527"/>
    <n v="4"/>
    <n v="9"/>
    <x v="3"/>
    <n v="2"/>
    <n v="2999.99"/>
    <n v="0.2"/>
    <n v="599.99799999999993"/>
    <n v="9"/>
    <n v="6"/>
  </r>
  <r>
    <n v="528"/>
    <n v="1"/>
    <n v="21"/>
    <x v="0"/>
    <n v="2"/>
    <n v="269.99"/>
    <n v="0.05"/>
    <n v="13.499500000000001"/>
    <n v="9"/>
    <n v="6"/>
  </r>
  <r>
    <n v="529"/>
    <n v="1"/>
    <n v="12"/>
    <x v="0"/>
    <n v="2"/>
    <n v="549.99"/>
    <n v="7.0000000000000007E-2"/>
    <n v="38.499300000000005"/>
    <n v="9"/>
    <n v="6"/>
  </r>
  <r>
    <n v="530"/>
    <n v="1"/>
    <n v="2"/>
    <x v="0"/>
    <n v="2"/>
    <n v="749.99"/>
    <n v="0.05"/>
    <n v="37.499500000000005"/>
    <n v="9"/>
    <n v="6"/>
  </r>
  <r>
    <n v="530"/>
    <n v="2"/>
    <n v="4"/>
    <x v="1"/>
    <n v="1"/>
    <n v="2899.99"/>
    <n v="7.0000000000000007E-2"/>
    <n v="202.99930000000001"/>
    <n v="5"/>
    <n v="6"/>
  </r>
  <r>
    <n v="530"/>
    <n v="3"/>
    <n v="6"/>
    <x v="2"/>
    <n v="2"/>
    <n v="469.99"/>
    <n v="0.2"/>
    <n v="93.998000000000005"/>
    <n v="8"/>
    <n v="6"/>
  </r>
  <r>
    <n v="531"/>
    <n v="1"/>
    <n v="6"/>
    <x v="0"/>
    <n v="1"/>
    <n v="469.99"/>
    <n v="0.2"/>
    <n v="93.998000000000005"/>
    <n v="9"/>
    <n v="6"/>
  </r>
  <r>
    <n v="531"/>
    <n v="2"/>
    <n v="12"/>
    <x v="1"/>
    <n v="2"/>
    <n v="549.99"/>
    <n v="0.2"/>
    <n v="109.998"/>
    <n v="5"/>
    <n v="6"/>
  </r>
  <r>
    <n v="531"/>
    <n v="3"/>
    <n v="25"/>
    <x v="2"/>
    <n v="1"/>
    <n v="499.99"/>
    <n v="7.0000000000000007E-2"/>
    <n v="34.999300000000005"/>
    <n v="8"/>
    <n v="6"/>
  </r>
  <r>
    <n v="532"/>
    <n v="1"/>
    <n v="17"/>
    <x v="0"/>
    <n v="2"/>
    <n v="429"/>
    <n v="7.0000000000000007E-2"/>
    <n v="30.03"/>
    <n v="9"/>
    <n v="6"/>
  </r>
  <r>
    <n v="532"/>
    <n v="2"/>
    <n v="16"/>
    <x v="1"/>
    <n v="2"/>
    <n v="599.99"/>
    <n v="0.2"/>
    <n v="119.998"/>
    <n v="5"/>
    <n v="6"/>
  </r>
  <r>
    <n v="532"/>
    <n v="3"/>
    <n v="12"/>
    <x v="2"/>
    <n v="1"/>
    <n v="549.99"/>
    <n v="0.1"/>
    <n v="54.999000000000002"/>
    <n v="8"/>
    <n v="6"/>
  </r>
  <r>
    <n v="533"/>
    <n v="1"/>
    <n v="4"/>
    <x v="0"/>
    <n v="1"/>
    <n v="2899.99"/>
    <n v="0.2"/>
    <n v="579.99799999999993"/>
    <n v="9"/>
    <n v="6"/>
  </r>
  <r>
    <n v="533"/>
    <n v="2"/>
    <n v="12"/>
    <x v="1"/>
    <n v="2"/>
    <n v="549.99"/>
    <n v="0.1"/>
    <n v="54.999000000000002"/>
    <n v="5"/>
    <n v="6"/>
  </r>
  <r>
    <n v="533"/>
    <n v="3"/>
    <n v="10"/>
    <x v="2"/>
    <n v="1"/>
    <n v="1549"/>
    <n v="0.2"/>
    <n v="309.8"/>
    <n v="8"/>
    <n v="6"/>
  </r>
  <r>
    <n v="533"/>
    <n v="4"/>
    <n v="25"/>
    <x v="3"/>
    <n v="1"/>
    <n v="499.99"/>
    <n v="0.05"/>
    <n v="24.999500000000001"/>
    <n v="9"/>
    <n v="6"/>
  </r>
  <r>
    <n v="534"/>
    <n v="1"/>
    <n v="21"/>
    <x v="0"/>
    <n v="2"/>
    <n v="269.99"/>
    <n v="0.05"/>
    <n v="13.499500000000001"/>
    <n v="9"/>
    <n v="6"/>
  </r>
  <r>
    <n v="534"/>
    <n v="2"/>
    <n v="9"/>
    <x v="1"/>
    <n v="2"/>
    <n v="2999.99"/>
    <n v="0.05"/>
    <n v="149.99949999999998"/>
    <n v="5"/>
    <n v="6"/>
  </r>
  <r>
    <n v="534"/>
    <n v="3"/>
    <n v="2"/>
    <x v="2"/>
    <n v="1"/>
    <n v="749.99"/>
    <n v="7.0000000000000007E-2"/>
    <n v="52.499300000000005"/>
    <n v="8"/>
    <n v="6"/>
  </r>
  <r>
    <n v="534"/>
    <n v="4"/>
    <n v="24"/>
    <x v="3"/>
    <n v="2"/>
    <n v="549.99"/>
    <n v="0.1"/>
    <n v="54.999000000000002"/>
    <n v="9"/>
    <n v="6"/>
  </r>
  <r>
    <n v="535"/>
    <n v="1"/>
    <n v="24"/>
    <x v="0"/>
    <n v="1"/>
    <n v="549.99"/>
    <n v="0.05"/>
    <n v="27.499500000000001"/>
    <n v="9"/>
    <n v="6"/>
  </r>
  <r>
    <n v="535"/>
    <n v="2"/>
    <n v="15"/>
    <x v="1"/>
    <n v="1"/>
    <n v="529.99"/>
    <n v="0.1"/>
    <n v="52.999000000000002"/>
    <n v="5"/>
    <n v="6"/>
  </r>
  <r>
    <n v="535"/>
    <n v="3"/>
    <n v="22"/>
    <x v="2"/>
    <n v="2"/>
    <n v="269.99"/>
    <n v="0.1"/>
    <n v="26.999000000000002"/>
    <n v="8"/>
    <n v="6"/>
  </r>
  <r>
    <n v="536"/>
    <n v="1"/>
    <n v="22"/>
    <x v="0"/>
    <n v="1"/>
    <n v="269.99"/>
    <n v="0.1"/>
    <n v="26.999000000000002"/>
    <n v="9"/>
    <n v="6"/>
  </r>
  <r>
    <n v="536"/>
    <n v="2"/>
    <n v="2"/>
    <x v="1"/>
    <n v="1"/>
    <n v="749.99"/>
    <n v="0.1"/>
    <n v="74.999000000000009"/>
    <n v="5"/>
    <n v="6"/>
  </r>
  <r>
    <n v="536"/>
    <n v="3"/>
    <n v="12"/>
    <x v="2"/>
    <n v="2"/>
    <n v="549.99"/>
    <n v="0.05"/>
    <n v="27.499500000000001"/>
    <n v="8"/>
    <n v="6"/>
  </r>
  <r>
    <n v="536"/>
    <n v="4"/>
    <n v="14"/>
    <x v="3"/>
    <n v="1"/>
    <n v="269.99"/>
    <n v="7.0000000000000007E-2"/>
    <n v="18.899300000000004"/>
    <n v="9"/>
    <n v="6"/>
  </r>
  <r>
    <n v="537"/>
    <n v="1"/>
    <n v="10"/>
    <x v="0"/>
    <n v="1"/>
    <n v="1549"/>
    <n v="0.05"/>
    <n v="77.45"/>
    <n v="9"/>
    <n v="6"/>
  </r>
  <r>
    <n v="537"/>
    <n v="2"/>
    <n v="26"/>
    <x v="1"/>
    <n v="1"/>
    <n v="599.99"/>
    <n v="0.05"/>
    <n v="29.999500000000001"/>
    <n v="5"/>
    <n v="6"/>
  </r>
  <r>
    <n v="537"/>
    <n v="3"/>
    <n v="17"/>
    <x v="2"/>
    <n v="2"/>
    <n v="429"/>
    <n v="0.1"/>
    <n v="42.900000000000006"/>
    <n v="8"/>
    <n v="6"/>
  </r>
  <r>
    <n v="537"/>
    <n v="4"/>
    <n v="25"/>
    <x v="3"/>
    <n v="2"/>
    <n v="499.99"/>
    <n v="0.2"/>
    <n v="99.998000000000005"/>
    <n v="9"/>
    <n v="6"/>
  </r>
  <r>
    <n v="538"/>
    <n v="1"/>
    <n v="2"/>
    <x v="0"/>
    <n v="2"/>
    <n v="749.99"/>
    <n v="0.2"/>
    <n v="149.99800000000002"/>
    <n v="9"/>
    <n v="6"/>
  </r>
  <r>
    <n v="539"/>
    <n v="1"/>
    <n v="9"/>
    <x v="0"/>
    <n v="2"/>
    <n v="2999.99"/>
    <n v="0.1"/>
    <n v="299.99899999999997"/>
    <n v="9"/>
    <n v="6"/>
  </r>
  <r>
    <n v="539"/>
    <n v="2"/>
    <n v="23"/>
    <x v="1"/>
    <n v="1"/>
    <n v="299.99"/>
    <n v="0.05"/>
    <n v="14.999500000000001"/>
    <n v="5"/>
    <n v="6"/>
  </r>
  <r>
    <n v="539"/>
    <n v="3"/>
    <n v="21"/>
    <x v="2"/>
    <n v="2"/>
    <n v="269.99"/>
    <n v="7.0000000000000007E-2"/>
    <n v="18.899300000000004"/>
    <n v="8"/>
    <n v="6"/>
  </r>
  <r>
    <n v="540"/>
    <n v="1"/>
    <n v="19"/>
    <x v="0"/>
    <n v="1"/>
    <n v="449"/>
    <n v="0.1"/>
    <n v="44.900000000000006"/>
    <n v="9"/>
    <n v="6"/>
  </r>
  <r>
    <n v="540"/>
    <n v="2"/>
    <n v="26"/>
    <x v="1"/>
    <n v="2"/>
    <n v="599.99"/>
    <n v="0.1"/>
    <n v="59.999000000000002"/>
    <n v="5"/>
    <n v="6"/>
  </r>
  <r>
    <n v="540"/>
    <n v="3"/>
    <n v="23"/>
    <x v="2"/>
    <n v="2"/>
    <n v="299.99"/>
    <n v="7.0000000000000007E-2"/>
    <n v="20.999300000000002"/>
    <n v="8"/>
    <n v="6"/>
  </r>
  <r>
    <n v="541"/>
    <n v="1"/>
    <n v="22"/>
    <x v="0"/>
    <n v="2"/>
    <n v="269.99"/>
    <n v="0.05"/>
    <n v="13.499500000000001"/>
    <n v="9"/>
    <n v="6"/>
  </r>
  <r>
    <n v="542"/>
    <n v="1"/>
    <n v="16"/>
    <x v="0"/>
    <n v="2"/>
    <n v="599.99"/>
    <n v="0.2"/>
    <n v="119.998"/>
    <n v="9"/>
    <n v="6"/>
  </r>
  <r>
    <n v="542"/>
    <n v="2"/>
    <n v="9"/>
    <x v="1"/>
    <n v="1"/>
    <n v="2999.99"/>
    <n v="0.1"/>
    <n v="299.99899999999997"/>
    <n v="5"/>
    <n v="6"/>
  </r>
  <r>
    <n v="542"/>
    <n v="3"/>
    <n v="20"/>
    <x v="2"/>
    <n v="1"/>
    <n v="599.99"/>
    <n v="0.1"/>
    <n v="59.999000000000002"/>
    <n v="8"/>
    <n v="6"/>
  </r>
  <r>
    <n v="542"/>
    <n v="4"/>
    <n v="19"/>
    <x v="3"/>
    <n v="2"/>
    <n v="449"/>
    <n v="0.2"/>
    <n v="89.800000000000011"/>
    <n v="9"/>
    <n v="6"/>
  </r>
  <r>
    <n v="543"/>
    <n v="1"/>
    <n v="25"/>
    <x v="0"/>
    <n v="1"/>
    <n v="499.99"/>
    <n v="0.2"/>
    <n v="99.998000000000005"/>
    <n v="9"/>
    <n v="6"/>
  </r>
  <r>
    <n v="543"/>
    <n v="2"/>
    <n v="18"/>
    <x v="1"/>
    <n v="1"/>
    <n v="449"/>
    <n v="0.2"/>
    <n v="89.800000000000011"/>
    <n v="5"/>
    <n v="6"/>
  </r>
  <r>
    <n v="543"/>
    <n v="3"/>
    <n v="26"/>
    <x v="2"/>
    <n v="2"/>
    <n v="599.99"/>
    <n v="0.05"/>
    <n v="29.999500000000001"/>
    <n v="8"/>
    <n v="6"/>
  </r>
  <r>
    <n v="544"/>
    <n v="1"/>
    <n v="12"/>
    <x v="0"/>
    <n v="1"/>
    <n v="549.99"/>
    <n v="0.05"/>
    <n v="27.499500000000001"/>
    <n v="9"/>
    <n v="6"/>
  </r>
  <r>
    <n v="544"/>
    <n v="2"/>
    <n v="17"/>
    <x v="1"/>
    <n v="1"/>
    <n v="429"/>
    <n v="0.1"/>
    <n v="42.900000000000006"/>
    <n v="5"/>
    <n v="6"/>
  </r>
  <r>
    <n v="544"/>
    <n v="3"/>
    <n v="21"/>
    <x v="2"/>
    <n v="1"/>
    <n v="269.99"/>
    <n v="0.05"/>
    <n v="13.499500000000001"/>
    <n v="8"/>
    <n v="6"/>
  </r>
  <r>
    <n v="545"/>
    <n v="1"/>
    <n v="25"/>
    <x v="0"/>
    <n v="2"/>
    <n v="499.99"/>
    <n v="0.2"/>
    <n v="99.998000000000005"/>
    <n v="9"/>
    <n v="6"/>
  </r>
  <r>
    <n v="545"/>
    <n v="2"/>
    <n v="6"/>
    <x v="1"/>
    <n v="1"/>
    <n v="469.99"/>
    <n v="7.0000000000000007E-2"/>
    <n v="32.899300000000004"/>
    <n v="5"/>
    <n v="6"/>
  </r>
  <r>
    <n v="545"/>
    <n v="3"/>
    <n v="24"/>
    <x v="2"/>
    <n v="1"/>
    <n v="549.99"/>
    <n v="0.2"/>
    <n v="109.998"/>
    <n v="8"/>
    <n v="6"/>
  </r>
  <r>
    <n v="545"/>
    <n v="4"/>
    <n v="20"/>
    <x v="3"/>
    <n v="2"/>
    <n v="599.99"/>
    <n v="7.0000000000000007E-2"/>
    <n v="41.999300000000005"/>
    <n v="9"/>
    <n v="6"/>
  </r>
  <r>
    <n v="546"/>
    <n v="1"/>
    <n v="17"/>
    <x v="0"/>
    <n v="2"/>
    <n v="429"/>
    <n v="0.05"/>
    <n v="21.450000000000003"/>
    <n v="9"/>
    <n v="6"/>
  </r>
  <r>
    <n v="546"/>
    <n v="2"/>
    <n v="8"/>
    <x v="1"/>
    <n v="1"/>
    <n v="1799.99"/>
    <n v="0.1"/>
    <n v="179.99900000000002"/>
    <n v="5"/>
    <n v="6"/>
  </r>
  <r>
    <n v="546"/>
    <n v="3"/>
    <n v="18"/>
    <x v="2"/>
    <n v="2"/>
    <n v="449"/>
    <n v="7.0000000000000007E-2"/>
    <n v="31.430000000000003"/>
    <n v="8"/>
    <n v="6"/>
  </r>
  <r>
    <n v="547"/>
    <n v="1"/>
    <n v="11"/>
    <x v="0"/>
    <n v="2"/>
    <n v="1680.99"/>
    <n v="0.05"/>
    <n v="84.049500000000009"/>
    <n v="9"/>
    <n v="6"/>
  </r>
  <r>
    <n v="547"/>
    <n v="2"/>
    <n v="9"/>
    <x v="1"/>
    <n v="1"/>
    <n v="2999.99"/>
    <n v="0.2"/>
    <n v="599.99799999999993"/>
    <n v="5"/>
    <n v="6"/>
  </r>
  <r>
    <n v="547"/>
    <n v="3"/>
    <n v="5"/>
    <x v="2"/>
    <n v="1"/>
    <n v="1320.99"/>
    <n v="0.1"/>
    <n v="132.09900000000002"/>
    <n v="8"/>
    <n v="6"/>
  </r>
  <r>
    <n v="548"/>
    <n v="1"/>
    <n v="8"/>
    <x v="0"/>
    <n v="1"/>
    <n v="1799.99"/>
    <n v="0.1"/>
    <n v="179.99900000000002"/>
    <n v="9"/>
    <n v="6"/>
  </r>
  <r>
    <n v="548"/>
    <n v="2"/>
    <n v="11"/>
    <x v="1"/>
    <n v="2"/>
    <n v="1680.99"/>
    <n v="7.0000000000000007E-2"/>
    <n v="117.66930000000001"/>
    <n v="5"/>
    <n v="6"/>
  </r>
  <r>
    <n v="549"/>
    <n v="1"/>
    <n v="15"/>
    <x v="0"/>
    <n v="1"/>
    <n v="529.99"/>
    <n v="7.0000000000000007E-2"/>
    <n v="37.099300000000007"/>
    <n v="9"/>
    <n v="6"/>
  </r>
  <r>
    <n v="549"/>
    <n v="2"/>
    <n v="16"/>
    <x v="1"/>
    <n v="1"/>
    <n v="599.99"/>
    <n v="0.05"/>
    <n v="29.999500000000001"/>
    <n v="5"/>
    <n v="6"/>
  </r>
  <r>
    <n v="549"/>
    <n v="3"/>
    <n v="3"/>
    <x v="2"/>
    <n v="1"/>
    <n v="999.99"/>
    <n v="7.0000000000000007E-2"/>
    <n v="69.999300000000005"/>
    <n v="8"/>
    <n v="6"/>
  </r>
  <r>
    <n v="549"/>
    <n v="4"/>
    <n v="7"/>
    <x v="3"/>
    <n v="1"/>
    <n v="3999.99"/>
    <n v="0.05"/>
    <n v="199.99950000000001"/>
    <n v="9"/>
    <n v="6"/>
  </r>
  <r>
    <n v="549"/>
    <n v="5"/>
    <n v="13"/>
    <x v="4"/>
    <n v="2"/>
    <n v="269.99"/>
    <n v="0.1"/>
    <n v="26.999000000000002"/>
    <n v="3"/>
    <n v="6"/>
  </r>
  <r>
    <n v="550"/>
    <n v="1"/>
    <n v="4"/>
    <x v="0"/>
    <n v="1"/>
    <n v="2899.99"/>
    <n v="0.05"/>
    <n v="144.99949999999998"/>
    <n v="9"/>
    <n v="6"/>
  </r>
  <r>
    <n v="551"/>
    <n v="1"/>
    <n v="16"/>
    <x v="0"/>
    <n v="1"/>
    <n v="599.99"/>
    <n v="0.05"/>
    <n v="29.999500000000001"/>
    <n v="9"/>
    <n v="6"/>
  </r>
  <r>
    <n v="551"/>
    <n v="2"/>
    <n v="26"/>
    <x v="1"/>
    <n v="1"/>
    <n v="599.99"/>
    <n v="7.0000000000000007E-2"/>
    <n v="41.999300000000005"/>
    <n v="5"/>
    <n v="6"/>
  </r>
  <r>
    <n v="551"/>
    <n v="3"/>
    <n v="11"/>
    <x v="2"/>
    <n v="2"/>
    <n v="1680.99"/>
    <n v="0.2"/>
    <n v="336.19800000000004"/>
    <n v="8"/>
    <n v="6"/>
  </r>
  <r>
    <n v="551"/>
    <n v="4"/>
    <n v="15"/>
    <x v="3"/>
    <n v="2"/>
    <n v="529.99"/>
    <n v="0.2"/>
    <n v="105.998"/>
    <n v="9"/>
    <n v="6"/>
  </r>
  <r>
    <n v="552"/>
    <n v="1"/>
    <n v="23"/>
    <x v="0"/>
    <n v="1"/>
    <n v="299.99"/>
    <n v="0.2"/>
    <n v="59.998000000000005"/>
    <n v="9"/>
    <n v="6"/>
  </r>
  <r>
    <n v="552"/>
    <n v="2"/>
    <n v="2"/>
    <x v="1"/>
    <n v="1"/>
    <n v="749.99"/>
    <n v="0.2"/>
    <n v="149.99800000000002"/>
    <n v="5"/>
    <n v="6"/>
  </r>
  <r>
    <n v="552"/>
    <n v="3"/>
    <n v="24"/>
    <x v="2"/>
    <n v="1"/>
    <n v="549.99"/>
    <n v="0.2"/>
    <n v="109.998"/>
    <n v="8"/>
    <n v="6"/>
  </r>
  <r>
    <n v="552"/>
    <n v="4"/>
    <n v="18"/>
    <x v="3"/>
    <n v="1"/>
    <n v="449"/>
    <n v="0.1"/>
    <n v="44.900000000000006"/>
    <n v="9"/>
    <n v="6"/>
  </r>
  <r>
    <n v="552"/>
    <n v="5"/>
    <n v="19"/>
    <x v="4"/>
    <n v="2"/>
    <n v="449"/>
    <n v="0.2"/>
    <n v="89.800000000000011"/>
    <n v="3"/>
    <n v="6"/>
  </r>
  <r>
    <n v="553"/>
    <n v="1"/>
    <n v="24"/>
    <x v="0"/>
    <n v="1"/>
    <n v="549.99"/>
    <n v="0.1"/>
    <n v="54.999000000000002"/>
    <n v="9"/>
    <n v="6"/>
  </r>
  <r>
    <n v="553"/>
    <n v="2"/>
    <n v="18"/>
    <x v="1"/>
    <n v="2"/>
    <n v="449"/>
    <n v="7.0000000000000007E-2"/>
    <n v="31.430000000000003"/>
    <n v="5"/>
    <n v="6"/>
  </r>
  <r>
    <n v="553"/>
    <n v="3"/>
    <n v="12"/>
    <x v="2"/>
    <n v="1"/>
    <n v="549.99"/>
    <n v="7.0000000000000007E-2"/>
    <n v="38.499300000000005"/>
    <n v="8"/>
    <n v="6"/>
  </r>
  <r>
    <n v="554"/>
    <n v="1"/>
    <n v="3"/>
    <x v="0"/>
    <n v="2"/>
    <n v="999.99"/>
    <n v="7.0000000000000007E-2"/>
    <n v="69.999300000000005"/>
    <n v="9"/>
    <n v="6"/>
  </r>
  <r>
    <n v="554"/>
    <n v="2"/>
    <n v="22"/>
    <x v="1"/>
    <n v="1"/>
    <n v="269.99"/>
    <n v="0.05"/>
    <n v="13.499500000000001"/>
    <n v="5"/>
    <n v="6"/>
  </r>
  <r>
    <n v="554"/>
    <n v="3"/>
    <n v="4"/>
    <x v="2"/>
    <n v="2"/>
    <n v="2899.99"/>
    <n v="0.2"/>
    <n v="579.99799999999993"/>
    <n v="8"/>
    <n v="6"/>
  </r>
  <r>
    <n v="555"/>
    <n v="1"/>
    <n v="8"/>
    <x v="0"/>
    <n v="1"/>
    <n v="1799.99"/>
    <n v="0.2"/>
    <n v="359.99800000000005"/>
    <n v="9"/>
    <n v="6"/>
  </r>
  <r>
    <n v="555"/>
    <n v="2"/>
    <n v="7"/>
    <x v="1"/>
    <n v="1"/>
    <n v="3999.99"/>
    <n v="0.1"/>
    <n v="399.99900000000002"/>
    <n v="5"/>
    <n v="6"/>
  </r>
  <r>
    <n v="555"/>
    <n v="3"/>
    <n v="20"/>
    <x v="2"/>
    <n v="2"/>
    <n v="599.99"/>
    <n v="7.0000000000000007E-2"/>
    <n v="41.999300000000005"/>
    <n v="8"/>
    <n v="6"/>
  </r>
  <r>
    <n v="556"/>
    <n v="1"/>
    <n v="16"/>
    <x v="0"/>
    <n v="1"/>
    <n v="599.99"/>
    <n v="0.1"/>
    <n v="59.999000000000002"/>
    <n v="9"/>
    <n v="6"/>
  </r>
  <r>
    <n v="556"/>
    <n v="2"/>
    <n v="4"/>
    <x v="1"/>
    <n v="2"/>
    <n v="2899.99"/>
    <n v="0.2"/>
    <n v="579.99799999999993"/>
    <n v="5"/>
    <n v="6"/>
  </r>
  <r>
    <n v="557"/>
    <n v="1"/>
    <n v="9"/>
    <x v="0"/>
    <n v="2"/>
    <n v="2999.99"/>
    <n v="0.1"/>
    <n v="299.99899999999997"/>
    <n v="9"/>
    <n v="6"/>
  </r>
  <r>
    <n v="557"/>
    <n v="2"/>
    <n v="10"/>
    <x v="1"/>
    <n v="1"/>
    <n v="1549"/>
    <n v="0.1"/>
    <n v="154.9"/>
    <n v="5"/>
    <n v="6"/>
  </r>
  <r>
    <n v="558"/>
    <n v="1"/>
    <n v="7"/>
    <x v="0"/>
    <n v="1"/>
    <n v="3999.99"/>
    <n v="7.0000000000000007E-2"/>
    <n v="279.99930000000001"/>
    <n v="9"/>
    <n v="6"/>
  </r>
  <r>
    <n v="558"/>
    <n v="2"/>
    <n v="16"/>
    <x v="1"/>
    <n v="1"/>
    <n v="599.99"/>
    <n v="7.0000000000000007E-2"/>
    <n v="41.999300000000005"/>
    <n v="5"/>
    <n v="6"/>
  </r>
  <r>
    <n v="558"/>
    <n v="3"/>
    <n v="9"/>
    <x v="2"/>
    <n v="1"/>
    <n v="2999.99"/>
    <n v="0.1"/>
    <n v="299.99899999999997"/>
    <n v="8"/>
    <n v="6"/>
  </r>
  <r>
    <n v="558"/>
    <n v="4"/>
    <n v="21"/>
    <x v="3"/>
    <n v="2"/>
    <n v="269.99"/>
    <n v="0.05"/>
    <n v="13.499500000000001"/>
    <n v="9"/>
    <n v="6"/>
  </r>
  <r>
    <n v="558"/>
    <n v="5"/>
    <n v="10"/>
    <x v="4"/>
    <n v="2"/>
    <n v="1549"/>
    <n v="7.0000000000000007E-2"/>
    <n v="108.43"/>
    <n v="3"/>
    <n v="6"/>
  </r>
  <r>
    <n v="559"/>
    <n v="1"/>
    <n v="15"/>
    <x v="0"/>
    <n v="2"/>
    <n v="529.99"/>
    <n v="0.1"/>
    <n v="52.999000000000002"/>
    <n v="9"/>
    <n v="6"/>
  </r>
  <r>
    <n v="559"/>
    <n v="2"/>
    <n v="6"/>
    <x v="1"/>
    <n v="1"/>
    <n v="469.99"/>
    <n v="0.1"/>
    <n v="46.999000000000002"/>
    <n v="5"/>
    <n v="6"/>
  </r>
  <r>
    <n v="559"/>
    <n v="3"/>
    <n v="7"/>
    <x v="2"/>
    <n v="2"/>
    <n v="3999.99"/>
    <n v="7.0000000000000007E-2"/>
    <n v="279.99930000000001"/>
    <n v="8"/>
    <n v="6"/>
  </r>
  <r>
    <n v="560"/>
    <n v="1"/>
    <n v="16"/>
    <x v="0"/>
    <n v="1"/>
    <n v="599.99"/>
    <n v="0.05"/>
    <n v="29.999500000000001"/>
    <n v="9"/>
    <n v="6"/>
  </r>
  <r>
    <n v="560"/>
    <n v="2"/>
    <n v="26"/>
    <x v="1"/>
    <n v="2"/>
    <n v="599.99"/>
    <n v="0.1"/>
    <n v="59.999000000000002"/>
    <n v="5"/>
    <n v="6"/>
  </r>
  <r>
    <n v="561"/>
    <n v="1"/>
    <n v="15"/>
    <x v="0"/>
    <n v="2"/>
    <n v="529.99"/>
    <n v="0.05"/>
    <n v="26.499500000000001"/>
    <n v="9"/>
    <n v="6"/>
  </r>
  <r>
    <n v="561"/>
    <n v="2"/>
    <n v="18"/>
    <x v="1"/>
    <n v="1"/>
    <n v="449"/>
    <n v="0.05"/>
    <n v="22.450000000000003"/>
    <n v="5"/>
    <n v="6"/>
  </r>
  <r>
    <n v="561"/>
    <n v="3"/>
    <n v="5"/>
    <x v="2"/>
    <n v="1"/>
    <n v="1320.99"/>
    <n v="0.05"/>
    <n v="66.049500000000009"/>
    <n v="8"/>
    <n v="6"/>
  </r>
  <r>
    <n v="561"/>
    <n v="4"/>
    <n v="17"/>
    <x v="3"/>
    <n v="2"/>
    <n v="429"/>
    <n v="7.0000000000000007E-2"/>
    <n v="30.03"/>
    <n v="9"/>
    <n v="6"/>
  </r>
  <r>
    <n v="562"/>
    <n v="1"/>
    <n v="25"/>
    <x v="0"/>
    <n v="2"/>
    <n v="499.99"/>
    <n v="7.0000000000000007E-2"/>
    <n v="34.999300000000005"/>
    <n v="9"/>
    <n v="6"/>
  </r>
  <r>
    <n v="562"/>
    <n v="2"/>
    <n v="26"/>
    <x v="1"/>
    <n v="1"/>
    <n v="599.99"/>
    <n v="0.05"/>
    <n v="29.999500000000001"/>
    <n v="5"/>
    <n v="6"/>
  </r>
  <r>
    <n v="563"/>
    <n v="1"/>
    <n v="6"/>
    <x v="0"/>
    <n v="2"/>
    <n v="469.99"/>
    <n v="0.1"/>
    <n v="46.999000000000002"/>
    <n v="9"/>
    <n v="6"/>
  </r>
  <r>
    <n v="563"/>
    <n v="2"/>
    <n v="19"/>
    <x v="1"/>
    <n v="1"/>
    <n v="449"/>
    <n v="0.05"/>
    <n v="22.450000000000003"/>
    <n v="5"/>
    <n v="6"/>
  </r>
  <r>
    <n v="563"/>
    <n v="3"/>
    <n v="13"/>
    <x v="2"/>
    <n v="2"/>
    <n v="269.99"/>
    <n v="0.1"/>
    <n v="26.999000000000002"/>
    <n v="8"/>
    <n v="6"/>
  </r>
  <r>
    <n v="564"/>
    <n v="1"/>
    <n v="4"/>
    <x v="0"/>
    <n v="1"/>
    <n v="2899.99"/>
    <n v="0.2"/>
    <n v="579.99799999999993"/>
    <n v="9"/>
    <n v="6"/>
  </r>
  <r>
    <n v="564"/>
    <n v="2"/>
    <n v="15"/>
    <x v="1"/>
    <n v="1"/>
    <n v="529.99"/>
    <n v="0.2"/>
    <n v="105.998"/>
    <n v="5"/>
    <n v="6"/>
  </r>
  <r>
    <n v="565"/>
    <n v="1"/>
    <n v="18"/>
    <x v="0"/>
    <n v="1"/>
    <n v="449"/>
    <n v="0.2"/>
    <n v="89.800000000000011"/>
    <n v="9"/>
    <n v="6"/>
  </r>
  <r>
    <n v="565"/>
    <n v="2"/>
    <n v="25"/>
    <x v="1"/>
    <n v="2"/>
    <n v="499.99"/>
    <n v="0.1"/>
    <n v="49.999000000000002"/>
    <n v="5"/>
    <n v="6"/>
  </r>
  <r>
    <n v="565"/>
    <n v="3"/>
    <n v="9"/>
    <x v="2"/>
    <n v="1"/>
    <n v="2999.99"/>
    <n v="0.05"/>
    <n v="149.99949999999998"/>
    <n v="8"/>
    <n v="6"/>
  </r>
  <r>
    <n v="565"/>
    <n v="4"/>
    <n v="17"/>
    <x v="3"/>
    <n v="1"/>
    <n v="429"/>
    <n v="0.1"/>
    <n v="42.900000000000006"/>
    <n v="9"/>
    <n v="6"/>
  </r>
  <r>
    <n v="566"/>
    <n v="1"/>
    <n v="24"/>
    <x v="0"/>
    <n v="2"/>
    <n v="549.99"/>
    <n v="7.0000000000000007E-2"/>
    <n v="38.499300000000005"/>
    <n v="9"/>
    <n v="6"/>
  </r>
  <r>
    <n v="566"/>
    <n v="2"/>
    <n v="7"/>
    <x v="1"/>
    <n v="2"/>
    <n v="3999.99"/>
    <n v="0.2"/>
    <n v="799.99800000000005"/>
    <n v="5"/>
    <n v="6"/>
  </r>
  <r>
    <n v="566"/>
    <n v="3"/>
    <n v="8"/>
    <x v="2"/>
    <n v="1"/>
    <n v="1799.99"/>
    <n v="0.1"/>
    <n v="179.99900000000002"/>
    <n v="8"/>
    <n v="6"/>
  </r>
  <r>
    <n v="566"/>
    <n v="4"/>
    <n v="21"/>
    <x v="3"/>
    <n v="2"/>
    <n v="269.99"/>
    <n v="0.2"/>
    <n v="53.998000000000005"/>
    <n v="9"/>
    <n v="6"/>
  </r>
  <r>
    <n v="567"/>
    <n v="1"/>
    <n v="9"/>
    <x v="0"/>
    <n v="1"/>
    <n v="2999.99"/>
    <n v="0.2"/>
    <n v="599.99799999999993"/>
    <n v="9"/>
    <n v="6"/>
  </r>
  <r>
    <n v="567"/>
    <n v="2"/>
    <n v="5"/>
    <x v="1"/>
    <n v="1"/>
    <n v="1320.99"/>
    <n v="7.0000000000000007E-2"/>
    <n v="92.469300000000004"/>
    <n v="5"/>
    <n v="6"/>
  </r>
  <r>
    <n v="568"/>
    <n v="1"/>
    <n v="5"/>
    <x v="0"/>
    <n v="1"/>
    <n v="1320.99"/>
    <n v="0.05"/>
    <n v="66.049500000000009"/>
    <n v="9"/>
    <n v="6"/>
  </r>
  <r>
    <n v="568"/>
    <n v="2"/>
    <n v="10"/>
    <x v="1"/>
    <n v="1"/>
    <n v="1549"/>
    <n v="0.05"/>
    <n v="77.45"/>
    <n v="5"/>
    <n v="6"/>
  </r>
  <r>
    <n v="569"/>
    <n v="1"/>
    <n v="16"/>
    <x v="0"/>
    <n v="1"/>
    <n v="599.99"/>
    <n v="0.05"/>
    <n v="29.999500000000001"/>
    <n v="9"/>
    <n v="6"/>
  </r>
  <r>
    <n v="569"/>
    <n v="2"/>
    <n v="24"/>
    <x v="1"/>
    <n v="2"/>
    <n v="549.99"/>
    <n v="0.1"/>
    <n v="54.999000000000002"/>
    <n v="5"/>
    <n v="6"/>
  </r>
  <r>
    <n v="570"/>
    <n v="1"/>
    <n v="18"/>
    <x v="0"/>
    <n v="1"/>
    <n v="449"/>
    <n v="7.0000000000000007E-2"/>
    <n v="31.430000000000003"/>
    <n v="9"/>
    <n v="6"/>
  </r>
  <r>
    <n v="570"/>
    <n v="2"/>
    <n v="24"/>
    <x v="1"/>
    <n v="2"/>
    <n v="549.99"/>
    <n v="0.1"/>
    <n v="54.999000000000002"/>
    <n v="5"/>
    <n v="6"/>
  </r>
  <r>
    <n v="570"/>
    <n v="3"/>
    <n v="3"/>
    <x v="2"/>
    <n v="2"/>
    <n v="999.99"/>
    <n v="0.2"/>
    <n v="199.99800000000002"/>
    <n v="8"/>
    <n v="6"/>
  </r>
  <r>
    <n v="570"/>
    <n v="4"/>
    <n v="11"/>
    <x v="3"/>
    <n v="1"/>
    <n v="1680.99"/>
    <n v="0.1"/>
    <n v="168.09900000000002"/>
    <n v="9"/>
    <n v="6"/>
  </r>
  <r>
    <n v="570"/>
    <n v="5"/>
    <n v="16"/>
    <x v="4"/>
    <n v="1"/>
    <n v="599.99"/>
    <n v="0.05"/>
    <n v="29.999500000000001"/>
    <n v="3"/>
    <n v="6"/>
  </r>
  <r>
    <n v="571"/>
    <n v="1"/>
    <n v="4"/>
    <x v="0"/>
    <n v="1"/>
    <n v="2899.99"/>
    <n v="0.05"/>
    <n v="144.99949999999998"/>
    <n v="9"/>
    <n v="6"/>
  </r>
  <r>
    <n v="571"/>
    <n v="2"/>
    <n v="9"/>
    <x v="1"/>
    <n v="1"/>
    <n v="2999.99"/>
    <n v="0.1"/>
    <n v="299.99899999999997"/>
    <n v="5"/>
    <n v="6"/>
  </r>
  <r>
    <n v="572"/>
    <n v="1"/>
    <n v="3"/>
    <x v="0"/>
    <n v="1"/>
    <n v="999.99"/>
    <n v="0.05"/>
    <n v="49.999500000000005"/>
    <n v="9"/>
    <n v="6"/>
  </r>
  <r>
    <n v="572"/>
    <n v="2"/>
    <n v="13"/>
    <x v="1"/>
    <n v="2"/>
    <n v="269.99"/>
    <n v="0.1"/>
    <n v="26.999000000000002"/>
    <n v="5"/>
    <n v="6"/>
  </r>
  <r>
    <n v="572"/>
    <n v="3"/>
    <n v="11"/>
    <x v="2"/>
    <n v="2"/>
    <n v="1680.99"/>
    <n v="0.2"/>
    <n v="336.19800000000004"/>
    <n v="8"/>
    <n v="6"/>
  </r>
  <r>
    <n v="573"/>
    <n v="1"/>
    <n v="2"/>
    <x v="0"/>
    <n v="1"/>
    <n v="749.99"/>
    <n v="0.2"/>
    <n v="149.99800000000002"/>
    <n v="9"/>
    <n v="6"/>
  </r>
  <r>
    <n v="574"/>
    <n v="1"/>
    <n v="26"/>
    <x v="0"/>
    <n v="1"/>
    <n v="599.99"/>
    <n v="0.05"/>
    <n v="29.999500000000001"/>
    <n v="9"/>
    <n v="6"/>
  </r>
  <r>
    <n v="574"/>
    <n v="2"/>
    <n v="13"/>
    <x v="1"/>
    <n v="2"/>
    <n v="269.99"/>
    <n v="0.1"/>
    <n v="26.999000000000002"/>
    <n v="5"/>
    <n v="6"/>
  </r>
  <r>
    <n v="574"/>
    <n v="3"/>
    <n v="12"/>
    <x v="2"/>
    <n v="2"/>
    <n v="549.99"/>
    <n v="0.1"/>
    <n v="54.999000000000002"/>
    <n v="8"/>
    <n v="6"/>
  </r>
  <r>
    <n v="574"/>
    <n v="4"/>
    <n v="23"/>
    <x v="3"/>
    <n v="2"/>
    <n v="299.99"/>
    <n v="0.1"/>
    <n v="29.999000000000002"/>
    <n v="9"/>
    <n v="6"/>
  </r>
  <r>
    <n v="574"/>
    <n v="5"/>
    <n v="11"/>
    <x v="4"/>
    <n v="2"/>
    <n v="1680.99"/>
    <n v="0.05"/>
    <n v="84.049500000000009"/>
    <n v="3"/>
    <n v="6"/>
  </r>
  <r>
    <n v="575"/>
    <n v="1"/>
    <n v="4"/>
    <x v="0"/>
    <n v="2"/>
    <n v="2899.99"/>
    <n v="7.0000000000000007E-2"/>
    <n v="202.99930000000001"/>
    <n v="9"/>
    <n v="6"/>
  </r>
  <r>
    <n v="575"/>
    <n v="2"/>
    <n v="12"/>
    <x v="1"/>
    <n v="1"/>
    <n v="549.99"/>
    <n v="0.2"/>
    <n v="109.998"/>
    <n v="5"/>
    <n v="6"/>
  </r>
  <r>
    <n v="576"/>
    <n v="1"/>
    <n v="9"/>
    <x v="0"/>
    <n v="1"/>
    <n v="2999.99"/>
    <n v="0.1"/>
    <n v="299.99899999999997"/>
    <n v="9"/>
    <n v="6"/>
  </r>
  <r>
    <n v="577"/>
    <n v="1"/>
    <n v="3"/>
    <x v="0"/>
    <n v="2"/>
    <n v="999.99"/>
    <n v="0.2"/>
    <n v="199.99800000000002"/>
    <n v="9"/>
    <n v="6"/>
  </r>
  <r>
    <n v="578"/>
    <n v="1"/>
    <n v="21"/>
    <x v="0"/>
    <n v="1"/>
    <n v="269.99"/>
    <n v="7.0000000000000007E-2"/>
    <n v="18.899300000000004"/>
    <n v="9"/>
    <n v="6"/>
  </r>
  <r>
    <n v="578"/>
    <n v="2"/>
    <n v="25"/>
    <x v="1"/>
    <n v="2"/>
    <n v="499.99"/>
    <n v="0.2"/>
    <n v="99.998000000000005"/>
    <n v="5"/>
    <n v="6"/>
  </r>
  <r>
    <n v="578"/>
    <n v="3"/>
    <n v="18"/>
    <x v="2"/>
    <n v="2"/>
    <n v="449"/>
    <n v="0.05"/>
    <n v="22.450000000000003"/>
    <n v="8"/>
    <n v="6"/>
  </r>
  <r>
    <n v="578"/>
    <n v="4"/>
    <n v="8"/>
    <x v="3"/>
    <n v="2"/>
    <n v="1799.99"/>
    <n v="0.2"/>
    <n v="359.99800000000005"/>
    <n v="9"/>
    <n v="6"/>
  </r>
  <r>
    <n v="579"/>
    <n v="1"/>
    <n v="7"/>
    <x v="0"/>
    <n v="2"/>
    <n v="3999.99"/>
    <n v="0.05"/>
    <n v="199.99950000000001"/>
    <n v="9"/>
    <n v="6"/>
  </r>
  <r>
    <n v="579"/>
    <n v="2"/>
    <n v="6"/>
    <x v="1"/>
    <n v="1"/>
    <n v="469.99"/>
    <n v="0.2"/>
    <n v="93.998000000000005"/>
    <n v="5"/>
    <n v="6"/>
  </r>
  <r>
    <n v="580"/>
    <n v="1"/>
    <n v="16"/>
    <x v="0"/>
    <n v="2"/>
    <n v="599.99"/>
    <n v="0.2"/>
    <n v="119.998"/>
    <n v="9"/>
    <n v="6"/>
  </r>
  <r>
    <n v="580"/>
    <n v="2"/>
    <n v="15"/>
    <x v="1"/>
    <n v="1"/>
    <n v="529.99"/>
    <n v="7.0000000000000007E-2"/>
    <n v="37.099300000000007"/>
    <n v="5"/>
    <n v="6"/>
  </r>
  <r>
    <n v="580"/>
    <n v="3"/>
    <n v="21"/>
    <x v="2"/>
    <n v="2"/>
    <n v="269.99"/>
    <n v="0.2"/>
    <n v="53.998000000000005"/>
    <n v="8"/>
    <n v="6"/>
  </r>
  <r>
    <n v="580"/>
    <n v="4"/>
    <n v="9"/>
    <x v="3"/>
    <n v="2"/>
    <n v="2999.99"/>
    <n v="7.0000000000000007E-2"/>
    <n v="209.99930000000001"/>
    <n v="9"/>
    <n v="6"/>
  </r>
  <r>
    <n v="580"/>
    <n v="5"/>
    <n v="19"/>
    <x v="4"/>
    <n v="1"/>
    <n v="449"/>
    <n v="0.2"/>
    <n v="89.800000000000011"/>
    <n v="3"/>
    <n v="6"/>
  </r>
  <r>
    <n v="581"/>
    <n v="1"/>
    <n v="8"/>
    <x v="0"/>
    <n v="2"/>
    <n v="1799.99"/>
    <n v="7.0000000000000007E-2"/>
    <n v="125.99930000000002"/>
    <n v="9"/>
    <n v="6"/>
  </r>
  <r>
    <n v="582"/>
    <n v="1"/>
    <n v="10"/>
    <x v="0"/>
    <n v="2"/>
    <n v="1549"/>
    <n v="0.2"/>
    <n v="309.8"/>
    <n v="9"/>
    <n v="6"/>
  </r>
  <r>
    <n v="582"/>
    <n v="2"/>
    <n v="17"/>
    <x v="1"/>
    <n v="2"/>
    <n v="429"/>
    <n v="7.0000000000000007E-2"/>
    <n v="30.03"/>
    <n v="5"/>
    <n v="6"/>
  </r>
  <r>
    <n v="583"/>
    <n v="1"/>
    <n v="15"/>
    <x v="0"/>
    <n v="2"/>
    <n v="529.99"/>
    <n v="0.2"/>
    <n v="105.998"/>
    <n v="9"/>
    <n v="6"/>
  </r>
  <r>
    <n v="584"/>
    <n v="1"/>
    <n v="19"/>
    <x v="0"/>
    <n v="1"/>
    <n v="449"/>
    <n v="7.0000000000000007E-2"/>
    <n v="31.430000000000003"/>
    <n v="9"/>
    <n v="6"/>
  </r>
  <r>
    <n v="584"/>
    <n v="2"/>
    <n v="23"/>
    <x v="1"/>
    <n v="1"/>
    <n v="299.99"/>
    <n v="7.0000000000000007E-2"/>
    <n v="20.999300000000002"/>
    <n v="5"/>
    <n v="6"/>
  </r>
  <r>
    <n v="584"/>
    <n v="3"/>
    <n v="15"/>
    <x v="2"/>
    <n v="1"/>
    <n v="529.99"/>
    <n v="0.1"/>
    <n v="52.999000000000002"/>
    <n v="8"/>
    <n v="6"/>
  </r>
  <r>
    <n v="584"/>
    <n v="4"/>
    <n v="22"/>
    <x v="3"/>
    <n v="1"/>
    <n v="269.99"/>
    <n v="0.05"/>
    <n v="13.499500000000001"/>
    <n v="9"/>
    <n v="6"/>
  </r>
  <r>
    <n v="584"/>
    <n v="5"/>
    <n v="8"/>
    <x v="4"/>
    <n v="2"/>
    <n v="1799.99"/>
    <n v="7.0000000000000007E-2"/>
    <n v="125.99930000000002"/>
    <n v="3"/>
    <n v="6"/>
  </r>
  <r>
    <n v="585"/>
    <n v="1"/>
    <n v="10"/>
    <x v="0"/>
    <n v="1"/>
    <n v="1549"/>
    <n v="0.2"/>
    <n v="309.8"/>
    <n v="9"/>
    <n v="6"/>
  </r>
  <r>
    <n v="585"/>
    <n v="2"/>
    <n v="18"/>
    <x v="1"/>
    <n v="2"/>
    <n v="449"/>
    <n v="0.2"/>
    <n v="89.800000000000011"/>
    <n v="5"/>
    <n v="6"/>
  </r>
  <r>
    <n v="585"/>
    <n v="3"/>
    <n v="15"/>
    <x v="2"/>
    <n v="1"/>
    <n v="529.99"/>
    <n v="0.05"/>
    <n v="26.499500000000001"/>
    <n v="8"/>
    <n v="6"/>
  </r>
  <r>
    <n v="585"/>
    <n v="4"/>
    <n v="12"/>
    <x v="3"/>
    <n v="2"/>
    <n v="549.99"/>
    <n v="7.0000000000000007E-2"/>
    <n v="38.499300000000005"/>
    <n v="9"/>
    <n v="6"/>
  </r>
  <r>
    <n v="586"/>
    <n v="1"/>
    <n v="11"/>
    <x v="0"/>
    <n v="2"/>
    <n v="1680.99"/>
    <n v="0.1"/>
    <n v="168.09900000000002"/>
    <n v="9"/>
    <n v="6"/>
  </r>
  <r>
    <n v="586"/>
    <n v="2"/>
    <n v="23"/>
    <x v="1"/>
    <n v="2"/>
    <n v="299.99"/>
    <n v="0.2"/>
    <n v="59.998000000000005"/>
    <n v="5"/>
    <n v="6"/>
  </r>
  <r>
    <n v="587"/>
    <n v="1"/>
    <n v="24"/>
    <x v="0"/>
    <n v="1"/>
    <n v="549.99"/>
    <n v="0.05"/>
    <n v="27.499500000000001"/>
    <n v="9"/>
    <n v="6"/>
  </r>
  <r>
    <n v="587"/>
    <n v="2"/>
    <n v="23"/>
    <x v="1"/>
    <n v="1"/>
    <n v="299.99"/>
    <n v="0.05"/>
    <n v="14.999500000000001"/>
    <n v="5"/>
    <n v="6"/>
  </r>
  <r>
    <n v="587"/>
    <n v="3"/>
    <n v="18"/>
    <x v="2"/>
    <n v="1"/>
    <n v="449"/>
    <n v="0.05"/>
    <n v="22.450000000000003"/>
    <n v="8"/>
    <n v="6"/>
  </r>
  <r>
    <n v="587"/>
    <n v="4"/>
    <n v="21"/>
    <x v="3"/>
    <n v="1"/>
    <n v="269.99"/>
    <n v="0.2"/>
    <n v="53.998000000000005"/>
    <n v="9"/>
    <n v="6"/>
  </r>
  <r>
    <n v="588"/>
    <n v="1"/>
    <n v="10"/>
    <x v="0"/>
    <n v="2"/>
    <n v="1549"/>
    <n v="7.0000000000000007E-2"/>
    <n v="108.43"/>
    <n v="9"/>
    <n v="6"/>
  </r>
  <r>
    <n v="588"/>
    <n v="2"/>
    <n v="23"/>
    <x v="1"/>
    <n v="1"/>
    <n v="299.99"/>
    <n v="0.2"/>
    <n v="59.998000000000005"/>
    <n v="5"/>
    <n v="6"/>
  </r>
  <r>
    <n v="589"/>
    <n v="1"/>
    <n v="15"/>
    <x v="0"/>
    <n v="2"/>
    <n v="529.99"/>
    <n v="0.05"/>
    <n v="26.499500000000001"/>
    <n v="9"/>
    <n v="6"/>
  </r>
  <r>
    <n v="590"/>
    <n v="1"/>
    <n v="2"/>
    <x v="0"/>
    <n v="2"/>
    <n v="749.99"/>
    <n v="0.1"/>
    <n v="74.999000000000009"/>
    <n v="9"/>
    <n v="6"/>
  </r>
  <r>
    <n v="590"/>
    <n v="2"/>
    <n v="20"/>
    <x v="1"/>
    <n v="1"/>
    <n v="599.99"/>
    <n v="7.0000000000000007E-2"/>
    <n v="41.999300000000005"/>
    <n v="5"/>
    <n v="6"/>
  </r>
  <r>
    <n v="590"/>
    <n v="3"/>
    <n v="8"/>
    <x v="2"/>
    <n v="2"/>
    <n v="1799.99"/>
    <n v="0.05"/>
    <n v="89.999500000000012"/>
    <n v="8"/>
    <n v="6"/>
  </r>
  <r>
    <n v="590"/>
    <n v="4"/>
    <n v="5"/>
    <x v="3"/>
    <n v="2"/>
    <n v="1320.99"/>
    <n v="0.1"/>
    <n v="132.09900000000002"/>
    <n v="9"/>
    <n v="6"/>
  </r>
  <r>
    <n v="590"/>
    <n v="5"/>
    <n v="24"/>
    <x v="4"/>
    <n v="1"/>
    <n v="549.99"/>
    <n v="0.1"/>
    <n v="54.999000000000002"/>
    <n v="3"/>
    <n v="6"/>
  </r>
  <r>
    <n v="591"/>
    <n v="1"/>
    <n v="16"/>
    <x v="0"/>
    <n v="2"/>
    <n v="599.99"/>
    <n v="0.05"/>
    <n v="29.999500000000001"/>
    <n v="9"/>
    <n v="6"/>
  </r>
  <r>
    <n v="591"/>
    <n v="2"/>
    <n v="25"/>
    <x v="1"/>
    <n v="2"/>
    <n v="499.99"/>
    <n v="0.05"/>
    <n v="24.999500000000001"/>
    <n v="5"/>
    <n v="6"/>
  </r>
  <r>
    <n v="591"/>
    <n v="3"/>
    <n v="2"/>
    <x v="2"/>
    <n v="2"/>
    <n v="749.99"/>
    <n v="0.1"/>
    <n v="74.999000000000009"/>
    <n v="8"/>
    <n v="6"/>
  </r>
  <r>
    <n v="592"/>
    <n v="1"/>
    <n v="21"/>
    <x v="0"/>
    <n v="2"/>
    <n v="269.99"/>
    <n v="0.1"/>
    <n v="26.999000000000002"/>
    <n v="9"/>
    <n v="6"/>
  </r>
  <r>
    <n v="592"/>
    <n v="2"/>
    <n v="16"/>
    <x v="1"/>
    <n v="1"/>
    <n v="599.99"/>
    <n v="0.05"/>
    <n v="29.999500000000001"/>
    <n v="5"/>
    <n v="6"/>
  </r>
  <r>
    <n v="592"/>
    <n v="3"/>
    <n v="18"/>
    <x v="2"/>
    <n v="2"/>
    <n v="449"/>
    <n v="7.0000000000000007E-2"/>
    <n v="31.430000000000003"/>
    <n v="8"/>
    <n v="6"/>
  </r>
  <r>
    <n v="593"/>
    <n v="1"/>
    <n v="3"/>
    <x v="0"/>
    <n v="2"/>
    <n v="999.99"/>
    <n v="0.1"/>
    <n v="99.999000000000009"/>
    <n v="9"/>
    <n v="6"/>
  </r>
  <r>
    <n v="593"/>
    <n v="2"/>
    <n v="25"/>
    <x v="1"/>
    <n v="1"/>
    <n v="499.99"/>
    <n v="7.0000000000000007E-2"/>
    <n v="34.999300000000005"/>
    <n v="5"/>
    <n v="6"/>
  </r>
  <r>
    <n v="594"/>
    <n v="1"/>
    <n v="26"/>
    <x v="0"/>
    <n v="1"/>
    <n v="599.99"/>
    <n v="0.1"/>
    <n v="59.999000000000002"/>
    <n v="9"/>
    <n v="6"/>
  </r>
  <r>
    <n v="594"/>
    <n v="2"/>
    <n v="21"/>
    <x v="1"/>
    <n v="2"/>
    <n v="269.99"/>
    <n v="0.05"/>
    <n v="13.499500000000001"/>
    <n v="5"/>
    <n v="6"/>
  </r>
  <r>
    <n v="595"/>
    <n v="1"/>
    <n v="4"/>
    <x v="0"/>
    <n v="1"/>
    <n v="2899.99"/>
    <n v="7.0000000000000007E-2"/>
    <n v="202.99930000000001"/>
    <n v="9"/>
    <n v="6"/>
  </r>
  <r>
    <n v="595"/>
    <n v="2"/>
    <n v="19"/>
    <x v="1"/>
    <n v="2"/>
    <n v="449"/>
    <n v="7.0000000000000007E-2"/>
    <n v="31.430000000000003"/>
    <n v="5"/>
    <n v="6"/>
  </r>
  <r>
    <n v="595"/>
    <n v="3"/>
    <n v="3"/>
    <x v="2"/>
    <n v="1"/>
    <n v="999.99"/>
    <n v="7.0000000000000007E-2"/>
    <n v="69.999300000000005"/>
    <n v="8"/>
    <n v="6"/>
  </r>
  <r>
    <n v="595"/>
    <n v="4"/>
    <n v="10"/>
    <x v="3"/>
    <n v="1"/>
    <n v="1549"/>
    <n v="7.0000000000000007E-2"/>
    <n v="108.43"/>
    <n v="9"/>
    <n v="6"/>
  </r>
  <r>
    <n v="595"/>
    <n v="5"/>
    <n v="26"/>
    <x v="4"/>
    <n v="2"/>
    <n v="599.99"/>
    <n v="0.05"/>
    <n v="29.999500000000001"/>
    <n v="3"/>
    <n v="6"/>
  </r>
  <r>
    <n v="596"/>
    <n v="1"/>
    <n v="5"/>
    <x v="0"/>
    <n v="1"/>
    <n v="1320.99"/>
    <n v="0.05"/>
    <n v="66.049500000000009"/>
    <n v="9"/>
    <n v="6"/>
  </r>
  <r>
    <n v="596"/>
    <n v="2"/>
    <n v="23"/>
    <x v="1"/>
    <n v="2"/>
    <n v="299.99"/>
    <n v="0.1"/>
    <n v="29.999000000000002"/>
    <n v="5"/>
    <n v="6"/>
  </r>
  <r>
    <n v="596"/>
    <n v="3"/>
    <n v="9"/>
    <x v="2"/>
    <n v="1"/>
    <n v="2999.99"/>
    <n v="0.05"/>
    <n v="149.99949999999998"/>
    <n v="8"/>
    <n v="6"/>
  </r>
  <r>
    <n v="597"/>
    <n v="1"/>
    <n v="17"/>
    <x v="0"/>
    <n v="2"/>
    <n v="429"/>
    <n v="0.2"/>
    <n v="85.800000000000011"/>
    <n v="9"/>
    <n v="6"/>
  </r>
  <r>
    <n v="597"/>
    <n v="2"/>
    <n v="8"/>
    <x v="1"/>
    <n v="1"/>
    <n v="1799.99"/>
    <n v="7.0000000000000007E-2"/>
    <n v="125.99930000000002"/>
    <n v="5"/>
    <n v="6"/>
  </r>
  <r>
    <n v="598"/>
    <n v="1"/>
    <n v="4"/>
    <x v="0"/>
    <n v="2"/>
    <n v="2899.99"/>
    <n v="0.05"/>
    <n v="144.99949999999998"/>
    <n v="9"/>
    <n v="6"/>
  </r>
  <r>
    <n v="598"/>
    <n v="2"/>
    <n v="16"/>
    <x v="1"/>
    <n v="2"/>
    <n v="599.99"/>
    <n v="7.0000000000000007E-2"/>
    <n v="41.999300000000005"/>
    <n v="5"/>
    <n v="6"/>
  </r>
  <r>
    <n v="598"/>
    <n v="3"/>
    <n v="14"/>
    <x v="2"/>
    <n v="1"/>
    <n v="269.99"/>
    <n v="0.1"/>
    <n v="26.999000000000002"/>
    <n v="8"/>
    <n v="6"/>
  </r>
  <r>
    <n v="599"/>
    <n v="1"/>
    <n v="9"/>
    <x v="0"/>
    <n v="2"/>
    <n v="2999.99"/>
    <n v="0.05"/>
    <n v="149.99949999999998"/>
    <n v="9"/>
    <n v="6"/>
  </r>
  <r>
    <n v="599"/>
    <n v="2"/>
    <n v="22"/>
    <x v="1"/>
    <n v="2"/>
    <n v="269.99"/>
    <n v="0.2"/>
    <n v="53.998000000000005"/>
    <n v="5"/>
    <n v="6"/>
  </r>
  <r>
    <n v="599"/>
    <n v="3"/>
    <n v="23"/>
    <x v="2"/>
    <n v="1"/>
    <n v="299.99"/>
    <n v="7.0000000000000007E-2"/>
    <n v="20.999300000000002"/>
    <n v="8"/>
    <n v="6"/>
  </r>
  <r>
    <n v="599"/>
    <n v="4"/>
    <n v="10"/>
    <x v="3"/>
    <n v="2"/>
    <n v="1549"/>
    <n v="0.1"/>
    <n v="154.9"/>
    <n v="9"/>
    <n v="6"/>
  </r>
  <r>
    <n v="600"/>
    <n v="1"/>
    <n v="26"/>
    <x v="0"/>
    <n v="2"/>
    <n v="599.99"/>
    <n v="7.0000000000000007E-2"/>
    <n v="41.999300000000005"/>
    <n v="9"/>
    <n v="6"/>
  </r>
  <r>
    <n v="600"/>
    <n v="2"/>
    <n v="4"/>
    <x v="1"/>
    <n v="1"/>
    <n v="2899.99"/>
    <n v="0.2"/>
    <n v="579.99799999999993"/>
    <n v="5"/>
    <n v="6"/>
  </r>
  <r>
    <n v="600"/>
    <n v="3"/>
    <n v="18"/>
    <x v="2"/>
    <n v="2"/>
    <n v="449"/>
    <n v="7.0000000000000007E-2"/>
    <n v="31.430000000000003"/>
    <n v="8"/>
    <n v="6"/>
  </r>
  <r>
    <n v="601"/>
    <n v="1"/>
    <n v="12"/>
    <x v="0"/>
    <n v="2"/>
    <n v="549.99"/>
    <n v="0.2"/>
    <n v="109.998"/>
    <n v="9"/>
    <n v="6"/>
  </r>
  <r>
    <n v="602"/>
    <n v="1"/>
    <n v="15"/>
    <x v="0"/>
    <n v="2"/>
    <n v="529.99"/>
    <n v="0.05"/>
    <n v="26.499500000000001"/>
    <n v="9"/>
    <n v="6"/>
  </r>
  <r>
    <n v="602"/>
    <n v="2"/>
    <n v="5"/>
    <x v="1"/>
    <n v="2"/>
    <n v="1320.99"/>
    <n v="7.0000000000000007E-2"/>
    <n v="92.469300000000004"/>
    <n v="5"/>
    <n v="6"/>
  </r>
  <r>
    <n v="603"/>
    <n v="1"/>
    <n v="12"/>
    <x v="0"/>
    <n v="1"/>
    <n v="549.99"/>
    <n v="7.0000000000000007E-2"/>
    <n v="38.499300000000005"/>
    <n v="9"/>
    <n v="6"/>
  </r>
  <r>
    <n v="603"/>
    <n v="2"/>
    <n v="4"/>
    <x v="1"/>
    <n v="1"/>
    <n v="2899.99"/>
    <n v="0.1"/>
    <n v="289.99899999999997"/>
    <n v="5"/>
    <n v="6"/>
  </r>
  <r>
    <n v="604"/>
    <n v="1"/>
    <n v="10"/>
    <x v="0"/>
    <n v="2"/>
    <n v="1549"/>
    <n v="7.0000000000000007E-2"/>
    <n v="108.43"/>
    <n v="9"/>
    <n v="6"/>
  </r>
  <r>
    <n v="604"/>
    <n v="2"/>
    <n v="9"/>
    <x v="1"/>
    <n v="2"/>
    <n v="2999.99"/>
    <n v="0.2"/>
    <n v="599.99799999999993"/>
    <n v="5"/>
    <n v="6"/>
  </r>
  <r>
    <n v="605"/>
    <n v="1"/>
    <n v="19"/>
    <x v="0"/>
    <n v="1"/>
    <n v="449"/>
    <n v="7.0000000000000007E-2"/>
    <n v="31.430000000000003"/>
    <n v="9"/>
    <n v="6"/>
  </r>
  <r>
    <n v="605"/>
    <n v="2"/>
    <n v="25"/>
    <x v="1"/>
    <n v="2"/>
    <n v="499.99"/>
    <n v="0.05"/>
    <n v="24.999500000000001"/>
    <n v="5"/>
    <n v="6"/>
  </r>
  <r>
    <n v="605"/>
    <n v="3"/>
    <n v="13"/>
    <x v="2"/>
    <n v="2"/>
    <n v="269.99"/>
    <n v="0.2"/>
    <n v="53.998000000000005"/>
    <n v="8"/>
    <n v="6"/>
  </r>
  <r>
    <n v="605"/>
    <n v="4"/>
    <n v="11"/>
    <x v="3"/>
    <n v="1"/>
    <n v="1680.99"/>
    <n v="0.2"/>
    <n v="336.19800000000004"/>
    <n v="9"/>
    <n v="6"/>
  </r>
  <r>
    <n v="606"/>
    <n v="1"/>
    <n v="6"/>
    <x v="0"/>
    <n v="2"/>
    <n v="469.99"/>
    <n v="0.2"/>
    <n v="93.998000000000005"/>
    <n v="9"/>
    <n v="6"/>
  </r>
  <r>
    <n v="606"/>
    <n v="2"/>
    <n v="18"/>
    <x v="1"/>
    <n v="2"/>
    <n v="449"/>
    <n v="0.05"/>
    <n v="22.450000000000003"/>
    <n v="5"/>
    <n v="6"/>
  </r>
  <r>
    <n v="607"/>
    <n v="1"/>
    <n v="11"/>
    <x v="0"/>
    <n v="2"/>
    <n v="1680.99"/>
    <n v="0.2"/>
    <n v="336.19800000000004"/>
    <n v="9"/>
    <n v="6"/>
  </r>
  <r>
    <n v="607"/>
    <n v="2"/>
    <n v="26"/>
    <x v="1"/>
    <n v="2"/>
    <n v="599.99"/>
    <n v="0.2"/>
    <n v="119.998"/>
    <n v="5"/>
    <n v="6"/>
  </r>
  <r>
    <n v="607"/>
    <n v="3"/>
    <n v="14"/>
    <x v="2"/>
    <n v="1"/>
    <n v="269.99"/>
    <n v="7.0000000000000007E-2"/>
    <n v="18.899300000000004"/>
    <n v="8"/>
    <n v="6"/>
  </r>
  <r>
    <n v="608"/>
    <n v="1"/>
    <n v="4"/>
    <x v="0"/>
    <n v="2"/>
    <n v="2899.99"/>
    <n v="0.2"/>
    <n v="579.99799999999993"/>
    <n v="9"/>
    <n v="6"/>
  </r>
  <r>
    <n v="608"/>
    <n v="2"/>
    <n v="7"/>
    <x v="1"/>
    <n v="2"/>
    <n v="3999.99"/>
    <n v="0.1"/>
    <n v="399.99900000000002"/>
    <n v="5"/>
    <n v="6"/>
  </r>
  <r>
    <n v="608"/>
    <n v="3"/>
    <n v="24"/>
    <x v="2"/>
    <n v="1"/>
    <n v="549.99"/>
    <n v="0.1"/>
    <n v="54.999000000000002"/>
    <n v="8"/>
    <n v="6"/>
  </r>
  <r>
    <n v="609"/>
    <n v="1"/>
    <n v="10"/>
    <x v="0"/>
    <n v="1"/>
    <n v="1549"/>
    <n v="7.0000000000000007E-2"/>
    <n v="108.43"/>
    <n v="9"/>
    <n v="6"/>
  </r>
  <r>
    <n v="609"/>
    <n v="2"/>
    <n v="7"/>
    <x v="1"/>
    <n v="1"/>
    <n v="3999.99"/>
    <n v="0.1"/>
    <n v="399.99900000000002"/>
    <n v="5"/>
    <n v="6"/>
  </r>
  <r>
    <n v="609"/>
    <n v="3"/>
    <n v="22"/>
    <x v="2"/>
    <n v="2"/>
    <n v="269.99"/>
    <n v="0.1"/>
    <n v="26.999000000000002"/>
    <n v="8"/>
    <n v="6"/>
  </r>
  <r>
    <n v="609"/>
    <n v="4"/>
    <n v="5"/>
    <x v="3"/>
    <n v="1"/>
    <n v="1320.99"/>
    <n v="0.1"/>
    <n v="132.09900000000002"/>
    <n v="9"/>
    <n v="6"/>
  </r>
  <r>
    <n v="610"/>
    <n v="1"/>
    <n v="26"/>
    <x v="0"/>
    <n v="1"/>
    <n v="599.99"/>
    <n v="0.1"/>
    <n v="59.999000000000002"/>
    <n v="9"/>
    <n v="6"/>
  </r>
  <r>
    <n v="610"/>
    <n v="2"/>
    <n v="24"/>
    <x v="1"/>
    <n v="1"/>
    <n v="549.99"/>
    <n v="7.0000000000000007E-2"/>
    <n v="38.499300000000005"/>
    <n v="5"/>
    <n v="6"/>
  </r>
  <r>
    <n v="610"/>
    <n v="3"/>
    <n v="18"/>
    <x v="2"/>
    <n v="2"/>
    <n v="449"/>
    <n v="7.0000000000000007E-2"/>
    <n v="31.430000000000003"/>
    <n v="8"/>
    <n v="6"/>
  </r>
  <r>
    <n v="610"/>
    <n v="4"/>
    <n v="3"/>
    <x v="3"/>
    <n v="1"/>
    <n v="999.99"/>
    <n v="7.0000000000000007E-2"/>
    <n v="69.999300000000005"/>
    <n v="9"/>
    <n v="6"/>
  </r>
  <r>
    <n v="610"/>
    <n v="5"/>
    <n v="8"/>
    <x v="4"/>
    <n v="1"/>
    <n v="1799.99"/>
    <n v="0.1"/>
    <n v="179.99900000000002"/>
    <n v="3"/>
    <n v="6"/>
  </r>
  <r>
    <n v="611"/>
    <n v="1"/>
    <n v="16"/>
    <x v="0"/>
    <n v="2"/>
    <n v="599.99"/>
    <n v="7.0000000000000007E-2"/>
    <n v="41.999300000000005"/>
    <n v="9"/>
    <n v="6"/>
  </r>
  <r>
    <n v="612"/>
    <n v="1"/>
    <n v="13"/>
    <x v="0"/>
    <n v="1"/>
    <n v="269.99"/>
    <n v="0.1"/>
    <n v="26.999000000000002"/>
    <n v="9"/>
    <n v="6"/>
  </r>
  <r>
    <n v="612"/>
    <n v="2"/>
    <n v="14"/>
    <x v="1"/>
    <n v="1"/>
    <n v="269.99"/>
    <n v="0.1"/>
    <n v="26.999000000000002"/>
    <n v="5"/>
    <n v="6"/>
  </r>
  <r>
    <n v="612"/>
    <n v="3"/>
    <n v="17"/>
    <x v="2"/>
    <n v="1"/>
    <n v="429"/>
    <n v="7.0000000000000007E-2"/>
    <n v="30.03"/>
    <n v="8"/>
    <n v="6"/>
  </r>
  <r>
    <n v="612"/>
    <n v="4"/>
    <n v="20"/>
    <x v="3"/>
    <n v="1"/>
    <n v="599.99"/>
    <n v="0.2"/>
    <n v="119.998"/>
    <n v="9"/>
    <n v="6"/>
  </r>
  <r>
    <n v="613"/>
    <n v="1"/>
    <n v="9"/>
    <x v="0"/>
    <n v="2"/>
    <n v="2999.99"/>
    <n v="0.1"/>
    <n v="299.99899999999997"/>
    <n v="9"/>
    <n v="6"/>
  </r>
  <r>
    <n v="613"/>
    <n v="2"/>
    <n v="18"/>
    <x v="1"/>
    <n v="2"/>
    <n v="449"/>
    <n v="0.05"/>
    <n v="22.450000000000003"/>
    <n v="5"/>
    <n v="6"/>
  </r>
  <r>
    <n v="613"/>
    <n v="3"/>
    <n v="12"/>
    <x v="2"/>
    <n v="1"/>
    <n v="549.99"/>
    <n v="7.0000000000000007E-2"/>
    <n v="38.499300000000005"/>
    <n v="8"/>
    <n v="6"/>
  </r>
  <r>
    <n v="614"/>
    <n v="1"/>
    <n v="18"/>
    <x v="0"/>
    <n v="1"/>
    <n v="449"/>
    <n v="0.1"/>
    <n v="44.900000000000006"/>
    <n v="9"/>
    <n v="6"/>
  </r>
  <r>
    <n v="614"/>
    <n v="2"/>
    <n v="21"/>
    <x v="1"/>
    <n v="1"/>
    <n v="269.99"/>
    <n v="0.05"/>
    <n v="13.499500000000001"/>
    <n v="5"/>
    <n v="6"/>
  </r>
  <r>
    <n v="615"/>
    <n v="1"/>
    <n v="11"/>
    <x v="0"/>
    <n v="1"/>
    <n v="1680.99"/>
    <n v="7.0000000000000007E-2"/>
    <n v="117.66930000000001"/>
    <n v="9"/>
    <n v="6"/>
  </r>
  <r>
    <n v="615"/>
    <n v="2"/>
    <n v="23"/>
    <x v="1"/>
    <n v="1"/>
    <n v="299.99"/>
    <n v="0.05"/>
    <n v="14.999500000000001"/>
    <n v="5"/>
    <n v="6"/>
  </r>
  <r>
    <n v="615"/>
    <n v="3"/>
    <n v="6"/>
    <x v="2"/>
    <n v="2"/>
    <n v="469.99"/>
    <n v="0.1"/>
    <n v="46.999000000000002"/>
    <n v="8"/>
    <n v="6"/>
  </r>
  <r>
    <n v="615"/>
    <n v="4"/>
    <n v="19"/>
    <x v="3"/>
    <n v="2"/>
    <n v="449"/>
    <n v="0.1"/>
    <n v="44.900000000000006"/>
    <n v="9"/>
    <n v="6"/>
  </r>
  <r>
    <n v="616"/>
    <n v="1"/>
    <n v="24"/>
    <x v="0"/>
    <n v="1"/>
    <n v="549.99"/>
    <n v="0.2"/>
    <n v="109.998"/>
    <n v="9"/>
    <n v="6"/>
  </r>
  <r>
    <n v="616"/>
    <n v="2"/>
    <n v="16"/>
    <x v="1"/>
    <n v="2"/>
    <n v="599.99"/>
    <n v="0.2"/>
    <n v="119.998"/>
    <n v="5"/>
    <n v="6"/>
  </r>
  <r>
    <n v="617"/>
    <n v="1"/>
    <n v="15"/>
    <x v="0"/>
    <n v="2"/>
    <n v="529.99"/>
    <n v="0.2"/>
    <n v="105.998"/>
    <n v="9"/>
    <n v="6"/>
  </r>
  <r>
    <n v="617"/>
    <n v="2"/>
    <n v="11"/>
    <x v="1"/>
    <n v="2"/>
    <n v="1680.99"/>
    <n v="7.0000000000000007E-2"/>
    <n v="117.66930000000001"/>
    <n v="5"/>
    <n v="6"/>
  </r>
  <r>
    <n v="618"/>
    <n v="1"/>
    <n v="17"/>
    <x v="0"/>
    <n v="2"/>
    <n v="429"/>
    <n v="0.1"/>
    <n v="42.900000000000006"/>
    <n v="9"/>
    <n v="6"/>
  </r>
  <r>
    <n v="618"/>
    <n v="2"/>
    <n v="11"/>
    <x v="1"/>
    <n v="1"/>
    <n v="1680.99"/>
    <n v="7.0000000000000007E-2"/>
    <n v="117.66930000000001"/>
    <n v="5"/>
    <n v="6"/>
  </r>
  <r>
    <n v="619"/>
    <n v="1"/>
    <n v="25"/>
    <x v="0"/>
    <n v="1"/>
    <n v="499.99"/>
    <n v="7.0000000000000007E-2"/>
    <n v="34.999300000000005"/>
    <n v="9"/>
    <n v="6"/>
  </r>
  <r>
    <n v="620"/>
    <n v="1"/>
    <n v="5"/>
    <x v="0"/>
    <n v="2"/>
    <n v="1320.99"/>
    <n v="0.2"/>
    <n v="264.19800000000004"/>
    <n v="9"/>
    <n v="6"/>
  </r>
  <r>
    <n v="621"/>
    <n v="1"/>
    <n v="17"/>
    <x v="0"/>
    <n v="2"/>
    <n v="429"/>
    <n v="7.0000000000000007E-2"/>
    <n v="30.03"/>
    <n v="9"/>
    <n v="6"/>
  </r>
  <r>
    <n v="622"/>
    <n v="1"/>
    <n v="9"/>
    <x v="0"/>
    <n v="2"/>
    <n v="2999.99"/>
    <n v="7.0000000000000007E-2"/>
    <n v="209.99930000000001"/>
    <n v="9"/>
    <n v="6"/>
  </r>
  <r>
    <n v="622"/>
    <n v="2"/>
    <n v="18"/>
    <x v="1"/>
    <n v="1"/>
    <n v="449"/>
    <n v="0.1"/>
    <n v="44.900000000000006"/>
    <n v="5"/>
    <n v="6"/>
  </r>
  <r>
    <n v="622"/>
    <n v="3"/>
    <n v="10"/>
    <x v="2"/>
    <n v="1"/>
    <n v="1549"/>
    <n v="0.2"/>
    <n v="309.8"/>
    <n v="8"/>
    <n v="6"/>
  </r>
  <r>
    <n v="622"/>
    <n v="4"/>
    <n v="25"/>
    <x v="3"/>
    <n v="1"/>
    <n v="499.99"/>
    <n v="7.0000000000000007E-2"/>
    <n v="34.999300000000005"/>
    <n v="9"/>
    <n v="6"/>
  </r>
  <r>
    <n v="623"/>
    <n v="1"/>
    <n v="8"/>
    <x v="0"/>
    <n v="1"/>
    <n v="1799.99"/>
    <n v="7.0000000000000007E-2"/>
    <n v="125.99930000000002"/>
    <n v="9"/>
    <n v="6"/>
  </r>
  <r>
    <n v="624"/>
    <n v="1"/>
    <n v="21"/>
    <x v="0"/>
    <n v="2"/>
    <n v="269.99"/>
    <n v="0.05"/>
    <n v="13.499500000000001"/>
    <n v="9"/>
    <n v="6"/>
  </r>
  <r>
    <n v="624"/>
    <n v="2"/>
    <n v="16"/>
    <x v="1"/>
    <n v="1"/>
    <n v="599.99"/>
    <n v="7.0000000000000007E-2"/>
    <n v="41.999300000000005"/>
    <n v="5"/>
    <n v="6"/>
  </r>
  <r>
    <n v="624"/>
    <n v="3"/>
    <n v="22"/>
    <x v="2"/>
    <n v="1"/>
    <n v="269.99"/>
    <n v="7.0000000000000007E-2"/>
    <n v="18.899300000000004"/>
    <n v="8"/>
    <n v="6"/>
  </r>
  <r>
    <n v="624"/>
    <n v="4"/>
    <n v="14"/>
    <x v="3"/>
    <n v="2"/>
    <n v="269.99"/>
    <n v="0.2"/>
    <n v="53.998000000000005"/>
    <n v="9"/>
    <n v="6"/>
  </r>
  <r>
    <n v="625"/>
    <n v="1"/>
    <n v="17"/>
    <x v="0"/>
    <n v="1"/>
    <n v="429"/>
    <n v="7.0000000000000007E-2"/>
    <n v="30.03"/>
    <n v="9"/>
    <n v="6"/>
  </r>
  <r>
    <n v="625"/>
    <n v="2"/>
    <n v="11"/>
    <x v="1"/>
    <n v="2"/>
    <n v="1680.99"/>
    <n v="0.2"/>
    <n v="336.19800000000004"/>
    <n v="5"/>
    <n v="6"/>
  </r>
  <r>
    <n v="625"/>
    <n v="3"/>
    <n v="26"/>
    <x v="2"/>
    <n v="1"/>
    <n v="599.99"/>
    <n v="7.0000000000000007E-2"/>
    <n v="41.999300000000005"/>
    <n v="8"/>
    <n v="6"/>
  </r>
  <r>
    <n v="625"/>
    <n v="4"/>
    <n v="23"/>
    <x v="3"/>
    <n v="2"/>
    <n v="299.99"/>
    <n v="0.1"/>
    <n v="29.999000000000002"/>
    <n v="9"/>
    <n v="6"/>
  </r>
  <r>
    <n v="626"/>
    <n v="1"/>
    <n v="15"/>
    <x v="0"/>
    <n v="1"/>
    <n v="529.99"/>
    <n v="0.2"/>
    <n v="105.998"/>
    <n v="9"/>
    <n v="6"/>
  </r>
  <r>
    <n v="627"/>
    <n v="1"/>
    <n v="19"/>
    <x v="0"/>
    <n v="1"/>
    <n v="449"/>
    <n v="7.0000000000000007E-2"/>
    <n v="31.430000000000003"/>
    <n v="9"/>
    <n v="6"/>
  </r>
  <r>
    <n v="627"/>
    <n v="2"/>
    <n v="9"/>
    <x v="1"/>
    <n v="2"/>
    <n v="2999.99"/>
    <n v="0.2"/>
    <n v="599.99799999999993"/>
    <n v="5"/>
    <n v="6"/>
  </r>
  <r>
    <n v="627"/>
    <n v="3"/>
    <n v="26"/>
    <x v="2"/>
    <n v="1"/>
    <n v="599.99"/>
    <n v="7.0000000000000007E-2"/>
    <n v="41.999300000000005"/>
    <n v="8"/>
    <n v="6"/>
  </r>
  <r>
    <n v="628"/>
    <n v="1"/>
    <n v="15"/>
    <x v="0"/>
    <n v="2"/>
    <n v="529.99"/>
    <n v="0.1"/>
    <n v="52.999000000000002"/>
    <n v="9"/>
    <n v="6"/>
  </r>
  <r>
    <n v="629"/>
    <n v="1"/>
    <n v="19"/>
    <x v="0"/>
    <n v="1"/>
    <n v="449"/>
    <n v="0.05"/>
    <n v="22.450000000000003"/>
    <n v="9"/>
    <n v="6"/>
  </r>
  <r>
    <n v="629"/>
    <n v="2"/>
    <n v="5"/>
    <x v="1"/>
    <n v="2"/>
    <n v="1320.99"/>
    <n v="0.05"/>
    <n v="66.049500000000009"/>
    <n v="5"/>
    <n v="6"/>
  </r>
  <r>
    <n v="629"/>
    <n v="3"/>
    <n v="23"/>
    <x v="2"/>
    <n v="2"/>
    <n v="299.99"/>
    <n v="0.1"/>
    <n v="29.999000000000002"/>
    <n v="8"/>
    <n v="6"/>
  </r>
  <r>
    <n v="629"/>
    <n v="4"/>
    <n v="14"/>
    <x v="3"/>
    <n v="2"/>
    <n v="269.99"/>
    <n v="0.05"/>
    <n v="13.499500000000001"/>
    <n v="9"/>
    <n v="6"/>
  </r>
  <r>
    <n v="629"/>
    <n v="5"/>
    <n v="6"/>
    <x v="4"/>
    <n v="2"/>
    <n v="469.99"/>
    <n v="0.1"/>
    <n v="46.999000000000002"/>
    <n v="3"/>
    <n v="6"/>
  </r>
  <r>
    <n v="630"/>
    <n v="1"/>
    <n v="5"/>
    <x v="0"/>
    <n v="1"/>
    <n v="1320.99"/>
    <n v="0.05"/>
    <n v="66.049500000000009"/>
    <n v="9"/>
    <n v="6"/>
  </r>
  <r>
    <n v="630"/>
    <n v="2"/>
    <n v="25"/>
    <x v="1"/>
    <n v="1"/>
    <n v="499.99"/>
    <n v="0.1"/>
    <n v="49.999000000000002"/>
    <n v="5"/>
    <n v="6"/>
  </r>
  <r>
    <n v="630"/>
    <n v="3"/>
    <n v="18"/>
    <x v="2"/>
    <n v="2"/>
    <n v="449"/>
    <n v="0.1"/>
    <n v="44.900000000000006"/>
    <n v="8"/>
    <n v="6"/>
  </r>
  <r>
    <n v="630"/>
    <n v="4"/>
    <n v="21"/>
    <x v="3"/>
    <n v="2"/>
    <n v="269.99"/>
    <n v="7.0000000000000007E-2"/>
    <n v="18.899300000000004"/>
    <n v="9"/>
    <n v="6"/>
  </r>
  <r>
    <n v="631"/>
    <n v="1"/>
    <n v="24"/>
    <x v="0"/>
    <n v="2"/>
    <n v="549.99"/>
    <n v="7.0000000000000007E-2"/>
    <n v="38.499300000000005"/>
    <n v="9"/>
    <n v="6"/>
  </r>
  <r>
    <n v="631"/>
    <n v="2"/>
    <n v="15"/>
    <x v="1"/>
    <n v="2"/>
    <n v="529.99"/>
    <n v="7.0000000000000007E-2"/>
    <n v="37.099300000000007"/>
    <n v="5"/>
    <n v="6"/>
  </r>
  <r>
    <n v="632"/>
    <n v="1"/>
    <n v="25"/>
    <x v="0"/>
    <n v="1"/>
    <n v="499.99"/>
    <n v="0.2"/>
    <n v="99.998000000000005"/>
    <n v="9"/>
    <n v="6"/>
  </r>
  <r>
    <n v="632"/>
    <n v="2"/>
    <n v="11"/>
    <x v="1"/>
    <n v="2"/>
    <n v="1680.99"/>
    <n v="0.1"/>
    <n v="168.09900000000002"/>
    <n v="5"/>
    <n v="6"/>
  </r>
  <r>
    <n v="632"/>
    <n v="3"/>
    <n v="15"/>
    <x v="2"/>
    <n v="1"/>
    <n v="529.99"/>
    <n v="7.0000000000000007E-2"/>
    <n v="37.099300000000007"/>
    <n v="8"/>
    <n v="6"/>
  </r>
  <r>
    <n v="632"/>
    <n v="4"/>
    <n v="6"/>
    <x v="3"/>
    <n v="1"/>
    <n v="469.99"/>
    <n v="0.05"/>
    <n v="23.499500000000001"/>
    <n v="9"/>
    <n v="6"/>
  </r>
  <r>
    <n v="632"/>
    <n v="5"/>
    <n v="22"/>
    <x v="4"/>
    <n v="2"/>
    <n v="269.99"/>
    <n v="0.1"/>
    <n v="26.999000000000002"/>
    <n v="3"/>
    <n v="6"/>
  </r>
  <r>
    <n v="633"/>
    <n v="1"/>
    <n v="12"/>
    <x v="0"/>
    <n v="2"/>
    <n v="549.99"/>
    <n v="0.05"/>
    <n v="27.499500000000001"/>
    <n v="9"/>
    <n v="6"/>
  </r>
  <r>
    <n v="633"/>
    <n v="2"/>
    <n v="13"/>
    <x v="1"/>
    <n v="2"/>
    <n v="269.99"/>
    <n v="0.2"/>
    <n v="53.998000000000005"/>
    <n v="5"/>
    <n v="6"/>
  </r>
  <r>
    <n v="633"/>
    <n v="3"/>
    <n v="5"/>
    <x v="2"/>
    <n v="2"/>
    <n v="1320.99"/>
    <n v="0.2"/>
    <n v="264.19800000000004"/>
    <n v="8"/>
    <n v="6"/>
  </r>
  <r>
    <n v="633"/>
    <n v="4"/>
    <n v="10"/>
    <x v="3"/>
    <n v="2"/>
    <n v="1549"/>
    <n v="0.2"/>
    <n v="309.8"/>
    <n v="9"/>
    <n v="6"/>
  </r>
  <r>
    <n v="634"/>
    <n v="1"/>
    <n v="4"/>
    <x v="0"/>
    <n v="2"/>
    <n v="2899.99"/>
    <n v="0.05"/>
    <n v="144.99949999999998"/>
    <n v="9"/>
    <n v="6"/>
  </r>
  <r>
    <n v="634"/>
    <n v="2"/>
    <n v="12"/>
    <x v="1"/>
    <n v="1"/>
    <n v="549.99"/>
    <n v="0.1"/>
    <n v="54.999000000000002"/>
    <n v="5"/>
    <n v="6"/>
  </r>
  <r>
    <n v="635"/>
    <n v="1"/>
    <n v="4"/>
    <x v="0"/>
    <n v="1"/>
    <n v="2899.99"/>
    <n v="0.05"/>
    <n v="144.99949999999998"/>
    <n v="9"/>
    <n v="6"/>
  </r>
  <r>
    <n v="636"/>
    <n v="1"/>
    <n v="85"/>
    <x v="0"/>
    <n v="2"/>
    <n v="329.99"/>
    <n v="0.2"/>
    <n v="65.998000000000005"/>
    <n v="9"/>
    <n v="6"/>
  </r>
  <r>
    <n v="637"/>
    <n v="1"/>
    <n v="9"/>
    <x v="0"/>
    <n v="1"/>
    <n v="2999.99"/>
    <n v="0.1"/>
    <n v="299.99899999999997"/>
    <n v="9"/>
    <n v="6"/>
  </r>
  <r>
    <n v="637"/>
    <n v="2"/>
    <n v="106"/>
    <x v="1"/>
    <n v="2"/>
    <n v="449.99"/>
    <n v="0.1"/>
    <n v="44.999000000000002"/>
    <n v="5"/>
    <n v="6"/>
  </r>
  <r>
    <n v="638"/>
    <n v="1"/>
    <n v="103"/>
    <x v="0"/>
    <n v="1"/>
    <n v="551.99"/>
    <n v="0.05"/>
    <n v="27.599500000000003"/>
    <n v="9"/>
    <n v="6"/>
  </r>
  <r>
    <n v="638"/>
    <n v="2"/>
    <n v="56"/>
    <x v="1"/>
    <n v="1"/>
    <n v="5499.99"/>
    <n v="0.2"/>
    <n v="1099.998"/>
    <n v="5"/>
    <n v="6"/>
  </r>
  <r>
    <n v="638"/>
    <n v="3"/>
    <n v="53"/>
    <x v="2"/>
    <n v="2"/>
    <n v="749.99"/>
    <n v="0.05"/>
    <n v="37.499500000000005"/>
    <n v="8"/>
    <n v="6"/>
  </r>
  <r>
    <n v="639"/>
    <n v="1"/>
    <n v="15"/>
    <x v="0"/>
    <n v="1"/>
    <n v="529.99"/>
    <n v="7.0000000000000007E-2"/>
    <n v="37.099300000000007"/>
    <n v="9"/>
    <n v="6"/>
  </r>
  <r>
    <n v="639"/>
    <n v="2"/>
    <n v="73"/>
    <x v="1"/>
    <n v="1"/>
    <n v="749.99"/>
    <n v="0.05"/>
    <n v="37.499500000000005"/>
    <n v="5"/>
    <n v="6"/>
  </r>
  <r>
    <n v="639"/>
    <n v="3"/>
    <n v="72"/>
    <x v="2"/>
    <n v="1"/>
    <n v="619.99"/>
    <n v="0.05"/>
    <n v="30.999500000000001"/>
    <n v="8"/>
    <n v="6"/>
  </r>
  <r>
    <n v="639"/>
    <n v="4"/>
    <n v="61"/>
    <x v="3"/>
    <n v="2"/>
    <n v="4999.99"/>
    <n v="0.1"/>
    <n v="499.99900000000002"/>
    <n v="9"/>
    <n v="6"/>
  </r>
  <r>
    <n v="640"/>
    <n v="1"/>
    <n v="106"/>
    <x v="0"/>
    <n v="2"/>
    <n v="449.99"/>
    <n v="0.05"/>
    <n v="22.499500000000001"/>
    <n v="9"/>
    <n v="6"/>
  </r>
  <r>
    <n v="640"/>
    <n v="2"/>
    <n v="32"/>
    <x v="1"/>
    <n v="1"/>
    <n v="469.99"/>
    <n v="7.0000000000000007E-2"/>
    <n v="32.899300000000004"/>
    <n v="5"/>
    <n v="6"/>
  </r>
  <r>
    <n v="640"/>
    <n v="3"/>
    <n v="30"/>
    <x v="2"/>
    <n v="1"/>
    <n v="999.99"/>
    <n v="7.0000000000000007E-2"/>
    <n v="69.999300000000005"/>
    <n v="8"/>
    <n v="6"/>
  </r>
  <r>
    <n v="640"/>
    <n v="4"/>
    <n v="76"/>
    <x v="3"/>
    <n v="2"/>
    <n v="299.99"/>
    <n v="7.0000000000000007E-2"/>
    <n v="20.999300000000002"/>
    <n v="9"/>
    <n v="6"/>
  </r>
  <r>
    <n v="640"/>
    <n v="5"/>
    <n v="109"/>
    <x v="4"/>
    <n v="2"/>
    <n v="416.99"/>
    <n v="0.2"/>
    <n v="83.39800000000001"/>
    <n v="3"/>
    <n v="6"/>
  </r>
  <r>
    <n v="641"/>
    <n v="1"/>
    <n v="15"/>
    <x v="0"/>
    <n v="1"/>
    <n v="529.99"/>
    <n v="0.05"/>
    <n v="26.499500000000001"/>
    <n v="9"/>
    <n v="6"/>
  </r>
  <r>
    <n v="641"/>
    <n v="2"/>
    <n v="62"/>
    <x v="1"/>
    <n v="1"/>
    <n v="3499.99"/>
    <n v="0.2"/>
    <n v="699.99800000000005"/>
    <n v="5"/>
    <n v="6"/>
  </r>
  <r>
    <n v="641"/>
    <n v="3"/>
    <n v="64"/>
    <x v="2"/>
    <n v="1"/>
    <n v="489.99"/>
    <n v="0.2"/>
    <n v="97.998000000000005"/>
    <n v="8"/>
    <n v="6"/>
  </r>
  <r>
    <n v="642"/>
    <n v="1"/>
    <n v="68"/>
    <x v="0"/>
    <n v="2"/>
    <n v="449.99"/>
    <n v="7.0000000000000007E-2"/>
    <n v="31.499300000000005"/>
    <n v="9"/>
    <n v="6"/>
  </r>
  <r>
    <n v="643"/>
    <n v="1"/>
    <n v="53"/>
    <x v="0"/>
    <n v="1"/>
    <n v="749.99"/>
    <n v="0.05"/>
    <n v="37.499500000000005"/>
    <n v="9"/>
    <n v="6"/>
  </r>
  <r>
    <n v="644"/>
    <n v="1"/>
    <n v="9"/>
    <x v="0"/>
    <n v="1"/>
    <n v="2999.99"/>
    <n v="7.0000000000000007E-2"/>
    <n v="209.99930000000001"/>
    <n v="9"/>
    <n v="6"/>
  </r>
  <r>
    <n v="645"/>
    <n v="1"/>
    <n v="99"/>
    <x v="0"/>
    <n v="1"/>
    <n v="299.99"/>
    <n v="7.0000000000000007E-2"/>
    <n v="20.999300000000002"/>
    <n v="9"/>
    <n v="6"/>
  </r>
  <r>
    <n v="645"/>
    <n v="2"/>
    <n v="42"/>
    <x v="1"/>
    <n v="2"/>
    <n v="2299.9899999999998"/>
    <n v="0.05"/>
    <n v="114.9995"/>
    <n v="5"/>
    <n v="6"/>
  </r>
  <r>
    <n v="645"/>
    <n v="3"/>
    <n v="6"/>
    <x v="2"/>
    <n v="1"/>
    <n v="469.99"/>
    <n v="0.05"/>
    <n v="23.499500000000001"/>
    <n v="8"/>
    <n v="6"/>
  </r>
  <r>
    <n v="645"/>
    <n v="4"/>
    <n v="47"/>
    <x v="3"/>
    <n v="2"/>
    <n v="5299.99"/>
    <n v="7.0000000000000007E-2"/>
    <n v="370.99930000000001"/>
    <n v="9"/>
    <n v="6"/>
  </r>
  <r>
    <n v="645"/>
    <n v="5"/>
    <n v="21"/>
    <x v="4"/>
    <n v="2"/>
    <n v="269.99"/>
    <n v="7.0000000000000007E-2"/>
    <n v="18.899300000000004"/>
    <n v="3"/>
    <n v="6"/>
  </r>
  <r>
    <n v="646"/>
    <n v="1"/>
    <n v="15"/>
    <x v="0"/>
    <n v="2"/>
    <n v="529.99"/>
    <n v="0.2"/>
    <n v="105.998"/>
    <n v="9"/>
    <n v="6"/>
  </r>
  <r>
    <n v="646"/>
    <n v="2"/>
    <n v="4"/>
    <x v="1"/>
    <n v="1"/>
    <n v="2899.99"/>
    <n v="7.0000000000000007E-2"/>
    <n v="202.99930000000001"/>
    <n v="5"/>
    <n v="6"/>
  </r>
  <r>
    <n v="646"/>
    <n v="3"/>
    <n v="95"/>
    <x v="2"/>
    <n v="1"/>
    <n v="299.99"/>
    <n v="0.05"/>
    <n v="14.999500000000001"/>
    <n v="8"/>
    <n v="6"/>
  </r>
  <r>
    <n v="646"/>
    <n v="4"/>
    <n v="12"/>
    <x v="3"/>
    <n v="1"/>
    <n v="549.99"/>
    <n v="0.2"/>
    <n v="109.998"/>
    <n v="9"/>
    <n v="6"/>
  </r>
  <r>
    <n v="647"/>
    <n v="1"/>
    <n v="25"/>
    <x v="0"/>
    <n v="2"/>
    <n v="499.99"/>
    <n v="7.0000000000000007E-2"/>
    <n v="34.999300000000005"/>
    <n v="9"/>
    <n v="6"/>
  </r>
  <r>
    <n v="647"/>
    <n v="2"/>
    <n v="13"/>
    <x v="1"/>
    <n v="1"/>
    <n v="269.99"/>
    <n v="0.1"/>
    <n v="26.999000000000002"/>
    <n v="5"/>
    <n v="6"/>
  </r>
  <r>
    <n v="648"/>
    <n v="1"/>
    <n v="24"/>
    <x v="0"/>
    <n v="1"/>
    <n v="549.99"/>
    <n v="7.0000000000000007E-2"/>
    <n v="38.499300000000005"/>
    <n v="9"/>
    <n v="6"/>
  </r>
  <r>
    <n v="649"/>
    <n v="1"/>
    <n v="97"/>
    <x v="0"/>
    <n v="2"/>
    <n v="349.99"/>
    <n v="0.1"/>
    <n v="34.999000000000002"/>
    <n v="9"/>
    <n v="6"/>
  </r>
  <r>
    <n v="649"/>
    <n v="2"/>
    <n v="90"/>
    <x v="1"/>
    <n v="1"/>
    <n v="209.99"/>
    <n v="7.0000000000000007E-2"/>
    <n v="14.699300000000003"/>
    <n v="5"/>
    <n v="6"/>
  </r>
  <r>
    <n v="649"/>
    <n v="3"/>
    <n v="11"/>
    <x v="2"/>
    <n v="2"/>
    <n v="1680.99"/>
    <n v="0.1"/>
    <n v="168.09900000000002"/>
    <n v="8"/>
    <n v="6"/>
  </r>
  <r>
    <n v="649"/>
    <n v="4"/>
    <n v="78"/>
    <x v="3"/>
    <n v="1"/>
    <n v="647.99"/>
    <n v="0.05"/>
    <n v="32.399500000000003"/>
    <n v="9"/>
    <n v="6"/>
  </r>
  <r>
    <n v="650"/>
    <n v="1"/>
    <n v="3"/>
    <x v="0"/>
    <n v="1"/>
    <n v="999.99"/>
    <n v="0.2"/>
    <n v="199.99800000000002"/>
    <n v="9"/>
    <n v="6"/>
  </r>
  <r>
    <n v="651"/>
    <n v="1"/>
    <n v="79"/>
    <x v="0"/>
    <n v="1"/>
    <n v="402.99"/>
    <n v="0.1"/>
    <n v="40.299000000000007"/>
    <n v="9"/>
    <n v="6"/>
  </r>
  <r>
    <n v="651"/>
    <n v="2"/>
    <n v="85"/>
    <x v="1"/>
    <n v="1"/>
    <n v="329.99"/>
    <n v="0.05"/>
    <n v="16.499500000000001"/>
    <n v="5"/>
    <n v="6"/>
  </r>
  <r>
    <n v="651"/>
    <n v="3"/>
    <n v="102"/>
    <x v="2"/>
    <n v="2"/>
    <n v="489.99"/>
    <n v="0.05"/>
    <n v="24.499500000000001"/>
    <n v="8"/>
    <n v="6"/>
  </r>
  <r>
    <n v="651"/>
    <n v="4"/>
    <n v="94"/>
    <x v="3"/>
    <n v="2"/>
    <n v="249.99"/>
    <n v="0.05"/>
    <n v="12.499500000000001"/>
    <n v="9"/>
    <n v="6"/>
  </r>
  <r>
    <n v="652"/>
    <n v="1"/>
    <n v="102"/>
    <x v="0"/>
    <n v="1"/>
    <n v="489.99"/>
    <n v="0.1"/>
    <n v="48.999000000000002"/>
    <n v="9"/>
    <n v="6"/>
  </r>
  <r>
    <n v="652"/>
    <n v="2"/>
    <n v="62"/>
    <x v="1"/>
    <n v="2"/>
    <n v="3499.99"/>
    <n v="0.2"/>
    <n v="699.99800000000005"/>
    <n v="5"/>
    <n v="6"/>
  </r>
  <r>
    <n v="652"/>
    <n v="3"/>
    <n v="67"/>
    <x v="2"/>
    <n v="2"/>
    <n v="250.99"/>
    <n v="0.2"/>
    <n v="50.198000000000008"/>
    <n v="8"/>
    <n v="6"/>
  </r>
  <r>
    <n v="652"/>
    <n v="4"/>
    <n v="23"/>
    <x v="3"/>
    <n v="1"/>
    <n v="299.99"/>
    <n v="0.1"/>
    <n v="29.999000000000002"/>
    <n v="9"/>
    <n v="6"/>
  </r>
  <r>
    <n v="652"/>
    <n v="5"/>
    <n v="74"/>
    <x v="4"/>
    <n v="1"/>
    <n v="439.99"/>
    <n v="0.05"/>
    <n v="21.999500000000001"/>
    <n v="3"/>
    <n v="6"/>
  </r>
  <r>
    <n v="653"/>
    <n v="1"/>
    <n v="6"/>
    <x v="0"/>
    <n v="1"/>
    <n v="469.99"/>
    <n v="7.0000000000000007E-2"/>
    <n v="32.899300000000004"/>
    <n v="9"/>
    <n v="6"/>
  </r>
  <r>
    <n v="653"/>
    <n v="2"/>
    <n v="43"/>
    <x v="1"/>
    <n v="1"/>
    <n v="5299.99"/>
    <n v="0.1"/>
    <n v="529.99900000000002"/>
    <n v="5"/>
    <n v="6"/>
  </r>
  <r>
    <n v="653"/>
    <n v="3"/>
    <n v="2"/>
    <x v="2"/>
    <n v="2"/>
    <n v="749.99"/>
    <n v="0.1"/>
    <n v="74.999000000000009"/>
    <n v="8"/>
    <n v="6"/>
  </r>
  <r>
    <n v="653"/>
    <n v="4"/>
    <n v="80"/>
    <x v="3"/>
    <n v="1"/>
    <n v="761.99"/>
    <n v="0.2"/>
    <n v="152.398"/>
    <n v="9"/>
    <n v="6"/>
  </r>
  <r>
    <n v="653"/>
    <n v="5"/>
    <n v="88"/>
    <x v="4"/>
    <n v="2"/>
    <n v="189.99"/>
    <n v="7.0000000000000007E-2"/>
    <n v="13.299300000000002"/>
    <n v="3"/>
    <n v="6"/>
  </r>
  <r>
    <n v="654"/>
    <n v="1"/>
    <n v="9"/>
    <x v="0"/>
    <n v="1"/>
    <n v="2999.99"/>
    <n v="0.1"/>
    <n v="299.99899999999997"/>
    <n v="9"/>
    <n v="6"/>
  </r>
  <r>
    <n v="654"/>
    <n v="2"/>
    <n v="95"/>
    <x v="1"/>
    <n v="1"/>
    <n v="299.99"/>
    <n v="0.1"/>
    <n v="29.999000000000002"/>
    <n v="5"/>
    <n v="6"/>
  </r>
  <r>
    <n v="654"/>
    <n v="3"/>
    <n v="110"/>
    <x v="2"/>
    <n v="2"/>
    <n v="470.99"/>
    <n v="7.0000000000000007E-2"/>
    <n v="32.969300000000004"/>
    <n v="8"/>
    <n v="6"/>
  </r>
  <r>
    <n v="654"/>
    <n v="4"/>
    <n v="97"/>
    <x v="3"/>
    <n v="2"/>
    <n v="349.99"/>
    <n v="7.0000000000000007E-2"/>
    <n v="24.499300000000002"/>
    <n v="9"/>
    <n v="6"/>
  </r>
  <r>
    <n v="655"/>
    <n v="1"/>
    <n v="67"/>
    <x v="0"/>
    <n v="1"/>
    <n v="250.99"/>
    <n v="0.1"/>
    <n v="25.099000000000004"/>
    <n v="9"/>
    <n v="6"/>
  </r>
  <r>
    <n v="656"/>
    <n v="1"/>
    <n v="83"/>
    <x v="0"/>
    <n v="1"/>
    <n v="149.99"/>
    <n v="0.1"/>
    <n v="14.999000000000002"/>
    <n v="9"/>
    <n v="6"/>
  </r>
  <r>
    <n v="656"/>
    <n v="2"/>
    <n v="22"/>
    <x v="1"/>
    <n v="1"/>
    <n v="269.99"/>
    <n v="7.0000000000000007E-2"/>
    <n v="18.899300000000004"/>
    <n v="5"/>
    <n v="6"/>
  </r>
  <r>
    <n v="656"/>
    <n v="3"/>
    <n v="33"/>
    <x v="2"/>
    <n v="2"/>
    <n v="469.99"/>
    <n v="0.05"/>
    <n v="23.499500000000001"/>
    <n v="8"/>
    <n v="6"/>
  </r>
  <r>
    <n v="657"/>
    <n v="1"/>
    <n v="52"/>
    <x v="0"/>
    <n v="1"/>
    <n v="875.99"/>
    <n v="0.05"/>
    <n v="43.799500000000002"/>
    <n v="9"/>
    <n v="6"/>
  </r>
  <r>
    <n v="657"/>
    <n v="2"/>
    <n v="54"/>
    <x v="1"/>
    <n v="2"/>
    <n v="3199.99"/>
    <n v="0.05"/>
    <n v="159.99950000000001"/>
    <n v="5"/>
    <n v="6"/>
  </r>
  <r>
    <n v="658"/>
    <n v="1"/>
    <n v="49"/>
    <x v="0"/>
    <n v="2"/>
    <n v="3499.99"/>
    <n v="0.2"/>
    <n v="699.99800000000005"/>
    <n v="9"/>
    <n v="6"/>
  </r>
  <r>
    <n v="658"/>
    <n v="2"/>
    <n v="29"/>
    <x v="1"/>
    <n v="1"/>
    <n v="999.99"/>
    <n v="0.05"/>
    <n v="49.999500000000005"/>
    <n v="5"/>
    <n v="6"/>
  </r>
  <r>
    <n v="658"/>
    <n v="3"/>
    <n v="9"/>
    <x v="2"/>
    <n v="1"/>
    <n v="2999.99"/>
    <n v="0.05"/>
    <n v="149.99949999999998"/>
    <n v="8"/>
    <n v="6"/>
  </r>
  <r>
    <n v="659"/>
    <n v="1"/>
    <n v="42"/>
    <x v="0"/>
    <n v="2"/>
    <n v="2299.9899999999998"/>
    <n v="0.05"/>
    <n v="114.9995"/>
    <n v="9"/>
    <n v="6"/>
  </r>
  <r>
    <n v="659"/>
    <n v="2"/>
    <n v="39"/>
    <x v="1"/>
    <n v="2"/>
    <n v="1499.99"/>
    <n v="7.0000000000000007E-2"/>
    <n v="104.99930000000001"/>
    <n v="5"/>
    <n v="6"/>
  </r>
  <r>
    <n v="659"/>
    <n v="3"/>
    <n v="70"/>
    <x v="2"/>
    <n v="1"/>
    <n v="659.99"/>
    <n v="0.05"/>
    <n v="32.999500000000005"/>
    <n v="8"/>
    <n v="6"/>
  </r>
  <r>
    <n v="659"/>
    <n v="4"/>
    <n v="61"/>
    <x v="3"/>
    <n v="2"/>
    <n v="4999.99"/>
    <n v="7.0000000000000007E-2"/>
    <n v="349.99930000000001"/>
    <n v="9"/>
    <n v="6"/>
  </r>
  <r>
    <n v="660"/>
    <n v="1"/>
    <n v="30"/>
    <x v="0"/>
    <n v="1"/>
    <n v="999.99"/>
    <n v="0.2"/>
    <n v="199.99800000000002"/>
    <n v="9"/>
    <n v="6"/>
  </r>
  <r>
    <n v="660"/>
    <n v="2"/>
    <n v="59"/>
    <x v="1"/>
    <n v="2"/>
    <n v="2599.9899999999998"/>
    <n v="7.0000000000000007E-2"/>
    <n v="181.99930000000001"/>
    <n v="5"/>
    <n v="6"/>
  </r>
  <r>
    <n v="660"/>
    <n v="3"/>
    <n v="47"/>
    <x v="2"/>
    <n v="2"/>
    <n v="5299.99"/>
    <n v="0.05"/>
    <n v="264.99950000000001"/>
    <n v="8"/>
    <n v="6"/>
  </r>
  <r>
    <n v="660"/>
    <n v="4"/>
    <n v="29"/>
    <x v="3"/>
    <n v="2"/>
    <n v="999.99"/>
    <n v="0.2"/>
    <n v="199.99800000000002"/>
    <n v="9"/>
    <n v="6"/>
  </r>
  <r>
    <n v="661"/>
    <n v="1"/>
    <n v="63"/>
    <x v="0"/>
    <n v="2"/>
    <n v="3499.99"/>
    <n v="7.0000000000000007E-2"/>
    <n v="244.99930000000001"/>
    <n v="9"/>
    <n v="6"/>
  </r>
  <r>
    <n v="661"/>
    <n v="2"/>
    <n v="22"/>
    <x v="1"/>
    <n v="2"/>
    <n v="269.99"/>
    <n v="0.05"/>
    <n v="13.499500000000001"/>
    <n v="5"/>
    <n v="6"/>
  </r>
  <r>
    <n v="662"/>
    <n v="1"/>
    <n v="55"/>
    <x v="0"/>
    <n v="2"/>
    <n v="2699.99"/>
    <n v="0.1"/>
    <n v="269.99899999999997"/>
    <n v="9"/>
    <n v="6"/>
  </r>
  <r>
    <n v="662"/>
    <n v="2"/>
    <n v="95"/>
    <x v="1"/>
    <n v="2"/>
    <n v="299.99"/>
    <n v="0.2"/>
    <n v="59.998000000000005"/>
    <n v="5"/>
    <n v="6"/>
  </r>
  <r>
    <n v="662"/>
    <n v="3"/>
    <n v="102"/>
    <x v="2"/>
    <n v="2"/>
    <n v="489.99"/>
    <n v="7.0000000000000007E-2"/>
    <n v="34.299300000000002"/>
    <n v="8"/>
    <n v="6"/>
  </r>
  <r>
    <n v="662"/>
    <n v="4"/>
    <n v="22"/>
    <x v="3"/>
    <n v="1"/>
    <n v="269.99"/>
    <n v="7.0000000000000007E-2"/>
    <n v="18.899300000000004"/>
    <n v="9"/>
    <n v="6"/>
  </r>
  <r>
    <n v="662"/>
    <n v="5"/>
    <n v="106"/>
    <x v="4"/>
    <n v="2"/>
    <n v="449.99"/>
    <n v="7.0000000000000007E-2"/>
    <n v="31.499300000000005"/>
    <n v="3"/>
    <n v="6"/>
  </r>
  <r>
    <n v="663"/>
    <n v="1"/>
    <n v="41"/>
    <x v="0"/>
    <n v="2"/>
    <n v="1469.99"/>
    <n v="0.05"/>
    <n v="73.499499999999998"/>
    <n v="9"/>
    <n v="6"/>
  </r>
  <r>
    <n v="663"/>
    <n v="2"/>
    <n v="17"/>
    <x v="1"/>
    <n v="2"/>
    <n v="429"/>
    <n v="0.2"/>
    <n v="85.800000000000011"/>
    <n v="5"/>
    <n v="6"/>
  </r>
  <r>
    <n v="663"/>
    <n v="3"/>
    <n v="94"/>
    <x v="2"/>
    <n v="1"/>
    <n v="249.99"/>
    <n v="0.05"/>
    <n v="12.499500000000001"/>
    <n v="8"/>
    <n v="6"/>
  </r>
  <r>
    <n v="663"/>
    <n v="4"/>
    <n v="71"/>
    <x v="3"/>
    <n v="1"/>
    <n v="416.99"/>
    <n v="7.0000000000000007E-2"/>
    <n v="29.189300000000003"/>
    <n v="9"/>
    <n v="6"/>
  </r>
  <r>
    <n v="663"/>
    <n v="5"/>
    <n v="106"/>
    <x v="4"/>
    <n v="1"/>
    <n v="449.99"/>
    <n v="0.2"/>
    <n v="89.998000000000005"/>
    <n v="3"/>
    <n v="6"/>
  </r>
  <r>
    <n v="664"/>
    <n v="1"/>
    <n v="52"/>
    <x v="0"/>
    <n v="2"/>
    <n v="875.99"/>
    <n v="7.0000000000000007E-2"/>
    <n v="61.319300000000005"/>
    <n v="9"/>
    <n v="6"/>
  </r>
  <r>
    <n v="664"/>
    <n v="2"/>
    <n v="5"/>
    <x v="1"/>
    <n v="1"/>
    <n v="1320.99"/>
    <n v="7.0000000000000007E-2"/>
    <n v="92.469300000000004"/>
    <n v="5"/>
    <n v="6"/>
  </r>
  <r>
    <n v="664"/>
    <n v="3"/>
    <n v="50"/>
    <x v="2"/>
    <n v="1"/>
    <n v="5999.99"/>
    <n v="0.2"/>
    <n v="1199.998"/>
    <n v="8"/>
    <n v="6"/>
  </r>
  <r>
    <n v="664"/>
    <n v="4"/>
    <n v="101"/>
    <x v="3"/>
    <n v="2"/>
    <n v="339.99"/>
    <n v="0.2"/>
    <n v="67.998000000000005"/>
    <n v="9"/>
    <n v="6"/>
  </r>
  <r>
    <n v="664"/>
    <n v="5"/>
    <n v="47"/>
    <x v="4"/>
    <n v="1"/>
    <n v="5299.99"/>
    <n v="7.0000000000000007E-2"/>
    <n v="370.99930000000001"/>
    <n v="3"/>
    <n v="6"/>
  </r>
  <r>
    <n v="665"/>
    <n v="1"/>
    <n v="58"/>
    <x v="0"/>
    <n v="1"/>
    <n v="4999.99"/>
    <n v="7.0000000000000007E-2"/>
    <n v="349.99930000000001"/>
    <n v="9"/>
    <n v="6"/>
  </r>
  <r>
    <n v="665"/>
    <n v="2"/>
    <n v="42"/>
    <x v="1"/>
    <n v="2"/>
    <n v="2299.9899999999998"/>
    <n v="0.2"/>
    <n v="459.99799999999999"/>
    <n v="5"/>
    <n v="6"/>
  </r>
  <r>
    <n v="665"/>
    <n v="3"/>
    <n v="25"/>
    <x v="2"/>
    <n v="2"/>
    <n v="499.99"/>
    <n v="0.05"/>
    <n v="24.999500000000001"/>
    <n v="8"/>
    <n v="6"/>
  </r>
  <r>
    <n v="666"/>
    <n v="1"/>
    <n v="98"/>
    <x v="0"/>
    <n v="2"/>
    <n v="489.99"/>
    <n v="0.2"/>
    <n v="97.998000000000005"/>
    <n v="9"/>
    <n v="6"/>
  </r>
  <r>
    <n v="666"/>
    <n v="2"/>
    <n v="39"/>
    <x v="1"/>
    <n v="1"/>
    <n v="1499.99"/>
    <n v="0.05"/>
    <n v="74.999499999999998"/>
    <n v="5"/>
    <n v="6"/>
  </r>
  <r>
    <n v="667"/>
    <n v="1"/>
    <n v="79"/>
    <x v="0"/>
    <n v="1"/>
    <n v="402.99"/>
    <n v="0.2"/>
    <n v="80.598000000000013"/>
    <n v="9"/>
    <n v="6"/>
  </r>
  <r>
    <n v="667"/>
    <n v="2"/>
    <n v="84"/>
    <x v="1"/>
    <n v="1"/>
    <n v="109.99"/>
    <n v="0.1"/>
    <n v="10.999000000000001"/>
    <n v="5"/>
    <n v="6"/>
  </r>
  <r>
    <n v="667"/>
    <n v="3"/>
    <n v="3"/>
    <x v="2"/>
    <n v="1"/>
    <n v="999.99"/>
    <n v="0.2"/>
    <n v="199.99800000000002"/>
    <n v="8"/>
    <n v="6"/>
  </r>
  <r>
    <n v="667"/>
    <n v="4"/>
    <n v="99"/>
    <x v="3"/>
    <n v="1"/>
    <n v="299.99"/>
    <n v="0.1"/>
    <n v="29.999000000000002"/>
    <n v="9"/>
    <n v="6"/>
  </r>
  <r>
    <n v="667"/>
    <n v="5"/>
    <n v="85"/>
    <x v="4"/>
    <n v="1"/>
    <n v="329.99"/>
    <n v="0.05"/>
    <n v="16.499500000000001"/>
    <n v="3"/>
    <n v="6"/>
  </r>
  <r>
    <n v="668"/>
    <n v="1"/>
    <n v="48"/>
    <x v="0"/>
    <n v="2"/>
    <n v="1499.99"/>
    <n v="0.05"/>
    <n v="74.999499999999998"/>
    <n v="9"/>
    <n v="6"/>
  </r>
  <r>
    <n v="668"/>
    <n v="2"/>
    <n v="19"/>
    <x v="1"/>
    <n v="2"/>
    <n v="449"/>
    <n v="0.1"/>
    <n v="44.900000000000006"/>
    <n v="5"/>
    <n v="6"/>
  </r>
  <r>
    <n v="669"/>
    <n v="1"/>
    <n v="16"/>
    <x v="0"/>
    <n v="2"/>
    <n v="599.99"/>
    <n v="7.0000000000000007E-2"/>
    <n v="41.999300000000005"/>
    <n v="9"/>
    <n v="6"/>
  </r>
  <r>
    <n v="669"/>
    <n v="2"/>
    <n v="72"/>
    <x v="1"/>
    <n v="1"/>
    <n v="619.99"/>
    <n v="7.0000000000000007E-2"/>
    <n v="43.399300000000004"/>
    <n v="5"/>
    <n v="6"/>
  </r>
  <r>
    <n v="670"/>
    <n v="1"/>
    <n v="108"/>
    <x v="0"/>
    <n v="1"/>
    <n v="449.99"/>
    <n v="0.1"/>
    <n v="44.999000000000002"/>
    <n v="9"/>
    <n v="6"/>
  </r>
  <r>
    <n v="670"/>
    <n v="2"/>
    <n v="28"/>
    <x v="1"/>
    <n v="1"/>
    <n v="2499.9899999999998"/>
    <n v="7.0000000000000007E-2"/>
    <n v="174.99930000000001"/>
    <n v="5"/>
    <n v="6"/>
  </r>
  <r>
    <n v="670"/>
    <n v="3"/>
    <n v="104"/>
    <x v="2"/>
    <n v="2"/>
    <n v="481.99"/>
    <n v="0.2"/>
    <n v="96.39800000000001"/>
    <n v="8"/>
    <n v="6"/>
  </r>
  <r>
    <n v="670"/>
    <n v="4"/>
    <n v="45"/>
    <x v="3"/>
    <n v="2"/>
    <n v="869.99"/>
    <n v="0.05"/>
    <n v="43.499500000000005"/>
    <n v="9"/>
    <n v="6"/>
  </r>
  <r>
    <n v="671"/>
    <n v="1"/>
    <n v="30"/>
    <x v="0"/>
    <n v="1"/>
    <n v="999.99"/>
    <n v="0.05"/>
    <n v="49.999500000000005"/>
    <n v="9"/>
    <n v="6"/>
  </r>
  <r>
    <n v="671"/>
    <n v="2"/>
    <n v="69"/>
    <x v="1"/>
    <n v="1"/>
    <n v="416.99"/>
    <n v="0.05"/>
    <n v="20.849500000000003"/>
    <n v="5"/>
    <n v="6"/>
  </r>
  <r>
    <n v="671"/>
    <n v="3"/>
    <n v="55"/>
    <x v="2"/>
    <n v="1"/>
    <n v="2699.99"/>
    <n v="0.2"/>
    <n v="539.99799999999993"/>
    <n v="8"/>
    <n v="6"/>
  </r>
  <r>
    <n v="671"/>
    <n v="4"/>
    <n v="4"/>
    <x v="3"/>
    <n v="1"/>
    <n v="2899.99"/>
    <n v="7.0000000000000007E-2"/>
    <n v="202.99930000000001"/>
    <n v="9"/>
    <n v="6"/>
  </r>
  <r>
    <n v="671"/>
    <n v="5"/>
    <n v="109"/>
    <x v="4"/>
    <n v="2"/>
    <n v="416.99"/>
    <n v="7.0000000000000007E-2"/>
    <n v="29.189300000000003"/>
    <n v="3"/>
    <n v="6"/>
  </r>
  <r>
    <n v="672"/>
    <n v="1"/>
    <n v="51"/>
    <x v="0"/>
    <n v="2"/>
    <n v="6499.99"/>
    <n v="7.0000000000000007E-2"/>
    <n v="454.99930000000001"/>
    <n v="9"/>
    <n v="6"/>
  </r>
  <r>
    <n v="672"/>
    <n v="2"/>
    <n v="96"/>
    <x v="1"/>
    <n v="2"/>
    <n v="349.99"/>
    <n v="0.2"/>
    <n v="69.998000000000005"/>
    <n v="5"/>
    <n v="6"/>
  </r>
  <r>
    <n v="672"/>
    <n v="3"/>
    <n v="48"/>
    <x v="2"/>
    <n v="2"/>
    <n v="1499.99"/>
    <n v="7.0000000000000007E-2"/>
    <n v="104.99930000000001"/>
    <n v="8"/>
    <n v="6"/>
  </r>
  <r>
    <n v="673"/>
    <n v="1"/>
    <n v="66"/>
    <x v="0"/>
    <n v="1"/>
    <n v="250.99"/>
    <n v="0.2"/>
    <n v="50.198000000000008"/>
    <n v="9"/>
    <n v="6"/>
  </r>
  <r>
    <n v="673"/>
    <n v="2"/>
    <n v="38"/>
    <x v="1"/>
    <n v="1"/>
    <n v="549.99"/>
    <n v="0.2"/>
    <n v="109.998"/>
    <n v="5"/>
    <n v="6"/>
  </r>
  <r>
    <n v="673"/>
    <n v="3"/>
    <n v="5"/>
    <x v="2"/>
    <n v="1"/>
    <n v="1320.99"/>
    <n v="7.0000000000000007E-2"/>
    <n v="92.469300000000004"/>
    <n v="8"/>
    <n v="6"/>
  </r>
  <r>
    <n v="673"/>
    <n v="4"/>
    <n v="13"/>
    <x v="3"/>
    <n v="1"/>
    <n v="269.99"/>
    <n v="0.1"/>
    <n v="26.999000000000002"/>
    <n v="9"/>
    <n v="6"/>
  </r>
  <r>
    <n v="674"/>
    <n v="1"/>
    <n v="26"/>
    <x v="0"/>
    <n v="2"/>
    <n v="599.99"/>
    <n v="0.2"/>
    <n v="119.998"/>
    <n v="9"/>
    <n v="6"/>
  </r>
  <r>
    <n v="675"/>
    <n v="1"/>
    <n v="17"/>
    <x v="0"/>
    <n v="1"/>
    <n v="429"/>
    <n v="0.05"/>
    <n v="21.450000000000003"/>
    <n v="9"/>
    <n v="6"/>
  </r>
  <r>
    <n v="675"/>
    <n v="2"/>
    <n v="89"/>
    <x v="1"/>
    <n v="2"/>
    <n v="209.99"/>
    <n v="0.05"/>
    <n v="10.499500000000001"/>
    <n v="5"/>
    <n v="6"/>
  </r>
  <r>
    <n v="675"/>
    <n v="3"/>
    <n v="19"/>
    <x v="2"/>
    <n v="1"/>
    <n v="449"/>
    <n v="7.0000000000000007E-2"/>
    <n v="31.430000000000003"/>
    <n v="8"/>
    <n v="6"/>
  </r>
  <r>
    <n v="675"/>
    <n v="4"/>
    <n v="32"/>
    <x v="3"/>
    <n v="1"/>
    <n v="469.99"/>
    <n v="0.2"/>
    <n v="93.998000000000005"/>
    <n v="9"/>
    <n v="6"/>
  </r>
  <r>
    <n v="676"/>
    <n v="1"/>
    <n v="70"/>
    <x v="0"/>
    <n v="1"/>
    <n v="659.99"/>
    <n v="0.2"/>
    <n v="131.99800000000002"/>
    <n v="9"/>
    <n v="6"/>
  </r>
  <r>
    <n v="676"/>
    <n v="2"/>
    <n v="104"/>
    <x v="1"/>
    <n v="2"/>
    <n v="481.99"/>
    <n v="7.0000000000000007E-2"/>
    <n v="33.739300000000007"/>
    <n v="5"/>
    <n v="6"/>
  </r>
  <r>
    <n v="676"/>
    <n v="3"/>
    <n v="24"/>
    <x v="2"/>
    <n v="1"/>
    <n v="549.99"/>
    <n v="0.1"/>
    <n v="54.999000000000002"/>
    <n v="8"/>
    <n v="6"/>
  </r>
  <r>
    <n v="676"/>
    <n v="4"/>
    <n v="29"/>
    <x v="3"/>
    <n v="1"/>
    <n v="999.99"/>
    <n v="0.2"/>
    <n v="199.99800000000002"/>
    <n v="9"/>
    <n v="6"/>
  </r>
  <r>
    <n v="677"/>
    <n v="1"/>
    <n v="75"/>
    <x v="0"/>
    <n v="1"/>
    <n v="599.99"/>
    <n v="7.0000000000000007E-2"/>
    <n v="41.999300000000005"/>
    <n v="9"/>
    <n v="6"/>
  </r>
  <r>
    <n v="677"/>
    <n v="2"/>
    <n v="7"/>
    <x v="1"/>
    <n v="2"/>
    <n v="3999.99"/>
    <n v="7.0000000000000007E-2"/>
    <n v="279.99930000000001"/>
    <n v="5"/>
    <n v="6"/>
  </r>
  <r>
    <n v="677"/>
    <n v="3"/>
    <n v="105"/>
    <x v="2"/>
    <n v="2"/>
    <n v="533.99"/>
    <n v="7.0000000000000007E-2"/>
    <n v="37.379300000000008"/>
    <n v="8"/>
    <n v="6"/>
  </r>
  <r>
    <n v="677"/>
    <n v="4"/>
    <n v="91"/>
    <x v="3"/>
    <n v="2"/>
    <n v="349.99"/>
    <n v="0.05"/>
    <n v="17.499500000000001"/>
    <n v="9"/>
    <n v="6"/>
  </r>
  <r>
    <n v="677"/>
    <n v="5"/>
    <n v="54"/>
    <x v="4"/>
    <n v="2"/>
    <n v="3199.99"/>
    <n v="0.1"/>
    <n v="319.99900000000002"/>
    <n v="3"/>
    <n v="6"/>
  </r>
  <r>
    <n v="678"/>
    <n v="1"/>
    <n v="52"/>
    <x v="0"/>
    <n v="2"/>
    <n v="875.99"/>
    <n v="0.05"/>
    <n v="43.799500000000002"/>
    <n v="9"/>
    <n v="6"/>
  </r>
  <r>
    <n v="678"/>
    <n v="2"/>
    <n v="37"/>
    <x v="1"/>
    <n v="2"/>
    <n v="379.99"/>
    <n v="7.0000000000000007E-2"/>
    <n v="26.599300000000003"/>
    <n v="5"/>
    <n v="6"/>
  </r>
  <r>
    <n v="679"/>
    <n v="1"/>
    <n v="15"/>
    <x v="0"/>
    <n v="2"/>
    <n v="529.99"/>
    <n v="0.2"/>
    <n v="105.998"/>
    <n v="9"/>
    <n v="6"/>
  </r>
  <r>
    <n v="679"/>
    <n v="2"/>
    <n v="83"/>
    <x v="1"/>
    <n v="2"/>
    <n v="149.99"/>
    <n v="0.05"/>
    <n v="7.4995000000000012"/>
    <n v="5"/>
    <n v="6"/>
  </r>
  <r>
    <n v="680"/>
    <n v="1"/>
    <n v="81"/>
    <x v="0"/>
    <n v="2"/>
    <n v="1099.99"/>
    <n v="0.05"/>
    <n v="54.999500000000005"/>
    <n v="9"/>
    <n v="6"/>
  </r>
  <r>
    <n v="680"/>
    <n v="2"/>
    <n v="7"/>
    <x v="1"/>
    <n v="1"/>
    <n v="3999.99"/>
    <n v="0.2"/>
    <n v="799.99800000000005"/>
    <n v="5"/>
    <n v="6"/>
  </r>
  <r>
    <n v="680"/>
    <n v="3"/>
    <n v="50"/>
    <x v="2"/>
    <n v="1"/>
    <n v="5999.99"/>
    <n v="7.0000000000000007E-2"/>
    <n v="419.99930000000001"/>
    <n v="8"/>
    <n v="6"/>
  </r>
  <r>
    <n v="681"/>
    <n v="1"/>
    <n v="82"/>
    <x v="0"/>
    <n v="1"/>
    <n v="659.99"/>
    <n v="0.05"/>
    <n v="32.999500000000005"/>
    <n v="9"/>
    <n v="6"/>
  </r>
  <r>
    <n v="681"/>
    <n v="2"/>
    <n v="63"/>
    <x v="1"/>
    <n v="1"/>
    <n v="3499.99"/>
    <n v="7.0000000000000007E-2"/>
    <n v="244.99930000000001"/>
    <n v="5"/>
    <n v="6"/>
  </r>
  <r>
    <n v="681"/>
    <n v="3"/>
    <n v="61"/>
    <x v="2"/>
    <n v="1"/>
    <n v="4999.99"/>
    <n v="0.2"/>
    <n v="999.99800000000005"/>
    <n v="8"/>
    <n v="6"/>
  </r>
  <r>
    <n v="681"/>
    <n v="4"/>
    <n v="6"/>
    <x v="3"/>
    <n v="2"/>
    <n v="469.99"/>
    <n v="0.05"/>
    <n v="23.499500000000001"/>
    <n v="9"/>
    <n v="6"/>
  </r>
  <r>
    <n v="681"/>
    <n v="5"/>
    <n v="30"/>
    <x v="4"/>
    <n v="1"/>
    <n v="999.99"/>
    <n v="7.0000000000000007E-2"/>
    <n v="69.999300000000005"/>
    <n v="3"/>
    <n v="6"/>
  </r>
  <r>
    <n v="682"/>
    <n v="1"/>
    <n v="39"/>
    <x v="0"/>
    <n v="1"/>
    <n v="1499.99"/>
    <n v="0.2"/>
    <n v="299.99799999999999"/>
    <n v="9"/>
    <n v="6"/>
  </r>
  <r>
    <n v="682"/>
    <n v="2"/>
    <n v="60"/>
    <x v="1"/>
    <n v="2"/>
    <n v="1559.99"/>
    <n v="0.2"/>
    <n v="311.99800000000005"/>
    <n v="5"/>
    <n v="6"/>
  </r>
  <r>
    <n v="682"/>
    <n v="3"/>
    <n v="99"/>
    <x v="2"/>
    <n v="1"/>
    <n v="299.99"/>
    <n v="0.2"/>
    <n v="59.998000000000005"/>
    <n v="8"/>
    <n v="6"/>
  </r>
  <r>
    <n v="683"/>
    <n v="1"/>
    <n v="2"/>
    <x v="0"/>
    <n v="2"/>
    <n v="749.99"/>
    <n v="0.1"/>
    <n v="74.999000000000009"/>
    <n v="9"/>
    <n v="6"/>
  </r>
  <r>
    <n v="684"/>
    <n v="1"/>
    <n v="56"/>
    <x v="0"/>
    <n v="1"/>
    <n v="5499.99"/>
    <n v="7.0000000000000007E-2"/>
    <n v="384.99930000000001"/>
    <n v="9"/>
    <n v="6"/>
  </r>
  <r>
    <n v="684"/>
    <n v="2"/>
    <n v="33"/>
    <x v="1"/>
    <n v="1"/>
    <n v="469.99"/>
    <n v="0.1"/>
    <n v="46.999000000000002"/>
    <n v="5"/>
    <n v="6"/>
  </r>
  <r>
    <n v="685"/>
    <n v="1"/>
    <n v="59"/>
    <x v="0"/>
    <n v="1"/>
    <n v="2599.9899999999998"/>
    <n v="0.05"/>
    <n v="129.99949999999998"/>
    <n v="9"/>
    <n v="6"/>
  </r>
  <r>
    <n v="685"/>
    <n v="2"/>
    <n v="48"/>
    <x v="1"/>
    <n v="2"/>
    <n v="1499.99"/>
    <n v="0.05"/>
    <n v="74.999499999999998"/>
    <n v="5"/>
    <n v="6"/>
  </r>
  <r>
    <n v="685"/>
    <n v="3"/>
    <n v="107"/>
    <x v="2"/>
    <n v="1"/>
    <n v="416.99"/>
    <n v="0.05"/>
    <n v="20.849500000000003"/>
    <n v="8"/>
    <n v="6"/>
  </r>
  <r>
    <n v="685"/>
    <n v="4"/>
    <n v="98"/>
    <x v="3"/>
    <n v="2"/>
    <n v="489.99"/>
    <n v="0.2"/>
    <n v="97.998000000000005"/>
    <n v="9"/>
    <n v="6"/>
  </r>
  <r>
    <n v="685"/>
    <n v="5"/>
    <n v="56"/>
    <x v="4"/>
    <n v="2"/>
    <n v="5499.99"/>
    <n v="0.05"/>
    <n v="274.99950000000001"/>
    <n v="3"/>
    <n v="6"/>
  </r>
  <r>
    <n v="686"/>
    <n v="1"/>
    <n v="16"/>
    <x v="0"/>
    <n v="1"/>
    <n v="599.99"/>
    <n v="0.2"/>
    <n v="119.998"/>
    <n v="9"/>
    <n v="6"/>
  </r>
  <r>
    <n v="686"/>
    <n v="2"/>
    <n v="30"/>
    <x v="1"/>
    <n v="1"/>
    <n v="999.99"/>
    <n v="0.1"/>
    <n v="99.999000000000009"/>
    <n v="5"/>
    <n v="6"/>
  </r>
  <r>
    <n v="686"/>
    <n v="3"/>
    <n v="88"/>
    <x v="2"/>
    <n v="2"/>
    <n v="189.99"/>
    <n v="0.2"/>
    <n v="37.998000000000005"/>
    <n v="8"/>
    <n v="6"/>
  </r>
  <r>
    <n v="686"/>
    <n v="4"/>
    <n v="19"/>
    <x v="3"/>
    <n v="2"/>
    <n v="449"/>
    <n v="0.2"/>
    <n v="89.800000000000011"/>
    <n v="9"/>
    <n v="6"/>
  </r>
  <r>
    <n v="686"/>
    <n v="5"/>
    <n v="104"/>
    <x v="4"/>
    <n v="1"/>
    <n v="481.99"/>
    <n v="0.2"/>
    <n v="96.39800000000001"/>
    <n v="3"/>
    <n v="6"/>
  </r>
  <r>
    <n v="687"/>
    <n v="1"/>
    <n v="48"/>
    <x v="0"/>
    <n v="2"/>
    <n v="1499.99"/>
    <n v="0.05"/>
    <n v="74.999499999999998"/>
    <n v="9"/>
    <n v="6"/>
  </r>
  <r>
    <n v="687"/>
    <n v="2"/>
    <n v="95"/>
    <x v="1"/>
    <n v="1"/>
    <n v="299.99"/>
    <n v="7.0000000000000007E-2"/>
    <n v="20.999300000000002"/>
    <n v="5"/>
    <n v="6"/>
  </r>
  <r>
    <n v="687"/>
    <n v="3"/>
    <n v="5"/>
    <x v="2"/>
    <n v="2"/>
    <n v="1320.99"/>
    <n v="0.2"/>
    <n v="264.19800000000004"/>
    <n v="8"/>
    <n v="6"/>
  </r>
  <r>
    <n v="687"/>
    <n v="4"/>
    <n v="83"/>
    <x v="3"/>
    <n v="1"/>
    <n v="149.99"/>
    <n v="7.0000000000000007E-2"/>
    <n v="10.499300000000002"/>
    <n v="9"/>
    <n v="6"/>
  </r>
  <r>
    <n v="688"/>
    <n v="1"/>
    <n v="8"/>
    <x v="0"/>
    <n v="1"/>
    <n v="1799.99"/>
    <n v="0.1"/>
    <n v="179.99900000000002"/>
    <n v="9"/>
    <n v="6"/>
  </r>
  <r>
    <n v="688"/>
    <n v="2"/>
    <n v="88"/>
    <x v="1"/>
    <n v="1"/>
    <n v="189.99"/>
    <n v="0.05"/>
    <n v="9.4995000000000012"/>
    <n v="5"/>
    <n v="6"/>
  </r>
  <r>
    <n v="689"/>
    <n v="1"/>
    <n v="33"/>
    <x v="0"/>
    <n v="2"/>
    <n v="469.99"/>
    <n v="0.1"/>
    <n v="46.999000000000002"/>
    <n v="9"/>
    <n v="6"/>
  </r>
  <r>
    <n v="690"/>
    <n v="1"/>
    <n v="84"/>
    <x v="0"/>
    <n v="1"/>
    <n v="109.99"/>
    <n v="0.2"/>
    <n v="21.998000000000001"/>
    <n v="9"/>
    <n v="6"/>
  </r>
  <r>
    <n v="690"/>
    <n v="2"/>
    <n v="11"/>
    <x v="1"/>
    <n v="2"/>
    <n v="1680.99"/>
    <n v="7.0000000000000007E-2"/>
    <n v="117.66930000000001"/>
    <n v="5"/>
    <n v="6"/>
  </r>
  <r>
    <n v="690"/>
    <n v="3"/>
    <n v="85"/>
    <x v="2"/>
    <n v="1"/>
    <n v="329.99"/>
    <n v="0.05"/>
    <n v="16.499500000000001"/>
    <n v="8"/>
    <n v="6"/>
  </r>
  <r>
    <n v="690"/>
    <n v="4"/>
    <n v="109"/>
    <x v="3"/>
    <n v="2"/>
    <n v="416.99"/>
    <n v="0.2"/>
    <n v="83.39800000000001"/>
    <n v="9"/>
    <n v="6"/>
  </r>
  <r>
    <n v="691"/>
    <n v="1"/>
    <n v="23"/>
    <x v="0"/>
    <n v="2"/>
    <n v="299.99"/>
    <n v="0.05"/>
    <n v="14.999500000000001"/>
    <n v="9"/>
    <n v="6"/>
  </r>
  <r>
    <n v="691"/>
    <n v="2"/>
    <n v="5"/>
    <x v="1"/>
    <n v="2"/>
    <n v="1320.99"/>
    <n v="0.1"/>
    <n v="132.09900000000002"/>
    <n v="5"/>
    <n v="6"/>
  </r>
  <r>
    <n v="691"/>
    <n v="3"/>
    <n v="55"/>
    <x v="2"/>
    <n v="2"/>
    <n v="2699.99"/>
    <n v="0.2"/>
    <n v="539.99799999999993"/>
    <n v="8"/>
    <n v="6"/>
  </r>
  <r>
    <n v="691"/>
    <n v="4"/>
    <n v="20"/>
    <x v="3"/>
    <n v="1"/>
    <n v="599.99"/>
    <n v="0.2"/>
    <n v="119.998"/>
    <n v="9"/>
    <n v="6"/>
  </r>
  <r>
    <n v="692"/>
    <n v="1"/>
    <n v="59"/>
    <x v="0"/>
    <n v="1"/>
    <n v="2599.9899999999998"/>
    <n v="0.2"/>
    <n v="519.99799999999993"/>
    <n v="9"/>
    <n v="6"/>
  </r>
  <r>
    <n v="692"/>
    <n v="2"/>
    <n v="75"/>
    <x v="1"/>
    <n v="1"/>
    <n v="599.99"/>
    <n v="7.0000000000000007E-2"/>
    <n v="41.999300000000005"/>
    <n v="5"/>
    <n v="6"/>
  </r>
  <r>
    <n v="692"/>
    <n v="3"/>
    <n v="15"/>
    <x v="2"/>
    <n v="2"/>
    <n v="529.99"/>
    <n v="7.0000000000000007E-2"/>
    <n v="37.099300000000007"/>
    <n v="8"/>
    <n v="6"/>
  </r>
  <r>
    <n v="692"/>
    <n v="4"/>
    <n v="56"/>
    <x v="3"/>
    <n v="2"/>
    <n v="5499.99"/>
    <n v="0.1"/>
    <n v="549.99900000000002"/>
    <n v="9"/>
    <n v="6"/>
  </r>
  <r>
    <n v="693"/>
    <n v="1"/>
    <n v="104"/>
    <x v="0"/>
    <n v="2"/>
    <n v="481.99"/>
    <n v="0.2"/>
    <n v="96.39800000000001"/>
    <n v="9"/>
    <n v="6"/>
  </r>
  <r>
    <n v="693"/>
    <n v="2"/>
    <n v="13"/>
    <x v="1"/>
    <n v="1"/>
    <n v="269.99"/>
    <n v="0.2"/>
    <n v="53.998000000000005"/>
    <n v="5"/>
    <n v="6"/>
  </r>
  <r>
    <n v="693"/>
    <n v="3"/>
    <n v="5"/>
    <x v="2"/>
    <n v="2"/>
    <n v="1320.99"/>
    <n v="0.05"/>
    <n v="66.049500000000009"/>
    <n v="8"/>
    <n v="6"/>
  </r>
  <r>
    <n v="693"/>
    <n v="4"/>
    <n v="31"/>
    <x v="3"/>
    <n v="1"/>
    <n v="1632.99"/>
    <n v="7.0000000000000007E-2"/>
    <n v="114.30930000000001"/>
    <n v="9"/>
    <n v="6"/>
  </r>
  <r>
    <n v="694"/>
    <n v="1"/>
    <n v="48"/>
    <x v="0"/>
    <n v="1"/>
    <n v="1499.99"/>
    <n v="0.2"/>
    <n v="299.99799999999999"/>
    <n v="9"/>
    <n v="6"/>
  </r>
  <r>
    <n v="694"/>
    <n v="2"/>
    <n v="39"/>
    <x v="1"/>
    <n v="1"/>
    <n v="1499.99"/>
    <n v="0.05"/>
    <n v="74.999499999999998"/>
    <n v="5"/>
    <n v="6"/>
  </r>
  <r>
    <n v="694"/>
    <n v="3"/>
    <n v="55"/>
    <x v="2"/>
    <n v="2"/>
    <n v="2699.99"/>
    <n v="0.1"/>
    <n v="269.99899999999997"/>
    <n v="8"/>
    <n v="6"/>
  </r>
  <r>
    <n v="694"/>
    <n v="4"/>
    <n v="103"/>
    <x v="3"/>
    <n v="2"/>
    <n v="551.99"/>
    <n v="0.2"/>
    <n v="110.39800000000001"/>
    <n v="9"/>
    <n v="6"/>
  </r>
  <r>
    <n v="694"/>
    <n v="5"/>
    <n v="45"/>
    <x v="4"/>
    <n v="2"/>
    <n v="869.99"/>
    <n v="0.1"/>
    <n v="86.999000000000009"/>
    <n v="3"/>
    <n v="6"/>
  </r>
  <r>
    <n v="695"/>
    <n v="1"/>
    <n v="82"/>
    <x v="0"/>
    <n v="2"/>
    <n v="659.99"/>
    <n v="0.1"/>
    <n v="65.999000000000009"/>
    <n v="9"/>
    <n v="6"/>
  </r>
  <r>
    <n v="695"/>
    <n v="2"/>
    <n v="57"/>
    <x v="1"/>
    <n v="2"/>
    <n v="1999.99"/>
    <n v="0.2"/>
    <n v="399.99800000000005"/>
    <n v="5"/>
    <n v="6"/>
  </r>
  <r>
    <n v="696"/>
    <n v="1"/>
    <n v="88"/>
    <x v="0"/>
    <n v="2"/>
    <n v="189.99"/>
    <n v="7.0000000000000007E-2"/>
    <n v="13.299300000000002"/>
    <n v="9"/>
    <n v="6"/>
  </r>
  <r>
    <n v="696"/>
    <n v="2"/>
    <n v="7"/>
    <x v="1"/>
    <n v="1"/>
    <n v="3999.99"/>
    <n v="0.1"/>
    <n v="399.99900000000002"/>
    <n v="5"/>
    <n v="6"/>
  </r>
  <r>
    <n v="696"/>
    <n v="3"/>
    <n v="45"/>
    <x v="2"/>
    <n v="1"/>
    <n v="869.99"/>
    <n v="7.0000000000000007E-2"/>
    <n v="60.899300000000004"/>
    <n v="8"/>
    <n v="6"/>
  </r>
  <r>
    <n v="697"/>
    <n v="1"/>
    <n v="5"/>
    <x v="0"/>
    <n v="2"/>
    <n v="1320.99"/>
    <n v="0.05"/>
    <n v="66.049500000000009"/>
    <n v="9"/>
    <n v="6"/>
  </r>
  <r>
    <n v="698"/>
    <n v="1"/>
    <n v="96"/>
    <x v="0"/>
    <n v="1"/>
    <n v="349.99"/>
    <n v="7.0000000000000007E-2"/>
    <n v="24.499300000000002"/>
    <n v="9"/>
    <n v="6"/>
  </r>
  <r>
    <n v="698"/>
    <n v="2"/>
    <n v="12"/>
    <x v="1"/>
    <n v="1"/>
    <n v="549.99"/>
    <n v="7.0000000000000007E-2"/>
    <n v="38.499300000000005"/>
    <n v="5"/>
    <n v="6"/>
  </r>
  <r>
    <n v="698"/>
    <n v="3"/>
    <n v="40"/>
    <x v="2"/>
    <n v="2"/>
    <n v="4999.99"/>
    <n v="0.05"/>
    <n v="249.99950000000001"/>
    <n v="8"/>
    <n v="6"/>
  </r>
  <r>
    <n v="699"/>
    <n v="1"/>
    <n v="106"/>
    <x v="0"/>
    <n v="2"/>
    <n v="449.99"/>
    <n v="0.1"/>
    <n v="44.999000000000002"/>
    <n v="9"/>
    <n v="6"/>
  </r>
  <r>
    <n v="699"/>
    <n v="2"/>
    <n v="48"/>
    <x v="1"/>
    <n v="1"/>
    <n v="1499.99"/>
    <n v="7.0000000000000007E-2"/>
    <n v="104.99930000000001"/>
    <n v="5"/>
    <n v="6"/>
  </r>
  <r>
    <n v="699"/>
    <n v="3"/>
    <n v="31"/>
    <x v="2"/>
    <n v="1"/>
    <n v="1632.99"/>
    <n v="0.2"/>
    <n v="326.59800000000001"/>
    <n v="8"/>
    <n v="6"/>
  </r>
  <r>
    <n v="699"/>
    <n v="4"/>
    <n v="24"/>
    <x v="3"/>
    <n v="2"/>
    <n v="549.99"/>
    <n v="0.1"/>
    <n v="54.999000000000002"/>
    <n v="9"/>
    <n v="6"/>
  </r>
  <r>
    <n v="699"/>
    <n v="5"/>
    <n v="82"/>
    <x v="4"/>
    <n v="2"/>
    <n v="659.99"/>
    <n v="0.2"/>
    <n v="131.99800000000002"/>
    <n v="3"/>
    <n v="6"/>
  </r>
  <r>
    <n v="700"/>
    <n v="1"/>
    <n v="7"/>
    <x v="0"/>
    <n v="2"/>
    <n v="3999.99"/>
    <n v="0.05"/>
    <n v="199.99950000000001"/>
    <n v="9"/>
    <n v="6"/>
  </r>
  <r>
    <n v="700"/>
    <n v="2"/>
    <n v="63"/>
    <x v="1"/>
    <n v="1"/>
    <n v="3499.99"/>
    <n v="0.2"/>
    <n v="699.99800000000005"/>
    <n v="5"/>
    <n v="6"/>
  </r>
  <r>
    <n v="701"/>
    <n v="1"/>
    <n v="84"/>
    <x v="0"/>
    <n v="1"/>
    <n v="109.99"/>
    <n v="0.05"/>
    <n v="5.4995000000000003"/>
    <n v="9"/>
    <n v="6"/>
  </r>
  <r>
    <n v="702"/>
    <n v="1"/>
    <n v="25"/>
    <x v="0"/>
    <n v="2"/>
    <n v="499.99"/>
    <n v="0.05"/>
    <n v="24.999500000000001"/>
    <n v="9"/>
    <n v="6"/>
  </r>
  <r>
    <n v="702"/>
    <n v="2"/>
    <n v="104"/>
    <x v="1"/>
    <n v="1"/>
    <n v="481.99"/>
    <n v="0.1"/>
    <n v="48.199000000000005"/>
    <n v="5"/>
    <n v="6"/>
  </r>
  <r>
    <n v="702"/>
    <n v="3"/>
    <n v="3"/>
    <x v="2"/>
    <n v="2"/>
    <n v="999.99"/>
    <n v="7.0000000000000007E-2"/>
    <n v="69.999300000000005"/>
    <n v="8"/>
    <n v="6"/>
  </r>
  <r>
    <n v="703"/>
    <n v="1"/>
    <n v="45"/>
    <x v="0"/>
    <n v="2"/>
    <n v="869.99"/>
    <n v="0.2"/>
    <n v="173.99800000000002"/>
    <n v="9"/>
    <n v="6"/>
  </r>
  <r>
    <n v="703"/>
    <n v="2"/>
    <n v="66"/>
    <x v="1"/>
    <n v="2"/>
    <n v="250.99"/>
    <n v="0.05"/>
    <n v="12.549500000000002"/>
    <n v="5"/>
    <n v="6"/>
  </r>
  <r>
    <n v="703"/>
    <n v="3"/>
    <n v="72"/>
    <x v="2"/>
    <n v="1"/>
    <n v="619.99"/>
    <n v="0.2"/>
    <n v="123.998"/>
    <n v="8"/>
    <n v="6"/>
  </r>
  <r>
    <n v="703"/>
    <n v="4"/>
    <n v="4"/>
    <x v="3"/>
    <n v="2"/>
    <n v="2899.99"/>
    <n v="0.2"/>
    <n v="579.99799999999993"/>
    <n v="9"/>
    <n v="6"/>
  </r>
  <r>
    <n v="704"/>
    <n v="1"/>
    <n v="10"/>
    <x v="0"/>
    <n v="2"/>
    <n v="1549"/>
    <n v="0.05"/>
    <n v="77.45"/>
    <n v="9"/>
    <n v="6"/>
  </r>
  <r>
    <n v="704"/>
    <n v="2"/>
    <n v="62"/>
    <x v="1"/>
    <n v="1"/>
    <n v="3499.99"/>
    <n v="0.2"/>
    <n v="699.99800000000005"/>
    <n v="5"/>
    <n v="6"/>
  </r>
  <r>
    <n v="704"/>
    <n v="3"/>
    <n v="100"/>
    <x v="2"/>
    <n v="2"/>
    <n v="489.99"/>
    <n v="7.0000000000000007E-2"/>
    <n v="34.299300000000002"/>
    <n v="8"/>
    <n v="6"/>
  </r>
  <r>
    <n v="705"/>
    <n v="1"/>
    <n v="61"/>
    <x v="0"/>
    <n v="1"/>
    <n v="4999.99"/>
    <n v="0.1"/>
    <n v="499.99900000000002"/>
    <n v="9"/>
    <n v="6"/>
  </r>
  <r>
    <n v="706"/>
    <n v="1"/>
    <n v="27"/>
    <x v="0"/>
    <n v="1"/>
    <n v="999.99"/>
    <n v="0.1"/>
    <n v="99.999000000000009"/>
    <n v="9"/>
    <n v="6"/>
  </r>
  <r>
    <n v="706"/>
    <n v="2"/>
    <n v="23"/>
    <x v="1"/>
    <n v="2"/>
    <n v="299.99"/>
    <n v="0.05"/>
    <n v="14.999500000000001"/>
    <n v="5"/>
    <n v="6"/>
  </r>
  <r>
    <n v="706"/>
    <n v="3"/>
    <n v="60"/>
    <x v="2"/>
    <n v="1"/>
    <n v="1559.99"/>
    <n v="0.2"/>
    <n v="311.99800000000005"/>
    <n v="8"/>
    <n v="6"/>
  </r>
  <r>
    <n v="707"/>
    <n v="1"/>
    <n v="106"/>
    <x v="0"/>
    <n v="2"/>
    <n v="449.99"/>
    <n v="0.05"/>
    <n v="22.499500000000001"/>
    <n v="9"/>
    <n v="6"/>
  </r>
  <r>
    <n v="707"/>
    <n v="2"/>
    <n v="100"/>
    <x v="1"/>
    <n v="1"/>
    <n v="489.99"/>
    <n v="7.0000000000000007E-2"/>
    <n v="34.299300000000002"/>
    <n v="5"/>
    <n v="6"/>
  </r>
  <r>
    <n v="707"/>
    <n v="3"/>
    <n v="11"/>
    <x v="2"/>
    <n v="2"/>
    <n v="1680.99"/>
    <n v="0.1"/>
    <n v="168.09900000000002"/>
    <n v="8"/>
    <n v="6"/>
  </r>
  <r>
    <n v="707"/>
    <n v="4"/>
    <n v="26"/>
    <x v="3"/>
    <n v="2"/>
    <n v="599.99"/>
    <n v="0.1"/>
    <n v="59.999000000000002"/>
    <n v="9"/>
    <n v="6"/>
  </r>
  <r>
    <n v="708"/>
    <n v="1"/>
    <n v="6"/>
    <x v="0"/>
    <n v="1"/>
    <n v="469.99"/>
    <n v="7.0000000000000007E-2"/>
    <n v="32.899300000000004"/>
    <n v="9"/>
    <n v="6"/>
  </r>
  <r>
    <n v="708"/>
    <n v="2"/>
    <n v="47"/>
    <x v="1"/>
    <n v="1"/>
    <n v="5299.99"/>
    <n v="0.1"/>
    <n v="529.99900000000002"/>
    <n v="5"/>
    <n v="6"/>
  </r>
  <r>
    <n v="708"/>
    <n v="3"/>
    <n v="34"/>
    <x v="2"/>
    <n v="2"/>
    <n v="469.99"/>
    <n v="0.2"/>
    <n v="93.998000000000005"/>
    <n v="8"/>
    <n v="6"/>
  </r>
  <r>
    <n v="709"/>
    <n v="1"/>
    <n v="55"/>
    <x v="0"/>
    <n v="2"/>
    <n v="2699.99"/>
    <n v="0.05"/>
    <n v="134.99949999999998"/>
    <n v="9"/>
    <n v="6"/>
  </r>
  <r>
    <n v="709"/>
    <n v="2"/>
    <n v="101"/>
    <x v="1"/>
    <n v="2"/>
    <n v="339.99"/>
    <n v="7.0000000000000007E-2"/>
    <n v="23.799300000000002"/>
    <n v="5"/>
    <n v="6"/>
  </r>
  <r>
    <n v="709"/>
    <n v="3"/>
    <n v="48"/>
    <x v="2"/>
    <n v="1"/>
    <n v="1499.99"/>
    <n v="7.0000000000000007E-2"/>
    <n v="104.99930000000001"/>
    <n v="8"/>
    <n v="6"/>
  </r>
  <r>
    <n v="710"/>
    <n v="1"/>
    <n v="42"/>
    <x v="0"/>
    <n v="1"/>
    <n v="2299.9899999999998"/>
    <n v="0.05"/>
    <n v="114.9995"/>
    <n v="9"/>
    <n v="6"/>
  </r>
  <r>
    <n v="710"/>
    <n v="2"/>
    <n v="60"/>
    <x v="1"/>
    <n v="2"/>
    <n v="1559.99"/>
    <n v="0.2"/>
    <n v="311.99800000000005"/>
    <n v="5"/>
    <n v="6"/>
  </r>
  <r>
    <n v="710"/>
    <n v="3"/>
    <n v="39"/>
    <x v="2"/>
    <n v="2"/>
    <n v="1499.99"/>
    <n v="0.2"/>
    <n v="299.99799999999999"/>
    <n v="8"/>
    <n v="6"/>
  </r>
  <r>
    <n v="710"/>
    <n v="4"/>
    <n v="57"/>
    <x v="3"/>
    <n v="1"/>
    <n v="1999.99"/>
    <n v="0.2"/>
    <n v="399.99800000000005"/>
    <n v="9"/>
    <n v="6"/>
  </r>
  <r>
    <n v="710"/>
    <n v="5"/>
    <n v="28"/>
    <x v="4"/>
    <n v="1"/>
    <n v="2499.9899999999998"/>
    <n v="0.05"/>
    <n v="124.9995"/>
    <n v="3"/>
    <n v="6"/>
  </r>
  <r>
    <n v="711"/>
    <n v="1"/>
    <n v="5"/>
    <x v="0"/>
    <n v="2"/>
    <n v="1320.99"/>
    <n v="0.05"/>
    <n v="66.049500000000009"/>
    <n v="9"/>
    <n v="6"/>
  </r>
  <r>
    <n v="711"/>
    <n v="2"/>
    <n v="95"/>
    <x v="1"/>
    <n v="2"/>
    <n v="299.99"/>
    <n v="0.2"/>
    <n v="59.998000000000005"/>
    <n v="5"/>
    <n v="6"/>
  </r>
  <r>
    <n v="711"/>
    <n v="3"/>
    <n v="72"/>
    <x v="2"/>
    <n v="2"/>
    <n v="619.99"/>
    <n v="0.05"/>
    <n v="30.999500000000001"/>
    <n v="8"/>
    <n v="6"/>
  </r>
  <r>
    <n v="712"/>
    <n v="1"/>
    <n v="44"/>
    <x v="0"/>
    <n v="2"/>
    <n v="539.99"/>
    <n v="0.2"/>
    <n v="107.998"/>
    <n v="9"/>
    <n v="6"/>
  </r>
  <r>
    <n v="712"/>
    <n v="2"/>
    <n v="74"/>
    <x v="1"/>
    <n v="2"/>
    <n v="439.99"/>
    <n v="0.1"/>
    <n v="43.999000000000002"/>
    <n v="5"/>
    <n v="6"/>
  </r>
  <r>
    <n v="712"/>
    <n v="3"/>
    <n v="35"/>
    <x v="2"/>
    <n v="1"/>
    <n v="832.99"/>
    <n v="0.2"/>
    <n v="166.59800000000001"/>
    <n v="8"/>
    <n v="6"/>
  </r>
  <r>
    <n v="712"/>
    <n v="4"/>
    <n v="76"/>
    <x v="3"/>
    <n v="1"/>
    <n v="299.99"/>
    <n v="0.2"/>
    <n v="59.998000000000005"/>
    <n v="9"/>
    <n v="6"/>
  </r>
  <r>
    <n v="712"/>
    <n v="5"/>
    <n v="4"/>
    <x v="4"/>
    <n v="2"/>
    <n v="2899.99"/>
    <n v="0.05"/>
    <n v="144.99949999999998"/>
    <n v="3"/>
    <n v="6"/>
  </r>
  <r>
    <n v="713"/>
    <n v="1"/>
    <n v="93"/>
    <x v="0"/>
    <n v="2"/>
    <n v="209.99"/>
    <n v="0.2"/>
    <n v="41.998000000000005"/>
    <n v="9"/>
    <n v="6"/>
  </r>
  <r>
    <n v="713"/>
    <n v="2"/>
    <n v="97"/>
    <x v="1"/>
    <n v="2"/>
    <n v="349.99"/>
    <n v="0.1"/>
    <n v="34.999000000000002"/>
    <n v="5"/>
    <n v="6"/>
  </r>
  <r>
    <n v="713"/>
    <n v="3"/>
    <n v="53"/>
    <x v="2"/>
    <n v="1"/>
    <n v="749.99"/>
    <n v="7.0000000000000007E-2"/>
    <n v="52.499300000000005"/>
    <n v="8"/>
    <n v="6"/>
  </r>
  <r>
    <n v="713"/>
    <n v="4"/>
    <n v="108"/>
    <x v="3"/>
    <n v="2"/>
    <n v="449.99"/>
    <n v="7.0000000000000007E-2"/>
    <n v="31.499300000000005"/>
    <n v="9"/>
    <n v="6"/>
  </r>
  <r>
    <n v="714"/>
    <n v="1"/>
    <n v="92"/>
    <x v="0"/>
    <n v="2"/>
    <n v="209.99"/>
    <n v="0.2"/>
    <n v="41.998000000000005"/>
    <n v="9"/>
    <n v="6"/>
  </r>
  <r>
    <n v="715"/>
    <n v="1"/>
    <n v="61"/>
    <x v="0"/>
    <n v="2"/>
    <n v="4999.99"/>
    <n v="0.1"/>
    <n v="499.99900000000002"/>
    <n v="9"/>
    <n v="6"/>
  </r>
  <r>
    <n v="715"/>
    <n v="2"/>
    <n v="50"/>
    <x v="1"/>
    <n v="1"/>
    <n v="5999.99"/>
    <n v="0.2"/>
    <n v="1199.998"/>
    <n v="5"/>
    <n v="6"/>
  </r>
  <r>
    <n v="716"/>
    <n v="1"/>
    <n v="111"/>
    <x v="0"/>
    <n v="2"/>
    <n v="470.99"/>
    <n v="0.1"/>
    <n v="47.099000000000004"/>
    <n v="9"/>
    <n v="6"/>
  </r>
  <r>
    <n v="716"/>
    <n v="2"/>
    <n v="93"/>
    <x v="1"/>
    <n v="2"/>
    <n v="209.99"/>
    <n v="7.0000000000000007E-2"/>
    <n v="14.699300000000003"/>
    <n v="5"/>
    <n v="6"/>
  </r>
  <r>
    <n v="716"/>
    <n v="3"/>
    <n v="79"/>
    <x v="2"/>
    <n v="1"/>
    <n v="402.99"/>
    <n v="0.1"/>
    <n v="40.299000000000007"/>
    <n v="8"/>
    <n v="6"/>
  </r>
  <r>
    <n v="716"/>
    <n v="4"/>
    <n v="4"/>
    <x v="3"/>
    <n v="2"/>
    <n v="2899.99"/>
    <n v="0.05"/>
    <n v="144.99949999999998"/>
    <n v="9"/>
    <n v="6"/>
  </r>
  <r>
    <n v="717"/>
    <n v="1"/>
    <n v="56"/>
    <x v="0"/>
    <n v="2"/>
    <n v="5499.99"/>
    <n v="0.05"/>
    <n v="274.99950000000001"/>
    <n v="9"/>
    <n v="6"/>
  </r>
  <r>
    <n v="717"/>
    <n v="2"/>
    <n v="93"/>
    <x v="1"/>
    <n v="1"/>
    <n v="209.99"/>
    <n v="0.2"/>
    <n v="41.998000000000005"/>
    <n v="5"/>
    <n v="6"/>
  </r>
  <r>
    <n v="718"/>
    <n v="1"/>
    <n v="92"/>
    <x v="0"/>
    <n v="2"/>
    <n v="209.99"/>
    <n v="7.0000000000000007E-2"/>
    <n v="14.699300000000003"/>
    <n v="9"/>
    <n v="6"/>
  </r>
  <r>
    <n v="718"/>
    <n v="2"/>
    <n v="40"/>
    <x v="1"/>
    <n v="2"/>
    <n v="4999.99"/>
    <n v="7.0000000000000007E-2"/>
    <n v="349.99930000000001"/>
    <n v="5"/>
    <n v="6"/>
  </r>
  <r>
    <n v="718"/>
    <n v="3"/>
    <n v="64"/>
    <x v="2"/>
    <n v="2"/>
    <n v="489.99"/>
    <n v="0.1"/>
    <n v="48.999000000000002"/>
    <n v="8"/>
    <n v="6"/>
  </r>
  <r>
    <n v="719"/>
    <n v="1"/>
    <n v="100"/>
    <x v="0"/>
    <n v="1"/>
    <n v="489.99"/>
    <n v="0.2"/>
    <n v="97.998000000000005"/>
    <n v="9"/>
    <n v="6"/>
  </r>
  <r>
    <n v="720"/>
    <n v="1"/>
    <n v="111"/>
    <x v="0"/>
    <n v="1"/>
    <n v="470.99"/>
    <n v="7.0000000000000007E-2"/>
    <n v="32.969300000000004"/>
    <n v="9"/>
    <n v="6"/>
  </r>
  <r>
    <n v="720"/>
    <n v="2"/>
    <n v="6"/>
    <x v="1"/>
    <n v="1"/>
    <n v="469.99"/>
    <n v="0.1"/>
    <n v="46.999000000000002"/>
    <n v="5"/>
    <n v="6"/>
  </r>
  <r>
    <n v="721"/>
    <n v="1"/>
    <n v="45"/>
    <x v="0"/>
    <n v="2"/>
    <n v="869.99"/>
    <n v="7.0000000000000007E-2"/>
    <n v="60.899300000000004"/>
    <n v="9"/>
    <n v="6"/>
  </r>
  <r>
    <n v="721"/>
    <n v="2"/>
    <n v="102"/>
    <x v="1"/>
    <n v="1"/>
    <n v="489.99"/>
    <n v="0.1"/>
    <n v="48.999000000000002"/>
    <n v="5"/>
    <n v="6"/>
  </r>
  <r>
    <n v="721"/>
    <n v="3"/>
    <n v="73"/>
    <x v="2"/>
    <n v="2"/>
    <n v="749.99"/>
    <n v="0.05"/>
    <n v="37.499500000000005"/>
    <n v="8"/>
    <n v="6"/>
  </r>
  <r>
    <n v="721"/>
    <n v="4"/>
    <n v="33"/>
    <x v="3"/>
    <n v="1"/>
    <n v="469.99"/>
    <n v="0.2"/>
    <n v="93.998000000000005"/>
    <n v="9"/>
    <n v="6"/>
  </r>
  <r>
    <n v="722"/>
    <n v="1"/>
    <n v="22"/>
    <x v="0"/>
    <n v="2"/>
    <n v="269.99"/>
    <n v="7.0000000000000007E-2"/>
    <n v="18.899300000000004"/>
    <n v="9"/>
    <n v="6"/>
  </r>
  <r>
    <n v="722"/>
    <n v="2"/>
    <n v="3"/>
    <x v="1"/>
    <n v="1"/>
    <n v="999.99"/>
    <n v="0.05"/>
    <n v="49.999500000000005"/>
    <n v="5"/>
    <n v="6"/>
  </r>
  <r>
    <n v="722"/>
    <n v="3"/>
    <n v="104"/>
    <x v="2"/>
    <n v="2"/>
    <n v="481.99"/>
    <n v="0.1"/>
    <n v="48.199000000000005"/>
    <n v="8"/>
    <n v="6"/>
  </r>
  <r>
    <n v="723"/>
    <n v="1"/>
    <n v="24"/>
    <x v="0"/>
    <n v="2"/>
    <n v="549.99"/>
    <n v="7.0000000000000007E-2"/>
    <n v="38.499300000000005"/>
    <n v="9"/>
    <n v="6"/>
  </r>
  <r>
    <n v="723"/>
    <n v="2"/>
    <n v="16"/>
    <x v="1"/>
    <n v="1"/>
    <n v="599.99"/>
    <n v="0.05"/>
    <n v="29.999500000000001"/>
    <n v="5"/>
    <n v="6"/>
  </r>
  <r>
    <n v="723"/>
    <n v="3"/>
    <n v="108"/>
    <x v="2"/>
    <n v="1"/>
    <n v="449.99"/>
    <n v="7.0000000000000007E-2"/>
    <n v="31.499300000000005"/>
    <n v="8"/>
    <n v="6"/>
  </r>
  <r>
    <n v="724"/>
    <n v="1"/>
    <n v="23"/>
    <x v="0"/>
    <n v="1"/>
    <n v="299.99"/>
    <n v="0.05"/>
    <n v="14.999500000000001"/>
    <n v="9"/>
    <n v="6"/>
  </r>
  <r>
    <n v="724"/>
    <n v="2"/>
    <n v="75"/>
    <x v="1"/>
    <n v="1"/>
    <n v="599.99"/>
    <n v="0.2"/>
    <n v="119.998"/>
    <n v="5"/>
    <n v="6"/>
  </r>
  <r>
    <n v="724"/>
    <n v="3"/>
    <n v="102"/>
    <x v="2"/>
    <n v="1"/>
    <n v="489.99"/>
    <n v="0.05"/>
    <n v="24.499500000000001"/>
    <n v="8"/>
    <n v="6"/>
  </r>
  <r>
    <n v="724"/>
    <n v="4"/>
    <n v="55"/>
    <x v="3"/>
    <n v="1"/>
    <n v="2699.99"/>
    <n v="0.2"/>
    <n v="539.99799999999993"/>
    <n v="9"/>
    <n v="6"/>
  </r>
  <r>
    <n v="725"/>
    <n v="1"/>
    <n v="90"/>
    <x v="0"/>
    <n v="1"/>
    <n v="209.99"/>
    <n v="0.1"/>
    <n v="20.999000000000002"/>
    <n v="9"/>
    <n v="6"/>
  </r>
  <r>
    <n v="725"/>
    <n v="2"/>
    <n v="91"/>
    <x v="1"/>
    <n v="1"/>
    <n v="349.99"/>
    <n v="0.05"/>
    <n v="17.499500000000001"/>
    <n v="5"/>
    <n v="6"/>
  </r>
  <r>
    <n v="725"/>
    <n v="3"/>
    <n v="77"/>
    <x v="2"/>
    <n v="2"/>
    <n v="799.99"/>
    <n v="7.0000000000000007E-2"/>
    <n v="55.999300000000005"/>
    <n v="8"/>
    <n v="6"/>
  </r>
  <r>
    <n v="725"/>
    <n v="4"/>
    <n v="62"/>
    <x v="3"/>
    <n v="2"/>
    <n v="3499.99"/>
    <n v="0.1"/>
    <n v="349.99900000000002"/>
    <n v="9"/>
    <n v="6"/>
  </r>
  <r>
    <n v="726"/>
    <n v="1"/>
    <n v="64"/>
    <x v="0"/>
    <n v="1"/>
    <n v="489.99"/>
    <n v="0.2"/>
    <n v="97.998000000000005"/>
    <n v="9"/>
    <n v="6"/>
  </r>
  <r>
    <n v="727"/>
    <n v="1"/>
    <n v="78"/>
    <x v="0"/>
    <n v="1"/>
    <n v="647.99"/>
    <n v="7.0000000000000007E-2"/>
    <n v="45.359300000000005"/>
    <n v="9"/>
    <n v="6"/>
  </r>
  <r>
    <n v="727"/>
    <n v="2"/>
    <n v="82"/>
    <x v="1"/>
    <n v="2"/>
    <n v="659.99"/>
    <n v="0.05"/>
    <n v="32.999500000000005"/>
    <n v="5"/>
    <n v="6"/>
  </r>
  <r>
    <n v="728"/>
    <n v="1"/>
    <n v="70"/>
    <x v="0"/>
    <n v="1"/>
    <n v="659.99"/>
    <n v="0.05"/>
    <n v="32.999500000000005"/>
    <n v="9"/>
    <n v="6"/>
  </r>
  <r>
    <n v="728"/>
    <n v="2"/>
    <n v="56"/>
    <x v="1"/>
    <n v="1"/>
    <n v="5499.99"/>
    <n v="0.1"/>
    <n v="549.99900000000002"/>
    <n v="5"/>
    <n v="6"/>
  </r>
  <r>
    <n v="728"/>
    <n v="3"/>
    <n v="91"/>
    <x v="2"/>
    <n v="1"/>
    <n v="349.99"/>
    <n v="0.1"/>
    <n v="34.999000000000002"/>
    <n v="8"/>
    <n v="6"/>
  </r>
  <r>
    <n v="728"/>
    <n v="4"/>
    <n v="58"/>
    <x v="3"/>
    <n v="1"/>
    <n v="4999.99"/>
    <n v="7.0000000000000007E-2"/>
    <n v="349.99930000000001"/>
    <n v="9"/>
    <n v="6"/>
  </r>
  <r>
    <n v="729"/>
    <n v="1"/>
    <n v="101"/>
    <x v="0"/>
    <n v="2"/>
    <n v="339.99"/>
    <n v="0.1"/>
    <n v="33.999000000000002"/>
    <n v="9"/>
    <n v="6"/>
  </r>
  <r>
    <n v="730"/>
    <n v="1"/>
    <n v="59"/>
    <x v="0"/>
    <n v="2"/>
    <n v="2599.9899999999998"/>
    <n v="0.05"/>
    <n v="129.99949999999998"/>
    <n v="9"/>
    <n v="6"/>
  </r>
  <r>
    <n v="730"/>
    <n v="2"/>
    <n v="79"/>
    <x v="1"/>
    <n v="1"/>
    <n v="402.99"/>
    <n v="0.1"/>
    <n v="40.299000000000007"/>
    <n v="5"/>
    <n v="6"/>
  </r>
  <r>
    <n v="730"/>
    <n v="3"/>
    <n v="96"/>
    <x v="2"/>
    <n v="2"/>
    <n v="349.99"/>
    <n v="7.0000000000000007E-2"/>
    <n v="24.499300000000002"/>
    <n v="8"/>
    <n v="6"/>
  </r>
  <r>
    <n v="730"/>
    <n v="4"/>
    <n v="13"/>
    <x v="3"/>
    <n v="1"/>
    <n v="269.99"/>
    <n v="0.1"/>
    <n v="26.999000000000002"/>
    <n v="9"/>
    <n v="6"/>
  </r>
  <r>
    <n v="731"/>
    <n v="1"/>
    <n v="91"/>
    <x v="0"/>
    <n v="1"/>
    <n v="349.99"/>
    <n v="0.05"/>
    <n v="17.499500000000001"/>
    <n v="9"/>
    <n v="6"/>
  </r>
  <r>
    <n v="731"/>
    <n v="2"/>
    <n v="49"/>
    <x v="1"/>
    <n v="1"/>
    <n v="3499.99"/>
    <n v="0.2"/>
    <n v="699.99800000000005"/>
    <n v="5"/>
    <n v="6"/>
  </r>
  <r>
    <n v="731"/>
    <n v="3"/>
    <n v="67"/>
    <x v="2"/>
    <n v="2"/>
    <n v="250.99"/>
    <n v="0.2"/>
    <n v="50.198000000000008"/>
    <n v="8"/>
    <n v="6"/>
  </r>
  <r>
    <n v="731"/>
    <n v="4"/>
    <n v="29"/>
    <x v="3"/>
    <n v="1"/>
    <n v="999.99"/>
    <n v="0.2"/>
    <n v="199.99800000000002"/>
    <n v="9"/>
    <n v="6"/>
  </r>
  <r>
    <n v="732"/>
    <n v="1"/>
    <n v="47"/>
    <x v="0"/>
    <n v="1"/>
    <n v="5299.99"/>
    <n v="7.0000000000000007E-2"/>
    <n v="370.99930000000001"/>
    <n v="9"/>
    <n v="6"/>
  </r>
  <r>
    <n v="732"/>
    <n v="2"/>
    <n v="4"/>
    <x v="1"/>
    <n v="2"/>
    <n v="2899.99"/>
    <n v="7.0000000000000007E-2"/>
    <n v="202.99930000000001"/>
    <n v="5"/>
    <n v="6"/>
  </r>
  <r>
    <n v="733"/>
    <n v="1"/>
    <n v="84"/>
    <x v="0"/>
    <n v="1"/>
    <n v="109.99"/>
    <n v="0.05"/>
    <n v="5.4995000000000003"/>
    <n v="9"/>
    <n v="6"/>
  </r>
  <r>
    <n v="733"/>
    <n v="2"/>
    <n v="55"/>
    <x v="1"/>
    <n v="1"/>
    <n v="2699.99"/>
    <n v="0.2"/>
    <n v="539.99799999999993"/>
    <n v="5"/>
    <n v="6"/>
  </r>
  <r>
    <n v="733"/>
    <n v="3"/>
    <n v="102"/>
    <x v="2"/>
    <n v="2"/>
    <n v="489.99"/>
    <n v="0.1"/>
    <n v="48.999000000000002"/>
    <n v="8"/>
    <n v="6"/>
  </r>
  <r>
    <n v="734"/>
    <n v="1"/>
    <n v="26"/>
    <x v="0"/>
    <n v="1"/>
    <n v="599.99"/>
    <n v="0.2"/>
    <n v="119.998"/>
    <n v="9"/>
    <n v="6"/>
  </r>
  <r>
    <n v="734"/>
    <n v="2"/>
    <n v="3"/>
    <x v="1"/>
    <n v="1"/>
    <n v="999.99"/>
    <n v="0.05"/>
    <n v="49.999500000000005"/>
    <n v="5"/>
    <n v="6"/>
  </r>
  <r>
    <n v="734"/>
    <n v="3"/>
    <n v="84"/>
    <x v="2"/>
    <n v="2"/>
    <n v="109.99"/>
    <n v="0.2"/>
    <n v="21.998000000000001"/>
    <n v="8"/>
    <n v="6"/>
  </r>
  <r>
    <n v="734"/>
    <n v="4"/>
    <n v="65"/>
    <x v="3"/>
    <n v="2"/>
    <n v="346.99"/>
    <n v="0.1"/>
    <n v="34.699000000000005"/>
    <n v="9"/>
    <n v="6"/>
  </r>
  <r>
    <n v="735"/>
    <n v="1"/>
    <n v="71"/>
    <x v="0"/>
    <n v="2"/>
    <n v="416.99"/>
    <n v="0.1"/>
    <n v="41.699000000000005"/>
    <n v="9"/>
    <n v="6"/>
  </r>
  <r>
    <n v="735"/>
    <n v="2"/>
    <n v="10"/>
    <x v="1"/>
    <n v="2"/>
    <n v="1549"/>
    <n v="7.0000000000000007E-2"/>
    <n v="108.43"/>
    <n v="5"/>
    <n v="6"/>
  </r>
  <r>
    <n v="736"/>
    <n v="1"/>
    <n v="56"/>
    <x v="0"/>
    <n v="2"/>
    <n v="5499.99"/>
    <n v="0.05"/>
    <n v="274.99950000000001"/>
    <n v="9"/>
    <n v="6"/>
  </r>
  <r>
    <n v="736"/>
    <n v="2"/>
    <n v="17"/>
    <x v="1"/>
    <n v="1"/>
    <n v="429"/>
    <n v="0.1"/>
    <n v="42.900000000000006"/>
    <n v="5"/>
    <n v="6"/>
  </r>
  <r>
    <n v="736"/>
    <n v="3"/>
    <n v="62"/>
    <x v="2"/>
    <n v="2"/>
    <n v="3499.99"/>
    <n v="0.2"/>
    <n v="699.99800000000005"/>
    <n v="8"/>
    <n v="6"/>
  </r>
  <r>
    <n v="737"/>
    <n v="1"/>
    <n v="52"/>
    <x v="0"/>
    <n v="1"/>
    <n v="875.99"/>
    <n v="0.05"/>
    <n v="43.799500000000002"/>
    <n v="9"/>
    <n v="6"/>
  </r>
  <r>
    <n v="737"/>
    <n v="2"/>
    <n v="19"/>
    <x v="1"/>
    <n v="2"/>
    <n v="449"/>
    <n v="7.0000000000000007E-2"/>
    <n v="31.430000000000003"/>
    <n v="5"/>
    <n v="6"/>
  </r>
  <r>
    <n v="737"/>
    <n v="3"/>
    <n v="77"/>
    <x v="2"/>
    <n v="2"/>
    <n v="799.99"/>
    <n v="7.0000000000000007E-2"/>
    <n v="55.999300000000005"/>
    <n v="8"/>
    <n v="6"/>
  </r>
  <r>
    <n v="737"/>
    <n v="4"/>
    <n v="34"/>
    <x v="3"/>
    <n v="1"/>
    <n v="469.99"/>
    <n v="0.2"/>
    <n v="93.998000000000005"/>
    <n v="9"/>
    <n v="6"/>
  </r>
  <r>
    <n v="738"/>
    <n v="1"/>
    <n v="82"/>
    <x v="0"/>
    <n v="2"/>
    <n v="659.99"/>
    <n v="7.0000000000000007E-2"/>
    <n v="46.199300000000008"/>
    <n v="9"/>
    <n v="6"/>
  </r>
  <r>
    <n v="738"/>
    <n v="2"/>
    <n v="38"/>
    <x v="1"/>
    <n v="2"/>
    <n v="549.99"/>
    <n v="0.2"/>
    <n v="109.998"/>
    <n v="5"/>
    <n v="6"/>
  </r>
  <r>
    <n v="738"/>
    <n v="3"/>
    <n v="25"/>
    <x v="2"/>
    <n v="1"/>
    <n v="499.99"/>
    <n v="0.1"/>
    <n v="49.999000000000002"/>
    <n v="8"/>
    <n v="6"/>
  </r>
  <r>
    <n v="738"/>
    <n v="4"/>
    <n v="63"/>
    <x v="3"/>
    <n v="1"/>
    <n v="3499.99"/>
    <n v="7.0000000000000007E-2"/>
    <n v="244.99930000000001"/>
    <n v="9"/>
    <n v="6"/>
  </r>
  <r>
    <n v="739"/>
    <n v="1"/>
    <n v="3"/>
    <x v="0"/>
    <n v="1"/>
    <n v="999.99"/>
    <n v="0.2"/>
    <n v="199.99800000000002"/>
    <n v="9"/>
    <n v="6"/>
  </r>
  <r>
    <n v="740"/>
    <n v="1"/>
    <n v="81"/>
    <x v="0"/>
    <n v="1"/>
    <n v="1099.99"/>
    <n v="0.05"/>
    <n v="54.999500000000005"/>
    <n v="9"/>
    <n v="6"/>
  </r>
  <r>
    <n v="740"/>
    <n v="2"/>
    <n v="94"/>
    <x v="1"/>
    <n v="2"/>
    <n v="249.99"/>
    <n v="0.2"/>
    <n v="49.998000000000005"/>
    <n v="5"/>
    <n v="6"/>
  </r>
  <r>
    <n v="740"/>
    <n v="3"/>
    <n v="11"/>
    <x v="2"/>
    <n v="1"/>
    <n v="1680.99"/>
    <n v="0.2"/>
    <n v="336.19800000000004"/>
    <n v="8"/>
    <n v="6"/>
  </r>
  <r>
    <n v="740"/>
    <n v="4"/>
    <n v="19"/>
    <x v="3"/>
    <n v="1"/>
    <n v="449"/>
    <n v="0.2"/>
    <n v="89.800000000000011"/>
    <n v="9"/>
    <n v="6"/>
  </r>
  <r>
    <n v="740"/>
    <n v="5"/>
    <n v="12"/>
    <x v="4"/>
    <n v="2"/>
    <n v="549.99"/>
    <n v="7.0000000000000007E-2"/>
    <n v="38.499300000000005"/>
    <n v="3"/>
    <n v="6"/>
  </r>
  <r>
    <n v="741"/>
    <n v="1"/>
    <n v="58"/>
    <x v="0"/>
    <n v="1"/>
    <n v="4999.99"/>
    <n v="0.05"/>
    <n v="249.99950000000001"/>
    <n v="9"/>
    <n v="6"/>
  </r>
  <r>
    <n v="741"/>
    <n v="2"/>
    <n v="76"/>
    <x v="1"/>
    <n v="1"/>
    <n v="299.99"/>
    <n v="7.0000000000000007E-2"/>
    <n v="20.999300000000002"/>
    <n v="5"/>
    <n v="6"/>
  </r>
  <r>
    <n v="741"/>
    <n v="3"/>
    <n v="21"/>
    <x v="2"/>
    <n v="2"/>
    <n v="269.99"/>
    <n v="7.0000000000000007E-2"/>
    <n v="18.899300000000004"/>
    <n v="8"/>
    <n v="6"/>
  </r>
  <r>
    <n v="741"/>
    <n v="4"/>
    <n v="56"/>
    <x v="3"/>
    <n v="2"/>
    <n v="5499.99"/>
    <n v="0.05"/>
    <n v="274.99950000000001"/>
    <n v="9"/>
    <n v="6"/>
  </r>
  <r>
    <n v="742"/>
    <n v="1"/>
    <n v="107"/>
    <x v="0"/>
    <n v="2"/>
    <n v="416.99"/>
    <n v="0.05"/>
    <n v="20.849500000000003"/>
    <n v="9"/>
    <n v="6"/>
  </r>
  <r>
    <n v="742"/>
    <n v="2"/>
    <n v="45"/>
    <x v="1"/>
    <n v="1"/>
    <n v="869.99"/>
    <n v="7.0000000000000007E-2"/>
    <n v="60.899300000000004"/>
    <n v="5"/>
    <n v="6"/>
  </r>
  <r>
    <n v="743"/>
    <n v="1"/>
    <n v="80"/>
    <x v="0"/>
    <n v="1"/>
    <n v="761.99"/>
    <n v="0.05"/>
    <n v="38.099499999999999"/>
    <n v="9"/>
    <n v="6"/>
  </r>
  <r>
    <n v="744"/>
    <n v="1"/>
    <n v="33"/>
    <x v="0"/>
    <n v="2"/>
    <n v="469.99"/>
    <n v="0.2"/>
    <n v="93.998000000000005"/>
    <n v="9"/>
    <n v="6"/>
  </r>
  <r>
    <n v="745"/>
    <n v="1"/>
    <n v="95"/>
    <x v="0"/>
    <n v="2"/>
    <n v="299.99"/>
    <n v="0.05"/>
    <n v="14.999500000000001"/>
    <n v="9"/>
    <n v="6"/>
  </r>
  <r>
    <n v="745"/>
    <n v="2"/>
    <n v="22"/>
    <x v="1"/>
    <n v="2"/>
    <n v="269.99"/>
    <n v="0.2"/>
    <n v="53.998000000000005"/>
    <n v="5"/>
    <n v="6"/>
  </r>
  <r>
    <n v="745"/>
    <n v="3"/>
    <n v="78"/>
    <x v="2"/>
    <n v="1"/>
    <n v="647.99"/>
    <n v="0.1"/>
    <n v="64.799000000000007"/>
    <n v="8"/>
    <n v="6"/>
  </r>
  <r>
    <n v="746"/>
    <n v="1"/>
    <n v="99"/>
    <x v="0"/>
    <n v="1"/>
    <n v="299.99"/>
    <n v="0.1"/>
    <n v="29.999000000000002"/>
    <n v="9"/>
    <n v="6"/>
  </r>
  <r>
    <n v="747"/>
    <n v="1"/>
    <n v="110"/>
    <x v="0"/>
    <n v="1"/>
    <n v="470.99"/>
    <n v="7.0000000000000007E-2"/>
    <n v="32.969300000000004"/>
    <n v="9"/>
    <n v="6"/>
  </r>
  <r>
    <n v="747"/>
    <n v="2"/>
    <n v="86"/>
    <x v="1"/>
    <n v="1"/>
    <n v="149.99"/>
    <n v="0.2"/>
    <n v="29.998000000000005"/>
    <n v="5"/>
    <n v="6"/>
  </r>
  <r>
    <n v="747"/>
    <n v="3"/>
    <n v="33"/>
    <x v="2"/>
    <n v="2"/>
    <n v="469.99"/>
    <n v="0.1"/>
    <n v="46.999000000000002"/>
    <n v="8"/>
    <n v="6"/>
  </r>
  <r>
    <n v="747"/>
    <n v="4"/>
    <n v="81"/>
    <x v="3"/>
    <n v="1"/>
    <n v="1099.99"/>
    <n v="7.0000000000000007E-2"/>
    <n v="76.999300000000005"/>
    <n v="9"/>
    <n v="6"/>
  </r>
  <r>
    <n v="748"/>
    <n v="1"/>
    <n v="16"/>
    <x v="0"/>
    <n v="2"/>
    <n v="599.99"/>
    <n v="0.1"/>
    <n v="59.999000000000002"/>
    <n v="9"/>
    <n v="6"/>
  </r>
  <r>
    <n v="748"/>
    <n v="2"/>
    <n v="83"/>
    <x v="1"/>
    <n v="2"/>
    <n v="149.99"/>
    <n v="0.05"/>
    <n v="7.4995000000000012"/>
    <n v="5"/>
    <n v="6"/>
  </r>
  <r>
    <n v="748"/>
    <n v="3"/>
    <n v="41"/>
    <x v="2"/>
    <n v="1"/>
    <n v="1469.99"/>
    <n v="7.0000000000000007E-2"/>
    <n v="102.89930000000001"/>
    <n v="8"/>
    <n v="6"/>
  </r>
  <r>
    <n v="748"/>
    <n v="4"/>
    <n v="35"/>
    <x v="3"/>
    <n v="2"/>
    <n v="832.99"/>
    <n v="0.2"/>
    <n v="166.59800000000001"/>
    <n v="9"/>
    <n v="6"/>
  </r>
  <r>
    <n v="749"/>
    <n v="1"/>
    <n v="9"/>
    <x v="0"/>
    <n v="1"/>
    <n v="2999.99"/>
    <n v="0.2"/>
    <n v="599.99799999999993"/>
    <n v="9"/>
    <n v="6"/>
  </r>
  <r>
    <n v="749"/>
    <n v="2"/>
    <n v="28"/>
    <x v="1"/>
    <n v="1"/>
    <n v="2499.9899999999998"/>
    <n v="0.05"/>
    <n v="124.9995"/>
    <n v="5"/>
    <n v="6"/>
  </r>
  <r>
    <n v="749"/>
    <n v="3"/>
    <n v="79"/>
    <x v="2"/>
    <n v="1"/>
    <n v="402.99"/>
    <n v="0.2"/>
    <n v="80.598000000000013"/>
    <n v="8"/>
    <n v="6"/>
  </r>
  <r>
    <n v="749"/>
    <n v="4"/>
    <n v="24"/>
    <x v="3"/>
    <n v="1"/>
    <n v="549.99"/>
    <n v="0.05"/>
    <n v="27.499500000000001"/>
    <n v="9"/>
    <n v="6"/>
  </r>
  <r>
    <n v="749"/>
    <n v="5"/>
    <n v="40"/>
    <x v="4"/>
    <n v="1"/>
    <n v="4999.99"/>
    <n v="7.0000000000000007E-2"/>
    <n v="349.99930000000001"/>
    <n v="3"/>
    <n v="6"/>
  </r>
  <r>
    <n v="750"/>
    <n v="1"/>
    <n v="72"/>
    <x v="0"/>
    <n v="1"/>
    <n v="619.99"/>
    <n v="0.05"/>
    <n v="30.999500000000001"/>
    <n v="9"/>
    <n v="6"/>
  </r>
  <r>
    <n v="750"/>
    <n v="2"/>
    <n v="78"/>
    <x v="1"/>
    <n v="2"/>
    <n v="647.99"/>
    <n v="0.1"/>
    <n v="64.799000000000007"/>
    <n v="5"/>
    <n v="6"/>
  </r>
  <r>
    <n v="751"/>
    <n v="1"/>
    <n v="45"/>
    <x v="0"/>
    <n v="2"/>
    <n v="869.99"/>
    <n v="0.05"/>
    <n v="43.499500000000005"/>
    <n v="9"/>
    <n v="6"/>
  </r>
  <r>
    <n v="752"/>
    <n v="1"/>
    <n v="12"/>
    <x v="0"/>
    <n v="2"/>
    <n v="549.99"/>
    <n v="0.05"/>
    <n v="27.499500000000001"/>
    <n v="9"/>
    <n v="6"/>
  </r>
  <r>
    <n v="752"/>
    <n v="2"/>
    <n v="31"/>
    <x v="1"/>
    <n v="2"/>
    <n v="1632.99"/>
    <n v="0.05"/>
    <n v="81.649500000000003"/>
    <n v="5"/>
    <n v="6"/>
  </r>
  <r>
    <n v="753"/>
    <n v="1"/>
    <n v="105"/>
    <x v="0"/>
    <n v="2"/>
    <n v="533.99"/>
    <n v="7.0000000000000007E-2"/>
    <n v="37.379300000000008"/>
    <n v="9"/>
    <n v="6"/>
  </r>
  <r>
    <n v="753"/>
    <n v="2"/>
    <n v="7"/>
    <x v="1"/>
    <n v="2"/>
    <n v="3999.99"/>
    <n v="0.2"/>
    <n v="799.99800000000005"/>
    <n v="5"/>
    <n v="6"/>
  </r>
  <r>
    <n v="753"/>
    <n v="3"/>
    <n v="36"/>
    <x v="2"/>
    <n v="2"/>
    <n v="832.99"/>
    <n v="0.1"/>
    <n v="83.299000000000007"/>
    <n v="8"/>
    <n v="6"/>
  </r>
  <r>
    <n v="753"/>
    <n v="4"/>
    <n v="95"/>
    <x v="3"/>
    <n v="1"/>
    <n v="299.99"/>
    <n v="7.0000000000000007E-2"/>
    <n v="20.999300000000002"/>
    <n v="9"/>
    <n v="6"/>
  </r>
  <r>
    <n v="753"/>
    <n v="5"/>
    <n v="66"/>
    <x v="4"/>
    <n v="1"/>
    <n v="250.99"/>
    <n v="0.2"/>
    <n v="50.198000000000008"/>
    <n v="3"/>
    <n v="6"/>
  </r>
  <r>
    <n v="754"/>
    <n v="1"/>
    <n v="74"/>
    <x v="0"/>
    <n v="2"/>
    <n v="439.99"/>
    <n v="7.0000000000000007E-2"/>
    <n v="30.799300000000002"/>
    <n v="9"/>
    <n v="6"/>
  </r>
  <r>
    <n v="754"/>
    <n v="2"/>
    <n v="12"/>
    <x v="1"/>
    <n v="2"/>
    <n v="549.99"/>
    <n v="7.0000000000000007E-2"/>
    <n v="38.499300000000005"/>
    <n v="5"/>
    <n v="6"/>
  </r>
  <r>
    <n v="754"/>
    <n v="3"/>
    <n v="3"/>
    <x v="2"/>
    <n v="1"/>
    <n v="999.99"/>
    <n v="0.05"/>
    <n v="49.999500000000005"/>
    <n v="8"/>
    <n v="6"/>
  </r>
  <r>
    <n v="754"/>
    <n v="4"/>
    <n v="67"/>
    <x v="3"/>
    <n v="2"/>
    <n v="250.99"/>
    <n v="0.05"/>
    <n v="12.549500000000002"/>
    <n v="9"/>
    <n v="6"/>
  </r>
  <r>
    <n v="754"/>
    <n v="5"/>
    <n v="7"/>
    <x v="4"/>
    <n v="1"/>
    <n v="3999.99"/>
    <n v="0.2"/>
    <n v="799.99800000000005"/>
    <n v="3"/>
    <n v="6"/>
  </r>
  <r>
    <n v="755"/>
    <n v="1"/>
    <n v="80"/>
    <x v="0"/>
    <n v="2"/>
    <n v="761.99"/>
    <n v="7.0000000000000007E-2"/>
    <n v="53.339300000000009"/>
    <n v="9"/>
    <n v="6"/>
  </r>
  <r>
    <n v="755"/>
    <n v="2"/>
    <n v="43"/>
    <x v="1"/>
    <n v="2"/>
    <n v="5299.99"/>
    <n v="0.05"/>
    <n v="264.99950000000001"/>
    <n v="5"/>
    <n v="6"/>
  </r>
  <r>
    <n v="755"/>
    <n v="3"/>
    <n v="57"/>
    <x v="2"/>
    <n v="2"/>
    <n v="1999.99"/>
    <n v="0.1"/>
    <n v="199.99900000000002"/>
    <n v="8"/>
    <n v="6"/>
  </r>
  <r>
    <n v="756"/>
    <n v="1"/>
    <n v="64"/>
    <x v="0"/>
    <n v="1"/>
    <n v="489.99"/>
    <n v="0.1"/>
    <n v="48.999000000000002"/>
    <n v="9"/>
    <n v="6"/>
  </r>
  <r>
    <n v="756"/>
    <n v="2"/>
    <n v="17"/>
    <x v="1"/>
    <n v="2"/>
    <n v="429"/>
    <n v="0.05"/>
    <n v="21.450000000000003"/>
    <n v="5"/>
    <n v="6"/>
  </r>
  <r>
    <n v="757"/>
    <n v="1"/>
    <n v="95"/>
    <x v="0"/>
    <n v="1"/>
    <n v="299.99"/>
    <n v="0.1"/>
    <n v="29.999000000000002"/>
    <n v="9"/>
    <n v="6"/>
  </r>
  <r>
    <n v="758"/>
    <n v="1"/>
    <n v="22"/>
    <x v="0"/>
    <n v="2"/>
    <n v="269.99"/>
    <n v="7.0000000000000007E-2"/>
    <n v="18.899300000000004"/>
    <n v="9"/>
    <n v="6"/>
  </r>
  <r>
    <n v="758"/>
    <n v="2"/>
    <n v="99"/>
    <x v="1"/>
    <n v="1"/>
    <n v="299.99"/>
    <n v="0.1"/>
    <n v="29.999000000000002"/>
    <n v="5"/>
    <n v="6"/>
  </r>
  <r>
    <n v="758"/>
    <n v="3"/>
    <n v="27"/>
    <x v="2"/>
    <n v="1"/>
    <n v="999.99"/>
    <n v="7.0000000000000007E-2"/>
    <n v="69.999300000000005"/>
    <n v="8"/>
    <n v="6"/>
  </r>
  <r>
    <n v="758"/>
    <n v="4"/>
    <n v="65"/>
    <x v="3"/>
    <n v="2"/>
    <n v="346.99"/>
    <n v="7.0000000000000007E-2"/>
    <n v="24.289300000000004"/>
    <n v="9"/>
    <n v="6"/>
  </r>
  <r>
    <n v="758"/>
    <n v="5"/>
    <n v="109"/>
    <x v="4"/>
    <n v="1"/>
    <n v="416.99"/>
    <n v="0.2"/>
    <n v="83.39800000000001"/>
    <n v="3"/>
    <n v="6"/>
  </r>
  <r>
    <n v="759"/>
    <n v="1"/>
    <n v="93"/>
    <x v="0"/>
    <n v="2"/>
    <n v="209.99"/>
    <n v="0.05"/>
    <n v="10.499500000000001"/>
    <n v="9"/>
    <n v="6"/>
  </r>
  <r>
    <n v="759"/>
    <n v="2"/>
    <n v="78"/>
    <x v="1"/>
    <n v="1"/>
    <n v="647.99"/>
    <n v="7.0000000000000007E-2"/>
    <n v="45.359300000000005"/>
    <n v="5"/>
    <n v="6"/>
  </r>
  <r>
    <n v="760"/>
    <n v="1"/>
    <n v="21"/>
    <x v="0"/>
    <n v="2"/>
    <n v="269.99"/>
    <n v="7.0000000000000007E-2"/>
    <n v="18.899300000000004"/>
    <n v="9"/>
    <n v="6"/>
  </r>
  <r>
    <n v="760"/>
    <n v="2"/>
    <n v="29"/>
    <x v="1"/>
    <n v="2"/>
    <n v="999.99"/>
    <n v="7.0000000000000007E-2"/>
    <n v="69.999300000000005"/>
    <n v="5"/>
    <n v="6"/>
  </r>
  <r>
    <n v="761"/>
    <n v="1"/>
    <n v="43"/>
    <x v="0"/>
    <n v="1"/>
    <n v="5299.99"/>
    <n v="7.0000000000000007E-2"/>
    <n v="370.99930000000001"/>
    <n v="9"/>
    <n v="6"/>
  </r>
  <r>
    <n v="761"/>
    <n v="2"/>
    <n v="52"/>
    <x v="1"/>
    <n v="2"/>
    <n v="875.99"/>
    <n v="0.2"/>
    <n v="175.19800000000001"/>
    <n v="5"/>
    <n v="6"/>
  </r>
  <r>
    <n v="762"/>
    <n v="1"/>
    <n v="102"/>
    <x v="0"/>
    <n v="2"/>
    <n v="489.99"/>
    <n v="0.05"/>
    <n v="24.499500000000001"/>
    <n v="9"/>
    <n v="6"/>
  </r>
  <r>
    <n v="763"/>
    <n v="1"/>
    <n v="90"/>
    <x v="0"/>
    <n v="1"/>
    <n v="209.99"/>
    <n v="7.0000000000000007E-2"/>
    <n v="14.699300000000003"/>
    <n v="9"/>
    <n v="6"/>
  </r>
  <r>
    <n v="763"/>
    <n v="2"/>
    <n v="103"/>
    <x v="1"/>
    <n v="1"/>
    <n v="551.99"/>
    <n v="0.1"/>
    <n v="55.199000000000005"/>
    <n v="5"/>
    <n v="6"/>
  </r>
  <r>
    <n v="764"/>
    <n v="1"/>
    <n v="55"/>
    <x v="0"/>
    <n v="1"/>
    <n v="2699.99"/>
    <n v="7.0000000000000007E-2"/>
    <n v="188.99930000000001"/>
    <n v="9"/>
    <n v="6"/>
  </r>
  <r>
    <n v="764"/>
    <n v="2"/>
    <n v="95"/>
    <x v="1"/>
    <n v="2"/>
    <n v="299.99"/>
    <n v="0.05"/>
    <n v="14.999500000000001"/>
    <n v="5"/>
    <n v="6"/>
  </r>
  <r>
    <n v="764"/>
    <n v="3"/>
    <n v="81"/>
    <x v="2"/>
    <n v="2"/>
    <n v="1099.99"/>
    <n v="7.0000000000000007E-2"/>
    <n v="76.999300000000005"/>
    <n v="8"/>
    <n v="6"/>
  </r>
  <r>
    <n v="765"/>
    <n v="1"/>
    <n v="28"/>
    <x v="0"/>
    <n v="2"/>
    <n v="2499.9899999999998"/>
    <n v="0.2"/>
    <n v="499.99799999999999"/>
    <n v="9"/>
    <n v="6"/>
  </r>
  <r>
    <n v="765"/>
    <n v="2"/>
    <n v="12"/>
    <x v="1"/>
    <n v="1"/>
    <n v="549.99"/>
    <n v="7.0000000000000007E-2"/>
    <n v="38.499300000000005"/>
    <n v="5"/>
    <n v="6"/>
  </r>
  <r>
    <n v="765"/>
    <n v="3"/>
    <n v="25"/>
    <x v="2"/>
    <n v="1"/>
    <n v="499.99"/>
    <n v="0.2"/>
    <n v="99.998000000000005"/>
    <n v="8"/>
    <n v="6"/>
  </r>
  <r>
    <n v="765"/>
    <n v="4"/>
    <n v="53"/>
    <x v="3"/>
    <n v="1"/>
    <n v="749.99"/>
    <n v="0.2"/>
    <n v="149.99800000000002"/>
    <n v="9"/>
    <n v="6"/>
  </r>
  <r>
    <n v="765"/>
    <n v="5"/>
    <n v="65"/>
    <x v="4"/>
    <n v="1"/>
    <n v="346.99"/>
    <n v="0.05"/>
    <n v="17.349500000000003"/>
    <n v="3"/>
    <n v="6"/>
  </r>
  <r>
    <n v="766"/>
    <n v="1"/>
    <n v="111"/>
    <x v="0"/>
    <n v="1"/>
    <n v="470.99"/>
    <n v="0.2"/>
    <n v="94.198000000000008"/>
    <n v="9"/>
    <n v="6"/>
  </r>
  <r>
    <n v="767"/>
    <n v="1"/>
    <n v="63"/>
    <x v="0"/>
    <n v="1"/>
    <n v="3499.99"/>
    <n v="0.1"/>
    <n v="349.99900000000002"/>
    <n v="9"/>
    <n v="6"/>
  </r>
  <r>
    <n v="767"/>
    <n v="2"/>
    <n v="29"/>
    <x v="1"/>
    <n v="1"/>
    <n v="999.99"/>
    <n v="7.0000000000000007E-2"/>
    <n v="69.999300000000005"/>
    <n v="5"/>
    <n v="6"/>
  </r>
  <r>
    <n v="767"/>
    <n v="3"/>
    <n v="41"/>
    <x v="2"/>
    <n v="2"/>
    <n v="1469.99"/>
    <n v="0.05"/>
    <n v="73.499499999999998"/>
    <n v="8"/>
    <n v="6"/>
  </r>
  <r>
    <n v="767"/>
    <n v="4"/>
    <n v="77"/>
    <x v="3"/>
    <n v="2"/>
    <n v="799.99"/>
    <n v="0.05"/>
    <n v="39.999500000000005"/>
    <n v="9"/>
    <n v="6"/>
  </r>
  <r>
    <n v="768"/>
    <n v="1"/>
    <n v="31"/>
    <x v="0"/>
    <n v="1"/>
    <n v="1632.99"/>
    <n v="0.2"/>
    <n v="326.59800000000001"/>
    <n v="9"/>
    <n v="6"/>
  </r>
  <r>
    <n v="768"/>
    <n v="2"/>
    <n v="76"/>
    <x v="1"/>
    <n v="1"/>
    <n v="299.99"/>
    <n v="0.2"/>
    <n v="59.998000000000005"/>
    <n v="5"/>
    <n v="6"/>
  </r>
  <r>
    <n v="769"/>
    <n v="1"/>
    <n v="8"/>
    <x v="0"/>
    <n v="1"/>
    <n v="1799.99"/>
    <n v="0.1"/>
    <n v="179.99900000000002"/>
    <n v="9"/>
    <n v="6"/>
  </r>
  <r>
    <n v="769"/>
    <n v="2"/>
    <n v="6"/>
    <x v="1"/>
    <n v="2"/>
    <n v="469.99"/>
    <n v="0.05"/>
    <n v="23.499500000000001"/>
    <n v="5"/>
    <n v="6"/>
  </r>
  <r>
    <n v="769"/>
    <n v="3"/>
    <n v="36"/>
    <x v="2"/>
    <n v="2"/>
    <n v="832.99"/>
    <n v="7.0000000000000007E-2"/>
    <n v="58.309300000000007"/>
    <n v="8"/>
    <n v="6"/>
  </r>
  <r>
    <n v="770"/>
    <n v="1"/>
    <n v="110"/>
    <x v="0"/>
    <n v="1"/>
    <n v="470.99"/>
    <n v="0.05"/>
    <n v="23.549500000000002"/>
    <n v="9"/>
    <n v="6"/>
  </r>
  <r>
    <n v="770"/>
    <n v="2"/>
    <n v="42"/>
    <x v="1"/>
    <n v="1"/>
    <n v="2299.9899999999998"/>
    <n v="0.2"/>
    <n v="459.99799999999999"/>
    <n v="5"/>
    <n v="6"/>
  </r>
  <r>
    <n v="770"/>
    <n v="3"/>
    <n v="103"/>
    <x v="2"/>
    <n v="1"/>
    <n v="551.99"/>
    <n v="0.2"/>
    <n v="110.39800000000001"/>
    <n v="8"/>
    <n v="6"/>
  </r>
  <r>
    <n v="770"/>
    <n v="4"/>
    <n v="11"/>
    <x v="3"/>
    <n v="2"/>
    <n v="1680.99"/>
    <n v="0.05"/>
    <n v="84.049500000000009"/>
    <n v="9"/>
    <n v="6"/>
  </r>
  <r>
    <n v="771"/>
    <n v="1"/>
    <n v="13"/>
    <x v="0"/>
    <n v="2"/>
    <n v="269.99"/>
    <n v="0.2"/>
    <n v="53.998000000000005"/>
    <n v="9"/>
    <n v="6"/>
  </r>
  <r>
    <n v="771"/>
    <n v="2"/>
    <n v="88"/>
    <x v="1"/>
    <n v="1"/>
    <n v="189.99"/>
    <n v="0.2"/>
    <n v="37.998000000000005"/>
    <n v="5"/>
    <n v="6"/>
  </r>
  <r>
    <n v="772"/>
    <n v="1"/>
    <n v="103"/>
    <x v="0"/>
    <n v="1"/>
    <n v="551.99"/>
    <n v="7.0000000000000007E-2"/>
    <n v="38.639300000000006"/>
    <n v="9"/>
    <n v="6"/>
  </r>
  <r>
    <n v="773"/>
    <n v="1"/>
    <n v="92"/>
    <x v="0"/>
    <n v="1"/>
    <n v="209.99"/>
    <n v="0.1"/>
    <n v="20.999000000000002"/>
    <n v="9"/>
    <n v="6"/>
  </r>
  <r>
    <n v="773"/>
    <n v="2"/>
    <n v="14"/>
    <x v="1"/>
    <n v="1"/>
    <n v="269.99"/>
    <n v="0.05"/>
    <n v="13.499500000000001"/>
    <n v="5"/>
    <n v="6"/>
  </r>
  <r>
    <n v="773"/>
    <n v="3"/>
    <n v="17"/>
    <x v="2"/>
    <n v="2"/>
    <n v="429"/>
    <n v="0.2"/>
    <n v="85.800000000000011"/>
    <n v="8"/>
    <n v="6"/>
  </r>
  <r>
    <n v="773"/>
    <n v="4"/>
    <n v="33"/>
    <x v="3"/>
    <n v="2"/>
    <n v="469.99"/>
    <n v="7.0000000000000007E-2"/>
    <n v="32.899300000000004"/>
    <n v="9"/>
    <n v="6"/>
  </r>
  <r>
    <n v="774"/>
    <n v="1"/>
    <n v="65"/>
    <x v="0"/>
    <n v="1"/>
    <n v="346.99"/>
    <n v="0.05"/>
    <n v="17.349500000000003"/>
    <n v="9"/>
    <n v="6"/>
  </r>
  <r>
    <n v="774"/>
    <n v="2"/>
    <n v="36"/>
    <x v="1"/>
    <n v="2"/>
    <n v="832.99"/>
    <n v="0.05"/>
    <n v="41.649500000000003"/>
    <n v="5"/>
    <n v="6"/>
  </r>
  <r>
    <n v="774"/>
    <n v="3"/>
    <n v="20"/>
    <x v="2"/>
    <n v="1"/>
    <n v="599.99"/>
    <n v="0.2"/>
    <n v="119.998"/>
    <n v="8"/>
    <n v="6"/>
  </r>
  <r>
    <n v="774"/>
    <n v="4"/>
    <n v="73"/>
    <x v="3"/>
    <n v="1"/>
    <n v="749.99"/>
    <n v="0.05"/>
    <n v="37.499500000000005"/>
    <n v="9"/>
    <n v="6"/>
  </r>
  <r>
    <n v="774"/>
    <n v="5"/>
    <n v="58"/>
    <x v="4"/>
    <n v="2"/>
    <n v="4999.99"/>
    <n v="0.1"/>
    <n v="499.99900000000002"/>
    <n v="3"/>
    <n v="6"/>
  </r>
  <r>
    <n v="775"/>
    <n v="1"/>
    <n v="39"/>
    <x v="0"/>
    <n v="1"/>
    <n v="1499.99"/>
    <n v="7.0000000000000007E-2"/>
    <n v="104.99930000000001"/>
    <n v="9"/>
    <n v="6"/>
  </r>
  <r>
    <n v="776"/>
    <n v="1"/>
    <n v="28"/>
    <x v="0"/>
    <n v="1"/>
    <n v="2499.9899999999998"/>
    <n v="0.2"/>
    <n v="499.99799999999999"/>
    <n v="9"/>
    <n v="6"/>
  </r>
  <r>
    <n v="776"/>
    <n v="2"/>
    <n v="42"/>
    <x v="1"/>
    <n v="2"/>
    <n v="2299.9899999999998"/>
    <n v="0.2"/>
    <n v="459.99799999999999"/>
    <n v="5"/>
    <n v="6"/>
  </r>
  <r>
    <n v="776"/>
    <n v="3"/>
    <n v="71"/>
    <x v="2"/>
    <n v="1"/>
    <n v="416.99"/>
    <n v="0.1"/>
    <n v="41.699000000000005"/>
    <n v="8"/>
    <n v="6"/>
  </r>
  <r>
    <n v="776"/>
    <n v="4"/>
    <n v="35"/>
    <x v="3"/>
    <n v="1"/>
    <n v="832.99"/>
    <n v="0.1"/>
    <n v="83.299000000000007"/>
    <n v="9"/>
    <n v="6"/>
  </r>
  <r>
    <n v="777"/>
    <n v="1"/>
    <n v="5"/>
    <x v="0"/>
    <n v="1"/>
    <n v="1320.99"/>
    <n v="0.2"/>
    <n v="264.19800000000004"/>
    <n v="9"/>
    <n v="6"/>
  </r>
  <r>
    <n v="777"/>
    <n v="2"/>
    <n v="7"/>
    <x v="1"/>
    <n v="2"/>
    <n v="3999.99"/>
    <n v="0.2"/>
    <n v="799.99800000000005"/>
    <n v="5"/>
    <n v="6"/>
  </r>
  <r>
    <n v="777"/>
    <n v="3"/>
    <n v="2"/>
    <x v="2"/>
    <n v="1"/>
    <n v="749.99"/>
    <n v="0.2"/>
    <n v="149.99800000000002"/>
    <n v="8"/>
    <n v="6"/>
  </r>
  <r>
    <n v="778"/>
    <n v="1"/>
    <n v="64"/>
    <x v="0"/>
    <n v="1"/>
    <n v="489.99"/>
    <n v="0.1"/>
    <n v="48.999000000000002"/>
    <n v="9"/>
    <n v="6"/>
  </r>
  <r>
    <n v="778"/>
    <n v="2"/>
    <n v="85"/>
    <x v="1"/>
    <n v="1"/>
    <n v="329.99"/>
    <n v="0.05"/>
    <n v="16.499500000000001"/>
    <n v="5"/>
    <n v="6"/>
  </r>
  <r>
    <n v="779"/>
    <n v="1"/>
    <n v="101"/>
    <x v="0"/>
    <n v="1"/>
    <n v="339.99"/>
    <n v="0.05"/>
    <n v="16.999500000000001"/>
    <n v="9"/>
    <n v="6"/>
  </r>
  <r>
    <n v="779"/>
    <n v="2"/>
    <n v="90"/>
    <x v="1"/>
    <n v="2"/>
    <n v="209.99"/>
    <n v="0.2"/>
    <n v="41.998000000000005"/>
    <n v="5"/>
    <n v="6"/>
  </r>
  <r>
    <n v="779"/>
    <n v="3"/>
    <n v="47"/>
    <x v="2"/>
    <n v="1"/>
    <n v="5299.99"/>
    <n v="0.2"/>
    <n v="1059.998"/>
    <n v="8"/>
    <n v="6"/>
  </r>
  <r>
    <n v="779"/>
    <n v="4"/>
    <n v="8"/>
    <x v="3"/>
    <n v="1"/>
    <n v="1799.99"/>
    <n v="0.2"/>
    <n v="359.99800000000005"/>
    <n v="9"/>
    <n v="6"/>
  </r>
  <r>
    <n v="779"/>
    <n v="5"/>
    <n v="85"/>
    <x v="4"/>
    <n v="1"/>
    <n v="329.99"/>
    <n v="0.2"/>
    <n v="65.998000000000005"/>
    <n v="3"/>
    <n v="6"/>
  </r>
  <r>
    <n v="780"/>
    <n v="1"/>
    <n v="32"/>
    <x v="0"/>
    <n v="1"/>
    <n v="469.99"/>
    <n v="0.1"/>
    <n v="46.999000000000002"/>
    <n v="9"/>
    <n v="6"/>
  </r>
  <r>
    <n v="781"/>
    <n v="1"/>
    <n v="109"/>
    <x v="0"/>
    <n v="2"/>
    <n v="416.99"/>
    <n v="0.05"/>
    <n v="20.849500000000003"/>
    <n v="9"/>
    <n v="6"/>
  </r>
  <r>
    <n v="781"/>
    <n v="2"/>
    <n v="7"/>
    <x v="1"/>
    <n v="2"/>
    <n v="3999.99"/>
    <n v="0.2"/>
    <n v="799.99800000000005"/>
    <n v="5"/>
    <n v="6"/>
  </r>
  <r>
    <n v="781"/>
    <n v="3"/>
    <n v="57"/>
    <x v="2"/>
    <n v="2"/>
    <n v="1999.99"/>
    <n v="0.1"/>
    <n v="199.99900000000002"/>
    <n v="8"/>
    <n v="6"/>
  </r>
  <r>
    <n v="782"/>
    <n v="1"/>
    <n v="20"/>
    <x v="0"/>
    <n v="2"/>
    <n v="599.99"/>
    <n v="7.0000000000000007E-2"/>
    <n v="41.999300000000005"/>
    <n v="9"/>
    <n v="6"/>
  </r>
  <r>
    <n v="782"/>
    <n v="2"/>
    <n v="57"/>
    <x v="1"/>
    <n v="1"/>
    <n v="1999.99"/>
    <n v="7.0000000000000007E-2"/>
    <n v="139.99930000000001"/>
    <n v="5"/>
    <n v="6"/>
  </r>
  <r>
    <n v="782"/>
    <n v="3"/>
    <n v="99"/>
    <x v="2"/>
    <n v="1"/>
    <n v="299.99"/>
    <n v="7.0000000000000007E-2"/>
    <n v="20.999300000000002"/>
    <n v="8"/>
    <n v="6"/>
  </r>
  <r>
    <n v="782"/>
    <n v="4"/>
    <n v="16"/>
    <x v="3"/>
    <n v="2"/>
    <n v="599.99"/>
    <n v="0.2"/>
    <n v="119.998"/>
    <n v="9"/>
    <n v="6"/>
  </r>
  <r>
    <n v="783"/>
    <n v="1"/>
    <n v="92"/>
    <x v="0"/>
    <n v="1"/>
    <n v="209.99"/>
    <n v="0.2"/>
    <n v="41.998000000000005"/>
    <n v="9"/>
    <n v="6"/>
  </r>
  <r>
    <n v="783"/>
    <n v="2"/>
    <n v="22"/>
    <x v="1"/>
    <n v="2"/>
    <n v="269.99"/>
    <n v="0.05"/>
    <n v="13.499500000000001"/>
    <n v="5"/>
    <n v="6"/>
  </r>
  <r>
    <n v="783"/>
    <n v="3"/>
    <n v="94"/>
    <x v="2"/>
    <n v="1"/>
    <n v="249.99"/>
    <n v="0.05"/>
    <n v="12.499500000000001"/>
    <n v="8"/>
    <n v="6"/>
  </r>
  <r>
    <n v="783"/>
    <n v="4"/>
    <n v="29"/>
    <x v="3"/>
    <n v="1"/>
    <n v="999.99"/>
    <n v="0.1"/>
    <n v="99.999000000000009"/>
    <n v="9"/>
    <n v="6"/>
  </r>
  <r>
    <n v="784"/>
    <n v="1"/>
    <n v="22"/>
    <x v="0"/>
    <n v="1"/>
    <n v="269.99"/>
    <n v="7.0000000000000007E-2"/>
    <n v="18.899300000000004"/>
    <n v="9"/>
    <n v="6"/>
  </r>
  <r>
    <n v="784"/>
    <n v="2"/>
    <n v="72"/>
    <x v="1"/>
    <n v="2"/>
    <n v="619.99"/>
    <n v="0.1"/>
    <n v="61.999000000000002"/>
    <n v="5"/>
    <n v="6"/>
  </r>
  <r>
    <n v="784"/>
    <n v="3"/>
    <n v="16"/>
    <x v="2"/>
    <n v="1"/>
    <n v="599.99"/>
    <n v="0.2"/>
    <n v="119.998"/>
    <n v="8"/>
    <n v="6"/>
  </r>
  <r>
    <n v="785"/>
    <n v="1"/>
    <n v="59"/>
    <x v="0"/>
    <n v="2"/>
    <n v="2599.9899999999998"/>
    <n v="0.2"/>
    <n v="519.99799999999993"/>
    <n v="9"/>
    <n v="6"/>
  </r>
  <r>
    <n v="785"/>
    <n v="2"/>
    <n v="40"/>
    <x v="1"/>
    <n v="1"/>
    <n v="4999.99"/>
    <n v="7.0000000000000007E-2"/>
    <n v="349.99930000000001"/>
    <n v="5"/>
    <n v="6"/>
  </r>
  <r>
    <n v="785"/>
    <n v="3"/>
    <n v="25"/>
    <x v="2"/>
    <n v="1"/>
    <n v="499.99"/>
    <n v="7.0000000000000007E-2"/>
    <n v="34.999300000000005"/>
    <n v="8"/>
    <n v="6"/>
  </r>
  <r>
    <n v="786"/>
    <n v="1"/>
    <n v="80"/>
    <x v="0"/>
    <n v="1"/>
    <n v="761.99"/>
    <n v="0.05"/>
    <n v="38.099499999999999"/>
    <n v="9"/>
    <n v="6"/>
  </r>
  <r>
    <n v="787"/>
    <n v="1"/>
    <n v="51"/>
    <x v="0"/>
    <n v="2"/>
    <n v="6499.99"/>
    <n v="7.0000000000000007E-2"/>
    <n v="454.99930000000001"/>
    <n v="9"/>
    <n v="6"/>
  </r>
  <r>
    <n v="787"/>
    <n v="2"/>
    <n v="66"/>
    <x v="1"/>
    <n v="2"/>
    <n v="250.99"/>
    <n v="0.1"/>
    <n v="25.099000000000004"/>
    <n v="5"/>
    <n v="6"/>
  </r>
  <r>
    <n v="788"/>
    <n v="1"/>
    <n v="48"/>
    <x v="0"/>
    <n v="1"/>
    <n v="1499.99"/>
    <n v="0.2"/>
    <n v="299.99799999999999"/>
    <n v="9"/>
    <n v="6"/>
  </r>
  <r>
    <n v="788"/>
    <n v="2"/>
    <n v="19"/>
    <x v="1"/>
    <n v="1"/>
    <n v="449"/>
    <n v="0.1"/>
    <n v="44.900000000000006"/>
    <n v="5"/>
    <n v="6"/>
  </r>
  <r>
    <n v="788"/>
    <n v="3"/>
    <n v="13"/>
    <x v="2"/>
    <n v="1"/>
    <n v="269.99"/>
    <n v="0.05"/>
    <n v="13.499500000000001"/>
    <n v="8"/>
    <n v="6"/>
  </r>
  <r>
    <n v="789"/>
    <n v="1"/>
    <n v="100"/>
    <x v="0"/>
    <n v="2"/>
    <n v="489.99"/>
    <n v="0.2"/>
    <n v="97.998000000000005"/>
    <n v="9"/>
    <n v="6"/>
  </r>
  <r>
    <n v="789"/>
    <n v="2"/>
    <n v="93"/>
    <x v="1"/>
    <n v="2"/>
    <n v="209.99"/>
    <n v="7.0000000000000007E-2"/>
    <n v="14.699300000000003"/>
    <n v="5"/>
    <n v="6"/>
  </r>
  <r>
    <n v="790"/>
    <n v="1"/>
    <n v="62"/>
    <x v="0"/>
    <n v="2"/>
    <n v="3499.99"/>
    <n v="7.0000000000000007E-2"/>
    <n v="244.99930000000001"/>
    <n v="9"/>
    <n v="6"/>
  </r>
  <r>
    <n v="790"/>
    <n v="2"/>
    <n v="91"/>
    <x v="1"/>
    <n v="1"/>
    <n v="349.99"/>
    <n v="0.1"/>
    <n v="34.999000000000002"/>
    <n v="5"/>
    <n v="6"/>
  </r>
  <r>
    <n v="791"/>
    <n v="1"/>
    <n v="54"/>
    <x v="0"/>
    <n v="1"/>
    <n v="3199.99"/>
    <n v="0.2"/>
    <n v="639.99800000000005"/>
    <n v="9"/>
    <n v="6"/>
  </r>
  <r>
    <n v="791"/>
    <n v="2"/>
    <n v="25"/>
    <x v="1"/>
    <n v="2"/>
    <n v="499.99"/>
    <n v="7.0000000000000007E-2"/>
    <n v="34.999300000000005"/>
    <n v="5"/>
    <n v="6"/>
  </r>
  <r>
    <n v="792"/>
    <n v="1"/>
    <n v="16"/>
    <x v="0"/>
    <n v="2"/>
    <n v="599.99"/>
    <n v="0.2"/>
    <n v="119.998"/>
    <n v="9"/>
    <n v="6"/>
  </r>
  <r>
    <n v="792"/>
    <n v="2"/>
    <n v="39"/>
    <x v="1"/>
    <n v="1"/>
    <n v="1499.99"/>
    <n v="0.2"/>
    <n v="299.99799999999999"/>
    <n v="5"/>
    <n v="6"/>
  </r>
  <r>
    <n v="792"/>
    <n v="3"/>
    <n v="56"/>
    <x v="2"/>
    <n v="1"/>
    <n v="5499.99"/>
    <n v="0.2"/>
    <n v="1099.998"/>
    <n v="8"/>
    <n v="6"/>
  </r>
  <r>
    <n v="792"/>
    <n v="4"/>
    <n v="30"/>
    <x v="3"/>
    <n v="1"/>
    <n v="999.99"/>
    <n v="0.05"/>
    <n v="49.999500000000005"/>
    <n v="9"/>
    <n v="6"/>
  </r>
  <r>
    <n v="792"/>
    <n v="5"/>
    <n v="2"/>
    <x v="4"/>
    <n v="1"/>
    <n v="749.99"/>
    <n v="0.2"/>
    <n v="149.99800000000002"/>
    <n v="3"/>
    <n v="6"/>
  </r>
  <r>
    <n v="793"/>
    <n v="1"/>
    <n v="60"/>
    <x v="0"/>
    <n v="1"/>
    <n v="1559.99"/>
    <n v="0.05"/>
    <n v="77.999500000000012"/>
    <n v="9"/>
    <n v="6"/>
  </r>
  <r>
    <n v="793"/>
    <n v="2"/>
    <n v="95"/>
    <x v="1"/>
    <n v="2"/>
    <n v="299.99"/>
    <n v="0.05"/>
    <n v="14.999500000000001"/>
    <n v="5"/>
    <n v="6"/>
  </r>
  <r>
    <n v="793"/>
    <n v="3"/>
    <n v="75"/>
    <x v="2"/>
    <n v="2"/>
    <n v="599.99"/>
    <n v="0.05"/>
    <n v="29.999500000000001"/>
    <n v="8"/>
    <n v="6"/>
  </r>
  <r>
    <n v="794"/>
    <n v="1"/>
    <n v="41"/>
    <x v="0"/>
    <n v="2"/>
    <n v="1469.99"/>
    <n v="0.05"/>
    <n v="73.499499999999998"/>
    <n v="9"/>
    <n v="6"/>
  </r>
  <r>
    <n v="794"/>
    <n v="2"/>
    <n v="68"/>
    <x v="1"/>
    <n v="1"/>
    <n v="449.99"/>
    <n v="0.2"/>
    <n v="89.998000000000005"/>
    <n v="5"/>
    <n v="6"/>
  </r>
  <r>
    <n v="794"/>
    <n v="3"/>
    <n v="17"/>
    <x v="2"/>
    <n v="1"/>
    <n v="429"/>
    <n v="7.0000000000000007E-2"/>
    <n v="30.03"/>
    <n v="8"/>
    <n v="6"/>
  </r>
  <r>
    <n v="794"/>
    <n v="4"/>
    <n v="28"/>
    <x v="3"/>
    <n v="1"/>
    <n v="2499.9899999999998"/>
    <n v="0.1"/>
    <n v="249.999"/>
    <n v="9"/>
    <n v="6"/>
  </r>
  <r>
    <n v="795"/>
    <n v="1"/>
    <n v="95"/>
    <x v="0"/>
    <n v="2"/>
    <n v="299.99"/>
    <n v="0.05"/>
    <n v="14.999500000000001"/>
    <n v="9"/>
    <n v="6"/>
  </r>
  <r>
    <n v="795"/>
    <n v="2"/>
    <n v="99"/>
    <x v="1"/>
    <n v="2"/>
    <n v="299.99"/>
    <n v="0.05"/>
    <n v="14.999500000000001"/>
    <n v="5"/>
    <n v="6"/>
  </r>
  <r>
    <n v="796"/>
    <n v="1"/>
    <n v="6"/>
    <x v="0"/>
    <n v="2"/>
    <n v="469.99"/>
    <n v="0.2"/>
    <n v="93.998000000000005"/>
    <n v="9"/>
    <n v="6"/>
  </r>
  <r>
    <n v="797"/>
    <n v="1"/>
    <n v="11"/>
    <x v="0"/>
    <n v="1"/>
    <n v="1680.99"/>
    <n v="7.0000000000000007E-2"/>
    <n v="117.66930000000001"/>
    <n v="9"/>
    <n v="6"/>
  </r>
  <r>
    <n v="797"/>
    <n v="2"/>
    <n v="69"/>
    <x v="1"/>
    <n v="1"/>
    <n v="416.99"/>
    <n v="0.05"/>
    <n v="20.849500000000003"/>
    <n v="5"/>
    <n v="6"/>
  </r>
  <r>
    <n v="797"/>
    <n v="3"/>
    <n v="74"/>
    <x v="2"/>
    <n v="1"/>
    <n v="439.99"/>
    <n v="0.1"/>
    <n v="43.999000000000002"/>
    <n v="8"/>
    <n v="6"/>
  </r>
  <r>
    <n v="797"/>
    <n v="4"/>
    <n v="54"/>
    <x v="3"/>
    <n v="2"/>
    <n v="3199.99"/>
    <n v="0.05"/>
    <n v="159.99950000000001"/>
    <n v="9"/>
    <n v="6"/>
  </r>
  <r>
    <n v="797"/>
    <n v="5"/>
    <n v="62"/>
    <x v="4"/>
    <n v="2"/>
    <n v="3499.99"/>
    <n v="0.1"/>
    <n v="349.99900000000002"/>
    <n v="3"/>
    <n v="6"/>
  </r>
  <r>
    <n v="798"/>
    <n v="1"/>
    <n v="23"/>
    <x v="0"/>
    <n v="1"/>
    <n v="299.99"/>
    <n v="0.1"/>
    <n v="29.999000000000002"/>
    <n v="9"/>
    <n v="6"/>
  </r>
  <r>
    <n v="798"/>
    <n v="2"/>
    <n v="90"/>
    <x v="1"/>
    <n v="1"/>
    <n v="209.99"/>
    <n v="0.05"/>
    <n v="10.499500000000001"/>
    <n v="5"/>
    <n v="6"/>
  </r>
  <r>
    <n v="798"/>
    <n v="3"/>
    <n v="91"/>
    <x v="2"/>
    <n v="2"/>
    <n v="349.99"/>
    <n v="7.0000000000000007E-2"/>
    <n v="24.499300000000002"/>
    <n v="8"/>
    <n v="6"/>
  </r>
  <r>
    <n v="798"/>
    <n v="4"/>
    <n v="42"/>
    <x v="3"/>
    <n v="1"/>
    <n v="2299.9899999999998"/>
    <n v="0.2"/>
    <n v="459.99799999999999"/>
    <n v="9"/>
    <n v="6"/>
  </r>
  <r>
    <n v="798"/>
    <n v="5"/>
    <n v="26"/>
    <x v="4"/>
    <n v="2"/>
    <n v="599.99"/>
    <n v="0.05"/>
    <n v="29.999500000000001"/>
    <n v="3"/>
    <n v="6"/>
  </r>
  <r>
    <n v="799"/>
    <n v="1"/>
    <n v="5"/>
    <x v="0"/>
    <n v="2"/>
    <n v="1320.99"/>
    <n v="0.1"/>
    <n v="132.09900000000002"/>
    <n v="9"/>
    <n v="6"/>
  </r>
  <r>
    <n v="799"/>
    <n v="2"/>
    <n v="34"/>
    <x v="1"/>
    <n v="2"/>
    <n v="469.99"/>
    <n v="0.05"/>
    <n v="23.499500000000001"/>
    <n v="5"/>
    <n v="6"/>
  </r>
  <r>
    <n v="799"/>
    <n v="3"/>
    <n v="29"/>
    <x v="2"/>
    <n v="2"/>
    <n v="999.99"/>
    <n v="7.0000000000000007E-2"/>
    <n v="69.999300000000005"/>
    <n v="8"/>
    <n v="6"/>
  </r>
  <r>
    <n v="799"/>
    <n v="4"/>
    <n v="63"/>
    <x v="3"/>
    <n v="1"/>
    <n v="3499.99"/>
    <n v="0.1"/>
    <n v="349.99900000000002"/>
    <n v="9"/>
    <n v="6"/>
  </r>
  <r>
    <n v="799"/>
    <n v="5"/>
    <n v="58"/>
    <x v="4"/>
    <n v="2"/>
    <n v="4999.99"/>
    <n v="7.0000000000000007E-2"/>
    <n v="349.99930000000001"/>
    <n v="3"/>
    <n v="6"/>
  </r>
  <r>
    <n v="800"/>
    <n v="1"/>
    <n v="65"/>
    <x v="0"/>
    <n v="2"/>
    <n v="346.99"/>
    <n v="0.1"/>
    <n v="34.699000000000005"/>
    <n v="9"/>
    <n v="6"/>
  </r>
  <r>
    <n v="800"/>
    <n v="2"/>
    <n v="54"/>
    <x v="1"/>
    <n v="1"/>
    <n v="3199.99"/>
    <n v="7.0000000000000007E-2"/>
    <n v="223.99930000000001"/>
    <n v="5"/>
    <n v="6"/>
  </r>
  <r>
    <n v="800"/>
    <n v="3"/>
    <n v="6"/>
    <x v="2"/>
    <n v="2"/>
    <n v="469.99"/>
    <n v="0.05"/>
    <n v="23.499500000000001"/>
    <n v="8"/>
    <n v="6"/>
  </r>
  <r>
    <n v="800"/>
    <n v="4"/>
    <n v="52"/>
    <x v="3"/>
    <n v="1"/>
    <n v="875.99"/>
    <n v="0.1"/>
    <n v="87.599000000000004"/>
    <n v="9"/>
    <n v="6"/>
  </r>
  <r>
    <n v="800"/>
    <n v="5"/>
    <n v="95"/>
    <x v="4"/>
    <n v="2"/>
    <n v="299.99"/>
    <n v="0.05"/>
    <n v="14.999500000000001"/>
    <n v="3"/>
    <n v="6"/>
  </r>
  <r>
    <n v="801"/>
    <n v="1"/>
    <n v="101"/>
    <x v="0"/>
    <n v="1"/>
    <n v="339.99"/>
    <n v="7.0000000000000007E-2"/>
    <n v="23.799300000000002"/>
    <n v="9"/>
    <n v="6"/>
  </r>
  <r>
    <n v="802"/>
    <n v="1"/>
    <n v="30"/>
    <x v="0"/>
    <n v="1"/>
    <n v="999.99"/>
    <n v="0.05"/>
    <n v="49.999500000000005"/>
    <n v="9"/>
    <n v="6"/>
  </r>
  <r>
    <n v="802"/>
    <n v="2"/>
    <n v="36"/>
    <x v="1"/>
    <n v="2"/>
    <n v="832.99"/>
    <n v="0.2"/>
    <n v="166.59800000000001"/>
    <n v="5"/>
    <n v="6"/>
  </r>
  <r>
    <n v="802"/>
    <n v="3"/>
    <n v="40"/>
    <x v="2"/>
    <n v="1"/>
    <n v="4999.99"/>
    <n v="0.1"/>
    <n v="499.99900000000002"/>
    <n v="8"/>
    <n v="6"/>
  </r>
  <r>
    <n v="802"/>
    <n v="4"/>
    <n v="28"/>
    <x v="3"/>
    <n v="1"/>
    <n v="2499.9899999999998"/>
    <n v="0.05"/>
    <n v="124.9995"/>
    <n v="9"/>
    <n v="6"/>
  </r>
  <r>
    <n v="803"/>
    <n v="1"/>
    <n v="111"/>
    <x v="0"/>
    <n v="1"/>
    <n v="470.99"/>
    <n v="7.0000000000000007E-2"/>
    <n v="32.969300000000004"/>
    <n v="9"/>
    <n v="6"/>
  </r>
  <r>
    <n v="803"/>
    <n v="2"/>
    <n v="52"/>
    <x v="1"/>
    <n v="2"/>
    <n v="875.99"/>
    <n v="0.05"/>
    <n v="43.799500000000002"/>
    <n v="5"/>
    <n v="6"/>
  </r>
  <r>
    <n v="803"/>
    <n v="3"/>
    <n v="102"/>
    <x v="2"/>
    <n v="1"/>
    <n v="489.99"/>
    <n v="7.0000000000000007E-2"/>
    <n v="34.299300000000002"/>
    <n v="8"/>
    <n v="6"/>
  </r>
  <r>
    <n v="803"/>
    <n v="4"/>
    <n v="83"/>
    <x v="3"/>
    <n v="2"/>
    <n v="149.99"/>
    <n v="0.05"/>
    <n v="7.4995000000000012"/>
    <n v="9"/>
    <n v="6"/>
  </r>
  <r>
    <n v="804"/>
    <n v="1"/>
    <n v="89"/>
    <x v="0"/>
    <n v="2"/>
    <n v="209.99"/>
    <n v="0.2"/>
    <n v="41.998000000000005"/>
    <n v="9"/>
    <n v="6"/>
  </r>
  <r>
    <n v="804"/>
    <n v="2"/>
    <n v="53"/>
    <x v="1"/>
    <n v="1"/>
    <n v="749.99"/>
    <n v="7.0000000000000007E-2"/>
    <n v="52.499300000000005"/>
    <n v="5"/>
    <n v="6"/>
  </r>
  <r>
    <n v="804"/>
    <n v="3"/>
    <n v="50"/>
    <x v="2"/>
    <n v="2"/>
    <n v="5999.99"/>
    <n v="0.05"/>
    <n v="299.99950000000001"/>
    <n v="8"/>
    <n v="6"/>
  </r>
  <r>
    <n v="805"/>
    <n v="1"/>
    <n v="24"/>
    <x v="0"/>
    <n v="1"/>
    <n v="549.99"/>
    <n v="0.05"/>
    <n v="27.499500000000001"/>
    <n v="9"/>
    <n v="6"/>
  </r>
  <r>
    <n v="805"/>
    <n v="2"/>
    <n v="33"/>
    <x v="1"/>
    <n v="2"/>
    <n v="469.99"/>
    <n v="0.2"/>
    <n v="93.998000000000005"/>
    <n v="5"/>
    <n v="6"/>
  </r>
  <r>
    <n v="805"/>
    <n v="3"/>
    <n v="62"/>
    <x v="2"/>
    <n v="2"/>
    <n v="3499.99"/>
    <n v="0.2"/>
    <n v="699.99800000000005"/>
    <n v="8"/>
    <n v="6"/>
  </r>
  <r>
    <n v="805"/>
    <n v="4"/>
    <n v="32"/>
    <x v="3"/>
    <n v="1"/>
    <n v="469.99"/>
    <n v="7.0000000000000007E-2"/>
    <n v="32.899300000000004"/>
    <n v="9"/>
    <n v="6"/>
  </r>
  <r>
    <n v="805"/>
    <n v="5"/>
    <n v="6"/>
    <x v="4"/>
    <n v="2"/>
    <n v="469.99"/>
    <n v="0.05"/>
    <n v="23.499500000000001"/>
    <n v="3"/>
    <n v="6"/>
  </r>
  <r>
    <n v="806"/>
    <n v="1"/>
    <n v="93"/>
    <x v="0"/>
    <n v="2"/>
    <n v="209.99"/>
    <n v="0.1"/>
    <n v="20.999000000000002"/>
    <n v="9"/>
    <n v="6"/>
  </r>
  <r>
    <n v="806"/>
    <n v="2"/>
    <n v="97"/>
    <x v="1"/>
    <n v="1"/>
    <n v="349.99"/>
    <n v="0.2"/>
    <n v="69.998000000000005"/>
    <n v="5"/>
    <n v="6"/>
  </r>
  <r>
    <n v="806"/>
    <n v="3"/>
    <n v="77"/>
    <x v="2"/>
    <n v="2"/>
    <n v="799.99"/>
    <n v="0.1"/>
    <n v="79.999000000000009"/>
    <n v="8"/>
    <n v="6"/>
  </r>
  <r>
    <n v="806"/>
    <n v="4"/>
    <n v="82"/>
    <x v="3"/>
    <n v="2"/>
    <n v="659.99"/>
    <n v="0.2"/>
    <n v="131.99800000000002"/>
    <n v="9"/>
    <n v="6"/>
  </r>
  <r>
    <n v="806"/>
    <n v="5"/>
    <n v="91"/>
    <x v="4"/>
    <n v="2"/>
    <n v="349.99"/>
    <n v="7.0000000000000007E-2"/>
    <n v="24.499300000000002"/>
    <n v="3"/>
    <n v="6"/>
  </r>
  <r>
    <n v="807"/>
    <n v="1"/>
    <n v="21"/>
    <x v="0"/>
    <n v="2"/>
    <n v="269.99"/>
    <n v="0.2"/>
    <n v="53.998000000000005"/>
    <n v="9"/>
    <n v="6"/>
  </r>
  <r>
    <n v="807"/>
    <n v="2"/>
    <n v="6"/>
    <x v="1"/>
    <n v="1"/>
    <n v="469.99"/>
    <n v="7.0000000000000007E-2"/>
    <n v="32.899300000000004"/>
    <n v="5"/>
    <n v="6"/>
  </r>
  <r>
    <n v="807"/>
    <n v="3"/>
    <n v="3"/>
    <x v="2"/>
    <n v="2"/>
    <n v="999.99"/>
    <n v="7.0000000000000007E-2"/>
    <n v="69.999300000000005"/>
    <n v="8"/>
    <n v="6"/>
  </r>
  <r>
    <n v="807"/>
    <n v="4"/>
    <n v="9"/>
    <x v="3"/>
    <n v="2"/>
    <n v="2999.99"/>
    <n v="0.2"/>
    <n v="599.99799999999993"/>
    <n v="9"/>
    <n v="6"/>
  </r>
  <r>
    <n v="807"/>
    <n v="5"/>
    <n v="16"/>
    <x v="4"/>
    <n v="1"/>
    <n v="599.99"/>
    <n v="0.2"/>
    <n v="119.998"/>
    <n v="3"/>
    <n v="6"/>
  </r>
  <r>
    <n v="808"/>
    <n v="1"/>
    <n v="96"/>
    <x v="0"/>
    <n v="2"/>
    <n v="349.99"/>
    <n v="0.05"/>
    <n v="17.499500000000001"/>
    <n v="9"/>
    <n v="6"/>
  </r>
  <r>
    <n v="808"/>
    <n v="2"/>
    <n v="18"/>
    <x v="1"/>
    <n v="1"/>
    <n v="449"/>
    <n v="0.05"/>
    <n v="22.450000000000003"/>
    <n v="5"/>
    <n v="6"/>
  </r>
  <r>
    <n v="808"/>
    <n v="3"/>
    <n v="85"/>
    <x v="2"/>
    <n v="1"/>
    <n v="329.99"/>
    <n v="0.05"/>
    <n v="16.499500000000001"/>
    <n v="8"/>
    <n v="6"/>
  </r>
  <r>
    <n v="808"/>
    <n v="4"/>
    <n v="19"/>
    <x v="3"/>
    <n v="2"/>
    <n v="449"/>
    <n v="0.05"/>
    <n v="22.450000000000003"/>
    <n v="9"/>
    <n v="6"/>
  </r>
  <r>
    <n v="809"/>
    <n v="1"/>
    <n v="78"/>
    <x v="0"/>
    <n v="1"/>
    <n v="647.99"/>
    <n v="0.1"/>
    <n v="64.799000000000007"/>
    <n v="9"/>
    <n v="6"/>
  </r>
  <r>
    <n v="809"/>
    <n v="2"/>
    <n v="26"/>
    <x v="1"/>
    <n v="1"/>
    <n v="599.99"/>
    <n v="0.2"/>
    <n v="119.998"/>
    <n v="5"/>
    <n v="6"/>
  </r>
  <r>
    <n v="809"/>
    <n v="3"/>
    <n v="92"/>
    <x v="2"/>
    <n v="2"/>
    <n v="209.99"/>
    <n v="0.1"/>
    <n v="20.999000000000002"/>
    <n v="8"/>
    <n v="6"/>
  </r>
  <r>
    <n v="810"/>
    <n v="1"/>
    <n v="103"/>
    <x v="0"/>
    <n v="2"/>
    <n v="551.99"/>
    <n v="0.05"/>
    <n v="27.599500000000003"/>
    <n v="9"/>
    <n v="6"/>
  </r>
  <r>
    <n v="810"/>
    <n v="2"/>
    <n v="100"/>
    <x v="1"/>
    <n v="1"/>
    <n v="489.99"/>
    <n v="0.2"/>
    <n v="97.998000000000005"/>
    <n v="5"/>
    <n v="6"/>
  </r>
  <r>
    <n v="810"/>
    <n v="3"/>
    <n v="56"/>
    <x v="2"/>
    <n v="1"/>
    <n v="5499.99"/>
    <n v="0.05"/>
    <n v="274.99950000000001"/>
    <n v="8"/>
    <n v="6"/>
  </r>
  <r>
    <n v="810"/>
    <n v="4"/>
    <n v="22"/>
    <x v="3"/>
    <n v="1"/>
    <n v="269.99"/>
    <n v="0.2"/>
    <n v="53.998000000000005"/>
    <n v="9"/>
    <n v="6"/>
  </r>
  <r>
    <n v="811"/>
    <n v="1"/>
    <n v="45"/>
    <x v="0"/>
    <n v="2"/>
    <n v="869.99"/>
    <n v="7.0000000000000007E-2"/>
    <n v="60.899300000000004"/>
    <n v="9"/>
    <n v="6"/>
  </r>
  <r>
    <n v="811"/>
    <n v="2"/>
    <n v="54"/>
    <x v="1"/>
    <n v="1"/>
    <n v="3199.99"/>
    <n v="0.2"/>
    <n v="639.99800000000005"/>
    <n v="5"/>
    <n v="6"/>
  </r>
  <r>
    <n v="811"/>
    <n v="3"/>
    <n v="70"/>
    <x v="2"/>
    <n v="1"/>
    <n v="659.99"/>
    <n v="7.0000000000000007E-2"/>
    <n v="46.199300000000008"/>
    <n v="8"/>
    <n v="6"/>
  </r>
  <r>
    <n v="811"/>
    <n v="4"/>
    <n v="66"/>
    <x v="3"/>
    <n v="1"/>
    <n v="250.99"/>
    <n v="0.1"/>
    <n v="25.099000000000004"/>
    <n v="9"/>
    <n v="6"/>
  </r>
  <r>
    <n v="812"/>
    <n v="1"/>
    <n v="76"/>
    <x v="0"/>
    <n v="2"/>
    <n v="299.99"/>
    <n v="0.1"/>
    <n v="29.999000000000002"/>
    <n v="9"/>
    <n v="6"/>
  </r>
  <r>
    <n v="812"/>
    <n v="2"/>
    <n v="40"/>
    <x v="1"/>
    <n v="1"/>
    <n v="4999.99"/>
    <n v="0.2"/>
    <n v="999.99800000000005"/>
    <n v="5"/>
    <n v="6"/>
  </r>
  <r>
    <n v="813"/>
    <n v="1"/>
    <n v="96"/>
    <x v="0"/>
    <n v="2"/>
    <n v="349.99"/>
    <n v="0.1"/>
    <n v="34.999000000000002"/>
    <n v="9"/>
    <n v="6"/>
  </r>
  <r>
    <n v="813"/>
    <n v="2"/>
    <n v="85"/>
    <x v="1"/>
    <n v="2"/>
    <n v="329.99"/>
    <n v="0.2"/>
    <n v="65.998000000000005"/>
    <n v="5"/>
    <n v="6"/>
  </r>
  <r>
    <n v="813"/>
    <n v="3"/>
    <n v="33"/>
    <x v="2"/>
    <n v="2"/>
    <n v="469.99"/>
    <n v="0.2"/>
    <n v="93.998000000000005"/>
    <n v="8"/>
    <n v="6"/>
  </r>
  <r>
    <n v="813"/>
    <n v="4"/>
    <n v="26"/>
    <x v="3"/>
    <n v="2"/>
    <n v="599.99"/>
    <n v="7.0000000000000007E-2"/>
    <n v="41.999300000000005"/>
    <n v="9"/>
    <n v="6"/>
  </r>
  <r>
    <n v="813"/>
    <n v="5"/>
    <n v="71"/>
    <x v="4"/>
    <n v="2"/>
    <n v="416.99"/>
    <n v="0.05"/>
    <n v="20.849500000000003"/>
    <n v="3"/>
    <n v="6"/>
  </r>
  <r>
    <n v="814"/>
    <n v="1"/>
    <n v="69"/>
    <x v="0"/>
    <n v="2"/>
    <n v="416.99"/>
    <n v="0.1"/>
    <n v="41.699000000000005"/>
    <n v="9"/>
    <n v="6"/>
  </r>
  <r>
    <n v="814"/>
    <n v="2"/>
    <n v="100"/>
    <x v="1"/>
    <n v="1"/>
    <n v="489.99"/>
    <n v="0.1"/>
    <n v="48.999000000000002"/>
    <n v="5"/>
    <n v="6"/>
  </r>
  <r>
    <n v="814"/>
    <n v="3"/>
    <n v="65"/>
    <x v="2"/>
    <n v="1"/>
    <n v="346.99"/>
    <n v="0.2"/>
    <n v="69.39800000000001"/>
    <n v="8"/>
    <n v="6"/>
  </r>
  <r>
    <n v="814"/>
    <n v="4"/>
    <n v="83"/>
    <x v="3"/>
    <n v="2"/>
    <n v="149.99"/>
    <n v="0.05"/>
    <n v="7.4995000000000012"/>
    <n v="9"/>
    <n v="6"/>
  </r>
  <r>
    <n v="815"/>
    <n v="1"/>
    <n v="105"/>
    <x v="0"/>
    <n v="2"/>
    <n v="533.99"/>
    <n v="0.2"/>
    <n v="106.798"/>
    <n v="9"/>
    <n v="6"/>
  </r>
  <r>
    <n v="815"/>
    <n v="2"/>
    <n v="102"/>
    <x v="1"/>
    <n v="2"/>
    <n v="489.99"/>
    <n v="0.2"/>
    <n v="97.998000000000005"/>
    <n v="5"/>
    <n v="6"/>
  </r>
  <r>
    <n v="815"/>
    <n v="3"/>
    <n v="87"/>
    <x v="2"/>
    <n v="2"/>
    <n v="189.99"/>
    <n v="0.1"/>
    <n v="18.999000000000002"/>
    <n v="8"/>
    <n v="6"/>
  </r>
  <r>
    <n v="815"/>
    <n v="4"/>
    <n v="23"/>
    <x v="3"/>
    <n v="1"/>
    <n v="299.99"/>
    <n v="7.0000000000000007E-2"/>
    <n v="20.999300000000002"/>
    <n v="9"/>
    <n v="6"/>
  </r>
  <r>
    <n v="816"/>
    <n v="1"/>
    <n v="75"/>
    <x v="0"/>
    <n v="2"/>
    <n v="599.99"/>
    <n v="0.1"/>
    <n v="59.999000000000002"/>
    <n v="9"/>
    <n v="6"/>
  </r>
  <r>
    <n v="816"/>
    <n v="2"/>
    <n v="64"/>
    <x v="1"/>
    <n v="2"/>
    <n v="489.99"/>
    <n v="0.2"/>
    <n v="97.998000000000005"/>
    <n v="5"/>
    <n v="6"/>
  </r>
  <r>
    <n v="817"/>
    <n v="1"/>
    <n v="85"/>
    <x v="0"/>
    <n v="1"/>
    <n v="329.99"/>
    <n v="0.05"/>
    <n v="16.499500000000001"/>
    <n v="9"/>
    <n v="6"/>
  </r>
  <r>
    <n v="817"/>
    <n v="2"/>
    <n v="105"/>
    <x v="1"/>
    <n v="2"/>
    <n v="533.99"/>
    <n v="7.0000000000000007E-2"/>
    <n v="37.379300000000008"/>
    <n v="5"/>
    <n v="6"/>
  </r>
  <r>
    <n v="817"/>
    <n v="3"/>
    <n v="48"/>
    <x v="2"/>
    <n v="2"/>
    <n v="1499.99"/>
    <n v="0.05"/>
    <n v="74.999499999999998"/>
    <n v="8"/>
    <n v="6"/>
  </r>
  <r>
    <n v="818"/>
    <n v="1"/>
    <n v="103"/>
    <x v="0"/>
    <n v="1"/>
    <n v="551.99"/>
    <n v="0.05"/>
    <n v="27.599500000000003"/>
    <n v="9"/>
    <n v="6"/>
  </r>
  <r>
    <n v="818"/>
    <n v="2"/>
    <n v="44"/>
    <x v="1"/>
    <n v="2"/>
    <n v="539.99"/>
    <n v="7.0000000000000007E-2"/>
    <n v="37.799300000000002"/>
    <n v="5"/>
    <n v="6"/>
  </r>
  <r>
    <n v="818"/>
    <n v="3"/>
    <n v="19"/>
    <x v="2"/>
    <n v="2"/>
    <n v="449"/>
    <n v="0.05"/>
    <n v="22.450000000000003"/>
    <n v="8"/>
    <n v="6"/>
  </r>
  <r>
    <n v="818"/>
    <n v="4"/>
    <n v="48"/>
    <x v="3"/>
    <n v="2"/>
    <n v="1499.99"/>
    <n v="0.05"/>
    <n v="74.999499999999998"/>
    <n v="9"/>
    <n v="6"/>
  </r>
  <r>
    <n v="819"/>
    <n v="1"/>
    <n v="94"/>
    <x v="0"/>
    <n v="1"/>
    <n v="249.99"/>
    <n v="0.2"/>
    <n v="49.998000000000005"/>
    <n v="9"/>
    <n v="6"/>
  </r>
  <r>
    <n v="820"/>
    <n v="1"/>
    <n v="107"/>
    <x v="0"/>
    <n v="1"/>
    <n v="416.99"/>
    <n v="0.05"/>
    <n v="20.849500000000003"/>
    <n v="9"/>
    <n v="6"/>
  </r>
  <r>
    <n v="821"/>
    <n v="1"/>
    <n v="102"/>
    <x v="0"/>
    <n v="1"/>
    <n v="489.99"/>
    <n v="7.0000000000000007E-2"/>
    <n v="34.299300000000002"/>
    <n v="9"/>
    <n v="6"/>
  </r>
  <r>
    <n v="821"/>
    <n v="2"/>
    <n v="70"/>
    <x v="1"/>
    <n v="2"/>
    <n v="659.99"/>
    <n v="0.2"/>
    <n v="131.99800000000002"/>
    <n v="5"/>
    <n v="6"/>
  </r>
  <r>
    <n v="821"/>
    <n v="3"/>
    <n v="6"/>
    <x v="2"/>
    <n v="1"/>
    <n v="469.99"/>
    <n v="0.2"/>
    <n v="93.998000000000005"/>
    <n v="8"/>
    <n v="6"/>
  </r>
  <r>
    <n v="821"/>
    <n v="4"/>
    <n v="107"/>
    <x v="3"/>
    <n v="1"/>
    <n v="416.99"/>
    <n v="0.05"/>
    <n v="20.849500000000003"/>
    <n v="9"/>
    <n v="6"/>
  </r>
  <r>
    <n v="822"/>
    <n v="1"/>
    <n v="53"/>
    <x v="0"/>
    <n v="1"/>
    <n v="749.99"/>
    <n v="0.05"/>
    <n v="37.499500000000005"/>
    <n v="9"/>
    <n v="6"/>
  </r>
  <r>
    <n v="822"/>
    <n v="2"/>
    <n v="72"/>
    <x v="1"/>
    <n v="1"/>
    <n v="619.99"/>
    <n v="0.2"/>
    <n v="123.998"/>
    <n v="5"/>
    <n v="6"/>
  </r>
  <r>
    <n v="823"/>
    <n v="1"/>
    <n v="56"/>
    <x v="0"/>
    <n v="2"/>
    <n v="5499.99"/>
    <n v="7.0000000000000007E-2"/>
    <n v="384.99930000000001"/>
    <n v="9"/>
    <n v="6"/>
  </r>
  <r>
    <n v="823"/>
    <n v="2"/>
    <n v="86"/>
    <x v="1"/>
    <n v="2"/>
    <n v="149.99"/>
    <n v="0.2"/>
    <n v="29.998000000000005"/>
    <n v="5"/>
    <n v="6"/>
  </r>
  <r>
    <n v="823"/>
    <n v="3"/>
    <n v="81"/>
    <x v="2"/>
    <n v="1"/>
    <n v="1099.99"/>
    <n v="0.2"/>
    <n v="219.99800000000002"/>
    <n v="8"/>
    <n v="6"/>
  </r>
  <r>
    <n v="824"/>
    <n v="1"/>
    <n v="92"/>
    <x v="0"/>
    <n v="2"/>
    <n v="209.99"/>
    <n v="0.1"/>
    <n v="20.999000000000002"/>
    <n v="9"/>
    <n v="6"/>
  </r>
  <r>
    <n v="825"/>
    <n v="1"/>
    <n v="19"/>
    <x v="0"/>
    <n v="1"/>
    <n v="449"/>
    <n v="0.1"/>
    <n v="44.900000000000006"/>
    <n v="9"/>
    <n v="6"/>
  </r>
  <r>
    <n v="825"/>
    <n v="2"/>
    <n v="30"/>
    <x v="1"/>
    <n v="2"/>
    <n v="999.99"/>
    <n v="0.2"/>
    <n v="199.99800000000002"/>
    <n v="5"/>
    <n v="6"/>
  </r>
  <r>
    <n v="826"/>
    <n v="1"/>
    <n v="45"/>
    <x v="0"/>
    <n v="2"/>
    <n v="869.99"/>
    <n v="0.2"/>
    <n v="173.99800000000002"/>
    <n v="9"/>
    <n v="6"/>
  </r>
  <r>
    <n v="826"/>
    <n v="2"/>
    <n v="36"/>
    <x v="1"/>
    <n v="1"/>
    <n v="832.99"/>
    <n v="0.1"/>
    <n v="83.299000000000007"/>
    <n v="5"/>
    <n v="6"/>
  </r>
  <r>
    <n v="827"/>
    <n v="1"/>
    <n v="43"/>
    <x v="0"/>
    <n v="1"/>
    <n v="5299.99"/>
    <n v="0.05"/>
    <n v="264.99950000000001"/>
    <n v="9"/>
    <n v="6"/>
  </r>
  <r>
    <n v="827"/>
    <n v="2"/>
    <n v="41"/>
    <x v="1"/>
    <n v="1"/>
    <n v="1469.99"/>
    <n v="0.2"/>
    <n v="293.99799999999999"/>
    <n v="5"/>
    <n v="6"/>
  </r>
  <r>
    <n v="827"/>
    <n v="3"/>
    <n v="28"/>
    <x v="2"/>
    <n v="1"/>
    <n v="2499.9899999999998"/>
    <n v="0.2"/>
    <n v="499.99799999999999"/>
    <n v="8"/>
    <n v="6"/>
  </r>
  <r>
    <n v="827"/>
    <n v="4"/>
    <n v="108"/>
    <x v="3"/>
    <n v="1"/>
    <n v="449.99"/>
    <n v="0.2"/>
    <n v="89.998000000000005"/>
    <n v="9"/>
    <n v="6"/>
  </r>
  <r>
    <n v="828"/>
    <n v="1"/>
    <n v="25"/>
    <x v="0"/>
    <n v="2"/>
    <n v="499.99"/>
    <n v="0.2"/>
    <n v="99.998000000000005"/>
    <n v="9"/>
    <n v="6"/>
  </r>
  <r>
    <n v="828"/>
    <n v="2"/>
    <n v="24"/>
    <x v="1"/>
    <n v="1"/>
    <n v="549.99"/>
    <n v="0.2"/>
    <n v="109.998"/>
    <n v="5"/>
    <n v="6"/>
  </r>
  <r>
    <n v="828"/>
    <n v="3"/>
    <n v="55"/>
    <x v="2"/>
    <n v="2"/>
    <n v="2699.99"/>
    <n v="7.0000000000000007E-2"/>
    <n v="188.99930000000001"/>
    <n v="8"/>
    <n v="6"/>
  </r>
  <r>
    <n v="829"/>
    <n v="1"/>
    <n v="103"/>
    <x v="0"/>
    <n v="1"/>
    <n v="551.99"/>
    <n v="0.2"/>
    <n v="110.39800000000001"/>
    <n v="9"/>
    <n v="6"/>
  </r>
  <r>
    <n v="829"/>
    <n v="2"/>
    <n v="105"/>
    <x v="1"/>
    <n v="2"/>
    <n v="533.99"/>
    <n v="0.1"/>
    <n v="53.399000000000001"/>
    <n v="5"/>
    <n v="6"/>
  </r>
  <r>
    <n v="830"/>
    <n v="1"/>
    <n v="85"/>
    <x v="0"/>
    <n v="2"/>
    <n v="329.99"/>
    <n v="0.2"/>
    <n v="65.998000000000005"/>
    <n v="9"/>
    <n v="6"/>
  </r>
  <r>
    <n v="830"/>
    <n v="2"/>
    <n v="100"/>
    <x v="1"/>
    <n v="2"/>
    <n v="489.99"/>
    <n v="7.0000000000000007E-2"/>
    <n v="34.299300000000002"/>
    <n v="5"/>
    <n v="6"/>
  </r>
  <r>
    <n v="830"/>
    <n v="3"/>
    <n v="96"/>
    <x v="2"/>
    <n v="2"/>
    <n v="349.99"/>
    <n v="0.2"/>
    <n v="69.998000000000005"/>
    <n v="8"/>
    <n v="6"/>
  </r>
  <r>
    <n v="831"/>
    <n v="1"/>
    <n v="67"/>
    <x v="0"/>
    <n v="1"/>
    <n v="250.99"/>
    <n v="0.2"/>
    <n v="50.198000000000008"/>
    <n v="9"/>
    <n v="6"/>
  </r>
  <r>
    <n v="831"/>
    <n v="2"/>
    <n v="11"/>
    <x v="1"/>
    <n v="1"/>
    <n v="1680.99"/>
    <n v="0.2"/>
    <n v="336.19800000000004"/>
    <n v="5"/>
    <n v="6"/>
  </r>
  <r>
    <n v="831"/>
    <n v="3"/>
    <n v="68"/>
    <x v="2"/>
    <n v="1"/>
    <n v="449.99"/>
    <n v="0.1"/>
    <n v="44.999000000000002"/>
    <n v="8"/>
    <n v="6"/>
  </r>
  <r>
    <n v="832"/>
    <n v="1"/>
    <n v="54"/>
    <x v="0"/>
    <n v="1"/>
    <n v="3199.99"/>
    <n v="0.05"/>
    <n v="159.99950000000001"/>
    <n v="9"/>
    <n v="6"/>
  </r>
  <r>
    <n v="832"/>
    <n v="2"/>
    <n v="45"/>
    <x v="1"/>
    <n v="1"/>
    <n v="869.99"/>
    <n v="0.2"/>
    <n v="173.99800000000002"/>
    <n v="5"/>
    <n v="6"/>
  </r>
  <r>
    <n v="832"/>
    <n v="3"/>
    <n v="27"/>
    <x v="2"/>
    <n v="1"/>
    <n v="999.99"/>
    <n v="7.0000000000000007E-2"/>
    <n v="69.999300000000005"/>
    <n v="8"/>
    <n v="6"/>
  </r>
  <r>
    <n v="832"/>
    <n v="4"/>
    <n v="16"/>
    <x v="3"/>
    <n v="2"/>
    <n v="599.99"/>
    <n v="0.1"/>
    <n v="59.999000000000002"/>
    <n v="9"/>
    <n v="6"/>
  </r>
  <r>
    <n v="833"/>
    <n v="1"/>
    <n v="20"/>
    <x v="0"/>
    <n v="2"/>
    <n v="599.99"/>
    <n v="0.05"/>
    <n v="29.999500000000001"/>
    <n v="9"/>
    <n v="6"/>
  </r>
  <r>
    <n v="834"/>
    <n v="1"/>
    <n v="54"/>
    <x v="0"/>
    <n v="1"/>
    <n v="3199.99"/>
    <n v="7.0000000000000007E-2"/>
    <n v="223.99930000000001"/>
    <n v="9"/>
    <n v="6"/>
  </r>
  <r>
    <n v="834"/>
    <n v="2"/>
    <n v="21"/>
    <x v="1"/>
    <n v="1"/>
    <n v="269.99"/>
    <n v="0.05"/>
    <n v="13.499500000000001"/>
    <n v="5"/>
    <n v="6"/>
  </r>
  <r>
    <n v="834"/>
    <n v="3"/>
    <n v="78"/>
    <x v="2"/>
    <n v="1"/>
    <n v="647.99"/>
    <n v="0.2"/>
    <n v="129.59800000000001"/>
    <n v="8"/>
    <n v="6"/>
  </r>
  <r>
    <n v="835"/>
    <n v="1"/>
    <n v="65"/>
    <x v="0"/>
    <n v="2"/>
    <n v="346.99"/>
    <n v="7.0000000000000007E-2"/>
    <n v="24.289300000000004"/>
    <n v="9"/>
    <n v="6"/>
  </r>
  <r>
    <n v="835"/>
    <n v="2"/>
    <n v="82"/>
    <x v="1"/>
    <n v="1"/>
    <n v="659.99"/>
    <n v="0.2"/>
    <n v="131.99800000000002"/>
    <n v="5"/>
    <n v="6"/>
  </r>
  <r>
    <n v="835"/>
    <n v="3"/>
    <n v="2"/>
    <x v="2"/>
    <n v="1"/>
    <n v="749.99"/>
    <n v="0.05"/>
    <n v="37.499500000000005"/>
    <n v="8"/>
    <n v="6"/>
  </r>
  <r>
    <n v="836"/>
    <n v="1"/>
    <n v="108"/>
    <x v="0"/>
    <n v="2"/>
    <n v="449.99"/>
    <n v="0.2"/>
    <n v="89.998000000000005"/>
    <n v="9"/>
    <n v="6"/>
  </r>
  <r>
    <n v="837"/>
    <n v="1"/>
    <n v="51"/>
    <x v="0"/>
    <n v="1"/>
    <n v="6499.99"/>
    <n v="0.05"/>
    <n v="324.99950000000001"/>
    <n v="9"/>
    <n v="6"/>
  </r>
  <r>
    <n v="837"/>
    <n v="2"/>
    <n v="97"/>
    <x v="1"/>
    <n v="1"/>
    <n v="349.99"/>
    <n v="0.1"/>
    <n v="34.999000000000002"/>
    <n v="5"/>
    <n v="6"/>
  </r>
  <r>
    <n v="837"/>
    <n v="3"/>
    <n v="87"/>
    <x v="2"/>
    <n v="2"/>
    <n v="189.99"/>
    <n v="0.2"/>
    <n v="37.998000000000005"/>
    <n v="8"/>
    <n v="6"/>
  </r>
  <r>
    <n v="838"/>
    <n v="1"/>
    <n v="28"/>
    <x v="0"/>
    <n v="1"/>
    <n v="2499.9899999999998"/>
    <n v="0.1"/>
    <n v="249.999"/>
    <n v="9"/>
    <n v="6"/>
  </r>
  <r>
    <n v="838"/>
    <n v="2"/>
    <n v="10"/>
    <x v="1"/>
    <n v="1"/>
    <n v="1549"/>
    <n v="0.1"/>
    <n v="154.9"/>
    <n v="5"/>
    <n v="6"/>
  </r>
  <r>
    <n v="838"/>
    <n v="3"/>
    <n v="100"/>
    <x v="2"/>
    <n v="2"/>
    <n v="489.99"/>
    <n v="0.05"/>
    <n v="24.499500000000001"/>
    <n v="8"/>
    <n v="6"/>
  </r>
  <r>
    <n v="838"/>
    <n v="4"/>
    <n v="65"/>
    <x v="3"/>
    <n v="2"/>
    <n v="346.99"/>
    <n v="7.0000000000000007E-2"/>
    <n v="24.289300000000004"/>
    <n v="9"/>
    <n v="6"/>
  </r>
  <r>
    <n v="839"/>
    <n v="1"/>
    <n v="55"/>
    <x v="0"/>
    <n v="1"/>
    <n v="2699.99"/>
    <n v="7.0000000000000007E-2"/>
    <n v="188.99930000000001"/>
    <n v="9"/>
    <n v="6"/>
  </r>
  <r>
    <n v="839"/>
    <n v="2"/>
    <n v="85"/>
    <x v="1"/>
    <n v="1"/>
    <n v="329.99"/>
    <n v="0.1"/>
    <n v="32.999000000000002"/>
    <n v="5"/>
    <n v="6"/>
  </r>
  <r>
    <n v="839"/>
    <n v="3"/>
    <n v="58"/>
    <x v="2"/>
    <n v="2"/>
    <n v="4999.99"/>
    <n v="0.05"/>
    <n v="249.99950000000001"/>
    <n v="8"/>
    <n v="6"/>
  </r>
  <r>
    <n v="840"/>
    <n v="1"/>
    <n v="27"/>
    <x v="0"/>
    <n v="1"/>
    <n v="999.99"/>
    <n v="7.0000000000000007E-2"/>
    <n v="69.999300000000005"/>
    <n v="9"/>
    <n v="6"/>
  </r>
  <r>
    <n v="840"/>
    <n v="2"/>
    <n v="43"/>
    <x v="1"/>
    <n v="1"/>
    <n v="5299.99"/>
    <n v="7.0000000000000007E-2"/>
    <n v="370.99930000000001"/>
    <n v="5"/>
    <n v="6"/>
  </r>
  <r>
    <n v="840"/>
    <n v="3"/>
    <n v="106"/>
    <x v="2"/>
    <n v="2"/>
    <n v="449.99"/>
    <n v="0.2"/>
    <n v="89.998000000000005"/>
    <n v="8"/>
    <n v="6"/>
  </r>
  <r>
    <n v="841"/>
    <n v="1"/>
    <n v="22"/>
    <x v="0"/>
    <n v="2"/>
    <n v="269.99"/>
    <n v="0.1"/>
    <n v="26.999000000000002"/>
    <n v="9"/>
    <n v="6"/>
  </r>
  <r>
    <n v="841"/>
    <n v="2"/>
    <n v="9"/>
    <x v="1"/>
    <n v="1"/>
    <n v="2999.99"/>
    <n v="0.2"/>
    <n v="599.99799999999993"/>
    <n v="5"/>
    <n v="6"/>
  </r>
  <r>
    <n v="841"/>
    <n v="3"/>
    <n v="11"/>
    <x v="2"/>
    <n v="1"/>
    <n v="1680.99"/>
    <n v="0.2"/>
    <n v="336.19800000000004"/>
    <n v="8"/>
    <n v="6"/>
  </r>
  <r>
    <n v="841"/>
    <n v="4"/>
    <n v="90"/>
    <x v="3"/>
    <n v="2"/>
    <n v="209.99"/>
    <n v="7.0000000000000007E-2"/>
    <n v="14.699300000000003"/>
    <n v="9"/>
    <n v="6"/>
  </r>
  <r>
    <n v="841"/>
    <n v="5"/>
    <n v="100"/>
    <x v="4"/>
    <n v="1"/>
    <n v="489.99"/>
    <n v="0.1"/>
    <n v="48.999000000000002"/>
    <n v="3"/>
    <n v="6"/>
  </r>
  <r>
    <n v="842"/>
    <n v="1"/>
    <n v="81"/>
    <x v="0"/>
    <n v="2"/>
    <n v="1099.99"/>
    <n v="7.0000000000000007E-2"/>
    <n v="76.999300000000005"/>
    <n v="9"/>
    <n v="6"/>
  </r>
  <r>
    <n v="842"/>
    <n v="2"/>
    <n v="42"/>
    <x v="1"/>
    <n v="1"/>
    <n v="2299.9899999999998"/>
    <n v="0.1"/>
    <n v="229.999"/>
    <n v="5"/>
    <n v="6"/>
  </r>
  <r>
    <n v="843"/>
    <n v="1"/>
    <n v="72"/>
    <x v="0"/>
    <n v="1"/>
    <n v="619.99"/>
    <n v="0.1"/>
    <n v="61.999000000000002"/>
    <n v="9"/>
    <n v="6"/>
  </r>
  <r>
    <n v="843"/>
    <n v="2"/>
    <n v="75"/>
    <x v="1"/>
    <n v="2"/>
    <n v="599.99"/>
    <n v="0.1"/>
    <n v="59.999000000000002"/>
    <n v="5"/>
    <n v="6"/>
  </r>
  <r>
    <n v="843"/>
    <n v="3"/>
    <n v="81"/>
    <x v="2"/>
    <n v="1"/>
    <n v="1099.99"/>
    <n v="0.1"/>
    <n v="109.99900000000001"/>
    <n v="8"/>
    <n v="6"/>
  </r>
  <r>
    <n v="843"/>
    <n v="4"/>
    <n v="23"/>
    <x v="3"/>
    <n v="2"/>
    <n v="299.99"/>
    <n v="7.0000000000000007E-2"/>
    <n v="20.999300000000002"/>
    <n v="9"/>
    <n v="6"/>
  </r>
  <r>
    <n v="844"/>
    <n v="1"/>
    <n v="79"/>
    <x v="0"/>
    <n v="2"/>
    <n v="402.99"/>
    <n v="7.0000000000000007E-2"/>
    <n v="28.209300000000002"/>
    <n v="9"/>
    <n v="6"/>
  </r>
  <r>
    <n v="844"/>
    <n v="2"/>
    <n v="12"/>
    <x v="1"/>
    <n v="1"/>
    <n v="549.99"/>
    <n v="0.1"/>
    <n v="54.999000000000002"/>
    <n v="5"/>
    <n v="6"/>
  </r>
  <r>
    <n v="844"/>
    <n v="3"/>
    <n v="83"/>
    <x v="2"/>
    <n v="2"/>
    <n v="149.99"/>
    <n v="0.2"/>
    <n v="29.998000000000005"/>
    <n v="8"/>
    <n v="6"/>
  </r>
  <r>
    <n v="844"/>
    <n v="4"/>
    <n v="48"/>
    <x v="3"/>
    <n v="1"/>
    <n v="1499.99"/>
    <n v="0.2"/>
    <n v="299.99799999999999"/>
    <n v="9"/>
    <n v="6"/>
  </r>
  <r>
    <n v="844"/>
    <n v="5"/>
    <n v="63"/>
    <x v="4"/>
    <n v="2"/>
    <n v="3499.99"/>
    <n v="0.05"/>
    <n v="174.99950000000001"/>
    <n v="3"/>
    <n v="6"/>
  </r>
  <r>
    <n v="845"/>
    <n v="1"/>
    <n v="16"/>
    <x v="0"/>
    <n v="2"/>
    <n v="599.99"/>
    <n v="0.2"/>
    <n v="119.998"/>
    <n v="9"/>
    <n v="6"/>
  </r>
  <r>
    <n v="845"/>
    <n v="2"/>
    <n v="75"/>
    <x v="1"/>
    <n v="1"/>
    <n v="599.99"/>
    <n v="0.2"/>
    <n v="119.998"/>
    <n v="5"/>
    <n v="6"/>
  </r>
  <r>
    <n v="845"/>
    <n v="3"/>
    <n v="26"/>
    <x v="2"/>
    <n v="2"/>
    <n v="599.99"/>
    <n v="0.05"/>
    <n v="29.999500000000001"/>
    <n v="8"/>
    <n v="6"/>
  </r>
  <r>
    <n v="845"/>
    <n v="4"/>
    <n v="73"/>
    <x v="3"/>
    <n v="2"/>
    <n v="749.99"/>
    <n v="0.2"/>
    <n v="149.99800000000002"/>
    <n v="9"/>
    <n v="6"/>
  </r>
  <r>
    <n v="845"/>
    <n v="5"/>
    <n v="88"/>
    <x v="4"/>
    <n v="1"/>
    <n v="189.99"/>
    <n v="0.05"/>
    <n v="9.4995000000000012"/>
    <n v="3"/>
    <n v="6"/>
  </r>
  <r>
    <n v="846"/>
    <n v="1"/>
    <n v="46"/>
    <x v="0"/>
    <n v="2"/>
    <n v="1409.99"/>
    <n v="0.05"/>
    <n v="70.499499999999998"/>
    <n v="9"/>
    <n v="6"/>
  </r>
  <r>
    <n v="846"/>
    <n v="2"/>
    <n v="47"/>
    <x v="1"/>
    <n v="1"/>
    <n v="5299.99"/>
    <n v="7.0000000000000007E-2"/>
    <n v="370.99930000000001"/>
    <n v="5"/>
    <n v="6"/>
  </r>
  <r>
    <n v="846"/>
    <n v="3"/>
    <n v="71"/>
    <x v="2"/>
    <n v="1"/>
    <n v="416.99"/>
    <n v="0.1"/>
    <n v="41.699000000000005"/>
    <n v="8"/>
    <n v="6"/>
  </r>
  <r>
    <n v="846"/>
    <n v="4"/>
    <n v="72"/>
    <x v="3"/>
    <n v="2"/>
    <n v="619.99"/>
    <n v="0.05"/>
    <n v="30.999500000000001"/>
    <n v="9"/>
    <n v="6"/>
  </r>
  <r>
    <n v="846"/>
    <n v="5"/>
    <n v="103"/>
    <x v="4"/>
    <n v="2"/>
    <n v="551.99"/>
    <n v="7.0000000000000007E-2"/>
    <n v="38.639300000000006"/>
    <n v="3"/>
    <n v="6"/>
  </r>
  <r>
    <n v="847"/>
    <n v="1"/>
    <n v="61"/>
    <x v="0"/>
    <n v="2"/>
    <n v="4999.99"/>
    <n v="0.05"/>
    <n v="249.99950000000001"/>
    <n v="9"/>
    <n v="6"/>
  </r>
  <r>
    <n v="848"/>
    <n v="1"/>
    <n v="93"/>
    <x v="0"/>
    <n v="1"/>
    <n v="209.99"/>
    <n v="7.0000000000000007E-2"/>
    <n v="14.699300000000003"/>
    <n v="9"/>
    <n v="6"/>
  </r>
  <r>
    <n v="848"/>
    <n v="2"/>
    <n v="100"/>
    <x v="1"/>
    <n v="2"/>
    <n v="489.99"/>
    <n v="0.2"/>
    <n v="97.998000000000005"/>
    <n v="5"/>
    <n v="6"/>
  </r>
  <r>
    <n v="848"/>
    <n v="3"/>
    <n v="88"/>
    <x v="2"/>
    <n v="2"/>
    <n v="189.99"/>
    <n v="0.2"/>
    <n v="37.998000000000005"/>
    <n v="8"/>
    <n v="6"/>
  </r>
  <r>
    <n v="848"/>
    <n v="4"/>
    <n v="41"/>
    <x v="3"/>
    <n v="2"/>
    <n v="1469.99"/>
    <n v="7.0000000000000007E-2"/>
    <n v="102.89930000000001"/>
    <n v="9"/>
    <n v="6"/>
  </r>
  <r>
    <n v="849"/>
    <n v="1"/>
    <n v="109"/>
    <x v="0"/>
    <n v="1"/>
    <n v="416.99"/>
    <n v="0.2"/>
    <n v="83.39800000000001"/>
    <n v="9"/>
    <n v="6"/>
  </r>
  <r>
    <n v="850"/>
    <n v="1"/>
    <n v="101"/>
    <x v="0"/>
    <n v="2"/>
    <n v="339.99"/>
    <n v="7.0000000000000007E-2"/>
    <n v="23.799300000000002"/>
    <n v="9"/>
    <n v="6"/>
  </r>
  <r>
    <n v="850"/>
    <n v="2"/>
    <n v="5"/>
    <x v="1"/>
    <n v="2"/>
    <n v="1320.99"/>
    <n v="7.0000000000000007E-2"/>
    <n v="92.469300000000004"/>
    <n v="5"/>
    <n v="6"/>
  </r>
  <r>
    <n v="850"/>
    <n v="3"/>
    <n v="37"/>
    <x v="2"/>
    <n v="1"/>
    <n v="379.99"/>
    <n v="7.0000000000000007E-2"/>
    <n v="26.599300000000003"/>
    <n v="8"/>
    <n v="6"/>
  </r>
  <r>
    <n v="851"/>
    <n v="1"/>
    <n v="30"/>
    <x v="0"/>
    <n v="1"/>
    <n v="999.99"/>
    <n v="0.2"/>
    <n v="199.99800000000002"/>
    <n v="9"/>
    <n v="6"/>
  </r>
  <r>
    <n v="851"/>
    <n v="2"/>
    <n v="93"/>
    <x v="1"/>
    <n v="1"/>
    <n v="209.99"/>
    <n v="0.05"/>
    <n v="10.499500000000001"/>
    <n v="5"/>
    <n v="6"/>
  </r>
  <r>
    <n v="852"/>
    <n v="1"/>
    <n v="46"/>
    <x v="0"/>
    <n v="2"/>
    <n v="1409.99"/>
    <n v="7.0000000000000007E-2"/>
    <n v="98.699300000000008"/>
    <n v="9"/>
    <n v="6"/>
  </r>
  <r>
    <n v="853"/>
    <n v="1"/>
    <n v="99"/>
    <x v="0"/>
    <n v="1"/>
    <n v="299.99"/>
    <n v="0.05"/>
    <n v="14.999500000000001"/>
    <n v="9"/>
    <n v="6"/>
  </r>
  <r>
    <n v="853"/>
    <n v="2"/>
    <n v="58"/>
    <x v="1"/>
    <n v="2"/>
    <n v="4999.99"/>
    <n v="0.2"/>
    <n v="999.99800000000005"/>
    <n v="5"/>
    <n v="6"/>
  </r>
  <r>
    <n v="853"/>
    <n v="3"/>
    <n v="42"/>
    <x v="2"/>
    <n v="2"/>
    <n v="2299.9899999999998"/>
    <n v="0.2"/>
    <n v="459.99799999999999"/>
    <n v="8"/>
    <n v="6"/>
  </r>
  <r>
    <n v="853"/>
    <n v="4"/>
    <n v="45"/>
    <x v="3"/>
    <n v="1"/>
    <n v="869.99"/>
    <n v="0.2"/>
    <n v="173.99800000000002"/>
    <n v="9"/>
    <n v="6"/>
  </r>
  <r>
    <n v="853"/>
    <n v="5"/>
    <n v="6"/>
    <x v="4"/>
    <n v="1"/>
    <n v="469.99"/>
    <n v="0.05"/>
    <n v="23.499500000000001"/>
    <n v="3"/>
    <n v="6"/>
  </r>
  <r>
    <n v="854"/>
    <n v="1"/>
    <n v="87"/>
    <x v="0"/>
    <n v="1"/>
    <n v="189.99"/>
    <n v="0.1"/>
    <n v="18.999000000000002"/>
    <n v="9"/>
    <n v="6"/>
  </r>
  <r>
    <n v="855"/>
    <n v="1"/>
    <n v="18"/>
    <x v="0"/>
    <n v="1"/>
    <n v="449"/>
    <n v="0.1"/>
    <n v="44.900000000000006"/>
    <n v="9"/>
    <n v="6"/>
  </r>
  <r>
    <n v="855"/>
    <n v="2"/>
    <n v="93"/>
    <x v="1"/>
    <n v="2"/>
    <n v="209.99"/>
    <n v="0.2"/>
    <n v="41.998000000000005"/>
    <n v="5"/>
    <n v="6"/>
  </r>
  <r>
    <n v="855"/>
    <n v="3"/>
    <n v="89"/>
    <x v="2"/>
    <n v="1"/>
    <n v="209.99"/>
    <n v="0.2"/>
    <n v="41.998000000000005"/>
    <n v="8"/>
    <n v="6"/>
  </r>
  <r>
    <n v="856"/>
    <n v="1"/>
    <n v="38"/>
    <x v="0"/>
    <n v="2"/>
    <n v="549.99"/>
    <n v="0.05"/>
    <n v="27.499500000000001"/>
    <n v="9"/>
    <n v="6"/>
  </r>
  <r>
    <n v="857"/>
    <n v="1"/>
    <n v="29"/>
    <x v="0"/>
    <n v="1"/>
    <n v="999.99"/>
    <n v="0.2"/>
    <n v="199.99800000000002"/>
    <n v="9"/>
    <n v="6"/>
  </r>
  <r>
    <n v="858"/>
    <n v="1"/>
    <n v="45"/>
    <x v="0"/>
    <n v="2"/>
    <n v="869.99"/>
    <n v="0.2"/>
    <n v="173.99800000000002"/>
    <n v="9"/>
    <n v="6"/>
  </r>
  <r>
    <n v="858"/>
    <n v="2"/>
    <n v="5"/>
    <x v="1"/>
    <n v="1"/>
    <n v="1320.99"/>
    <n v="0.2"/>
    <n v="264.19800000000004"/>
    <n v="5"/>
    <n v="6"/>
  </r>
  <r>
    <n v="858"/>
    <n v="3"/>
    <n v="14"/>
    <x v="2"/>
    <n v="1"/>
    <n v="269.99"/>
    <n v="7.0000000000000007E-2"/>
    <n v="18.899300000000004"/>
    <n v="8"/>
    <n v="6"/>
  </r>
  <r>
    <n v="858"/>
    <n v="4"/>
    <n v="73"/>
    <x v="3"/>
    <n v="2"/>
    <n v="749.99"/>
    <n v="7.0000000000000007E-2"/>
    <n v="52.499300000000005"/>
    <n v="9"/>
    <n v="6"/>
  </r>
  <r>
    <n v="859"/>
    <n v="1"/>
    <n v="38"/>
    <x v="0"/>
    <n v="2"/>
    <n v="549.99"/>
    <n v="7.0000000000000007E-2"/>
    <n v="38.499300000000005"/>
    <n v="9"/>
    <n v="6"/>
  </r>
  <r>
    <n v="859"/>
    <n v="2"/>
    <n v="13"/>
    <x v="1"/>
    <n v="1"/>
    <n v="269.99"/>
    <n v="0.1"/>
    <n v="26.999000000000002"/>
    <n v="5"/>
    <n v="6"/>
  </r>
  <r>
    <n v="859"/>
    <n v="3"/>
    <n v="14"/>
    <x v="2"/>
    <n v="2"/>
    <n v="269.99"/>
    <n v="0.1"/>
    <n v="26.999000000000002"/>
    <n v="8"/>
    <n v="6"/>
  </r>
  <r>
    <n v="859"/>
    <n v="4"/>
    <n v="71"/>
    <x v="3"/>
    <n v="2"/>
    <n v="416.99"/>
    <n v="0.1"/>
    <n v="41.699000000000005"/>
    <n v="9"/>
    <n v="6"/>
  </r>
  <r>
    <n v="859"/>
    <n v="5"/>
    <n v="36"/>
    <x v="4"/>
    <n v="2"/>
    <n v="832.99"/>
    <n v="0.1"/>
    <n v="83.299000000000007"/>
    <n v="3"/>
    <n v="6"/>
  </r>
  <r>
    <n v="860"/>
    <n v="1"/>
    <n v="6"/>
    <x v="0"/>
    <n v="1"/>
    <n v="469.99"/>
    <n v="0.05"/>
    <n v="23.499500000000001"/>
    <n v="9"/>
    <n v="6"/>
  </r>
  <r>
    <n v="860"/>
    <n v="2"/>
    <n v="24"/>
    <x v="1"/>
    <n v="2"/>
    <n v="549.99"/>
    <n v="0.2"/>
    <n v="109.998"/>
    <n v="5"/>
    <n v="6"/>
  </r>
  <r>
    <n v="860"/>
    <n v="3"/>
    <n v="25"/>
    <x v="2"/>
    <n v="1"/>
    <n v="499.99"/>
    <n v="0.2"/>
    <n v="99.998000000000005"/>
    <n v="8"/>
    <n v="6"/>
  </r>
  <r>
    <n v="860"/>
    <n v="4"/>
    <n v="58"/>
    <x v="3"/>
    <n v="2"/>
    <n v="4999.99"/>
    <n v="7.0000000000000007E-2"/>
    <n v="349.99930000000001"/>
    <n v="9"/>
    <n v="6"/>
  </r>
  <r>
    <n v="860"/>
    <n v="5"/>
    <n v="95"/>
    <x v="4"/>
    <n v="2"/>
    <n v="299.99"/>
    <n v="0.05"/>
    <n v="14.999500000000001"/>
    <n v="3"/>
    <n v="6"/>
  </r>
  <r>
    <n v="861"/>
    <n v="1"/>
    <n v="14"/>
    <x v="0"/>
    <n v="2"/>
    <n v="269.99"/>
    <n v="7.0000000000000007E-2"/>
    <n v="18.899300000000004"/>
    <n v="9"/>
    <n v="6"/>
  </r>
  <r>
    <n v="861"/>
    <n v="2"/>
    <n v="62"/>
    <x v="1"/>
    <n v="1"/>
    <n v="3499.99"/>
    <n v="0.2"/>
    <n v="699.99800000000005"/>
    <n v="5"/>
    <n v="6"/>
  </r>
  <r>
    <n v="862"/>
    <n v="1"/>
    <n v="85"/>
    <x v="0"/>
    <n v="1"/>
    <n v="329.99"/>
    <n v="0.05"/>
    <n v="16.499500000000001"/>
    <n v="9"/>
    <n v="6"/>
  </r>
  <r>
    <n v="862"/>
    <n v="2"/>
    <n v="99"/>
    <x v="1"/>
    <n v="1"/>
    <n v="299.99"/>
    <n v="0.2"/>
    <n v="59.998000000000005"/>
    <n v="5"/>
    <n v="6"/>
  </r>
  <r>
    <n v="862"/>
    <n v="3"/>
    <n v="49"/>
    <x v="2"/>
    <n v="2"/>
    <n v="3499.99"/>
    <n v="7.0000000000000007E-2"/>
    <n v="244.99930000000001"/>
    <n v="8"/>
    <n v="6"/>
  </r>
  <r>
    <n v="863"/>
    <n v="1"/>
    <n v="93"/>
    <x v="0"/>
    <n v="2"/>
    <n v="209.99"/>
    <n v="0.1"/>
    <n v="20.999000000000002"/>
    <n v="9"/>
    <n v="6"/>
  </r>
  <r>
    <n v="864"/>
    <n v="1"/>
    <n v="37"/>
    <x v="0"/>
    <n v="1"/>
    <n v="379.99"/>
    <n v="0.1"/>
    <n v="37.999000000000002"/>
    <n v="9"/>
    <n v="6"/>
  </r>
  <r>
    <n v="864"/>
    <n v="2"/>
    <n v="65"/>
    <x v="1"/>
    <n v="2"/>
    <n v="346.99"/>
    <n v="0.05"/>
    <n v="17.349500000000003"/>
    <n v="5"/>
    <n v="6"/>
  </r>
  <r>
    <n v="864"/>
    <n v="3"/>
    <n v="13"/>
    <x v="2"/>
    <n v="1"/>
    <n v="269.99"/>
    <n v="0.2"/>
    <n v="53.998000000000005"/>
    <n v="8"/>
    <n v="6"/>
  </r>
  <r>
    <n v="865"/>
    <n v="1"/>
    <n v="109"/>
    <x v="0"/>
    <n v="2"/>
    <n v="416.99"/>
    <n v="0.1"/>
    <n v="41.699000000000005"/>
    <n v="9"/>
    <n v="6"/>
  </r>
  <r>
    <n v="865"/>
    <n v="2"/>
    <n v="34"/>
    <x v="1"/>
    <n v="1"/>
    <n v="469.99"/>
    <n v="0.05"/>
    <n v="23.499500000000001"/>
    <n v="5"/>
    <n v="6"/>
  </r>
  <r>
    <n v="866"/>
    <n v="1"/>
    <n v="88"/>
    <x v="0"/>
    <n v="1"/>
    <n v="189.99"/>
    <n v="0.2"/>
    <n v="37.998000000000005"/>
    <n v="9"/>
    <n v="6"/>
  </r>
  <r>
    <n v="866"/>
    <n v="2"/>
    <n v="67"/>
    <x v="1"/>
    <n v="2"/>
    <n v="250.99"/>
    <n v="7.0000000000000007E-2"/>
    <n v="17.569300000000002"/>
    <n v="5"/>
    <n v="6"/>
  </r>
  <r>
    <n v="866"/>
    <n v="3"/>
    <n v="80"/>
    <x v="2"/>
    <n v="1"/>
    <n v="761.99"/>
    <n v="7.0000000000000007E-2"/>
    <n v="53.339300000000009"/>
    <n v="8"/>
    <n v="6"/>
  </r>
  <r>
    <n v="866"/>
    <n v="4"/>
    <n v="13"/>
    <x v="3"/>
    <n v="2"/>
    <n v="269.99"/>
    <n v="7.0000000000000007E-2"/>
    <n v="18.899300000000004"/>
    <n v="9"/>
    <n v="6"/>
  </r>
  <r>
    <n v="867"/>
    <n v="1"/>
    <n v="101"/>
    <x v="0"/>
    <n v="1"/>
    <n v="339.99"/>
    <n v="0.05"/>
    <n v="16.999500000000001"/>
    <n v="9"/>
    <n v="6"/>
  </r>
  <r>
    <n v="868"/>
    <n v="1"/>
    <n v="46"/>
    <x v="0"/>
    <n v="1"/>
    <n v="1409.99"/>
    <n v="7.0000000000000007E-2"/>
    <n v="98.699300000000008"/>
    <n v="9"/>
    <n v="6"/>
  </r>
  <r>
    <n v="869"/>
    <n v="1"/>
    <n v="7"/>
    <x v="0"/>
    <n v="1"/>
    <n v="3999.99"/>
    <n v="0.2"/>
    <n v="799.99800000000005"/>
    <n v="9"/>
    <n v="6"/>
  </r>
  <r>
    <n v="869"/>
    <n v="2"/>
    <n v="106"/>
    <x v="1"/>
    <n v="2"/>
    <n v="449.99"/>
    <n v="0.05"/>
    <n v="22.499500000000001"/>
    <n v="5"/>
    <n v="6"/>
  </r>
  <r>
    <n v="869"/>
    <n v="3"/>
    <n v="33"/>
    <x v="2"/>
    <n v="1"/>
    <n v="469.99"/>
    <n v="0.05"/>
    <n v="23.499500000000001"/>
    <n v="8"/>
    <n v="6"/>
  </r>
  <r>
    <n v="869"/>
    <n v="4"/>
    <n v="55"/>
    <x v="3"/>
    <n v="2"/>
    <n v="2699.99"/>
    <n v="0.05"/>
    <n v="134.99949999999998"/>
    <n v="9"/>
    <n v="6"/>
  </r>
  <r>
    <n v="869"/>
    <n v="5"/>
    <n v="65"/>
    <x v="4"/>
    <n v="2"/>
    <n v="346.99"/>
    <n v="0.2"/>
    <n v="69.39800000000001"/>
    <n v="3"/>
    <n v="6"/>
  </r>
  <r>
    <n v="870"/>
    <n v="1"/>
    <n v="63"/>
    <x v="0"/>
    <n v="1"/>
    <n v="3499.99"/>
    <n v="7.0000000000000007E-2"/>
    <n v="244.99930000000001"/>
    <n v="9"/>
    <n v="6"/>
  </r>
  <r>
    <n v="871"/>
    <n v="1"/>
    <n v="106"/>
    <x v="0"/>
    <n v="1"/>
    <n v="449.99"/>
    <n v="0.2"/>
    <n v="89.998000000000005"/>
    <n v="9"/>
    <n v="6"/>
  </r>
  <r>
    <n v="871"/>
    <n v="2"/>
    <n v="38"/>
    <x v="1"/>
    <n v="1"/>
    <n v="549.99"/>
    <n v="0.1"/>
    <n v="54.999000000000002"/>
    <n v="5"/>
    <n v="6"/>
  </r>
  <r>
    <n v="871"/>
    <n v="3"/>
    <n v="30"/>
    <x v="2"/>
    <n v="2"/>
    <n v="999.99"/>
    <n v="0.2"/>
    <n v="199.99800000000002"/>
    <n v="8"/>
    <n v="6"/>
  </r>
  <r>
    <n v="871"/>
    <n v="4"/>
    <n v="107"/>
    <x v="3"/>
    <n v="2"/>
    <n v="416.99"/>
    <n v="0.05"/>
    <n v="20.849500000000003"/>
    <n v="9"/>
    <n v="6"/>
  </r>
  <r>
    <n v="872"/>
    <n v="1"/>
    <n v="62"/>
    <x v="0"/>
    <n v="2"/>
    <n v="3499.99"/>
    <n v="7.0000000000000007E-2"/>
    <n v="244.99930000000001"/>
    <n v="9"/>
    <n v="6"/>
  </r>
  <r>
    <n v="872"/>
    <n v="2"/>
    <n v="53"/>
    <x v="1"/>
    <n v="1"/>
    <n v="749.99"/>
    <n v="0.1"/>
    <n v="74.999000000000009"/>
    <n v="5"/>
    <n v="6"/>
  </r>
  <r>
    <n v="873"/>
    <n v="1"/>
    <n v="32"/>
    <x v="0"/>
    <n v="2"/>
    <n v="469.99"/>
    <n v="0.1"/>
    <n v="46.999000000000002"/>
    <n v="9"/>
    <n v="6"/>
  </r>
  <r>
    <n v="874"/>
    <n v="1"/>
    <n v="56"/>
    <x v="0"/>
    <n v="1"/>
    <n v="5499.99"/>
    <n v="0.05"/>
    <n v="274.99950000000001"/>
    <n v="9"/>
    <n v="6"/>
  </r>
  <r>
    <n v="874"/>
    <n v="2"/>
    <n v="27"/>
    <x v="1"/>
    <n v="2"/>
    <n v="999.99"/>
    <n v="0.05"/>
    <n v="49.999500000000005"/>
    <n v="5"/>
    <n v="6"/>
  </r>
  <r>
    <n v="874"/>
    <n v="3"/>
    <n v="73"/>
    <x v="2"/>
    <n v="1"/>
    <n v="749.99"/>
    <n v="0.1"/>
    <n v="74.999000000000009"/>
    <n v="8"/>
    <n v="6"/>
  </r>
  <r>
    <n v="874"/>
    <n v="4"/>
    <n v="77"/>
    <x v="3"/>
    <n v="2"/>
    <n v="799.99"/>
    <n v="7.0000000000000007E-2"/>
    <n v="55.999300000000005"/>
    <n v="9"/>
    <n v="6"/>
  </r>
  <r>
    <n v="875"/>
    <n v="1"/>
    <n v="5"/>
    <x v="0"/>
    <n v="2"/>
    <n v="1320.99"/>
    <n v="0.1"/>
    <n v="132.09900000000002"/>
    <n v="9"/>
    <n v="6"/>
  </r>
  <r>
    <n v="875"/>
    <n v="2"/>
    <n v="15"/>
    <x v="1"/>
    <n v="2"/>
    <n v="529.99"/>
    <n v="0.05"/>
    <n v="26.499500000000001"/>
    <n v="5"/>
    <n v="6"/>
  </r>
  <r>
    <n v="875"/>
    <n v="3"/>
    <n v="14"/>
    <x v="2"/>
    <n v="1"/>
    <n v="269.99"/>
    <n v="7.0000000000000007E-2"/>
    <n v="18.899300000000004"/>
    <n v="8"/>
    <n v="6"/>
  </r>
  <r>
    <n v="875"/>
    <n v="4"/>
    <n v="111"/>
    <x v="3"/>
    <n v="1"/>
    <n v="470.99"/>
    <n v="0.2"/>
    <n v="94.198000000000008"/>
    <n v="9"/>
    <n v="6"/>
  </r>
  <r>
    <n v="876"/>
    <n v="1"/>
    <n v="17"/>
    <x v="0"/>
    <n v="2"/>
    <n v="429"/>
    <n v="0.2"/>
    <n v="85.800000000000011"/>
    <n v="9"/>
    <n v="6"/>
  </r>
  <r>
    <n v="876"/>
    <n v="2"/>
    <n v="66"/>
    <x v="1"/>
    <n v="2"/>
    <n v="250.99"/>
    <n v="0.2"/>
    <n v="50.198000000000008"/>
    <n v="5"/>
    <n v="6"/>
  </r>
  <r>
    <n v="876"/>
    <n v="3"/>
    <n v="96"/>
    <x v="2"/>
    <n v="1"/>
    <n v="349.99"/>
    <n v="7.0000000000000007E-2"/>
    <n v="24.499300000000002"/>
    <n v="8"/>
    <n v="6"/>
  </r>
  <r>
    <n v="876"/>
    <n v="4"/>
    <n v="107"/>
    <x v="3"/>
    <n v="2"/>
    <n v="416.99"/>
    <n v="0.05"/>
    <n v="20.849500000000003"/>
    <n v="9"/>
    <n v="6"/>
  </r>
  <r>
    <n v="877"/>
    <n v="1"/>
    <n v="73"/>
    <x v="0"/>
    <n v="1"/>
    <n v="749.99"/>
    <n v="7.0000000000000007E-2"/>
    <n v="52.499300000000005"/>
    <n v="9"/>
    <n v="6"/>
  </r>
  <r>
    <n v="877"/>
    <n v="2"/>
    <n v="103"/>
    <x v="1"/>
    <n v="1"/>
    <n v="551.99"/>
    <n v="0.1"/>
    <n v="55.199000000000005"/>
    <n v="5"/>
    <n v="6"/>
  </r>
  <r>
    <n v="878"/>
    <n v="1"/>
    <n v="103"/>
    <x v="0"/>
    <n v="1"/>
    <n v="551.99"/>
    <n v="0.2"/>
    <n v="110.39800000000001"/>
    <n v="9"/>
    <n v="6"/>
  </r>
  <r>
    <n v="878"/>
    <n v="2"/>
    <n v="13"/>
    <x v="1"/>
    <n v="1"/>
    <n v="269.99"/>
    <n v="0.1"/>
    <n v="26.999000000000002"/>
    <n v="5"/>
    <n v="6"/>
  </r>
  <r>
    <n v="878"/>
    <n v="3"/>
    <n v="6"/>
    <x v="2"/>
    <n v="2"/>
    <n v="469.99"/>
    <n v="0.2"/>
    <n v="93.998000000000005"/>
    <n v="8"/>
    <n v="6"/>
  </r>
  <r>
    <n v="878"/>
    <n v="4"/>
    <n v="18"/>
    <x v="3"/>
    <n v="2"/>
    <n v="449"/>
    <n v="0.05"/>
    <n v="22.450000000000003"/>
    <n v="9"/>
    <n v="6"/>
  </r>
  <r>
    <n v="879"/>
    <n v="1"/>
    <n v="100"/>
    <x v="0"/>
    <n v="2"/>
    <n v="489.99"/>
    <n v="0.2"/>
    <n v="97.998000000000005"/>
    <n v="9"/>
    <n v="6"/>
  </r>
  <r>
    <n v="879"/>
    <n v="2"/>
    <n v="2"/>
    <x v="1"/>
    <n v="2"/>
    <n v="749.99"/>
    <n v="7.0000000000000007E-2"/>
    <n v="52.499300000000005"/>
    <n v="5"/>
    <n v="6"/>
  </r>
  <r>
    <n v="879"/>
    <n v="3"/>
    <n v="83"/>
    <x v="2"/>
    <n v="2"/>
    <n v="149.99"/>
    <n v="0.2"/>
    <n v="29.998000000000005"/>
    <n v="8"/>
    <n v="6"/>
  </r>
  <r>
    <n v="879"/>
    <n v="4"/>
    <n v="82"/>
    <x v="3"/>
    <n v="1"/>
    <n v="659.99"/>
    <n v="7.0000000000000007E-2"/>
    <n v="46.199300000000008"/>
    <n v="9"/>
    <n v="6"/>
  </r>
  <r>
    <n v="880"/>
    <n v="1"/>
    <n v="28"/>
    <x v="0"/>
    <n v="2"/>
    <n v="2499.9899999999998"/>
    <n v="0.2"/>
    <n v="499.99799999999999"/>
    <n v="9"/>
    <n v="6"/>
  </r>
  <r>
    <n v="880"/>
    <n v="2"/>
    <n v="95"/>
    <x v="1"/>
    <n v="1"/>
    <n v="299.99"/>
    <n v="0.1"/>
    <n v="29.999000000000002"/>
    <n v="5"/>
    <n v="6"/>
  </r>
  <r>
    <n v="880"/>
    <n v="3"/>
    <n v="5"/>
    <x v="2"/>
    <n v="1"/>
    <n v="1320.99"/>
    <n v="7.0000000000000007E-2"/>
    <n v="92.469300000000004"/>
    <n v="8"/>
    <n v="6"/>
  </r>
  <r>
    <n v="880"/>
    <n v="4"/>
    <n v="26"/>
    <x v="3"/>
    <n v="1"/>
    <n v="599.99"/>
    <n v="0.1"/>
    <n v="59.999000000000002"/>
    <n v="9"/>
    <n v="6"/>
  </r>
  <r>
    <n v="880"/>
    <n v="5"/>
    <n v="66"/>
    <x v="4"/>
    <n v="1"/>
    <n v="250.99"/>
    <n v="0.2"/>
    <n v="50.198000000000008"/>
    <n v="3"/>
    <n v="6"/>
  </r>
  <r>
    <n v="881"/>
    <n v="1"/>
    <n v="98"/>
    <x v="0"/>
    <n v="1"/>
    <n v="489.99"/>
    <n v="7.0000000000000007E-2"/>
    <n v="34.299300000000002"/>
    <n v="9"/>
    <n v="6"/>
  </r>
  <r>
    <n v="881"/>
    <n v="2"/>
    <n v="50"/>
    <x v="1"/>
    <n v="1"/>
    <n v="5999.99"/>
    <n v="0.2"/>
    <n v="1199.998"/>
    <n v="5"/>
    <n v="6"/>
  </r>
  <r>
    <n v="881"/>
    <n v="3"/>
    <n v="64"/>
    <x v="2"/>
    <n v="2"/>
    <n v="489.99"/>
    <n v="0.05"/>
    <n v="24.499500000000001"/>
    <n v="8"/>
    <n v="6"/>
  </r>
  <r>
    <n v="881"/>
    <n v="4"/>
    <n v="67"/>
    <x v="3"/>
    <n v="1"/>
    <n v="250.99"/>
    <n v="0.1"/>
    <n v="25.099000000000004"/>
    <n v="9"/>
    <n v="6"/>
  </r>
  <r>
    <n v="882"/>
    <n v="1"/>
    <n v="63"/>
    <x v="0"/>
    <n v="2"/>
    <n v="3499.99"/>
    <n v="7.0000000000000007E-2"/>
    <n v="244.99930000000001"/>
    <n v="9"/>
    <n v="6"/>
  </r>
  <r>
    <n v="882"/>
    <n v="2"/>
    <n v="108"/>
    <x v="1"/>
    <n v="2"/>
    <n v="449.99"/>
    <n v="0.2"/>
    <n v="89.998000000000005"/>
    <n v="5"/>
    <n v="6"/>
  </r>
  <r>
    <n v="882"/>
    <n v="3"/>
    <n v="57"/>
    <x v="2"/>
    <n v="2"/>
    <n v="1999.99"/>
    <n v="7.0000000000000007E-2"/>
    <n v="139.99930000000001"/>
    <n v="8"/>
    <n v="6"/>
  </r>
  <r>
    <n v="883"/>
    <n v="1"/>
    <n v="44"/>
    <x v="0"/>
    <n v="1"/>
    <n v="539.99"/>
    <n v="0.05"/>
    <n v="26.999500000000001"/>
    <n v="9"/>
    <n v="6"/>
  </r>
  <r>
    <n v="883"/>
    <n v="2"/>
    <n v="5"/>
    <x v="1"/>
    <n v="2"/>
    <n v="1320.99"/>
    <n v="0.05"/>
    <n v="66.049500000000009"/>
    <n v="5"/>
    <n v="6"/>
  </r>
  <r>
    <n v="884"/>
    <n v="1"/>
    <n v="49"/>
    <x v="0"/>
    <n v="2"/>
    <n v="3499.99"/>
    <n v="0.05"/>
    <n v="174.99950000000001"/>
    <n v="9"/>
    <n v="6"/>
  </r>
  <r>
    <n v="884"/>
    <n v="2"/>
    <n v="69"/>
    <x v="1"/>
    <n v="2"/>
    <n v="416.99"/>
    <n v="7.0000000000000007E-2"/>
    <n v="29.189300000000003"/>
    <n v="5"/>
    <n v="6"/>
  </r>
  <r>
    <n v="884"/>
    <n v="3"/>
    <n v="46"/>
    <x v="2"/>
    <n v="2"/>
    <n v="1409.99"/>
    <n v="0.2"/>
    <n v="281.99799999999999"/>
    <n v="8"/>
    <n v="6"/>
  </r>
  <r>
    <n v="884"/>
    <n v="4"/>
    <n v="10"/>
    <x v="3"/>
    <n v="1"/>
    <n v="1549"/>
    <n v="0.1"/>
    <n v="154.9"/>
    <n v="9"/>
    <n v="6"/>
  </r>
  <r>
    <n v="884"/>
    <n v="5"/>
    <n v="21"/>
    <x v="4"/>
    <n v="2"/>
    <n v="269.99"/>
    <n v="0.05"/>
    <n v="13.499500000000001"/>
    <n v="3"/>
    <n v="6"/>
  </r>
  <r>
    <n v="885"/>
    <n v="1"/>
    <n v="106"/>
    <x v="0"/>
    <n v="1"/>
    <n v="449.99"/>
    <n v="7.0000000000000007E-2"/>
    <n v="31.499300000000005"/>
    <n v="9"/>
    <n v="6"/>
  </r>
  <r>
    <n v="885"/>
    <n v="2"/>
    <n v="43"/>
    <x v="1"/>
    <n v="1"/>
    <n v="5299.99"/>
    <n v="0.1"/>
    <n v="529.99900000000002"/>
    <n v="5"/>
    <n v="6"/>
  </r>
  <r>
    <n v="886"/>
    <n v="1"/>
    <n v="47"/>
    <x v="0"/>
    <n v="1"/>
    <n v="5299.99"/>
    <n v="0.05"/>
    <n v="264.99950000000001"/>
    <n v="9"/>
    <n v="6"/>
  </r>
  <r>
    <n v="886"/>
    <n v="2"/>
    <n v="30"/>
    <x v="1"/>
    <n v="1"/>
    <n v="999.99"/>
    <n v="0.05"/>
    <n v="49.999500000000005"/>
    <n v="5"/>
    <n v="6"/>
  </r>
  <r>
    <n v="887"/>
    <n v="1"/>
    <n v="50"/>
    <x v="0"/>
    <n v="2"/>
    <n v="5999.99"/>
    <n v="0.05"/>
    <n v="299.99950000000001"/>
    <n v="9"/>
    <n v="6"/>
  </r>
  <r>
    <n v="887"/>
    <n v="2"/>
    <n v="70"/>
    <x v="1"/>
    <n v="1"/>
    <n v="659.99"/>
    <n v="0.1"/>
    <n v="65.999000000000009"/>
    <n v="5"/>
    <n v="6"/>
  </r>
  <r>
    <n v="888"/>
    <n v="1"/>
    <n v="33"/>
    <x v="0"/>
    <n v="2"/>
    <n v="469.99"/>
    <n v="0.1"/>
    <n v="46.999000000000002"/>
    <n v="9"/>
    <n v="6"/>
  </r>
  <r>
    <n v="888"/>
    <n v="2"/>
    <n v="26"/>
    <x v="1"/>
    <n v="2"/>
    <n v="599.99"/>
    <n v="0.2"/>
    <n v="119.998"/>
    <n v="5"/>
    <n v="6"/>
  </r>
  <r>
    <n v="889"/>
    <n v="1"/>
    <n v="12"/>
    <x v="0"/>
    <n v="2"/>
    <n v="549.99"/>
    <n v="0.1"/>
    <n v="54.999000000000002"/>
    <n v="9"/>
    <n v="6"/>
  </r>
  <r>
    <n v="890"/>
    <n v="1"/>
    <n v="16"/>
    <x v="0"/>
    <n v="2"/>
    <n v="599.99"/>
    <n v="0.1"/>
    <n v="59.999000000000002"/>
    <n v="9"/>
    <n v="6"/>
  </r>
  <r>
    <n v="890"/>
    <n v="2"/>
    <n v="105"/>
    <x v="1"/>
    <n v="2"/>
    <n v="533.99"/>
    <n v="0.1"/>
    <n v="53.399000000000001"/>
    <n v="5"/>
    <n v="6"/>
  </r>
  <r>
    <n v="890"/>
    <n v="3"/>
    <n v="52"/>
    <x v="2"/>
    <n v="1"/>
    <n v="875.99"/>
    <n v="0.05"/>
    <n v="43.799500000000002"/>
    <n v="8"/>
    <n v="6"/>
  </r>
  <r>
    <n v="890"/>
    <n v="4"/>
    <n v="67"/>
    <x v="3"/>
    <n v="1"/>
    <n v="250.99"/>
    <n v="0.1"/>
    <n v="25.099000000000004"/>
    <n v="9"/>
    <n v="6"/>
  </r>
  <r>
    <n v="890"/>
    <n v="5"/>
    <n v="65"/>
    <x v="4"/>
    <n v="2"/>
    <n v="346.99"/>
    <n v="0.1"/>
    <n v="34.699000000000005"/>
    <n v="3"/>
    <n v="6"/>
  </r>
  <r>
    <n v="891"/>
    <n v="1"/>
    <n v="107"/>
    <x v="0"/>
    <n v="2"/>
    <n v="416.99"/>
    <n v="0.1"/>
    <n v="41.699000000000005"/>
    <n v="9"/>
    <n v="6"/>
  </r>
  <r>
    <n v="891"/>
    <n v="2"/>
    <n v="32"/>
    <x v="1"/>
    <n v="1"/>
    <n v="469.99"/>
    <n v="0.05"/>
    <n v="23.499500000000001"/>
    <n v="5"/>
    <n v="6"/>
  </r>
  <r>
    <n v="891"/>
    <n v="3"/>
    <n v="35"/>
    <x v="2"/>
    <n v="2"/>
    <n v="832.99"/>
    <n v="0.1"/>
    <n v="83.299000000000007"/>
    <n v="8"/>
    <n v="6"/>
  </r>
  <r>
    <n v="891"/>
    <n v="4"/>
    <n v="50"/>
    <x v="3"/>
    <n v="1"/>
    <n v="5999.99"/>
    <n v="0.1"/>
    <n v="599.99900000000002"/>
    <n v="9"/>
    <n v="6"/>
  </r>
  <r>
    <n v="892"/>
    <n v="1"/>
    <n v="36"/>
    <x v="0"/>
    <n v="1"/>
    <n v="832.99"/>
    <n v="0.1"/>
    <n v="83.299000000000007"/>
    <n v="9"/>
    <n v="6"/>
  </r>
  <r>
    <n v="892"/>
    <n v="2"/>
    <n v="9"/>
    <x v="1"/>
    <n v="2"/>
    <n v="2999.99"/>
    <n v="0.2"/>
    <n v="599.99799999999993"/>
    <n v="5"/>
    <n v="6"/>
  </r>
  <r>
    <n v="892"/>
    <n v="3"/>
    <n v="50"/>
    <x v="2"/>
    <n v="2"/>
    <n v="5999.99"/>
    <n v="7.0000000000000007E-2"/>
    <n v="419.99930000000001"/>
    <n v="8"/>
    <n v="6"/>
  </r>
  <r>
    <n v="892"/>
    <n v="4"/>
    <n v="88"/>
    <x v="3"/>
    <n v="1"/>
    <n v="189.99"/>
    <n v="0.05"/>
    <n v="9.4995000000000012"/>
    <n v="9"/>
    <n v="6"/>
  </r>
  <r>
    <n v="893"/>
    <n v="1"/>
    <n v="67"/>
    <x v="0"/>
    <n v="2"/>
    <n v="250.99"/>
    <n v="0.05"/>
    <n v="12.549500000000002"/>
    <n v="9"/>
    <n v="6"/>
  </r>
  <r>
    <n v="893"/>
    <n v="2"/>
    <n v="45"/>
    <x v="1"/>
    <n v="1"/>
    <n v="869.99"/>
    <n v="7.0000000000000007E-2"/>
    <n v="60.899300000000004"/>
    <n v="5"/>
    <n v="6"/>
  </r>
  <r>
    <n v="894"/>
    <n v="1"/>
    <n v="101"/>
    <x v="0"/>
    <n v="2"/>
    <n v="339.99"/>
    <n v="0.2"/>
    <n v="67.998000000000005"/>
    <n v="9"/>
    <n v="6"/>
  </r>
  <r>
    <n v="895"/>
    <n v="1"/>
    <n v="106"/>
    <x v="0"/>
    <n v="1"/>
    <n v="449.99"/>
    <n v="7.0000000000000007E-2"/>
    <n v="31.499300000000005"/>
    <n v="9"/>
    <n v="6"/>
  </r>
  <r>
    <n v="896"/>
    <n v="1"/>
    <n v="91"/>
    <x v="0"/>
    <n v="2"/>
    <n v="349.99"/>
    <n v="0.05"/>
    <n v="17.499500000000001"/>
    <n v="9"/>
    <n v="6"/>
  </r>
  <r>
    <n v="896"/>
    <n v="2"/>
    <n v="10"/>
    <x v="1"/>
    <n v="1"/>
    <n v="1549"/>
    <n v="0.05"/>
    <n v="77.45"/>
    <n v="5"/>
    <n v="6"/>
  </r>
  <r>
    <n v="897"/>
    <n v="1"/>
    <n v="105"/>
    <x v="0"/>
    <n v="1"/>
    <n v="533.99"/>
    <n v="0.05"/>
    <n v="26.6995"/>
    <n v="9"/>
    <n v="6"/>
  </r>
  <r>
    <n v="897"/>
    <n v="2"/>
    <n v="96"/>
    <x v="1"/>
    <n v="1"/>
    <n v="349.99"/>
    <n v="0.05"/>
    <n v="17.499500000000001"/>
    <n v="5"/>
    <n v="6"/>
  </r>
  <r>
    <n v="898"/>
    <n v="1"/>
    <n v="45"/>
    <x v="0"/>
    <n v="2"/>
    <n v="869.99"/>
    <n v="0.2"/>
    <n v="173.99800000000002"/>
    <n v="9"/>
    <n v="6"/>
  </r>
  <r>
    <n v="898"/>
    <n v="2"/>
    <n v="16"/>
    <x v="1"/>
    <n v="1"/>
    <n v="599.99"/>
    <n v="7.0000000000000007E-2"/>
    <n v="41.999300000000005"/>
    <n v="5"/>
    <n v="6"/>
  </r>
  <r>
    <n v="898"/>
    <n v="3"/>
    <n v="57"/>
    <x v="2"/>
    <n v="2"/>
    <n v="1999.99"/>
    <n v="0.2"/>
    <n v="399.99800000000005"/>
    <n v="8"/>
    <n v="6"/>
  </r>
  <r>
    <n v="898"/>
    <n v="4"/>
    <n v="69"/>
    <x v="3"/>
    <n v="2"/>
    <n v="416.99"/>
    <n v="7.0000000000000007E-2"/>
    <n v="29.189300000000003"/>
    <n v="9"/>
    <n v="6"/>
  </r>
  <r>
    <n v="899"/>
    <n v="1"/>
    <n v="59"/>
    <x v="0"/>
    <n v="2"/>
    <n v="2599.9899999999998"/>
    <n v="0.1"/>
    <n v="259.99899999999997"/>
    <n v="9"/>
    <n v="6"/>
  </r>
  <r>
    <n v="899"/>
    <n v="2"/>
    <n v="17"/>
    <x v="1"/>
    <n v="1"/>
    <n v="429"/>
    <n v="0.1"/>
    <n v="42.900000000000006"/>
    <n v="5"/>
    <n v="6"/>
  </r>
  <r>
    <n v="899"/>
    <n v="3"/>
    <n v="6"/>
    <x v="2"/>
    <n v="1"/>
    <n v="469.99"/>
    <n v="0.2"/>
    <n v="93.998000000000005"/>
    <n v="8"/>
    <n v="6"/>
  </r>
  <r>
    <n v="900"/>
    <n v="1"/>
    <n v="26"/>
    <x v="0"/>
    <n v="2"/>
    <n v="599.99"/>
    <n v="0.05"/>
    <n v="29.999500000000001"/>
    <n v="9"/>
    <n v="6"/>
  </r>
  <r>
    <n v="900"/>
    <n v="2"/>
    <n v="108"/>
    <x v="1"/>
    <n v="1"/>
    <n v="449.99"/>
    <n v="7.0000000000000007E-2"/>
    <n v="31.499300000000005"/>
    <n v="5"/>
    <n v="6"/>
  </r>
  <r>
    <n v="900"/>
    <n v="3"/>
    <n v="89"/>
    <x v="2"/>
    <n v="1"/>
    <n v="209.99"/>
    <n v="0.2"/>
    <n v="41.998000000000005"/>
    <n v="8"/>
    <n v="6"/>
  </r>
  <r>
    <n v="900"/>
    <n v="4"/>
    <n v="61"/>
    <x v="3"/>
    <n v="2"/>
    <n v="4999.99"/>
    <n v="0.05"/>
    <n v="249.99950000000001"/>
    <n v="9"/>
    <n v="6"/>
  </r>
  <r>
    <n v="900"/>
    <n v="5"/>
    <n v="28"/>
    <x v="4"/>
    <n v="2"/>
    <n v="2499.9899999999998"/>
    <n v="7.0000000000000007E-2"/>
    <n v="174.99930000000001"/>
    <n v="3"/>
    <n v="6"/>
  </r>
  <r>
    <n v="901"/>
    <n v="1"/>
    <n v="50"/>
    <x v="0"/>
    <n v="1"/>
    <n v="5999.99"/>
    <n v="0.2"/>
    <n v="1199.998"/>
    <n v="9"/>
    <n v="6"/>
  </r>
  <r>
    <n v="901"/>
    <n v="2"/>
    <n v="43"/>
    <x v="1"/>
    <n v="1"/>
    <n v="5299.99"/>
    <n v="7.0000000000000007E-2"/>
    <n v="370.99930000000001"/>
    <n v="5"/>
    <n v="6"/>
  </r>
  <r>
    <n v="902"/>
    <n v="1"/>
    <n v="38"/>
    <x v="0"/>
    <n v="2"/>
    <n v="549.99"/>
    <n v="7.0000000000000007E-2"/>
    <n v="38.499300000000005"/>
    <n v="9"/>
    <n v="6"/>
  </r>
  <r>
    <n v="902"/>
    <n v="2"/>
    <n v="92"/>
    <x v="1"/>
    <n v="1"/>
    <n v="209.99"/>
    <n v="7.0000000000000007E-2"/>
    <n v="14.699300000000003"/>
    <n v="5"/>
    <n v="6"/>
  </r>
  <r>
    <n v="902"/>
    <n v="3"/>
    <n v="12"/>
    <x v="2"/>
    <n v="1"/>
    <n v="549.99"/>
    <n v="0.2"/>
    <n v="109.998"/>
    <n v="8"/>
    <n v="6"/>
  </r>
  <r>
    <n v="902"/>
    <n v="4"/>
    <n v="76"/>
    <x v="3"/>
    <n v="2"/>
    <n v="299.99"/>
    <n v="0.05"/>
    <n v="14.999500000000001"/>
    <n v="9"/>
    <n v="6"/>
  </r>
  <r>
    <n v="903"/>
    <n v="1"/>
    <n v="31"/>
    <x v="0"/>
    <n v="2"/>
    <n v="1632.99"/>
    <n v="7.0000000000000007E-2"/>
    <n v="114.30930000000001"/>
    <n v="9"/>
    <n v="6"/>
  </r>
  <r>
    <n v="903"/>
    <n v="2"/>
    <n v="48"/>
    <x v="1"/>
    <n v="2"/>
    <n v="1499.99"/>
    <n v="0.05"/>
    <n v="74.999499999999998"/>
    <n v="5"/>
    <n v="6"/>
  </r>
  <r>
    <n v="904"/>
    <n v="1"/>
    <n v="36"/>
    <x v="0"/>
    <n v="2"/>
    <n v="832.99"/>
    <n v="0.1"/>
    <n v="83.299000000000007"/>
    <n v="9"/>
    <n v="6"/>
  </r>
  <r>
    <n v="904"/>
    <n v="2"/>
    <n v="51"/>
    <x v="1"/>
    <n v="2"/>
    <n v="6499.99"/>
    <n v="7.0000000000000007E-2"/>
    <n v="454.99930000000001"/>
    <n v="5"/>
    <n v="6"/>
  </r>
  <r>
    <n v="904"/>
    <n v="3"/>
    <n v="92"/>
    <x v="2"/>
    <n v="2"/>
    <n v="209.99"/>
    <n v="0.2"/>
    <n v="41.998000000000005"/>
    <n v="8"/>
    <n v="6"/>
  </r>
  <r>
    <n v="904"/>
    <n v="4"/>
    <n v="13"/>
    <x v="3"/>
    <n v="1"/>
    <n v="269.99"/>
    <n v="0.2"/>
    <n v="53.998000000000005"/>
    <n v="9"/>
    <n v="6"/>
  </r>
  <r>
    <n v="905"/>
    <n v="1"/>
    <n v="67"/>
    <x v="0"/>
    <n v="1"/>
    <n v="250.99"/>
    <n v="0.1"/>
    <n v="25.099000000000004"/>
    <n v="9"/>
    <n v="6"/>
  </r>
  <r>
    <n v="905"/>
    <n v="2"/>
    <n v="62"/>
    <x v="1"/>
    <n v="2"/>
    <n v="3499.99"/>
    <n v="0.05"/>
    <n v="174.99950000000001"/>
    <n v="5"/>
    <n v="6"/>
  </r>
  <r>
    <n v="905"/>
    <n v="3"/>
    <n v="42"/>
    <x v="2"/>
    <n v="2"/>
    <n v="2299.9899999999998"/>
    <n v="0.2"/>
    <n v="459.99799999999999"/>
    <n v="8"/>
    <n v="6"/>
  </r>
  <r>
    <n v="905"/>
    <n v="4"/>
    <n v="20"/>
    <x v="3"/>
    <n v="1"/>
    <n v="599.99"/>
    <n v="0.2"/>
    <n v="119.998"/>
    <n v="9"/>
    <n v="6"/>
  </r>
  <r>
    <n v="906"/>
    <n v="1"/>
    <n v="23"/>
    <x v="0"/>
    <n v="2"/>
    <n v="299.99"/>
    <n v="0.2"/>
    <n v="59.998000000000005"/>
    <n v="9"/>
    <n v="6"/>
  </r>
  <r>
    <n v="906"/>
    <n v="2"/>
    <n v="28"/>
    <x v="1"/>
    <n v="2"/>
    <n v="2499.9899999999998"/>
    <n v="7.0000000000000007E-2"/>
    <n v="174.99930000000001"/>
    <n v="5"/>
    <n v="6"/>
  </r>
  <r>
    <n v="906"/>
    <n v="3"/>
    <n v="46"/>
    <x v="2"/>
    <n v="1"/>
    <n v="1409.99"/>
    <n v="0.05"/>
    <n v="70.499499999999998"/>
    <n v="8"/>
    <n v="6"/>
  </r>
  <r>
    <n v="906"/>
    <n v="4"/>
    <n v="102"/>
    <x v="3"/>
    <n v="2"/>
    <n v="489.99"/>
    <n v="0.1"/>
    <n v="48.999000000000002"/>
    <n v="9"/>
    <n v="6"/>
  </r>
  <r>
    <n v="906"/>
    <n v="5"/>
    <n v="22"/>
    <x v="4"/>
    <n v="2"/>
    <n v="269.99"/>
    <n v="0.2"/>
    <n v="53.998000000000005"/>
    <n v="3"/>
    <n v="6"/>
  </r>
  <r>
    <n v="907"/>
    <n v="1"/>
    <n v="84"/>
    <x v="0"/>
    <n v="2"/>
    <n v="109.99"/>
    <n v="7.0000000000000007E-2"/>
    <n v="7.6993"/>
    <n v="9"/>
    <n v="6"/>
  </r>
  <r>
    <n v="907"/>
    <n v="2"/>
    <n v="65"/>
    <x v="1"/>
    <n v="1"/>
    <n v="346.99"/>
    <n v="7.0000000000000007E-2"/>
    <n v="24.289300000000004"/>
    <n v="5"/>
    <n v="6"/>
  </r>
  <r>
    <n v="908"/>
    <n v="1"/>
    <n v="41"/>
    <x v="0"/>
    <n v="1"/>
    <n v="1469.99"/>
    <n v="0.2"/>
    <n v="293.99799999999999"/>
    <n v="9"/>
    <n v="6"/>
  </r>
  <r>
    <n v="908"/>
    <n v="2"/>
    <n v="94"/>
    <x v="1"/>
    <n v="1"/>
    <n v="249.99"/>
    <n v="0.1"/>
    <n v="24.999000000000002"/>
    <n v="5"/>
    <n v="6"/>
  </r>
  <r>
    <n v="908"/>
    <n v="3"/>
    <n v="102"/>
    <x v="2"/>
    <n v="2"/>
    <n v="489.99"/>
    <n v="0.1"/>
    <n v="48.999000000000002"/>
    <n v="8"/>
    <n v="6"/>
  </r>
  <r>
    <n v="909"/>
    <n v="1"/>
    <n v="5"/>
    <x v="0"/>
    <n v="1"/>
    <n v="1320.99"/>
    <n v="0.2"/>
    <n v="264.19800000000004"/>
    <n v="9"/>
    <n v="6"/>
  </r>
  <r>
    <n v="910"/>
    <n v="1"/>
    <n v="23"/>
    <x v="0"/>
    <n v="1"/>
    <n v="299.99"/>
    <n v="0.1"/>
    <n v="29.999000000000002"/>
    <n v="9"/>
    <n v="6"/>
  </r>
  <r>
    <n v="911"/>
    <n v="1"/>
    <n v="66"/>
    <x v="0"/>
    <n v="2"/>
    <n v="250.99"/>
    <n v="0.05"/>
    <n v="12.549500000000002"/>
    <n v="9"/>
    <n v="6"/>
  </r>
  <r>
    <n v="911"/>
    <n v="2"/>
    <n v="106"/>
    <x v="1"/>
    <n v="1"/>
    <n v="449.99"/>
    <n v="0.05"/>
    <n v="22.499500000000001"/>
    <n v="5"/>
    <n v="6"/>
  </r>
  <r>
    <n v="911"/>
    <n v="3"/>
    <n v="91"/>
    <x v="2"/>
    <n v="2"/>
    <n v="349.99"/>
    <n v="0.05"/>
    <n v="17.499500000000001"/>
    <n v="8"/>
    <n v="6"/>
  </r>
  <r>
    <n v="911"/>
    <n v="4"/>
    <n v="49"/>
    <x v="3"/>
    <n v="1"/>
    <n v="3499.99"/>
    <n v="0.2"/>
    <n v="699.99800000000005"/>
    <n v="9"/>
    <n v="6"/>
  </r>
  <r>
    <n v="912"/>
    <n v="1"/>
    <n v="22"/>
    <x v="0"/>
    <n v="2"/>
    <n v="269.99"/>
    <n v="0.2"/>
    <n v="53.998000000000005"/>
    <n v="9"/>
    <n v="6"/>
  </r>
  <r>
    <n v="912"/>
    <n v="2"/>
    <n v="71"/>
    <x v="1"/>
    <n v="2"/>
    <n v="416.99"/>
    <n v="0.05"/>
    <n v="20.849500000000003"/>
    <n v="5"/>
    <n v="6"/>
  </r>
  <r>
    <n v="912"/>
    <n v="3"/>
    <n v="101"/>
    <x v="2"/>
    <n v="1"/>
    <n v="339.99"/>
    <n v="0.05"/>
    <n v="16.999500000000001"/>
    <n v="8"/>
    <n v="6"/>
  </r>
  <r>
    <n v="912"/>
    <n v="4"/>
    <n v="2"/>
    <x v="3"/>
    <n v="2"/>
    <n v="749.99"/>
    <n v="0.2"/>
    <n v="149.99800000000002"/>
    <n v="9"/>
    <n v="6"/>
  </r>
  <r>
    <n v="913"/>
    <n v="1"/>
    <n v="90"/>
    <x v="0"/>
    <n v="2"/>
    <n v="209.99"/>
    <n v="0.1"/>
    <n v="20.999000000000002"/>
    <n v="9"/>
    <n v="6"/>
  </r>
  <r>
    <n v="913"/>
    <n v="2"/>
    <n v="24"/>
    <x v="1"/>
    <n v="2"/>
    <n v="549.99"/>
    <n v="0.05"/>
    <n v="27.499500000000001"/>
    <n v="5"/>
    <n v="6"/>
  </r>
  <r>
    <n v="914"/>
    <n v="1"/>
    <n v="38"/>
    <x v="0"/>
    <n v="1"/>
    <n v="549.99"/>
    <n v="7.0000000000000007E-2"/>
    <n v="38.499300000000005"/>
    <n v="9"/>
    <n v="6"/>
  </r>
  <r>
    <n v="914"/>
    <n v="2"/>
    <n v="20"/>
    <x v="1"/>
    <n v="2"/>
    <n v="599.99"/>
    <n v="0.2"/>
    <n v="119.998"/>
    <n v="5"/>
    <n v="6"/>
  </r>
  <r>
    <n v="914"/>
    <n v="3"/>
    <n v="106"/>
    <x v="2"/>
    <n v="1"/>
    <n v="449.99"/>
    <n v="0.05"/>
    <n v="22.499500000000001"/>
    <n v="8"/>
    <n v="6"/>
  </r>
  <r>
    <n v="914"/>
    <n v="4"/>
    <n v="46"/>
    <x v="3"/>
    <n v="1"/>
    <n v="1409.99"/>
    <n v="0.1"/>
    <n v="140.999"/>
    <n v="9"/>
    <n v="6"/>
  </r>
  <r>
    <n v="915"/>
    <n v="1"/>
    <n v="64"/>
    <x v="0"/>
    <n v="1"/>
    <n v="489.99"/>
    <n v="0.05"/>
    <n v="24.499500000000001"/>
    <n v="9"/>
    <n v="6"/>
  </r>
  <r>
    <n v="915"/>
    <n v="2"/>
    <n v="48"/>
    <x v="1"/>
    <n v="1"/>
    <n v="1499.99"/>
    <n v="7.0000000000000007E-2"/>
    <n v="104.99930000000001"/>
    <n v="5"/>
    <n v="6"/>
  </r>
  <r>
    <n v="915"/>
    <n v="3"/>
    <n v="42"/>
    <x v="2"/>
    <n v="1"/>
    <n v="2299.9899999999998"/>
    <n v="0.2"/>
    <n v="459.99799999999999"/>
    <n v="8"/>
    <n v="6"/>
  </r>
  <r>
    <n v="915"/>
    <n v="4"/>
    <n v="2"/>
    <x v="3"/>
    <n v="1"/>
    <n v="749.99"/>
    <n v="7.0000000000000007E-2"/>
    <n v="52.499300000000005"/>
    <n v="9"/>
    <n v="6"/>
  </r>
  <r>
    <n v="916"/>
    <n v="1"/>
    <n v="92"/>
    <x v="0"/>
    <n v="1"/>
    <n v="209.99"/>
    <n v="0.2"/>
    <n v="41.998000000000005"/>
    <n v="9"/>
    <n v="6"/>
  </r>
  <r>
    <n v="917"/>
    <n v="1"/>
    <n v="41"/>
    <x v="0"/>
    <n v="1"/>
    <n v="1469.99"/>
    <n v="7.0000000000000007E-2"/>
    <n v="102.89930000000001"/>
    <n v="9"/>
    <n v="6"/>
  </r>
  <r>
    <n v="918"/>
    <n v="1"/>
    <n v="91"/>
    <x v="0"/>
    <n v="1"/>
    <n v="349.99"/>
    <n v="0.2"/>
    <n v="69.998000000000005"/>
    <n v="9"/>
    <n v="6"/>
  </r>
  <r>
    <n v="918"/>
    <n v="2"/>
    <n v="31"/>
    <x v="1"/>
    <n v="1"/>
    <n v="1632.99"/>
    <n v="0.1"/>
    <n v="163.29900000000001"/>
    <n v="5"/>
    <n v="6"/>
  </r>
  <r>
    <n v="918"/>
    <n v="3"/>
    <n v="4"/>
    <x v="2"/>
    <n v="2"/>
    <n v="2899.99"/>
    <n v="7.0000000000000007E-2"/>
    <n v="202.99930000000001"/>
    <n v="8"/>
    <n v="6"/>
  </r>
  <r>
    <n v="919"/>
    <n v="1"/>
    <n v="7"/>
    <x v="0"/>
    <n v="1"/>
    <n v="3999.99"/>
    <n v="7.0000000000000007E-2"/>
    <n v="279.99930000000001"/>
    <n v="9"/>
    <n v="6"/>
  </r>
  <r>
    <n v="919"/>
    <n v="2"/>
    <n v="44"/>
    <x v="1"/>
    <n v="1"/>
    <n v="539.99"/>
    <n v="0.1"/>
    <n v="53.999000000000002"/>
    <n v="5"/>
    <n v="6"/>
  </r>
  <r>
    <n v="920"/>
    <n v="1"/>
    <n v="76"/>
    <x v="0"/>
    <n v="1"/>
    <n v="299.99"/>
    <n v="0.05"/>
    <n v="14.999500000000001"/>
    <n v="9"/>
    <n v="6"/>
  </r>
  <r>
    <n v="920"/>
    <n v="2"/>
    <n v="39"/>
    <x v="1"/>
    <n v="2"/>
    <n v="1499.99"/>
    <n v="7.0000000000000007E-2"/>
    <n v="104.99930000000001"/>
    <n v="5"/>
    <n v="6"/>
  </r>
  <r>
    <n v="920"/>
    <n v="3"/>
    <n v="78"/>
    <x v="2"/>
    <n v="1"/>
    <n v="647.99"/>
    <n v="0.05"/>
    <n v="32.399500000000003"/>
    <n v="8"/>
    <n v="6"/>
  </r>
  <r>
    <n v="920"/>
    <n v="4"/>
    <n v="80"/>
    <x v="3"/>
    <n v="2"/>
    <n v="761.99"/>
    <n v="7.0000000000000007E-2"/>
    <n v="53.339300000000009"/>
    <n v="9"/>
    <n v="6"/>
  </r>
  <r>
    <n v="921"/>
    <n v="1"/>
    <n v="77"/>
    <x v="0"/>
    <n v="1"/>
    <n v="799.99"/>
    <n v="0.2"/>
    <n v="159.99800000000002"/>
    <n v="9"/>
    <n v="6"/>
  </r>
  <r>
    <n v="921"/>
    <n v="2"/>
    <n v="75"/>
    <x v="1"/>
    <n v="2"/>
    <n v="599.99"/>
    <n v="7.0000000000000007E-2"/>
    <n v="41.999300000000005"/>
    <n v="5"/>
    <n v="6"/>
  </r>
  <r>
    <n v="921"/>
    <n v="3"/>
    <n v="48"/>
    <x v="2"/>
    <n v="1"/>
    <n v="1499.99"/>
    <n v="0.1"/>
    <n v="149.999"/>
    <n v="8"/>
    <n v="6"/>
  </r>
  <r>
    <n v="922"/>
    <n v="1"/>
    <n v="68"/>
    <x v="0"/>
    <n v="1"/>
    <n v="449.99"/>
    <n v="0.2"/>
    <n v="89.998000000000005"/>
    <n v="9"/>
    <n v="6"/>
  </r>
  <r>
    <n v="922"/>
    <n v="2"/>
    <n v="73"/>
    <x v="1"/>
    <n v="1"/>
    <n v="749.99"/>
    <n v="0.2"/>
    <n v="149.99800000000002"/>
    <n v="5"/>
    <n v="6"/>
  </r>
  <r>
    <n v="922"/>
    <n v="3"/>
    <n v="86"/>
    <x v="2"/>
    <n v="1"/>
    <n v="149.99"/>
    <n v="0.1"/>
    <n v="14.999000000000002"/>
    <n v="8"/>
    <n v="6"/>
  </r>
  <r>
    <n v="923"/>
    <n v="1"/>
    <n v="74"/>
    <x v="0"/>
    <n v="2"/>
    <n v="439.99"/>
    <n v="0.05"/>
    <n v="21.999500000000001"/>
    <n v="9"/>
    <n v="6"/>
  </r>
  <r>
    <n v="923"/>
    <n v="2"/>
    <n v="6"/>
    <x v="1"/>
    <n v="1"/>
    <n v="469.99"/>
    <n v="0.1"/>
    <n v="46.999000000000002"/>
    <n v="5"/>
    <n v="6"/>
  </r>
  <r>
    <n v="924"/>
    <n v="1"/>
    <n v="97"/>
    <x v="0"/>
    <n v="2"/>
    <n v="349.99"/>
    <n v="0.2"/>
    <n v="69.998000000000005"/>
    <n v="9"/>
    <n v="6"/>
  </r>
  <r>
    <n v="924"/>
    <n v="2"/>
    <n v="36"/>
    <x v="1"/>
    <n v="1"/>
    <n v="832.99"/>
    <n v="0.2"/>
    <n v="166.59800000000001"/>
    <n v="5"/>
    <n v="6"/>
  </r>
  <r>
    <n v="925"/>
    <n v="1"/>
    <n v="97"/>
    <x v="0"/>
    <n v="1"/>
    <n v="349.99"/>
    <n v="7.0000000000000007E-2"/>
    <n v="24.499300000000002"/>
    <n v="9"/>
    <n v="6"/>
  </r>
  <r>
    <n v="925"/>
    <n v="2"/>
    <n v="62"/>
    <x v="1"/>
    <n v="2"/>
    <n v="3499.99"/>
    <n v="0.2"/>
    <n v="699.99800000000005"/>
    <n v="5"/>
    <n v="6"/>
  </r>
  <r>
    <n v="926"/>
    <n v="1"/>
    <n v="37"/>
    <x v="0"/>
    <n v="2"/>
    <n v="379.99"/>
    <n v="0.2"/>
    <n v="75.998000000000005"/>
    <n v="9"/>
    <n v="6"/>
  </r>
  <r>
    <n v="927"/>
    <n v="1"/>
    <n v="74"/>
    <x v="0"/>
    <n v="2"/>
    <n v="439.99"/>
    <n v="0.1"/>
    <n v="43.999000000000002"/>
    <n v="9"/>
    <n v="6"/>
  </r>
  <r>
    <n v="927"/>
    <n v="2"/>
    <n v="16"/>
    <x v="1"/>
    <n v="2"/>
    <n v="599.99"/>
    <n v="0.2"/>
    <n v="119.998"/>
    <n v="5"/>
    <n v="6"/>
  </r>
  <r>
    <n v="927"/>
    <n v="3"/>
    <n v="50"/>
    <x v="2"/>
    <n v="1"/>
    <n v="5999.99"/>
    <n v="0.1"/>
    <n v="599.99900000000002"/>
    <n v="8"/>
    <n v="6"/>
  </r>
  <r>
    <n v="927"/>
    <n v="4"/>
    <n v="3"/>
    <x v="3"/>
    <n v="1"/>
    <n v="999.99"/>
    <n v="0.1"/>
    <n v="99.999000000000009"/>
    <n v="9"/>
    <n v="6"/>
  </r>
  <r>
    <n v="927"/>
    <n v="5"/>
    <n v="43"/>
    <x v="4"/>
    <n v="1"/>
    <n v="5299.99"/>
    <n v="7.0000000000000007E-2"/>
    <n v="370.99930000000001"/>
    <n v="3"/>
    <n v="6"/>
  </r>
  <r>
    <n v="928"/>
    <n v="1"/>
    <n v="71"/>
    <x v="0"/>
    <n v="2"/>
    <n v="416.99"/>
    <n v="0.05"/>
    <n v="20.849500000000003"/>
    <n v="9"/>
    <n v="6"/>
  </r>
  <r>
    <n v="928"/>
    <n v="2"/>
    <n v="83"/>
    <x v="1"/>
    <n v="1"/>
    <n v="149.99"/>
    <n v="0.2"/>
    <n v="29.998000000000005"/>
    <n v="5"/>
    <n v="6"/>
  </r>
  <r>
    <n v="929"/>
    <n v="1"/>
    <n v="82"/>
    <x v="0"/>
    <n v="1"/>
    <n v="659.99"/>
    <n v="0.2"/>
    <n v="131.99800000000002"/>
    <n v="9"/>
    <n v="6"/>
  </r>
  <r>
    <n v="929"/>
    <n v="2"/>
    <n v="63"/>
    <x v="1"/>
    <n v="2"/>
    <n v="3499.99"/>
    <n v="0.1"/>
    <n v="349.99900000000002"/>
    <n v="5"/>
    <n v="6"/>
  </r>
  <r>
    <n v="929"/>
    <n v="3"/>
    <n v="24"/>
    <x v="2"/>
    <n v="1"/>
    <n v="549.99"/>
    <n v="0.05"/>
    <n v="27.499500000000001"/>
    <n v="8"/>
    <n v="6"/>
  </r>
  <r>
    <n v="930"/>
    <n v="1"/>
    <n v="56"/>
    <x v="0"/>
    <n v="2"/>
    <n v="5499.99"/>
    <n v="7.0000000000000007E-2"/>
    <n v="384.99930000000001"/>
    <n v="9"/>
    <n v="6"/>
  </r>
  <r>
    <n v="930"/>
    <n v="2"/>
    <n v="82"/>
    <x v="1"/>
    <n v="1"/>
    <n v="659.99"/>
    <n v="7.0000000000000007E-2"/>
    <n v="46.199300000000008"/>
    <n v="5"/>
    <n v="6"/>
  </r>
  <r>
    <n v="930"/>
    <n v="3"/>
    <n v="60"/>
    <x v="2"/>
    <n v="1"/>
    <n v="1559.99"/>
    <n v="0.1"/>
    <n v="155.99900000000002"/>
    <n v="8"/>
    <n v="6"/>
  </r>
  <r>
    <n v="930"/>
    <n v="4"/>
    <n v="65"/>
    <x v="3"/>
    <n v="2"/>
    <n v="346.99"/>
    <n v="0.05"/>
    <n v="17.349500000000003"/>
    <n v="9"/>
    <n v="6"/>
  </r>
  <r>
    <n v="930"/>
    <n v="5"/>
    <n v="51"/>
    <x v="4"/>
    <n v="2"/>
    <n v="6499.99"/>
    <n v="0.1"/>
    <n v="649.99900000000002"/>
    <n v="3"/>
    <n v="6"/>
  </r>
  <r>
    <n v="931"/>
    <n v="1"/>
    <n v="49"/>
    <x v="0"/>
    <n v="2"/>
    <n v="3499.99"/>
    <n v="7.0000000000000007E-2"/>
    <n v="244.99930000000001"/>
    <n v="9"/>
    <n v="6"/>
  </r>
  <r>
    <n v="931"/>
    <n v="2"/>
    <n v="76"/>
    <x v="1"/>
    <n v="1"/>
    <n v="299.99"/>
    <n v="0.2"/>
    <n v="59.998000000000005"/>
    <n v="5"/>
    <n v="6"/>
  </r>
  <r>
    <n v="932"/>
    <n v="1"/>
    <n v="74"/>
    <x v="0"/>
    <n v="1"/>
    <n v="439.99"/>
    <n v="0.05"/>
    <n v="21.999500000000001"/>
    <n v="9"/>
    <n v="6"/>
  </r>
  <r>
    <n v="933"/>
    <n v="1"/>
    <n v="77"/>
    <x v="0"/>
    <n v="1"/>
    <n v="799.99"/>
    <n v="7.0000000000000007E-2"/>
    <n v="55.999300000000005"/>
    <n v="9"/>
    <n v="6"/>
  </r>
  <r>
    <n v="933"/>
    <n v="2"/>
    <n v="21"/>
    <x v="1"/>
    <n v="1"/>
    <n v="269.99"/>
    <n v="0.2"/>
    <n v="53.998000000000005"/>
    <n v="5"/>
    <n v="6"/>
  </r>
  <r>
    <n v="933"/>
    <n v="3"/>
    <n v="75"/>
    <x v="2"/>
    <n v="2"/>
    <n v="599.99"/>
    <n v="0.05"/>
    <n v="29.999500000000001"/>
    <n v="8"/>
    <n v="6"/>
  </r>
  <r>
    <n v="934"/>
    <n v="1"/>
    <n v="35"/>
    <x v="0"/>
    <n v="2"/>
    <n v="832.99"/>
    <n v="0.05"/>
    <n v="41.649500000000003"/>
    <n v="9"/>
    <n v="6"/>
  </r>
  <r>
    <n v="934"/>
    <n v="2"/>
    <n v="48"/>
    <x v="1"/>
    <n v="1"/>
    <n v="1499.99"/>
    <n v="0.05"/>
    <n v="74.999499999999998"/>
    <n v="5"/>
    <n v="6"/>
  </r>
  <r>
    <n v="934"/>
    <n v="3"/>
    <n v="18"/>
    <x v="2"/>
    <n v="1"/>
    <n v="449"/>
    <n v="0.1"/>
    <n v="44.900000000000006"/>
    <n v="8"/>
    <n v="6"/>
  </r>
  <r>
    <n v="934"/>
    <n v="4"/>
    <n v="61"/>
    <x v="3"/>
    <n v="1"/>
    <n v="4999.99"/>
    <n v="7.0000000000000007E-2"/>
    <n v="349.99930000000001"/>
    <n v="9"/>
    <n v="6"/>
  </r>
  <r>
    <n v="934"/>
    <n v="5"/>
    <n v="56"/>
    <x v="4"/>
    <n v="2"/>
    <n v="5499.99"/>
    <n v="0.2"/>
    <n v="1099.998"/>
    <n v="3"/>
    <n v="6"/>
  </r>
  <r>
    <n v="935"/>
    <n v="1"/>
    <n v="65"/>
    <x v="0"/>
    <n v="2"/>
    <n v="346.99"/>
    <n v="0.2"/>
    <n v="69.39800000000001"/>
    <n v="9"/>
    <n v="6"/>
  </r>
  <r>
    <n v="935"/>
    <n v="2"/>
    <n v="76"/>
    <x v="1"/>
    <n v="2"/>
    <n v="299.99"/>
    <n v="7.0000000000000007E-2"/>
    <n v="20.999300000000002"/>
    <n v="5"/>
    <n v="6"/>
  </r>
  <r>
    <n v="935"/>
    <n v="3"/>
    <n v="6"/>
    <x v="2"/>
    <n v="1"/>
    <n v="469.99"/>
    <n v="7.0000000000000007E-2"/>
    <n v="32.899300000000004"/>
    <n v="8"/>
    <n v="6"/>
  </r>
  <r>
    <n v="935"/>
    <n v="4"/>
    <n v="38"/>
    <x v="3"/>
    <n v="1"/>
    <n v="549.99"/>
    <n v="7.0000000000000007E-2"/>
    <n v="38.499300000000005"/>
    <n v="9"/>
    <n v="6"/>
  </r>
  <r>
    <n v="936"/>
    <n v="1"/>
    <n v="70"/>
    <x v="0"/>
    <n v="1"/>
    <n v="659.99"/>
    <n v="0.1"/>
    <n v="65.999000000000009"/>
    <n v="9"/>
    <n v="6"/>
  </r>
  <r>
    <n v="936"/>
    <n v="2"/>
    <n v="44"/>
    <x v="1"/>
    <n v="1"/>
    <n v="539.99"/>
    <n v="7.0000000000000007E-2"/>
    <n v="37.799300000000002"/>
    <n v="5"/>
    <n v="6"/>
  </r>
  <r>
    <n v="937"/>
    <n v="1"/>
    <n v="108"/>
    <x v="0"/>
    <n v="2"/>
    <n v="449.99"/>
    <n v="0.1"/>
    <n v="44.999000000000002"/>
    <n v="9"/>
    <n v="6"/>
  </r>
  <r>
    <n v="937"/>
    <n v="2"/>
    <n v="51"/>
    <x v="1"/>
    <n v="2"/>
    <n v="6499.99"/>
    <n v="7.0000000000000007E-2"/>
    <n v="454.99930000000001"/>
    <n v="5"/>
    <n v="6"/>
  </r>
  <r>
    <n v="937"/>
    <n v="3"/>
    <n v="58"/>
    <x v="2"/>
    <n v="2"/>
    <n v="4999.99"/>
    <n v="7.0000000000000007E-2"/>
    <n v="349.99930000000001"/>
    <n v="8"/>
    <n v="6"/>
  </r>
  <r>
    <n v="937"/>
    <n v="4"/>
    <n v="28"/>
    <x v="3"/>
    <n v="2"/>
    <n v="2499.9899999999998"/>
    <n v="7.0000000000000007E-2"/>
    <n v="174.99930000000001"/>
    <n v="9"/>
    <n v="6"/>
  </r>
  <r>
    <n v="937"/>
    <n v="5"/>
    <n v="66"/>
    <x v="4"/>
    <n v="1"/>
    <n v="250.99"/>
    <n v="0.2"/>
    <n v="50.198000000000008"/>
    <n v="3"/>
    <n v="6"/>
  </r>
  <r>
    <n v="938"/>
    <n v="1"/>
    <n v="4"/>
    <x v="0"/>
    <n v="1"/>
    <n v="2899.99"/>
    <n v="0.05"/>
    <n v="144.99949999999998"/>
    <n v="9"/>
    <n v="6"/>
  </r>
  <r>
    <n v="938"/>
    <n v="2"/>
    <n v="13"/>
    <x v="1"/>
    <n v="1"/>
    <n v="269.99"/>
    <n v="0.05"/>
    <n v="13.499500000000001"/>
    <n v="5"/>
    <n v="6"/>
  </r>
  <r>
    <n v="939"/>
    <n v="1"/>
    <n v="5"/>
    <x v="0"/>
    <n v="1"/>
    <n v="1320.99"/>
    <n v="0.1"/>
    <n v="132.09900000000002"/>
    <n v="9"/>
    <n v="6"/>
  </r>
  <r>
    <n v="939"/>
    <n v="2"/>
    <n v="107"/>
    <x v="1"/>
    <n v="2"/>
    <n v="416.99"/>
    <n v="0.2"/>
    <n v="83.39800000000001"/>
    <n v="5"/>
    <n v="6"/>
  </r>
  <r>
    <n v="940"/>
    <n v="1"/>
    <n v="75"/>
    <x v="0"/>
    <n v="2"/>
    <n v="599.99"/>
    <n v="0.2"/>
    <n v="119.998"/>
    <n v="9"/>
    <n v="6"/>
  </r>
  <r>
    <n v="941"/>
    <n v="1"/>
    <n v="25"/>
    <x v="0"/>
    <n v="1"/>
    <n v="499.99"/>
    <n v="0.1"/>
    <n v="49.999000000000002"/>
    <n v="9"/>
    <n v="6"/>
  </r>
  <r>
    <n v="941"/>
    <n v="2"/>
    <n v="102"/>
    <x v="1"/>
    <n v="2"/>
    <n v="489.99"/>
    <n v="0.05"/>
    <n v="24.499500000000001"/>
    <n v="5"/>
    <n v="6"/>
  </r>
  <r>
    <n v="941"/>
    <n v="3"/>
    <n v="11"/>
    <x v="2"/>
    <n v="2"/>
    <n v="1680.99"/>
    <n v="7.0000000000000007E-2"/>
    <n v="117.66930000000001"/>
    <n v="8"/>
    <n v="6"/>
  </r>
  <r>
    <n v="942"/>
    <n v="1"/>
    <n v="98"/>
    <x v="0"/>
    <n v="2"/>
    <n v="489.99"/>
    <n v="0.05"/>
    <n v="24.499500000000001"/>
    <n v="9"/>
    <n v="6"/>
  </r>
  <r>
    <n v="942"/>
    <n v="2"/>
    <n v="110"/>
    <x v="1"/>
    <n v="2"/>
    <n v="470.99"/>
    <n v="0.1"/>
    <n v="47.099000000000004"/>
    <n v="5"/>
    <n v="6"/>
  </r>
  <r>
    <n v="942"/>
    <n v="3"/>
    <n v="35"/>
    <x v="2"/>
    <n v="2"/>
    <n v="832.99"/>
    <n v="7.0000000000000007E-2"/>
    <n v="58.309300000000007"/>
    <n v="8"/>
    <n v="6"/>
  </r>
  <r>
    <n v="942"/>
    <n v="4"/>
    <n v="103"/>
    <x v="3"/>
    <n v="1"/>
    <n v="551.99"/>
    <n v="0.05"/>
    <n v="27.599500000000003"/>
    <n v="9"/>
    <n v="6"/>
  </r>
  <r>
    <n v="942"/>
    <n v="5"/>
    <n v="100"/>
    <x v="4"/>
    <n v="1"/>
    <n v="489.99"/>
    <n v="0.05"/>
    <n v="24.499500000000001"/>
    <n v="3"/>
    <n v="6"/>
  </r>
  <r>
    <n v="943"/>
    <n v="1"/>
    <n v="25"/>
    <x v="0"/>
    <n v="1"/>
    <n v="499.99"/>
    <n v="0.2"/>
    <n v="99.998000000000005"/>
    <n v="9"/>
    <n v="6"/>
  </r>
  <r>
    <n v="943"/>
    <n v="2"/>
    <n v="82"/>
    <x v="1"/>
    <n v="1"/>
    <n v="659.99"/>
    <n v="0.2"/>
    <n v="131.99800000000002"/>
    <n v="5"/>
    <n v="6"/>
  </r>
  <r>
    <n v="944"/>
    <n v="1"/>
    <n v="29"/>
    <x v="0"/>
    <n v="2"/>
    <n v="999.99"/>
    <n v="7.0000000000000007E-2"/>
    <n v="69.999300000000005"/>
    <n v="9"/>
    <n v="6"/>
  </r>
  <r>
    <n v="944"/>
    <n v="2"/>
    <n v="16"/>
    <x v="1"/>
    <n v="2"/>
    <n v="599.99"/>
    <n v="0.1"/>
    <n v="59.999000000000002"/>
    <n v="5"/>
    <n v="6"/>
  </r>
  <r>
    <n v="944"/>
    <n v="3"/>
    <n v="70"/>
    <x v="2"/>
    <n v="2"/>
    <n v="659.99"/>
    <n v="0.2"/>
    <n v="131.99800000000002"/>
    <n v="8"/>
    <n v="6"/>
  </r>
  <r>
    <n v="944"/>
    <n v="4"/>
    <n v="85"/>
    <x v="3"/>
    <n v="2"/>
    <n v="329.99"/>
    <n v="0.2"/>
    <n v="65.998000000000005"/>
    <n v="9"/>
    <n v="6"/>
  </r>
  <r>
    <n v="944"/>
    <n v="5"/>
    <n v="69"/>
    <x v="4"/>
    <n v="2"/>
    <n v="416.99"/>
    <n v="7.0000000000000007E-2"/>
    <n v="29.189300000000003"/>
    <n v="3"/>
    <n v="6"/>
  </r>
  <r>
    <n v="945"/>
    <n v="1"/>
    <n v="105"/>
    <x v="0"/>
    <n v="1"/>
    <n v="533.99"/>
    <n v="0.05"/>
    <n v="26.6995"/>
    <n v="9"/>
    <n v="6"/>
  </r>
  <r>
    <n v="945"/>
    <n v="2"/>
    <n v="94"/>
    <x v="1"/>
    <n v="2"/>
    <n v="249.99"/>
    <n v="0.2"/>
    <n v="49.998000000000005"/>
    <n v="5"/>
    <n v="6"/>
  </r>
  <r>
    <n v="945"/>
    <n v="3"/>
    <n v="34"/>
    <x v="2"/>
    <n v="2"/>
    <n v="469.99"/>
    <n v="0.05"/>
    <n v="23.499500000000001"/>
    <n v="8"/>
    <n v="6"/>
  </r>
  <r>
    <n v="945"/>
    <n v="4"/>
    <n v="44"/>
    <x v="3"/>
    <n v="2"/>
    <n v="539.99"/>
    <n v="0.1"/>
    <n v="53.999000000000002"/>
    <n v="9"/>
    <n v="6"/>
  </r>
  <r>
    <n v="945"/>
    <n v="5"/>
    <n v="50"/>
    <x v="4"/>
    <n v="2"/>
    <n v="5999.99"/>
    <n v="0.05"/>
    <n v="299.99950000000001"/>
    <n v="3"/>
    <n v="6"/>
  </r>
  <r>
    <n v="946"/>
    <n v="1"/>
    <n v="7"/>
    <x v="0"/>
    <n v="1"/>
    <n v="3999.99"/>
    <n v="0.1"/>
    <n v="399.99900000000002"/>
    <n v="9"/>
    <n v="6"/>
  </r>
  <r>
    <n v="946"/>
    <n v="2"/>
    <n v="85"/>
    <x v="1"/>
    <n v="2"/>
    <n v="329.99"/>
    <n v="0.2"/>
    <n v="65.998000000000005"/>
    <n v="5"/>
    <n v="6"/>
  </r>
  <r>
    <n v="946"/>
    <n v="3"/>
    <n v="62"/>
    <x v="2"/>
    <n v="1"/>
    <n v="3499.99"/>
    <n v="0.05"/>
    <n v="174.99950000000001"/>
    <n v="8"/>
    <n v="6"/>
  </r>
  <r>
    <n v="946"/>
    <n v="4"/>
    <n v="22"/>
    <x v="3"/>
    <n v="2"/>
    <n v="269.99"/>
    <n v="0.2"/>
    <n v="53.998000000000005"/>
    <n v="9"/>
    <n v="6"/>
  </r>
  <r>
    <n v="946"/>
    <n v="5"/>
    <n v="56"/>
    <x v="4"/>
    <n v="2"/>
    <n v="5499.99"/>
    <n v="7.0000000000000007E-2"/>
    <n v="384.99930000000001"/>
    <n v="3"/>
    <n v="6"/>
  </r>
  <r>
    <n v="947"/>
    <n v="1"/>
    <n v="32"/>
    <x v="0"/>
    <n v="1"/>
    <n v="469.99"/>
    <n v="0.05"/>
    <n v="23.499500000000001"/>
    <n v="9"/>
    <n v="6"/>
  </r>
  <r>
    <n v="947"/>
    <n v="2"/>
    <n v="42"/>
    <x v="1"/>
    <n v="2"/>
    <n v="2299.9899999999998"/>
    <n v="7.0000000000000007E-2"/>
    <n v="160.99930000000001"/>
    <n v="5"/>
    <n v="6"/>
  </r>
  <r>
    <n v="947"/>
    <n v="3"/>
    <n v="44"/>
    <x v="2"/>
    <n v="1"/>
    <n v="539.99"/>
    <n v="7.0000000000000007E-2"/>
    <n v="37.799300000000002"/>
    <n v="8"/>
    <n v="6"/>
  </r>
  <r>
    <n v="948"/>
    <n v="1"/>
    <n v="23"/>
    <x v="0"/>
    <n v="2"/>
    <n v="299.99"/>
    <n v="0.2"/>
    <n v="59.998000000000005"/>
    <n v="9"/>
    <n v="6"/>
  </r>
  <r>
    <n v="948"/>
    <n v="2"/>
    <n v="20"/>
    <x v="1"/>
    <n v="2"/>
    <n v="599.99"/>
    <n v="0.1"/>
    <n v="59.999000000000002"/>
    <n v="5"/>
    <n v="6"/>
  </r>
  <r>
    <n v="948"/>
    <n v="3"/>
    <n v="101"/>
    <x v="2"/>
    <n v="1"/>
    <n v="339.99"/>
    <n v="0.2"/>
    <n v="67.998000000000005"/>
    <n v="8"/>
    <n v="6"/>
  </r>
  <r>
    <n v="948"/>
    <n v="4"/>
    <n v="92"/>
    <x v="3"/>
    <n v="2"/>
    <n v="209.99"/>
    <n v="0.2"/>
    <n v="41.998000000000005"/>
    <n v="9"/>
    <n v="6"/>
  </r>
  <r>
    <n v="948"/>
    <n v="5"/>
    <n v="72"/>
    <x v="4"/>
    <n v="2"/>
    <n v="619.99"/>
    <n v="0.2"/>
    <n v="123.998"/>
    <n v="3"/>
    <n v="6"/>
  </r>
  <r>
    <n v="949"/>
    <n v="1"/>
    <n v="9"/>
    <x v="0"/>
    <n v="2"/>
    <n v="2999.99"/>
    <n v="0.1"/>
    <n v="299.99899999999997"/>
    <n v="9"/>
    <n v="6"/>
  </r>
  <r>
    <n v="949"/>
    <n v="2"/>
    <n v="55"/>
    <x v="1"/>
    <n v="2"/>
    <n v="2699.99"/>
    <n v="0.05"/>
    <n v="134.99949999999998"/>
    <n v="5"/>
    <n v="6"/>
  </r>
  <r>
    <n v="950"/>
    <n v="1"/>
    <n v="56"/>
    <x v="0"/>
    <n v="1"/>
    <n v="5499.99"/>
    <n v="0.05"/>
    <n v="274.99950000000001"/>
    <n v="9"/>
    <n v="6"/>
  </r>
  <r>
    <n v="951"/>
    <n v="1"/>
    <n v="59"/>
    <x v="0"/>
    <n v="1"/>
    <n v="2599.9899999999998"/>
    <n v="0.1"/>
    <n v="259.99899999999997"/>
    <n v="9"/>
    <n v="6"/>
  </r>
  <r>
    <n v="951"/>
    <n v="2"/>
    <n v="43"/>
    <x v="1"/>
    <n v="2"/>
    <n v="5299.99"/>
    <n v="0.1"/>
    <n v="529.99900000000002"/>
    <n v="5"/>
    <n v="6"/>
  </r>
  <r>
    <n v="951"/>
    <n v="3"/>
    <n v="62"/>
    <x v="2"/>
    <n v="2"/>
    <n v="3499.99"/>
    <n v="0.2"/>
    <n v="699.99800000000005"/>
    <n v="8"/>
    <n v="6"/>
  </r>
  <r>
    <n v="952"/>
    <n v="1"/>
    <n v="20"/>
    <x v="0"/>
    <n v="2"/>
    <n v="599.99"/>
    <n v="7.0000000000000007E-2"/>
    <n v="41.999300000000005"/>
    <n v="9"/>
    <n v="6"/>
  </r>
  <r>
    <n v="952"/>
    <n v="2"/>
    <n v="57"/>
    <x v="1"/>
    <n v="1"/>
    <n v="1999.99"/>
    <n v="0.05"/>
    <n v="99.999500000000012"/>
    <n v="5"/>
    <n v="6"/>
  </r>
  <r>
    <n v="953"/>
    <n v="1"/>
    <n v="23"/>
    <x v="0"/>
    <n v="2"/>
    <n v="299.99"/>
    <n v="7.0000000000000007E-2"/>
    <n v="20.999300000000002"/>
    <n v="9"/>
    <n v="6"/>
  </r>
  <r>
    <n v="954"/>
    <n v="1"/>
    <n v="4"/>
    <x v="0"/>
    <n v="2"/>
    <n v="2899.99"/>
    <n v="0.1"/>
    <n v="289.99899999999997"/>
    <n v="9"/>
    <n v="6"/>
  </r>
  <r>
    <n v="955"/>
    <n v="1"/>
    <n v="43"/>
    <x v="0"/>
    <n v="1"/>
    <n v="5299.99"/>
    <n v="0.1"/>
    <n v="529.99900000000002"/>
    <n v="9"/>
    <n v="6"/>
  </r>
  <r>
    <n v="955"/>
    <n v="2"/>
    <n v="31"/>
    <x v="1"/>
    <n v="2"/>
    <n v="1632.99"/>
    <n v="7.0000000000000007E-2"/>
    <n v="114.30930000000001"/>
    <n v="5"/>
    <n v="6"/>
  </r>
  <r>
    <n v="955"/>
    <n v="3"/>
    <n v="96"/>
    <x v="2"/>
    <n v="1"/>
    <n v="349.99"/>
    <n v="0.05"/>
    <n v="17.499500000000001"/>
    <n v="8"/>
    <n v="6"/>
  </r>
  <r>
    <n v="955"/>
    <n v="4"/>
    <n v="63"/>
    <x v="3"/>
    <n v="1"/>
    <n v="3499.99"/>
    <n v="0.2"/>
    <n v="699.99800000000005"/>
    <n v="9"/>
    <n v="6"/>
  </r>
  <r>
    <n v="955"/>
    <n v="5"/>
    <n v="88"/>
    <x v="4"/>
    <n v="1"/>
    <n v="189.99"/>
    <n v="0.05"/>
    <n v="9.4995000000000012"/>
    <n v="3"/>
    <n v="6"/>
  </r>
  <r>
    <n v="956"/>
    <n v="1"/>
    <n v="76"/>
    <x v="0"/>
    <n v="2"/>
    <n v="299.99"/>
    <n v="0.1"/>
    <n v="29.999000000000002"/>
    <n v="9"/>
    <n v="6"/>
  </r>
  <r>
    <n v="956"/>
    <n v="2"/>
    <n v="23"/>
    <x v="1"/>
    <n v="1"/>
    <n v="299.99"/>
    <n v="0.2"/>
    <n v="59.998000000000005"/>
    <n v="5"/>
    <n v="6"/>
  </r>
  <r>
    <n v="956"/>
    <n v="3"/>
    <n v="73"/>
    <x v="2"/>
    <n v="2"/>
    <n v="749.99"/>
    <n v="0.1"/>
    <n v="74.999000000000009"/>
    <n v="8"/>
    <n v="6"/>
  </r>
  <r>
    <n v="956"/>
    <n v="4"/>
    <n v="13"/>
    <x v="3"/>
    <n v="2"/>
    <n v="269.99"/>
    <n v="0.2"/>
    <n v="53.998000000000005"/>
    <n v="9"/>
    <n v="6"/>
  </r>
  <r>
    <n v="956"/>
    <n v="5"/>
    <n v="79"/>
    <x v="4"/>
    <n v="2"/>
    <n v="402.99"/>
    <n v="0.1"/>
    <n v="40.299000000000007"/>
    <n v="3"/>
    <n v="6"/>
  </r>
  <r>
    <n v="957"/>
    <n v="1"/>
    <n v="108"/>
    <x v="0"/>
    <n v="2"/>
    <n v="449.99"/>
    <n v="0.05"/>
    <n v="22.499500000000001"/>
    <n v="9"/>
    <n v="6"/>
  </r>
  <r>
    <n v="957"/>
    <n v="2"/>
    <n v="14"/>
    <x v="1"/>
    <n v="2"/>
    <n v="269.99"/>
    <n v="7.0000000000000007E-2"/>
    <n v="18.899300000000004"/>
    <n v="5"/>
    <n v="6"/>
  </r>
  <r>
    <n v="957"/>
    <n v="3"/>
    <n v="70"/>
    <x v="2"/>
    <n v="2"/>
    <n v="659.99"/>
    <n v="0.05"/>
    <n v="32.999500000000005"/>
    <n v="8"/>
    <n v="6"/>
  </r>
  <r>
    <n v="957"/>
    <n v="4"/>
    <n v="66"/>
    <x v="3"/>
    <n v="1"/>
    <n v="250.99"/>
    <n v="7.0000000000000007E-2"/>
    <n v="17.569300000000002"/>
    <n v="9"/>
    <n v="6"/>
  </r>
  <r>
    <n v="957"/>
    <n v="5"/>
    <n v="111"/>
    <x v="4"/>
    <n v="1"/>
    <n v="470.99"/>
    <n v="0.05"/>
    <n v="23.549500000000002"/>
    <n v="3"/>
    <n v="6"/>
  </r>
  <r>
    <n v="958"/>
    <n v="1"/>
    <n v="51"/>
    <x v="0"/>
    <n v="1"/>
    <n v="6499.99"/>
    <n v="0.1"/>
    <n v="649.99900000000002"/>
    <n v="9"/>
    <n v="6"/>
  </r>
  <r>
    <n v="958"/>
    <n v="2"/>
    <n v="76"/>
    <x v="1"/>
    <n v="1"/>
    <n v="299.99"/>
    <n v="0.2"/>
    <n v="59.998000000000005"/>
    <n v="5"/>
    <n v="6"/>
  </r>
  <r>
    <n v="959"/>
    <n v="1"/>
    <n v="15"/>
    <x v="0"/>
    <n v="1"/>
    <n v="529.99"/>
    <n v="0.2"/>
    <n v="105.998"/>
    <n v="9"/>
    <n v="6"/>
  </r>
  <r>
    <n v="959"/>
    <n v="2"/>
    <n v="72"/>
    <x v="1"/>
    <n v="1"/>
    <n v="619.99"/>
    <n v="0.1"/>
    <n v="61.999000000000002"/>
    <n v="5"/>
    <n v="6"/>
  </r>
  <r>
    <n v="959"/>
    <n v="3"/>
    <n v="41"/>
    <x v="2"/>
    <n v="1"/>
    <n v="1469.99"/>
    <n v="0.05"/>
    <n v="73.499499999999998"/>
    <n v="8"/>
    <n v="6"/>
  </r>
  <r>
    <n v="959"/>
    <n v="4"/>
    <n v="65"/>
    <x v="3"/>
    <n v="1"/>
    <n v="346.99"/>
    <n v="7.0000000000000007E-2"/>
    <n v="24.289300000000004"/>
    <n v="9"/>
    <n v="6"/>
  </r>
  <r>
    <n v="960"/>
    <n v="1"/>
    <n v="73"/>
    <x v="0"/>
    <n v="2"/>
    <n v="749.99"/>
    <n v="0.05"/>
    <n v="37.499500000000005"/>
    <n v="9"/>
    <n v="6"/>
  </r>
  <r>
    <n v="960"/>
    <n v="2"/>
    <n v="52"/>
    <x v="1"/>
    <n v="1"/>
    <n v="875.99"/>
    <n v="0.1"/>
    <n v="87.599000000000004"/>
    <n v="5"/>
    <n v="6"/>
  </r>
  <r>
    <n v="960"/>
    <n v="3"/>
    <n v="48"/>
    <x v="2"/>
    <n v="2"/>
    <n v="1499.99"/>
    <n v="0.05"/>
    <n v="74.999499999999998"/>
    <n v="8"/>
    <n v="6"/>
  </r>
  <r>
    <n v="960"/>
    <n v="4"/>
    <n v="83"/>
    <x v="3"/>
    <n v="2"/>
    <n v="149.99"/>
    <n v="0.1"/>
    <n v="14.999000000000002"/>
    <n v="9"/>
    <n v="6"/>
  </r>
  <r>
    <n v="961"/>
    <n v="1"/>
    <n v="105"/>
    <x v="0"/>
    <n v="1"/>
    <n v="533.99"/>
    <n v="0.1"/>
    <n v="53.399000000000001"/>
    <n v="9"/>
    <n v="6"/>
  </r>
  <r>
    <n v="961"/>
    <n v="2"/>
    <n v="47"/>
    <x v="1"/>
    <n v="2"/>
    <n v="5299.99"/>
    <n v="0.2"/>
    <n v="1059.998"/>
    <n v="5"/>
    <n v="6"/>
  </r>
  <r>
    <n v="961"/>
    <n v="3"/>
    <n v="65"/>
    <x v="2"/>
    <n v="2"/>
    <n v="346.99"/>
    <n v="7.0000000000000007E-2"/>
    <n v="24.289300000000004"/>
    <n v="8"/>
    <n v="6"/>
  </r>
  <r>
    <n v="962"/>
    <n v="1"/>
    <n v="65"/>
    <x v="0"/>
    <n v="2"/>
    <n v="346.99"/>
    <n v="7.0000000000000007E-2"/>
    <n v="24.289300000000004"/>
    <n v="9"/>
    <n v="6"/>
  </r>
  <r>
    <n v="962"/>
    <n v="2"/>
    <n v="64"/>
    <x v="1"/>
    <n v="2"/>
    <n v="489.99"/>
    <n v="7.0000000000000007E-2"/>
    <n v="34.299300000000002"/>
    <n v="5"/>
    <n v="6"/>
  </r>
  <r>
    <n v="963"/>
    <n v="1"/>
    <n v="4"/>
    <x v="0"/>
    <n v="1"/>
    <n v="2899.99"/>
    <n v="7.0000000000000007E-2"/>
    <n v="202.99930000000001"/>
    <n v="9"/>
    <n v="6"/>
  </r>
  <r>
    <n v="964"/>
    <n v="1"/>
    <n v="90"/>
    <x v="0"/>
    <n v="1"/>
    <n v="209.99"/>
    <n v="0.2"/>
    <n v="41.998000000000005"/>
    <n v="9"/>
    <n v="6"/>
  </r>
  <r>
    <n v="964"/>
    <n v="2"/>
    <n v="74"/>
    <x v="1"/>
    <n v="1"/>
    <n v="439.99"/>
    <n v="0.2"/>
    <n v="87.998000000000005"/>
    <n v="5"/>
    <n v="6"/>
  </r>
  <r>
    <n v="965"/>
    <n v="1"/>
    <n v="90"/>
    <x v="0"/>
    <n v="2"/>
    <n v="209.99"/>
    <n v="0.1"/>
    <n v="20.999000000000002"/>
    <n v="9"/>
    <n v="6"/>
  </r>
  <r>
    <n v="966"/>
    <n v="1"/>
    <n v="88"/>
    <x v="0"/>
    <n v="1"/>
    <n v="189.99"/>
    <n v="0.05"/>
    <n v="9.4995000000000012"/>
    <n v="9"/>
    <n v="6"/>
  </r>
  <r>
    <n v="966"/>
    <n v="2"/>
    <n v="73"/>
    <x v="1"/>
    <n v="1"/>
    <n v="749.99"/>
    <n v="7.0000000000000007E-2"/>
    <n v="52.499300000000005"/>
    <n v="5"/>
    <n v="6"/>
  </r>
  <r>
    <n v="967"/>
    <n v="1"/>
    <n v="66"/>
    <x v="0"/>
    <n v="1"/>
    <n v="250.99"/>
    <n v="0.2"/>
    <n v="50.198000000000008"/>
    <n v="9"/>
    <n v="6"/>
  </r>
  <r>
    <n v="967"/>
    <n v="2"/>
    <n v="77"/>
    <x v="1"/>
    <n v="2"/>
    <n v="799.99"/>
    <n v="0.05"/>
    <n v="39.999500000000005"/>
    <n v="5"/>
    <n v="6"/>
  </r>
  <r>
    <n v="967"/>
    <n v="3"/>
    <n v="87"/>
    <x v="2"/>
    <n v="1"/>
    <n v="189.99"/>
    <n v="0.1"/>
    <n v="18.999000000000002"/>
    <n v="8"/>
    <n v="6"/>
  </r>
  <r>
    <n v="967"/>
    <n v="4"/>
    <n v="103"/>
    <x v="3"/>
    <n v="1"/>
    <n v="551.99"/>
    <n v="0.2"/>
    <n v="110.39800000000001"/>
    <n v="9"/>
    <n v="6"/>
  </r>
  <r>
    <n v="968"/>
    <n v="1"/>
    <n v="87"/>
    <x v="0"/>
    <n v="1"/>
    <n v="189.99"/>
    <n v="0.2"/>
    <n v="37.998000000000005"/>
    <n v="9"/>
    <n v="6"/>
  </r>
  <r>
    <n v="968"/>
    <n v="2"/>
    <n v="61"/>
    <x v="1"/>
    <n v="2"/>
    <n v="4999.99"/>
    <n v="0.05"/>
    <n v="249.99950000000001"/>
    <n v="5"/>
    <n v="6"/>
  </r>
  <r>
    <n v="968"/>
    <n v="3"/>
    <n v="10"/>
    <x v="2"/>
    <n v="2"/>
    <n v="1549"/>
    <n v="0.05"/>
    <n v="77.45"/>
    <n v="8"/>
    <n v="6"/>
  </r>
  <r>
    <n v="969"/>
    <n v="1"/>
    <n v="74"/>
    <x v="0"/>
    <n v="1"/>
    <n v="439.99"/>
    <n v="0.2"/>
    <n v="87.998000000000005"/>
    <n v="9"/>
    <n v="6"/>
  </r>
  <r>
    <n v="969"/>
    <n v="2"/>
    <n v="36"/>
    <x v="1"/>
    <n v="1"/>
    <n v="832.99"/>
    <n v="0.1"/>
    <n v="83.299000000000007"/>
    <n v="5"/>
    <n v="6"/>
  </r>
  <r>
    <n v="970"/>
    <n v="1"/>
    <n v="85"/>
    <x v="0"/>
    <n v="1"/>
    <n v="329.99"/>
    <n v="0.1"/>
    <n v="32.999000000000002"/>
    <n v="9"/>
    <n v="6"/>
  </r>
  <r>
    <n v="970"/>
    <n v="2"/>
    <n v="48"/>
    <x v="1"/>
    <n v="2"/>
    <n v="1499.99"/>
    <n v="0.1"/>
    <n v="149.999"/>
    <n v="5"/>
    <n v="6"/>
  </r>
  <r>
    <n v="970"/>
    <n v="3"/>
    <n v="54"/>
    <x v="2"/>
    <n v="2"/>
    <n v="3199.99"/>
    <n v="0.1"/>
    <n v="319.99900000000002"/>
    <n v="8"/>
    <n v="6"/>
  </r>
  <r>
    <n v="970"/>
    <n v="4"/>
    <n v="68"/>
    <x v="3"/>
    <n v="1"/>
    <n v="449.99"/>
    <n v="0.1"/>
    <n v="44.999000000000002"/>
    <n v="9"/>
    <n v="6"/>
  </r>
  <r>
    <n v="971"/>
    <n v="1"/>
    <n v="70"/>
    <x v="0"/>
    <n v="2"/>
    <n v="659.99"/>
    <n v="0.05"/>
    <n v="32.999500000000005"/>
    <n v="9"/>
    <n v="6"/>
  </r>
  <r>
    <n v="971"/>
    <n v="2"/>
    <n v="65"/>
    <x v="1"/>
    <n v="2"/>
    <n v="346.99"/>
    <n v="7.0000000000000007E-2"/>
    <n v="24.289300000000004"/>
    <n v="5"/>
    <n v="6"/>
  </r>
  <r>
    <n v="971"/>
    <n v="3"/>
    <n v="8"/>
    <x v="2"/>
    <n v="2"/>
    <n v="1799.99"/>
    <n v="0.05"/>
    <n v="89.999500000000012"/>
    <n v="8"/>
    <n v="6"/>
  </r>
  <r>
    <n v="971"/>
    <n v="4"/>
    <n v="12"/>
    <x v="3"/>
    <n v="2"/>
    <n v="549.99"/>
    <n v="7.0000000000000007E-2"/>
    <n v="38.499300000000005"/>
    <n v="9"/>
    <n v="6"/>
  </r>
  <r>
    <n v="971"/>
    <n v="5"/>
    <n v="38"/>
    <x v="4"/>
    <n v="1"/>
    <n v="549.99"/>
    <n v="0.2"/>
    <n v="109.998"/>
    <n v="3"/>
    <n v="6"/>
  </r>
  <r>
    <n v="972"/>
    <n v="1"/>
    <n v="100"/>
    <x v="0"/>
    <n v="1"/>
    <n v="489.99"/>
    <n v="0.2"/>
    <n v="97.998000000000005"/>
    <n v="9"/>
    <n v="6"/>
  </r>
  <r>
    <n v="972"/>
    <n v="2"/>
    <n v="63"/>
    <x v="1"/>
    <n v="1"/>
    <n v="3499.99"/>
    <n v="7.0000000000000007E-2"/>
    <n v="244.99930000000001"/>
    <n v="5"/>
    <n v="6"/>
  </r>
  <r>
    <n v="973"/>
    <n v="1"/>
    <n v="4"/>
    <x v="0"/>
    <n v="2"/>
    <n v="2899.99"/>
    <n v="0.1"/>
    <n v="289.99899999999997"/>
    <n v="9"/>
    <n v="6"/>
  </r>
  <r>
    <n v="973"/>
    <n v="2"/>
    <n v="28"/>
    <x v="1"/>
    <n v="2"/>
    <n v="2499.9899999999998"/>
    <n v="0.1"/>
    <n v="249.999"/>
    <n v="5"/>
    <n v="6"/>
  </r>
  <r>
    <n v="973"/>
    <n v="3"/>
    <n v="47"/>
    <x v="2"/>
    <n v="2"/>
    <n v="5299.99"/>
    <n v="0.05"/>
    <n v="264.99950000000001"/>
    <n v="8"/>
    <n v="6"/>
  </r>
  <r>
    <n v="973"/>
    <n v="4"/>
    <n v="71"/>
    <x v="3"/>
    <n v="1"/>
    <n v="416.99"/>
    <n v="7.0000000000000007E-2"/>
    <n v="29.189300000000003"/>
    <n v="9"/>
    <n v="6"/>
  </r>
  <r>
    <n v="974"/>
    <n v="1"/>
    <n v="33"/>
    <x v="0"/>
    <n v="2"/>
    <n v="469.99"/>
    <n v="0.1"/>
    <n v="46.999000000000002"/>
    <n v="9"/>
    <n v="6"/>
  </r>
  <r>
    <n v="974"/>
    <n v="2"/>
    <n v="22"/>
    <x v="1"/>
    <n v="2"/>
    <n v="269.99"/>
    <n v="0.2"/>
    <n v="53.998000000000005"/>
    <n v="5"/>
    <n v="6"/>
  </r>
  <r>
    <n v="975"/>
    <n v="1"/>
    <n v="110"/>
    <x v="0"/>
    <n v="2"/>
    <n v="470.99"/>
    <n v="0.2"/>
    <n v="94.198000000000008"/>
    <n v="9"/>
    <n v="6"/>
  </r>
  <r>
    <n v="976"/>
    <n v="1"/>
    <n v="26"/>
    <x v="0"/>
    <n v="2"/>
    <n v="599.99"/>
    <n v="0.1"/>
    <n v="59.999000000000002"/>
    <n v="9"/>
    <n v="6"/>
  </r>
  <r>
    <n v="976"/>
    <n v="2"/>
    <n v="39"/>
    <x v="1"/>
    <n v="1"/>
    <n v="1499.99"/>
    <n v="7.0000000000000007E-2"/>
    <n v="104.99930000000001"/>
    <n v="5"/>
    <n v="6"/>
  </r>
  <r>
    <n v="977"/>
    <n v="1"/>
    <n v="52"/>
    <x v="0"/>
    <n v="2"/>
    <n v="875.99"/>
    <n v="0.1"/>
    <n v="87.599000000000004"/>
    <n v="9"/>
    <n v="6"/>
  </r>
  <r>
    <n v="977"/>
    <n v="2"/>
    <n v="69"/>
    <x v="1"/>
    <n v="2"/>
    <n v="416.99"/>
    <n v="0.05"/>
    <n v="20.849500000000003"/>
    <n v="5"/>
    <n v="6"/>
  </r>
  <r>
    <n v="977"/>
    <n v="3"/>
    <n v="27"/>
    <x v="2"/>
    <n v="1"/>
    <n v="999.99"/>
    <n v="0.05"/>
    <n v="49.999500000000005"/>
    <n v="8"/>
    <n v="6"/>
  </r>
  <r>
    <n v="977"/>
    <n v="4"/>
    <n v="80"/>
    <x v="3"/>
    <n v="2"/>
    <n v="761.99"/>
    <n v="0.05"/>
    <n v="38.099499999999999"/>
    <n v="9"/>
    <n v="6"/>
  </r>
  <r>
    <n v="978"/>
    <n v="1"/>
    <n v="106"/>
    <x v="0"/>
    <n v="2"/>
    <n v="449.99"/>
    <n v="0.05"/>
    <n v="22.499500000000001"/>
    <n v="9"/>
    <n v="6"/>
  </r>
  <r>
    <n v="978"/>
    <n v="2"/>
    <n v="25"/>
    <x v="1"/>
    <n v="2"/>
    <n v="499.99"/>
    <n v="0.2"/>
    <n v="99.998000000000005"/>
    <n v="5"/>
    <n v="6"/>
  </r>
  <r>
    <n v="978"/>
    <n v="3"/>
    <n v="108"/>
    <x v="2"/>
    <n v="2"/>
    <n v="449.99"/>
    <n v="0.05"/>
    <n v="22.499500000000001"/>
    <n v="8"/>
    <n v="6"/>
  </r>
  <r>
    <n v="979"/>
    <n v="1"/>
    <n v="55"/>
    <x v="0"/>
    <n v="1"/>
    <n v="2699.99"/>
    <n v="0.05"/>
    <n v="134.99949999999998"/>
    <n v="9"/>
    <n v="6"/>
  </r>
  <r>
    <n v="979"/>
    <n v="2"/>
    <n v="71"/>
    <x v="1"/>
    <n v="2"/>
    <n v="416.99"/>
    <n v="0.2"/>
    <n v="83.39800000000001"/>
    <n v="5"/>
    <n v="6"/>
  </r>
  <r>
    <n v="979"/>
    <n v="3"/>
    <n v="12"/>
    <x v="2"/>
    <n v="2"/>
    <n v="549.99"/>
    <n v="0.1"/>
    <n v="54.999000000000002"/>
    <n v="8"/>
    <n v="6"/>
  </r>
  <r>
    <n v="979"/>
    <n v="4"/>
    <n v="52"/>
    <x v="3"/>
    <n v="1"/>
    <n v="875.99"/>
    <n v="0.2"/>
    <n v="175.19800000000001"/>
    <n v="9"/>
    <n v="6"/>
  </r>
  <r>
    <n v="980"/>
    <n v="1"/>
    <n v="49"/>
    <x v="0"/>
    <n v="2"/>
    <n v="3499.99"/>
    <n v="0.2"/>
    <n v="699.99800000000005"/>
    <n v="9"/>
    <n v="6"/>
  </r>
  <r>
    <n v="980"/>
    <n v="2"/>
    <n v="9"/>
    <x v="1"/>
    <n v="1"/>
    <n v="2999.99"/>
    <n v="0.1"/>
    <n v="299.99899999999997"/>
    <n v="5"/>
    <n v="6"/>
  </r>
  <r>
    <n v="980"/>
    <n v="3"/>
    <n v="64"/>
    <x v="2"/>
    <n v="1"/>
    <n v="489.99"/>
    <n v="0.1"/>
    <n v="48.999000000000002"/>
    <n v="8"/>
    <n v="6"/>
  </r>
  <r>
    <n v="981"/>
    <n v="1"/>
    <n v="35"/>
    <x v="0"/>
    <n v="1"/>
    <n v="832.99"/>
    <n v="0.1"/>
    <n v="83.299000000000007"/>
    <n v="9"/>
    <n v="6"/>
  </r>
  <r>
    <n v="981"/>
    <n v="2"/>
    <n v="95"/>
    <x v="1"/>
    <n v="2"/>
    <n v="299.99"/>
    <n v="0.05"/>
    <n v="14.999500000000001"/>
    <n v="5"/>
    <n v="6"/>
  </r>
  <r>
    <n v="981"/>
    <n v="3"/>
    <n v="21"/>
    <x v="2"/>
    <n v="2"/>
    <n v="269.99"/>
    <n v="7.0000000000000007E-2"/>
    <n v="18.899300000000004"/>
    <n v="8"/>
    <n v="6"/>
  </r>
  <r>
    <n v="981"/>
    <n v="4"/>
    <n v="36"/>
    <x v="3"/>
    <n v="2"/>
    <n v="832.99"/>
    <n v="0.1"/>
    <n v="83.299000000000007"/>
    <n v="9"/>
    <n v="6"/>
  </r>
  <r>
    <n v="981"/>
    <n v="5"/>
    <n v="61"/>
    <x v="4"/>
    <n v="1"/>
    <n v="4999.99"/>
    <n v="7.0000000000000007E-2"/>
    <n v="349.99930000000001"/>
    <n v="3"/>
    <n v="6"/>
  </r>
  <r>
    <n v="982"/>
    <n v="1"/>
    <n v="22"/>
    <x v="0"/>
    <n v="2"/>
    <n v="269.99"/>
    <n v="0.1"/>
    <n v="26.999000000000002"/>
    <n v="9"/>
    <n v="6"/>
  </r>
  <r>
    <n v="982"/>
    <n v="2"/>
    <n v="110"/>
    <x v="1"/>
    <n v="1"/>
    <n v="470.99"/>
    <n v="7.0000000000000007E-2"/>
    <n v="32.969300000000004"/>
    <n v="5"/>
    <n v="6"/>
  </r>
  <r>
    <n v="982"/>
    <n v="3"/>
    <n v="52"/>
    <x v="2"/>
    <n v="1"/>
    <n v="875.99"/>
    <n v="7.0000000000000007E-2"/>
    <n v="61.319300000000005"/>
    <n v="8"/>
    <n v="6"/>
  </r>
  <r>
    <n v="982"/>
    <n v="4"/>
    <n v="40"/>
    <x v="3"/>
    <n v="2"/>
    <n v="4999.99"/>
    <n v="0.05"/>
    <n v="249.99950000000001"/>
    <n v="9"/>
    <n v="6"/>
  </r>
  <r>
    <n v="983"/>
    <n v="1"/>
    <n v="63"/>
    <x v="0"/>
    <n v="1"/>
    <n v="3499.99"/>
    <n v="0.1"/>
    <n v="349.99900000000002"/>
    <n v="9"/>
    <n v="6"/>
  </r>
  <r>
    <n v="983"/>
    <n v="2"/>
    <n v="20"/>
    <x v="1"/>
    <n v="2"/>
    <n v="599.99"/>
    <n v="0.2"/>
    <n v="119.998"/>
    <n v="5"/>
    <n v="6"/>
  </r>
  <r>
    <n v="983"/>
    <n v="3"/>
    <n v="68"/>
    <x v="2"/>
    <n v="1"/>
    <n v="449.99"/>
    <n v="7.0000000000000007E-2"/>
    <n v="31.499300000000005"/>
    <n v="8"/>
    <n v="6"/>
  </r>
  <r>
    <n v="983"/>
    <n v="4"/>
    <n v="81"/>
    <x v="3"/>
    <n v="2"/>
    <n v="1099.99"/>
    <n v="7.0000000000000007E-2"/>
    <n v="76.999300000000005"/>
    <n v="9"/>
    <n v="6"/>
  </r>
  <r>
    <n v="983"/>
    <n v="5"/>
    <n v="88"/>
    <x v="4"/>
    <n v="1"/>
    <n v="189.99"/>
    <n v="0.05"/>
    <n v="9.4995000000000012"/>
    <n v="3"/>
    <n v="6"/>
  </r>
  <r>
    <n v="984"/>
    <n v="1"/>
    <n v="68"/>
    <x v="0"/>
    <n v="1"/>
    <n v="449.99"/>
    <n v="0.2"/>
    <n v="89.998000000000005"/>
    <n v="9"/>
    <n v="6"/>
  </r>
  <r>
    <n v="984"/>
    <n v="2"/>
    <n v="81"/>
    <x v="1"/>
    <n v="2"/>
    <n v="1099.99"/>
    <n v="0.2"/>
    <n v="219.99800000000002"/>
    <n v="5"/>
    <n v="6"/>
  </r>
  <r>
    <n v="984"/>
    <n v="3"/>
    <n v="12"/>
    <x v="2"/>
    <n v="1"/>
    <n v="549.99"/>
    <n v="0.1"/>
    <n v="54.999000000000002"/>
    <n v="8"/>
    <n v="6"/>
  </r>
  <r>
    <n v="984"/>
    <n v="4"/>
    <n v="111"/>
    <x v="3"/>
    <n v="1"/>
    <n v="470.99"/>
    <n v="0.2"/>
    <n v="94.198000000000008"/>
    <n v="9"/>
    <n v="6"/>
  </r>
  <r>
    <n v="985"/>
    <n v="1"/>
    <n v="5"/>
    <x v="0"/>
    <n v="2"/>
    <n v="1320.99"/>
    <n v="7.0000000000000007E-2"/>
    <n v="92.469300000000004"/>
    <n v="9"/>
    <n v="6"/>
  </r>
  <r>
    <n v="985"/>
    <n v="2"/>
    <n v="59"/>
    <x v="1"/>
    <n v="1"/>
    <n v="2599.9899999999998"/>
    <n v="0.2"/>
    <n v="519.99799999999993"/>
    <n v="5"/>
    <n v="6"/>
  </r>
  <r>
    <n v="985"/>
    <n v="3"/>
    <n v="78"/>
    <x v="2"/>
    <n v="2"/>
    <n v="647.99"/>
    <n v="0.05"/>
    <n v="32.399500000000003"/>
    <n v="8"/>
    <n v="6"/>
  </r>
  <r>
    <n v="986"/>
    <n v="1"/>
    <n v="87"/>
    <x v="0"/>
    <n v="1"/>
    <n v="189.99"/>
    <n v="0.1"/>
    <n v="18.999000000000002"/>
    <n v="9"/>
    <n v="6"/>
  </r>
  <r>
    <n v="986"/>
    <n v="2"/>
    <n v="78"/>
    <x v="1"/>
    <n v="1"/>
    <n v="647.99"/>
    <n v="0.05"/>
    <n v="32.399500000000003"/>
    <n v="5"/>
    <n v="6"/>
  </r>
  <r>
    <n v="986"/>
    <n v="3"/>
    <n v="26"/>
    <x v="2"/>
    <n v="2"/>
    <n v="599.99"/>
    <n v="7.0000000000000007E-2"/>
    <n v="41.999300000000005"/>
    <n v="8"/>
    <n v="6"/>
  </r>
  <r>
    <n v="987"/>
    <n v="1"/>
    <n v="51"/>
    <x v="0"/>
    <n v="2"/>
    <n v="6499.99"/>
    <n v="0.1"/>
    <n v="649.99900000000002"/>
    <n v="9"/>
    <n v="6"/>
  </r>
  <r>
    <n v="987"/>
    <n v="2"/>
    <n v="60"/>
    <x v="1"/>
    <n v="2"/>
    <n v="1559.99"/>
    <n v="0.2"/>
    <n v="311.99800000000005"/>
    <n v="5"/>
    <n v="6"/>
  </r>
  <r>
    <n v="987"/>
    <n v="3"/>
    <n v="80"/>
    <x v="2"/>
    <n v="1"/>
    <n v="761.99"/>
    <n v="7.0000000000000007E-2"/>
    <n v="53.339300000000009"/>
    <n v="8"/>
    <n v="6"/>
  </r>
  <r>
    <n v="988"/>
    <n v="1"/>
    <n v="35"/>
    <x v="0"/>
    <n v="1"/>
    <n v="832.99"/>
    <n v="0.2"/>
    <n v="166.59800000000001"/>
    <n v="9"/>
    <n v="6"/>
  </r>
  <r>
    <n v="988"/>
    <n v="2"/>
    <n v="38"/>
    <x v="1"/>
    <n v="1"/>
    <n v="549.99"/>
    <n v="7.0000000000000007E-2"/>
    <n v="38.499300000000005"/>
    <n v="5"/>
    <n v="6"/>
  </r>
  <r>
    <n v="988"/>
    <n v="3"/>
    <n v="12"/>
    <x v="2"/>
    <n v="2"/>
    <n v="549.99"/>
    <n v="7.0000000000000007E-2"/>
    <n v="38.499300000000005"/>
    <n v="8"/>
    <n v="6"/>
  </r>
  <r>
    <n v="989"/>
    <n v="1"/>
    <n v="99"/>
    <x v="0"/>
    <n v="1"/>
    <n v="299.99"/>
    <n v="0.05"/>
    <n v="14.999500000000001"/>
    <n v="9"/>
    <n v="6"/>
  </r>
  <r>
    <n v="989"/>
    <n v="2"/>
    <n v="27"/>
    <x v="1"/>
    <n v="1"/>
    <n v="999.99"/>
    <n v="0.1"/>
    <n v="99.999000000000009"/>
    <n v="5"/>
    <n v="6"/>
  </r>
  <r>
    <n v="989"/>
    <n v="3"/>
    <n v="70"/>
    <x v="2"/>
    <n v="1"/>
    <n v="659.99"/>
    <n v="0.1"/>
    <n v="65.999000000000009"/>
    <n v="8"/>
    <n v="6"/>
  </r>
  <r>
    <n v="989"/>
    <n v="4"/>
    <n v="84"/>
    <x v="3"/>
    <n v="2"/>
    <n v="109.99"/>
    <n v="7.0000000000000007E-2"/>
    <n v="7.6993"/>
    <n v="9"/>
    <n v="6"/>
  </r>
  <r>
    <n v="989"/>
    <n v="5"/>
    <n v="5"/>
    <x v="4"/>
    <n v="1"/>
    <n v="1320.99"/>
    <n v="0.1"/>
    <n v="132.09900000000002"/>
    <n v="3"/>
    <n v="6"/>
  </r>
  <r>
    <n v="990"/>
    <n v="1"/>
    <n v="6"/>
    <x v="0"/>
    <n v="2"/>
    <n v="469.99"/>
    <n v="0.2"/>
    <n v="93.998000000000005"/>
    <n v="9"/>
    <n v="6"/>
  </r>
  <r>
    <n v="990"/>
    <n v="2"/>
    <n v="29"/>
    <x v="1"/>
    <n v="1"/>
    <n v="999.99"/>
    <n v="0.1"/>
    <n v="99.999000000000009"/>
    <n v="5"/>
    <n v="6"/>
  </r>
  <r>
    <n v="990"/>
    <n v="3"/>
    <n v="91"/>
    <x v="2"/>
    <n v="1"/>
    <n v="349.99"/>
    <n v="0.1"/>
    <n v="34.999000000000002"/>
    <n v="8"/>
    <n v="6"/>
  </r>
  <r>
    <n v="990"/>
    <n v="4"/>
    <n v="14"/>
    <x v="3"/>
    <n v="2"/>
    <n v="269.99"/>
    <n v="0.1"/>
    <n v="26.999000000000002"/>
    <n v="9"/>
    <n v="6"/>
  </r>
  <r>
    <n v="991"/>
    <n v="1"/>
    <n v="9"/>
    <x v="0"/>
    <n v="2"/>
    <n v="2999.99"/>
    <n v="0.2"/>
    <n v="599.99799999999993"/>
    <n v="9"/>
    <n v="6"/>
  </r>
  <r>
    <n v="991"/>
    <n v="2"/>
    <n v="79"/>
    <x v="1"/>
    <n v="1"/>
    <n v="402.99"/>
    <n v="0.2"/>
    <n v="80.598000000000013"/>
    <n v="5"/>
    <n v="6"/>
  </r>
  <r>
    <n v="991"/>
    <n v="3"/>
    <n v="34"/>
    <x v="2"/>
    <n v="1"/>
    <n v="469.99"/>
    <n v="0.2"/>
    <n v="93.998000000000005"/>
    <n v="8"/>
    <n v="6"/>
  </r>
  <r>
    <n v="992"/>
    <n v="1"/>
    <n v="45"/>
    <x v="0"/>
    <n v="1"/>
    <n v="869.99"/>
    <n v="7.0000000000000007E-2"/>
    <n v="60.899300000000004"/>
    <n v="9"/>
    <n v="6"/>
  </r>
  <r>
    <n v="992"/>
    <n v="2"/>
    <n v="102"/>
    <x v="1"/>
    <n v="1"/>
    <n v="489.99"/>
    <n v="0.1"/>
    <n v="48.999000000000002"/>
    <n v="5"/>
    <n v="6"/>
  </r>
  <r>
    <n v="992"/>
    <n v="3"/>
    <n v="20"/>
    <x v="2"/>
    <n v="1"/>
    <n v="599.99"/>
    <n v="0.2"/>
    <n v="119.998"/>
    <n v="8"/>
    <n v="6"/>
  </r>
  <r>
    <n v="992"/>
    <n v="4"/>
    <n v="101"/>
    <x v="3"/>
    <n v="2"/>
    <n v="339.99"/>
    <n v="0.2"/>
    <n v="67.998000000000005"/>
    <n v="9"/>
    <n v="6"/>
  </r>
  <r>
    <n v="992"/>
    <n v="5"/>
    <n v="7"/>
    <x v="4"/>
    <n v="1"/>
    <n v="3999.99"/>
    <n v="0.05"/>
    <n v="199.99950000000001"/>
    <n v="3"/>
    <n v="6"/>
  </r>
  <r>
    <n v="993"/>
    <n v="1"/>
    <n v="58"/>
    <x v="0"/>
    <n v="1"/>
    <n v="4999.99"/>
    <n v="0.2"/>
    <n v="999.99800000000005"/>
    <n v="9"/>
    <n v="6"/>
  </r>
  <r>
    <n v="993"/>
    <n v="2"/>
    <n v="36"/>
    <x v="1"/>
    <n v="2"/>
    <n v="832.99"/>
    <n v="0.1"/>
    <n v="83.299000000000007"/>
    <n v="5"/>
    <n v="6"/>
  </r>
  <r>
    <n v="993"/>
    <n v="3"/>
    <n v="10"/>
    <x v="2"/>
    <n v="2"/>
    <n v="1549"/>
    <n v="0.05"/>
    <n v="77.45"/>
    <n v="8"/>
    <n v="6"/>
  </r>
  <r>
    <n v="993"/>
    <n v="4"/>
    <n v="99"/>
    <x v="3"/>
    <n v="2"/>
    <n v="299.99"/>
    <n v="7.0000000000000007E-2"/>
    <n v="20.999300000000002"/>
    <n v="9"/>
    <n v="6"/>
  </r>
  <r>
    <n v="993"/>
    <n v="5"/>
    <n v="79"/>
    <x v="4"/>
    <n v="2"/>
    <n v="402.99"/>
    <n v="0.1"/>
    <n v="40.299000000000007"/>
    <n v="3"/>
    <n v="6"/>
  </r>
  <r>
    <n v="994"/>
    <n v="1"/>
    <n v="37"/>
    <x v="0"/>
    <n v="2"/>
    <n v="379.99"/>
    <n v="0.1"/>
    <n v="37.999000000000002"/>
    <n v="9"/>
    <n v="6"/>
  </r>
  <r>
    <n v="994"/>
    <n v="2"/>
    <n v="45"/>
    <x v="1"/>
    <n v="1"/>
    <n v="869.99"/>
    <n v="0.2"/>
    <n v="173.99800000000002"/>
    <n v="5"/>
    <n v="6"/>
  </r>
  <r>
    <n v="994"/>
    <n v="3"/>
    <n v="66"/>
    <x v="2"/>
    <n v="1"/>
    <n v="250.99"/>
    <n v="7.0000000000000007E-2"/>
    <n v="17.569300000000002"/>
    <n v="8"/>
    <n v="6"/>
  </r>
  <r>
    <n v="995"/>
    <n v="1"/>
    <n v="16"/>
    <x v="0"/>
    <n v="2"/>
    <n v="599.99"/>
    <n v="0.1"/>
    <n v="59.999000000000002"/>
    <n v="9"/>
    <n v="6"/>
  </r>
  <r>
    <n v="995"/>
    <n v="2"/>
    <n v="90"/>
    <x v="1"/>
    <n v="1"/>
    <n v="209.99"/>
    <n v="0.2"/>
    <n v="41.998000000000005"/>
    <n v="5"/>
    <n v="6"/>
  </r>
  <r>
    <n v="995"/>
    <n v="3"/>
    <n v="101"/>
    <x v="2"/>
    <n v="1"/>
    <n v="339.99"/>
    <n v="0.1"/>
    <n v="33.999000000000002"/>
    <n v="8"/>
    <n v="6"/>
  </r>
  <r>
    <n v="996"/>
    <n v="1"/>
    <n v="68"/>
    <x v="0"/>
    <n v="2"/>
    <n v="449.99"/>
    <n v="0.05"/>
    <n v="22.499500000000001"/>
    <n v="9"/>
    <n v="6"/>
  </r>
  <r>
    <n v="996"/>
    <n v="2"/>
    <n v="32"/>
    <x v="1"/>
    <n v="1"/>
    <n v="469.99"/>
    <n v="0.05"/>
    <n v="23.499500000000001"/>
    <n v="5"/>
    <n v="6"/>
  </r>
  <r>
    <n v="997"/>
    <n v="1"/>
    <n v="86"/>
    <x v="0"/>
    <n v="2"/>
    <n v="149.99"/>
    <n v="7.0000000000000007E-2"/>
    <n v="10.499300000000002"/>
    <n v="9"/>
    <n v="6"/>
  </r>
  <r>
    <n v="997"/>
    <n v="2"/>
    <n v="105"/>
    <x v="1"/>
    <n v="2"/>
    <n v="533.99"/>
    <n v="0.2"/>
    <n v="106.798"/>
    <n v="5"/>
    <n v="6"/>
  </r>
  <r>
    <n v="997"/>
    <n v="3"/>
    <n v="14"/>
    <x v="2"/>
    <n v="2"/>
    <n v="269.99"/>
    <n v="7.0000000000000007E-2"/>
    <n v="18.899300000000004"/>
    <n v="8"/>
    <n v="6"/>
  </r>
  <r>
    <n v="998"/>
    <n v="1"/>
    <n v="26"/>
    <x v="0"/>
    <n v="2"/>
    <n v="599.99"/>
    <n v="0.05"/>
    <n v="29.999500000000001"/>
    <n v="9"/>
    <n v="6"/>
  </r>
  <r>
    <n v="998"/>
    <n v="2"/>
    <n v="105"/>
    <x v="1"/>
    <n v="1"/>
    <n v="533.99"/>
    <n v="0.2"/>
    <n v="106.798"/>
    <n v="5"/>
    <n v="6"/>
  </r>
  <r>
    <n v="999"/>
    <n v="1"/>
    <n v="70"/>
    <x v="0"/>
    <n v="2"/>
    <n v="659.99"/>
    <n v="7.0000000000000007E-2"/>
    <n v="46.199300000000008"/>
    <n v="9"/>
    <n v="6"/>
  </r>
  <r>
    <n v="999"/>
    <n v="2"/>
    <n v="106"/>
    <x v="1"/>
    <n v="1"/>
    <n v="449.99"/>
    <n v="0.05"/>
    <n v="22.499500000000001"/>
    <n v="5"/>
    <n v="6"/>
  </r>
  <r>
    <n v="1000"/>
    <n v="1"/>
    <n v="65"/>
    <x v="0"/>
    <n v="2"/>
    <n v="346.99"/>
    <n v="0.05"/>
    <n v="17.349500000000003"/>
    <n v="9"/>
    <n v="6"/>
  </r>
  <r>
    <n v="1000"/>
    <n v="2"/>
    <n v="111"/>
    <x v="1"/>
    <n v="1"/>
    <n v="470.99"/>
    <n v="0.1"/>
    <n v="47.099000000000004"/>
    <n v="5"/>
    <n v="6"/>
  </r>
  <r>
    <n v="1000"/>
    <n v="3"/>
    <n v="19"/>
    <x v="2"/>
    <n v="2"/>
    <n v="449"/>
    <n v="7.0000000000000007E-2"/>
    <n v="31.430000000000003"/>
    <n v="8"/>
    <n v="6"/>
  </r>
  <r>
    <n v="1000"/>
    <n v="4"/>
    <n v="29"/>
    <x v="3"/>
    <n v="2"/>
    <n v="999.99"/>
    <n v="0.05"/>
    <n v="49.999500000000005"/>
    <n v="9"/>
    <n v="6"/>
  </r>
  <r>
    <n v="1001"/>
    <n v="1"/>
    <n v="72"/>
    <x v="0"/>
    <n v="1"/>
    <n v="619.99"/>
    <n v="0.05"/>
    <n v="30.999500000000001"/>
    <n v="9"/>
    <n v="6"/>
  </r>
  <r>
    <n v="1001"/>
    <n v="2"/>
    <n v="45"/>
    <x v="1"/>
    <n v="2"/>
    <n v="869.99"/>
    <n v="0.05"/>
    <n v="43.499500000000005"/>
    <n v="5"/>
    <n v="6"/>
  </r>
  <r>
    <n v="1001"/>
    <n v="3"/>
    <n v="58"/>
    <x v="2"/>
    <n v="1"/>
    <n v="4999.99"/>
    <n v="0.1"/>
    <n v="499.99900000000002"/>
    <n v="8"/>
    <n v="6"/>
  </r>
  <r>
    <n v="1001"/>
    <n v="4"/>
    <n v="111"/>
    <x v="3"/>
    <n v="1"/>
    <n v="470.99"/>
    <n v="7.0000000000000007E-2"/>
    <n v="32.969300000000004"/>
    <n v="9"/>
    <n v="6"/>
  </r>
  <r>
    <n v="1002"/>
    <n v="1"/>
    <n v="100"/>
    <x v="0"/>
    <n v="1"/>
    <n v="489.99"/>
    <n v="0.05"/>
    <n v="24.499500000000001"/>
    <n v="9"/>
    <n v="6"/>
  </r>
  <r>
    <n v="1002"/>
    <n v="2"/>
    <n v="83"/>
    <x v="1"/>
    <n v="1"/>
    <n v="149.99"/>
    <n v="0.1"/>
    <n v="14.999000000000002"/>
    <n v="5"/>
    <n v="6"/>
  </r>
  <r>
    <n v="1002"/>
    <n v="3"/>
    <n v="8"/>
    <x v="2"/>
    <n v="2"/>
    <n v="1799.99"/>
    <n v="0.1"/>
    <n v="179.99900000000002"/>
    <n v="8"/>
    <n v="6"/>
  </r>
  <r>
    <n v="1002"/>
    <n v="4"/>
    <n v="79"/>
    <x v="3"/>
    <n v="1"/>
    <n v="402.99"/>
    <n v="0.2"/>
    <n v="80.598000000000013"/>
    <n v="9"/>
    <n v="6"/>
  </r>
  <r>
    <n v="1003"/>
    <n v="1"/>
    <n v="34"/>
    <x v="0"/>
    <n v="2"/>
    <n v="469.99"/>
    <n v="0.05"/>
    <n v="23.499500000000001"/>
    <n v="9"/>
    <n v="6"/>
  </r>
  <r>
    <n v="1003"/>
    <n v="2"/>
    <n v="51"/>
    <x v="1"/>
    <n v="2"/>
    <n v="6499.99"/>
    <n v="0.05"/>
    <n v="324.99950000000001"/>
    <n v="5"/>
    <n v="6"/>
  </r>
  <r>
    <n v="1004"/>
    <n v="1"/>
    <n v="36"/>
    <x v="0"/>
    <n v="2"/>
    <n v="832.99"/>
    <n v="0.1"/>
    <n v="83.299000000000007"/>
    <n v="9"/>
    <n v="6"/>
  </r>
  <r>
    <n v="1005"/>
    <n v="1"/>
    <n v="14"/>
    <x v="0"/>
    <n v="2"/>
    <n v="269.99"/>
    <n v="0.2"/>
    <n v="53.998000000000005"/>
    <n v="9"/>
    <n v="6"/>
  </r>
  <r>
    <n v="1005"/>
    <n v="2"/>
    <n v="81"/>
    <x v="1"/>
    <n v="2"/>
    <n v="1099.99"/>
    <n v="0.1"/>
    <n v="109.99900000000001"/>
    <n v="5"/>
    <n v="6"/>
  </r>
  <r>
    <n v="1005"/>
    <n v="3"/>
    <n v="99"/>
    <x v="2"/>
    <n v="1"/>
    <n v="299.99"/>
    <n v="0.1"/>
    <n v="29.999000000000002"/>
    <n v="8"/>
    <n v="6"/>
  </r>
  <r>
    <n v="1006"/>
    <n v="1"/>
    <n v="20"/>
    <x v="0"/>
    <n v="1"/>
    <n v="599.99"/>
    <n v="7.0000000000000007E-2"/>
    <n v="41.999300000000005"/>
    <n v="9"/>
    <n v="6"/>
  </r>
  <r>
    <n v="1006"/>
    <n v="2"/>
    <n v="68"/>
    <x v="1"/>
    <n v="1"/>
    <n v="449.99"/>
    <n v="0.1"/>
    <n v="44.999000000000002"/>
    <n v="5"/>
    <n v="6"/>
  </r>
  <r>
    <n v="1006"/>
    <n v="3"/>
    <n v="56"/>
    <x v="2"/>
    <n v="2"/>
    <n v="5499.99"/>
    <n v="7.0000000000000007E-2"/>
    <n v="384.99930000000001"/>
    <n v="8"/>
    <n v="6"/>
  </r>
  <r>
    <n v="1006"/>
    <n v="4"/>
    <n v="65"/>
    <x v="3"/>
    <n v="1"/>
    <n v="346.99"/>
    <n v="0.1"/>
    <n v="34.699000000000005"/>
    <n v="9"/>
    <n v="6"/>
  </r>
  <r>
    <n v="1006"/>
    <n v="5"/>
    <n v="46"/>
    <x v="4"/>
    <n v="1"/>
    <n v="1409.99"/>
    <n v="0.1"/>
    <n v="140.999"/>
    <n v="3"/>
    <n v="6"/>
  </r>
  <r>
    <n v="1007"/>
    <n v="1"/>
    <n v="26"/>
    <x v="0"/>
    <n v="1"/>
    <n v="599.99"/>
    <n v="0.2"/>
    <n v="119.998"/>
    <n v="9"/>
    <n v="6"/>
  </r>
  <r>
    <n v="1007"/>
    <n v="2"/>
    <n v="11"/>
    <x v="1"/>
    <n v="1"/>
    <n v="1680.99"/>
    <n v="0.05"/>
    <n v="84.049500000000009"/>
    <n v="5"/>
    <n v="6"/>
  </r>
  <r>
    <n v="1007"/>
    <n v="3"/>
    <n v="85"/>
    <x v="2"/>
    <n v="2"/>
    <n v="329.99"/>
    <n v="0.1"/>
    <n v="32.999000000000002"/>
    <n v="8"/>
    <n v="6"/>
  </r>
  <r>
    <n v="1007"/>
    <n v="4"/>
    <n v="76"/>
    <x v="3"/>
    <n v="1"/>
    <n v="299.99"/>
    <n v="0.2"/>
    <n v="59.998000000000005"/>
    <n v="9"/>
    <n v="6"/>
  </r>
  <r>
    <n v="1007"/>
    <n v="5"/>
    <n v="106"/>
    <x v="4"/>
    <n v="2"/>
    <n v="449.99"/>
    <n v="0.1"/>
    <n v="44.999000000000002"/>
    <n v="3"/>
    <n v="6"/>
  </r>
  <r>
    <n v="1008"/>
    <n v="1"/>
    <n v="71"/>
    <x v="0"/>
    <n v="1"/>
    <n v="416.99"/>
    <n v="0.2"/>
    <n v="83.39800000000001"/>
    <n v="9"/>
    <n v="6"/>
  </r>
  <r>
    <n v="1008"/>
    <n v="2"/>
    <n v="2"/>
    <x v="1"/>
    <n v="1"/>
    <n v="749.99"/>
    <n v="0.1"/>
    <n v="74.999000000000009"/>
    <n v="5"/>
    <n v="6"/>
  </r>
  <r>
    <n v="1008"/>
    <n v="3"/>
    <n v="95"/>
    <x v="2"/>
    <n v="1"/>
    <n v="299.99"/>
    <n v="7.0000000000000007E-2"/>
    <n v="20.999300000000002"/>
    <n v="8"/>
    <n v="6"/>
  </r>
  <r>
    <n v="1009"/>
    <n v="1"/>
    <n v="95"/>
    <x v="0"/>
    <n v="2"/>
    <n v="299.99"/>
    <n v="7.0000000000000007E-2"/>
    <n v="20.999300000000002"/>
    <n v="9"/>
    <n v="6"/>
  </r>
  <r>
    <n v="1009"/>
    <n v="2"/>
    <n v="44"/>
    <x v="1"/>
    <n v="1"/>
    <n v="539.99"/>
    <n v="7.0000000000000007E-2"/>
    <n v="37.799300000000002"/>
    <n v="5"/>
    <n v="6"/>
  </r>
  <r>
    <n v="1010"/>
    <n v="1"/>
    <n v="109"/>
    <x v="0"/>
    <n v="2"/>
    <n v="416.99"/>
    <n v="0.1"/>
    <n v="41.699000000000005"/>
    <n v="9"/>
    <n v="6"/>
  </r>
  <r>
    <n v="1011"/>
    <n v="1"/>
    <n v="88"/>
    <x v="0"/>
    <n v="1"/>
    <n v="189.99"/>
    <n v="0.2"/>
    <n v="37.998000000000005"/>
    <n v="9"/>
    <n v="6"/>
  </r>
  <r>
    <n v="1011"/>
    <n v="2"/>
    <n v="99"/>
    <x v="1"/>
    <n v="2"/>
    <n v="299.99"/>
    <n v="0.2"/>
    <n v="59.998000000000005"/>
    <n v="5"/>
    <n v="6"/>
  </r>
  <r>
    <n v="1011"/>
    <n v="3"/>
    <n v="16"/>
    <x v="2"/>
    <n v="2"/>
    <n v="599.99"/>
    <n v="0.2"/>
    <n v="119.998"/>
    <n v="8"/>
    <n v="6"/>
  </r>
  <r>
    <n v="1011"/>
    <n v="4"/>
    <n v="68"/>
    <x v="3"/>
    <n v="2"/>
    <n v="449.99"/>
    <n v="0.05"/>
    <n v="22.499500000000001"/>
    <n v="9"/>
    <n v="6"/>
  </r>
  <r>
    <n v="1012"/>
    <n v="1"/>
    <n v="8"/>
    <x v="0"/>
    <n v="1"/>
    <n v="1799.99"/>
    <n v="7.0000000000000007E-2"/>
    <n v="125.99930000000002"/>
    <n v="9"/>
    <n v="6"/>
  </r>
  <r>
    <n v="1012"/>
    <n v="2"/>
    <n v="64"/>
    <x v="1"/>
    <n v="1"/>
    <n v="489.99"/>
    <n v="0.2"/>
    <n v="97.998000000000005"/>
    <n v="5"/>
    <n v="6"/>
  </r>
  <r>
    <n v="1013"/>
    <n v="1"/>
    <n v="60"/>
    <x v="0"/>
    <n v="2"/>
    <n v="1559.99"/>
    <n v="0.05"/>
    <n v="77.999500000000012"/>
    <n v="9"/>
    <n v="6"/>
  </r>
  <r>
    <n v="1014"/>
    <n v="1"/>
    <n v="97"/>
    <x v="0"/>
    <n v="1"/>
    <n v="349.99"/>
    <n v="0.2"/>
    <n v="69.998000000000005"/>
    <n v="9"/>
    <n v="6"/>
  </r>
  <r>
    <n v="1014"/>
    <n v="2"/>
    <n v="45"/>
    <x v="1"/>
    <n v="2"/>
    <n v="869.99"/>
    <n v="0.05"/>
    <n v="43.499500000000005"/>
    <n v="5"/>
    <n v="6"/>
  </r>
  <r>
    <n v="1014"/>
    <n v="3"/>
    <n v="81"/>
    <x v="2"/>
    <n v="2"/>
    <n v="1099.99"/>
    <n v="0.1"/>
    <n v="109.99900000000001"/>
    <n v="8"/>
    <n v="6"/>
  </r>
  <r>
    <n v="1014"/>
    <n v="4"/>
    <n v="59"/>
    <x v="3"/>
    <n v="1"/>
    <n v="2599.9899999999998"/>
    <n v="0.05"/>
    <n v="129.99949999999998"/>
    <n v="9"/>
    <n v="6"/>
  </r>
  <r>
    <n v="1015"/>
    <n v="1"/>
    <n v="6"/>
    <x v="0"/>
    <n v="2"/>
    <n v="469.99"/>
    <n v="0.1"/>
    <n v="46.999000000000002"/>
    <n v="9"/>
    <n v="6"/>
  </r>
  <r>
    <n v="1015"/>
    <n v="2"/>
    <n v="73"/>
    <x v="1"/>
    <n v="2"/>
    <n v="749.99"/>
    <n v="0.2"/>
    <n v="149.99800000000002"/>
    <n v="5"/>
    <n v="6"/>
  </r>
  <r>
    <n v="1015"/>
    <n v="3"/>
    <n v="101"/>
    <x v="2"/>
    <n v="2"/>
    <n v="339.99"/>
    <n v="0.1"/>
    <n v="33.999000000000002"/>
    <n v="8"/>
    <n v="6"/>
  </r>
  <r>
    <n v="1015"/>
    <n v="4"/>
    <n v="13"/>
    <x v="3"/>
    <n v="1"/>
    <n v="269.99"/>
    <n v="0.2"/>
    <n v="53.998000000000005"/>
    <n v="9"/>
    <n v="6"/>
  </r>
  <r>
    <n v="1016"/>
    <n v="1"/>
    <n v="76"/>
    <x v="0"/>
    <n v="2"/>
    <n v="299.99"/>
    <n v="7.0000000000000007E-2"/>
    <n v="20.999300000000002"/>
    <n v="9"/>
    <n v="6"/>
  </r>
  <r>
    <n v="1017"/>
    <n v="1"/>
    <n v="89"/>
    <x v="0"/>
    <n v="1"/>
    <n v="209.99"/>
    <n v="7.0000000000000007E-2"/>
    <n v="14.699300000000003"/>
    <n v="9"/>
    <n v="6"/>
  </r>
  <r>
    <n v="1017"/>
    <n v="2"/>
    <n v="82"/>
    <x v="1"/>
    <n v="2"/>
    <n v="659.99"/>
    <n v="0.2"/>
    <n v="131.99800000000002"/>
    <n v="5"/>
    <n v="6"/>
  </r>
  <r>
    <n v="1017"/>
    <n v="3"/>
    <n v="100"/>
    <x v="2"/>
    <n v="1"/>
    <n v="489.99"/>
    <n v="0.2"/>
    <n v="97.998000000000005"/>
    <n v="8"/>
    <n v="6"/>
  </r>
  <r>
    <n v="1017"/>
    <n v="4"/>
    <n v="18"/>
    <x v="3"/>
    <n v="2"/>
    <n v="449"/>
    <n v="0.2"/>
    <n v="89.800000000000011"/>
    <n v="9"/>
    <n v="6"/>
  </r>
  <r>
    <n v="1017"/>
    <n v="5"/>
    <n v="77"/>
    <x v="4"/>
    <n v="2"/>
    <n v="799.99"/>
    <n v="0.1"/>
    <n v="79.999000000000009"/>
    <n v="3"/>
    <n v="6"/>
  </r>
  <r>
    <n v="1018"/>
    <n v="1"/>
    <n v="76"/>
    <x v="0"/>
    <n v="2"/>
    <n v="299.99"/>
    <n v="7.0000000000000007E-2"/>
    <n v="20.999300000000002"/>
    <n v="9"/>
    <n v="6"/>
  </r>
  <r>
    <n v="1018"/>
    <n v="2"/>
    <n v="97"/>
    <x v="1"/>
    <n v="2"/>
    <n v="349.99"/>
    <n v="0.1"/>
    <n v="34.999000000000002"/>
    <n v="5"/>
    <n v="6"/>
  </r>
  <r>
    <n v="1018"/>
    <n v="3"/>
    <n v="91"/>
    <x v="2"/>
    <n v="1"/>
    <n v="349.99"/>
    <n v="0.2"/>
    <n v="69.998000000000005"/>
    <n v="8"/>
    <n v="6"/>
  </r>
  <r>
    <n v="1019"/>
    <n v="1"/>
    <n v="30"/>
    <x v="0"/>
    <n v="1"/>
    <n v="999.99"/>
    <n v="0.1"/>
    <n v="99.999000000000009"/>
    <n v="9"/>
    <n v="6"/>
  </r>
  <r>
    <n v="1019"/>
    <n v="2"/>
    <n v="52"/>
    <x v="1"/>
    <n v="1"/>
    <n v="875.99"/>
    <n v="0.2"/>
    <n v="175.19800000000001"/>
    <n v="5"/>
    <n v="6"/>
  </r>
  <r>
    <n v="1019"/>
    <n v="3"/>
    <n v="37"/>
    <x v="2"/>
    <n v="1"/>
    <n v="379.99"/>
    <n v="0.05"/>
    <n v="18.999500000000001"/>
    <n v="8"/>
    <n v="6"/>
  </r>
  <r>
    <n v="1019"/>
    <n v="4"/>
    <n v="93"/>
    <x v="3"/>
    <n v="2"/>
    <n v="209.99"/>
    <n v="0.2"/>
    <n v="41.998000000000005"/>
    <n v="9"/>
    <n v="6"/>
  </r>
  <r>
    <n v="1020"/>
    <n v="1"/>
    <n v="20"/>
    <x v="0"/>
    <n v="2"/>
    <n v="599.99"/>
    <n v="0.05"/>
    <n v="29.999500000000001"/>
    <n v="9"/>
    <n v="6"/>
  </r>
  <r>
    <n v="1020"/>
    <n v="2"/>
    <n v="69"/>
    <x v="1"/>
    <n v="2"/>
    <n v="416.99"/>
    <n v="0.05"/>
    <n v="20.849500000000003"/>
    <n v="5"/>
    <n v="6"/>
  </r>
  <r>
    <n v="1020"/>
    <n v="3"/>
    <n v="15"/>
    <x v="2"/>
    <n v="1"/>
    <n v="529.99"/>
    <n v="7.0000000000000007E-2"/>
    <n v="37.099300000000007"/>
    <n v="8"/>
    <n v="6"/>
  </r>
  <r>
    <n v="1020"/>
    <n v="4"/>
    <n v="57"/>
    <x v="3"/>
    <n v="2"/>
    <n v="1999.99"/>
    <n v="0.1"/>
    <n v="199.99900000000002"/>
    <n v="9"/>
    <n v="6"/>
  </r>
  <r>
    <n v="1020"/>
    <n v="5"/>
    <n v="40"/>
    <x v="4"/>
    <n v="2"/>
    <n v="4999.99"/>
    <n v="0.05"/>
    <n v="249.99950000000001"/>
    <n v="3"/>
    <n v="6"/>
  </r>
  <r>
    <n v="1021"/>
    <n v="1"/>
    <n v="49"/>
    <x v="0"/>
    <n v="2"/>
    <n v="3499.99"/>
    <n v="7.0000000000000007E-2"/>
    <n v="244.99930000000001"/>
    <n v="9"/>
    <n v="6"/>
  </r>
  <r>
    <n v="1021"/>
    <n v="2"/>
    <n v="23"/>
    <x v="1"/>
    <n v="2"/>
    <n v="299.99"/>
    <n v="7.0000000000000007E-2"/>
    <n v="20.999300000000002"/>
    <n v="5"/>
    <n v="6"/>
  </r>
  <r>
    <n v="1022"/>
    <n v="1"/>
    <n v="33"/>
    <x v="0"/>
    <n v="1"/>
    <n v="469.99"/>
    <n v="0.2"/>
    <n v="93.998000000000005"/>
    <n v="9"/>
    <n v="6"/>
  </r>
  <r>
    <n v="1022"/>
    <n v="2"/>
    <n v="46"/>
    <x v="1"/>
    <n v="1"/>
    <n v="1409.99"/>
    <n v="0.1"/>
    <n v="140.999"/>
    <n v="5"/>
    <n v="6"/>
  </r>
  <r>
    <n v="1022"/>
    <n v="3"/>
    <n v="65"/>
    <x v="2"/>
    <n v="1"/>
    <n v="346.99"/>
    <n v="7.0000000000000007E-2"/>
    <n v="24.289300000000004"/>
    <n v="8"/>
    <n v="6"/>
  </r>
  <r>
    <n v="1022"/>
    <n v="4"/>
    <n v="5"/>
    <x v="3"/>
    <n v="1"/>
    <n v="1320.99"/>
    <n v="7.0000000000000007E-2"/>
    <n v="92.469300000000004"/>
    <n v="9"/>
    <n v="6"/>
  </r>
  <r>
    <n v="1023"/>
    <n v="1"/>
    <n v="91"/>
    <x v="0"/>
    <n v="1"/>
    <n v="349.99"/>
    <n v="7.0000000000000007E-2"/>
    <n v="24.499300000000002"/>
    <n v="9"/>
    <n v="6"/>
  </r>
  <r>
    <n v="1023"/>
    <n v="2"/>
    <n v="43"/>
    <x v="1"/>
    <n v="2"/>
    <n v="5299.99"/>
    <n v="0.1"/>
    <n v="529.99900000000002"/>
    <n v="5"/>
    <n v="6"/>
  </r>
  <r>
    <n v="1024"/>
    <n v="1"/>
    <n v="104"/>
    <x v="0"/>
    <n v="1"/>
    <n v="481.99"/>
    <n v="0.2"/>
    <n v="96.39800000000001"/>
    <n v="9"/>
    <n v="6"/>
  </r>
  <r>
    <n v="1024"/>
    <n v="2"/>
    <n v="28"/>
    <x v="1"/>
    <n v="2"/>
    <n v="2499.9899999999998"/>
    <n v="0.05"/>
    <n v="124.9995"/>
    <n v="5"/>
    <n v="6"/>
  </r>
  <r>
    <n v="1024"/>
    <n v="3"/>
    <n v="98"/>
    <x v="2"/>
    <n v="2"/>
    <n v="489.99"/>
    <n v="0.2"/>
    <n v="97.998000000000005"/>
    <n v="8"/>
    <n v="6"/>
  </r>
  <r>
    <n v="1024"/>
    <n v="4"/>
    <n v="96"/>
    <x v="3"/>
    <n v="2"/>
    <n v="349.99"/>
    <n v="0.1"/>
    <n v="34.999000000000002"/>
    <n v="9"/>
    <n v="6"/>
  </r>
  <r>
    <n v="1024"/>
    <n v="5"/>
    <n v="91"/>
    <x v="4"/>
    <n v="1"/>
    <n v="349.99"/>
    <n v="0.2"/>
    <n v="69.998000000000005"/>
    <n v="3"/>
    <n v="6"/>
  </r>
  <r>
    <n v="1025"/>
    <n v="1"/>
    <n v="89"/>
    <x v="0"/>
    <n v="1"/>
    <n v="209.99"/>
    <n v="7.0000000000000007E-2"/>
    <n v="14.699300000000003"/>
    <n v="9"/>
    <n v="6"/>
  </r>
  <r>
    <n v="1025"/>
    <n v="2"/>
    <n v="102"/>
    <x v="1"/>
    <n v="1"/>
    <n v="489.99"/>
    <n v="0.1"/>
    <n v="48.999000000000002"/>
    <n v="5"/>
    <n v="6"/>
  </r>
  <r>
    <n v="1025"/>
    <n v="3"/>
    <n v="39"/>
    <x v="2"/>
    <n v="1"/>
    <n v="1499.99"/>
    <n v="0.1"/>
    <n v="149.999"/>
    <n v="8"/>
    <n v="6"/>
  </r>
  <r>
    <n v="1025"/>
    <n v="4"/>
    <n v="15"/>
    <x v="3"/>
    <n v="1"/>
    <n v="529.99"/>
    <n v="0.05"/>
    <n v="26.499500000000001"/>
    <n v="9"/>
    <n v="6"/>
  </r>
  <r>
    <n v="1025"/>
    <n v="5"/>
    <n v="66"/>
    <x v="4"/>
    <n v="2"/>
    <n v="250.99"/>
    <n v="0.05"/>
    <n v="12.549500000000002"/>
    <n v="3"/>
    <n v="6"/>
  </r>
  <r>
    <n v="1026"/>
    <n v="1"/>
    <n v="7"/>
    <x v="0"/>
    <n v="2"/>
    <n v="3999.99"/>
    <n v="7.0000000000000007E-2"/>
    <n v="279.99930000000001"/>
    <n v="9"/>
    <n v="6"/>
  </r>
  <r>
    <n v="1027"/>
    <n v="1"/>
    <n v="95"/>
    <x v="0"/>
    <n v="2"/>
    <n v="299.99"/>
    <n v="0.1"/>
    <n v="29.999000000000002"/>
    <n v="9"/>
    <n v="6"/>
  </r>
  <r>
    <n v="1027"/>
    <n v="2"/>
    <n v="14"/>
    <x v="1"/>
    <n v="2"/>
    <n v="269.99"/>
    <n v="0.05"/>
    <n v="13.499500000000001"/>
    <n v="5"/>
    <n v="6"/>
  </r>
  <r>
    <n v="1028"/>
    <n v="1"/>
    <n v="111"/>
    <x v="0"/>
    <n v="2"/>
    <n v="470.99"/>
    <n v="0.1"/>
    <n v="47.099000000000004"/>
    <n v="9"/>
    <n v="6"/>
  </r>
  <r>
    <n v="1028"/>
    <n v="2"/>
    <n v="10"/>
    <x v="1"/>
    <n v="1"/>
    <n v="1549"/>
    <n v="0.2"/>
    <n v="309.8"/>
    <n v="5"/>
    <n v="6"/>
  </r>
  <r>
    <n v="1028"/>
    <n v="3"/>
    <n v="41"/>
    <x v="2"/>
    <n v="1"/>
    <n v="1469.99"/>
    <n v="0.2"/>
    <n v="293.99799999999999"/>
    <n v="8"/>
    <n v="6"/>
  </r>
  <r>
    <n v="1028"/>
    <n v="4"/>
    <n v="35"/>
    <x v="3"/>
    <n v="2"/>
    <n v="832.99"/>
    <n v="0.1"/>
    <n v="83.299000000000007"/>
    <n v="9"/>
    <n v="6"/>
  </r>
  <r>
    <n v="1028"/>
    <n v="5"/>
    <n v="108"/>
    <x v="4"/>
    <n v="1"/>
    <n v="449.99"/>
    <n v="0.2"/>
    <n v="89.998000000000005"/>
    <n v="3"/>
    <n v="6"/>
  </r>
  <r>
    <n v="1029"/>
    <n v="1"/>
    <n v="20"/>
    <x v="0"/>
    <n v="1"/>
    <n v="599.99"/>
    <n v="0.2"/>
    <n v="119.998"/>
    <n v="9"/>
    <n v="6"/>
  </r>
  <r>
    <n v="1029"/>
    <n v="2"/>
    <n v="55"/>
    <x v="1"/>
    <n v="1"/>
    <n v="2699.99"/>
    <n v="0.1"/>
    <n v="269.99899999999997"/>
    <n v="5"/>
    <n v="6"/>
  </r>
  <r>
    <n v="1029"/>
    <n v="3"/>
    <n v="40"/>
    <x v="2"/>
    <n v="1"/>
    <n v="4999.99"/>
    <n v="0.2"/>
    <n v="999.99800000000005"/>
    <n v="8"/>
    <n v="6"/>
  </r>
  <r>
    <n v="1029"/>
    <n v="4"/>
    <n v="68"/>
    <x v="3"/>
    <n v="2"/>
    <n v="449.99"/>
    <n v="0.1"/>
    <n v="44.999000000000002"/>
    <n v="9"/>
    <n v="6"/>
  </r>
  <r>
    <n v="1030"/>
    <n v="1"/>
    <n v="27"/>
    <x v="0"/>
    <n v="1"/>
    <n v="999.99"/>
    <n v="0.05"/>
    <n v="49.999500000000005"/>
    <n v="9"/>
    <n v="6"/>
  </r>
  <r>
    <n v="1030"/>
    <n v="2"/>
    <n v="10"/>
    <x v="1"/>
    <n v="2"/>
    <n v="1549"/>
    <n v="0.1"/>
    <n v="154.9"/>
    <n v="5"/>
    <n v="6"/>
  </r>
  <r>
    <n v="1030"/>
    <n v="3"/>
    <n v="72"/>
    <x v="2"/>
    <n v="1"/>
    <n v="619.99"/>
    <n v="0.1"/>
    <n v="61.999000000000002"/>
    <n v="8"/>
    <n v="6"/>
  </r>
  <r>
    <n v="1031"/>
    <n v="1"/>
    <n v="27"/>
    <x v="0"/>
    <n v="2"/>
    <n v="999.99"/>
    <n v="0.2"/>
    <n v="199.99800000000002"/>
    <n v="9"/>
    <n v="6"/>
  </r>
  <r>
    <n v="1031"/>
    <n v="2"/>
    <n v="108"/>
    <x v="1"/>
    <n v="2"/>
    <n v="449.99"/>
    <n v="0.2"/>
    <n v="89.998000000000005"/>
    <n v="5"/>
    <n v="6"/>
  </r>
  <r>
    <n v="1032"/>
    <n v="1"/>
    <n v="60"/>
    <x v="0"/>
    <n v="2"/>
    <n v="1559.99"/>
    <n v="0.1"/>
    <n v="155.99900000000002"/>
    <n v="9"/>
    <n v="6"/>
  </r>
  <r>
    <n v="1032"/>
    <n v="2"/>
    <n v="17"/>
    <x v="1"/>
    <n v="1"/>
    <n v="429"/>
    <n v="0.1"/>
    <n v="42.900000000000006"/>
    <n v="5"/>
    <n v="6"/>
  </r>
  <r>
    <n v="1033"/>
    <n v="1"/>
    <n v="26"/>
    <x v="0"/>
    <n v="1"/>
    <n v="599.99"/>
    <n v="7.0000000000000007E-2"/>
    <n v="41.999300000000005"/>
    <n v="9"/>
    <n v="6"/>
  </r>
  <r>
    <n v="1033"/>
    <n v="2"/>
    <n v="109"/>
    <x v="1"/>
    <n v="2"/>
    <n v="416.99"/>
    <n v="0.1"/>
    <n v="41.699000000000005"/>
    <n v="5"/>
    <n v="6"/>
  </r>
  <r>
    <n v="1033"/>
    <n v="3"/>
    <n v="27"/>
    <x v="2"/>
    <n v="2"/>
    <n v="999.99"/>
    <n v="7.0000000000000007E-2"/>
    <n v="69.999300000000005"/>
    <n v="8"/>
    <n v="6"/>
  </r>
  <r>
    <n v="1034"/>
    <n v="1"/>
    <n v="101"/>
    <x v="0"/>
    <n v="1"/>
    <n v="339.99"/>
    <n v="0.1"/>
    <n v="33.999000000000002"/>
    <n v="9"/>
    <n v="6"/>
  </r>
  <r>
    <n v="1034"/>
    <n v="2"/>
    <n v="8"/>
    <x v="1"/>
    <n v="2"/>
    <n v="1799.99"/>
    <n v="0.1"/>
    <n v="179.99900000000002"/>
    <n v="5"/>
    <n v="6"/>
  </r>
  <r>
    <n v="1034"/>
    <n v="3"/>
    <n v="11"/>
    <x v="2"/>
    <n v="2"/>
    <n v="1680.99"/>
    <n v="7.0000000000000007E-2"/>
    <n v="117.66930000000001"/>
    <n v="8"/>
    <n v="6"/>
  </r>
  <r>
    <n v="1034"/>
    <n v="4"/>
    <n v="21"/>
    <x v="3"/>
    <n v="1"/>
    <n v="269.99"/>
    <n v="0.05"/>
    <n v="13.499500000000001"/>
    <n v="9"/>
    <n v="6"/>
  </r>
  <r>
    <n v="1035"/>
    <n v="1"/>
    <n v="96"/>
    <x v="0"/>
    <n v="1"/>
    <n v="349.99"/>
    <n v="0.2"/>
    <n v="69.998000000000005"/>
    <n v="9"/>
    <n v="6"/>
  </r>
  <r>
    <n v="1036"/>
    <n v="1"/>
    <n v="55"/>
    <x v="0"/>
    <n v="2"/>
    <n v="2699.99"/>
    <n v="0.1"/>
    <n v="269.99899999999997"/>
    <n v="9"/>
    <n v="6"/>
  </r>
  <r>
    <n v="1036"/>
    <n v="2"/>
    <n v="76"/>
    <x v="1"/>
    <n v="1"/>
    <n v="299.99"/>
    <n v="7.0000000000000007E-2"/>
    <n v="20.999300000000002"/>
    <n v="5"/>
    <n v="6"/>
  </r>
  <r>
    <n v="1036"/>
    <n v="3"/>
    <n v="18"/>
    <x v="2"/>
    <n v="2"/>
    <n v="449"/>
    <n v="0.05"/>
    <n v="22.450000000000003"/>
    <n v="8"/>
    <n v="6"/>
  </r>
  <r>
    <n v="1036"/>
    <n v="4"/>
    <n v="65"/>
    <x v="3"/>
    <n v="2"/>
    <n v="346.99"/>
    <n v="0.2"/>
    <n v="69.39800000000001"/>
    <n v="9"/>
    <n v="6"/>
  </r>
  <r>
    <n v="1036"/>
    <n v="5"/>
    <n v="12"/>
    <x v="4"/>
    <n v="1"/>
    <n v="549.99"/>
    <n v="0.2"/>
    <n v="109.998"/>
    <n v="3"/>
    <n v="6"/>
  </r>
  <r>
    <n v="1037"/>
    <n v="1"/>
    <n v="74"/>
    <x v="0"/>
    <n v="2"/>
    <n v="439.99"/>
    <n v="7.0000000000000007E-2"/>
    <n v="30.799300000000002"/>
    <n v="9"/>
    <n v="6"/>
  </r>
  <r>
    <n v="1037"/>
    <n v="2"/>
    <n v="3"/>
    <x v="1"/>
    <n v="1"/>
    <n v="999.99"/>
    <n v="7.0000000000000007E-2"/>
    <n v="69.999300000000005"/>
    <n v="5"/>
    <n v="6"/>
  </r>
  <r>
    <n v="1037"/>
    <n v="3"/>
    <n v="65"/>
    <x v="2"/>
    <n v="2"/>
    <n v="346.99"/>
    <n v="0.2"/>
    <n v="69.39800000000001"/>
    <n v="8"/>
    <n v="6"/>
  </r>
  <r>
    <n v="1037"/>
    <n v="4"/>
    <n v="92"/>
    <x v="3"/>
    <n v="1"/>
    <n v="209.99"/>
    <n v="7.0000000000000007E-2"/>
    <n v="14.699300000000003"/>
    <n v="9"/>
    <n v="6"/>
  </r>
  <r>
    <n v="1037"/>
    <n v="5"/>
    <n v="84"/>
    <x v="4"/>
    <n v="2"/>
    <n v="109.99"/>
    <n v="0.05"/>
    <n v="5.4995000000000003"/>
    <n v="3"/>
    <n v="6"/>
  </r>
  <r>
    <n v="1038"/>
    <n v="1"/>
    <n v="83"/>
    <x v="0"/>
    <n v="1"/>
    <n v="149.99"/>
    <n v="0.05"/>
    <n v="7.4995000000000012"/>
    <n v="9"/>
    <n v="6"/>
  </r>
  <r>
    <n v="1038"/>
    <n v="2"/>
    <n v="9"/>
    <x v="1"/>
    <n v="1"/>
    <n v="2999.99"/>
    <n v="7.0000000000000007E-2"/>
    <n v="209.99930000000001"/>
    <n v="5"/>
    <n v="6"/>
  </r>
  <r>
    <n v="1039"/>
    <n v="1"/>
    <n v="18"/>
    <x v="0"/>
    <n v="2"/>
    <n v="449"/>
    <n v="0.2"/>
    <n v="89.800000000000011"/>
    <n v="9"/>
    <n v="6"/>
  </r>
  <r>
    <n v="1040"/>
    <n v="1"/>
    <n v="97"/>
    <x v="0"/>
    <n v="1"/>
    <n v="349.99"/>
    <n v="0.1"/>
    <n v="34.999000000000002"/>
    <n v="9"/>
    <n v="6"/>
  </r>
  <r>
    <n v="1040"/>
    <n v="2"/>
    <n v="28"/>
    <x v="1"/>
    <n v="2"/>
    <n v="2499.9899999999998"/>
    <n v="0.2"/>
    <n v="499.99799999999999"/>
    <n v="5"/>
    <n v="6"/>
  </r>
  <r>
    <n v="1040"/>
    <n v="3"/>
    <n v="64"/>
    <x v="2"/>
    <n v="1"/>
    <n v="489.99"/>
    <n v="7.0000000000000007E-2"/>
    <n v="34.299300000000002"/>
    <n v="8"/>
    <n v="6"/>
  </r>
  <r>
    <n v="1040"/>
    <n v="4"/>
    <n v="27"/>
    <x v="3"/>
    <n v="2"/>
    <n v="999.99"/>
    <n v="7.0000000000000007E-2"/>
    <n v="69.999300000000005"/>
    <n v="9"/>
    <n v="6"/>
  </r>
  <r>
    <n v="1040"/>
    <n v="5"/>
    <n v="8"/>
    <x v="4"/>
    <n v="2"/>
    <n v="1799.99"/>
    <n v="0.05"/>
    <n v="89.999500000000012"/>
    <n v="3"/>
    <n v="6"/>
  </r>
  <r>
    <n v="1041"/>
    <n v="1"/>
    <n v="89"/>
    <x v="0"/>
    <n v="1"/>
    <n v="209.99"/>
    <n v="0.1"/>
    <n v="20.999000000000002"/>
    <n v="9"/>
    <n v="6"/>
  </r>
  <r>
    <n v="1041"/>
    <n v="2"/>
    <n v="61"/>
    <x v="1"/>
    <n v="2"/>
    <n v="4999.99"/>
    <n v="7.0000000000000007E-2"/>
    <n v="349.99930000000001"/>
    <n v="5"/>
    <n v="6"/>
  </r>
  <r>
    <n v="1041"/>
    <n v="3"/>
    <n v="94"/>
    <x v="2"/>
    <n v="2"/>
    <n v="249.99"/>
    <n v="0.1"/>
    <n v="24.999000000000002"/>
    <n v="8"/>
    <n v="6"/>
  </r>
  <r>
    <n v="1042"/>
    <n v="1"/>
    <n v="23"/>
    <x v="0"/>
    <n v="1"/>
    <n v="299.99"/>
    <n v="0.1"/>
    <n v="29.999000000000002"/>
    <n v="9"/>
    <n v="6"/>
  </r>
  <r>
    <n v="1043"/>
    <n v="1"/>
    <n v="55"/>
    <x v="0"/>
    <n v="2"/>
    <n v="2699.99"/>
    <n v="0.1"/>
    <n v="269.99899999999997"/>
    <n v="9"/>
    <n v="6"/>
  </r>
  <r>
    <n v="1043"/>
    <n v="2"/>
    <n v="20"/>
    <x v="1"/>
    <n v="1"/>
    <n v="599.99"/>
    <n v="7.0000000000000007E-2"/>
    <n v="41.999300000000005"/>
    <n v="5"/>
    <n v="6"/>
  </r>
  <r>
    <n v="1044"/>
    <n v="1"/>
    <n v="97"/>
    <x v="0"/>
    <n v="2"/>
    <n v="349.99"/>
    <n v="0.1"/>
    <n v="34.999000000000002"/>
    <n v="9"/>
    <n v="6"/>
  </r>
  <r>
    <n v="1045"/>
    <n v="1"/>
    <n v="28"/>
    <x v="0"/>
    <n v="1"/>
    <n v="2499.9899999999998"/>
    <n v="0.05"/>
    <n v="124.9995"/>
    <n v="9"/>
    <n v="6"/>
  </r>
  <r>
    <n v="1045"/>
    <n v="2"/>
    <n v="104"/>
    <x v="1"/>
    <n v="2"/>
    <n v="481.99"/>
    <n v="0.05"/>
    <n v="24.099500000000003"/>
    <n v="5"/>
    <n v="6"/>
  </r>
  <r>
    <n v="1046"/>
    <n v="1"/>
    <n v="60"/>
    <x v="0"/>
    <n v="1"/>
    <n v="1559.99"/>
    <n v="7.0000000000000007E-2"/>
    <n v="109.19930000000001"/>
    <n v="9"/>
    <n v="6"/>
  </r>
  <r>
    <n v="1046"/>
    <n v="2"/>
    <n v="79"/>
    <x v="1"/>
    <n v="1"/>
    <n v="402.99"/>
    <n v="7.0000000000000007E-2"/>
    <n v="28.209300000000002"/>
    <n v="5"/>
    <n v="6"/>
  </r>
  <r>
    <n v="1046"/>
    <n v="3"/>
    <n v="32"/>
    <x v="2"/>
    <n v="1"/>
    <n v="469.99"/>
    <n v="7.0000000000000007E-2"/>
    <n v="32.899300000000004"/>
    <n v="8"/>
    <n v="6"/>
  </r>
  <r>
    <n v="1046"/>
    <n v="4"/>
    <n v="41"/>
    <x v="3"/>
    <n v="2"/>
    <n v="1469.99"/>
    <n v="0.1"/>
    <n v="146.999"/>
    <n v="9"/>
    <n v="6"/>
  </r>
  <r>
    <n v="1046"/>
    <n v="5"/>
    <n v="17"/>
    <x v="4"/>
    <n v="2"/>
    <n v="429"/>
    <n v="0.05"/>
    <n v="21.450000000000003"/>
    <n v="3"/>
    <n v="6"/>
  </r>
  <r>
    <n v="1047"/>
    <n v="1"/>
    <n v="28"/>
    <x v="0"/>
    <n v="2"/>
    <n v="2499.9899999999998"/>
    <n v="0.1"/>
    <n v="249.999"/>
    <n v="9"/>
    <n v="6"/>
  </r>
  <r>
    <n v="1047"/>
    <n v="2"/>
    <n v="78"/>
    <x v="1"/>
    <n v="1"/>
    <n v="647.99"/>
    <n v="0.2"/>
    <n v="129.59800000000001"/>
    <n v="5"/>
    <n v="6"/>
  </r>
  <r>
    <n v="1047"/>
    <n v="3"/>
    <n v="35"/>
    <x v="2"/>
    <n v="1"/>
    <n v="832.99"/>
    <n v="0.05"/>
    <n v="41.649500000000003"/>
    <n v="8"/>
    <n v="6"/>
  </r>
  <r>
    <n v="1047"/>
    <n v="4"/>
    <n v="49"/>
    <x v="3"/>
    <n v="1"/>
    <n v="3499.99"/>
    <n v="0.05"/>
    <n v="174.99950000000001"/>
    <n v="9"/>
    <n v="6"/>
  </r>
  <r>
    <n v="1048"/>
    <n v="1"/>
    <n v="3"/>
    <x v="0"/>
    <n v="2"/>
    <n v="999.99"/>
    <n v="0.1"/>
    <n v="99.999000000000009"/>
    <n v="9"/>
    <n v="6"/>
  </r>
  <r>
    <n v="1048"/>
    <n v="2"/>
    <n v="37"/>
    <x v="1"/>
    <n v="1"/>
    <n v="379.99"/>
    <n v="0.1"/>
    <n v="37.999000000000002"/>
    <n v="5"/>
    <n v="6"/>
  </r>
  <r>
    <n v="1048"/>
    <n v="3"/>
    <n v="94"/>
    <x v="2"/>
    <n v="1"/>
    <n v="249.99"/>
    <n v="0.05"/>
    <n v="12.499500000000001"/>
    <n v="8"/>
    <n v="6"/>
  </r>
  <r>
    <n v="1049"/>
    <n v="1"/>
    <n v="9"/>
    <x v="0"/>
    <n v="1"/>
    <n v="2999.99"/>
    <n v="0.1"/>
    <n v="299.99899999999997"/>
    <n v="9"/>
    <n v="6"/>
  </r>
  <r>
    <n v="1049"/>
    <n v="2"/>
    <n v="36"/>
    <x v="1"/>
    <n v="2"/>
    <n v="832.99"/>
    <n v="0.05"/>
    <n v="41.649500000000003"/>
    <n v="5"/>
    <n v="6"/>
  </r>
  <r>
    <n v="1049"/>
    <n v="3"/>
    <n v="3"/>
    <x v="2"/>
    <n v="1"/>
    <n v="999.99"/>
    <n v="0.1"/>
    <n v="99.999000000000009"/>
    <n v="8"/>
    <n v="6"/>
  </r>
  <r>
    <n v="1049"/>
    <n v="4"/>
    <n v="26"/>
    <x v="3"/>
    <n v="1"/>
    <n v="599.99"/>
    <n v="7.0000000000000007E-2"/>
    <n v="41.999300000000005"/>
    <n v="9"/>
    <n v="6"/>
  </r>
  <r>
    <n v="1049"/>
    <n v="5"/>
    <n v="10"/>
    <x v="4"/>
    <n v="2"/>
    <n v="1549"/>
    <n v="0.05"/>
    <n v="77.45"/>
    <n v="3"/>
    <n v="6"/>
  </r>
  <r>
    <n v="1050"/>
    <n v="1"/>
    <n v="96"/>
    <x v="0"/>
    <n v="2"/>
    <n v="349.99"/>
    <n v="7.0000000000000007E-2"/>
    <n v="24.499300000000002"/>
    <n v="9"/>
    <n v="6"/>
  </r>
  <r>
    <n v="1050"/>
    <n v="2"/>
    <n v="99"/>
    <x v="1"/>
    <n v="2"/>
    <n v="299.99"/>
    <n v="0.1"/>
    <n v="29.999000000000002"/>
    <n v="5"/>
    <n v="6"/>
  </r>
  <r>
    <n v="1050"/>
    <n v="3"/>
    <n v="45"/>
    <x v="2"/>
    <n v="2"/>
    <n v="869.99"/>
    <n v="0.2"/>
    <n v="173.99800000000002"/>
    <n v="8"/>
    <n v="6"/>
  </r>
  <r>
    <n v="1050"/>
    <n v="4"/>
    <n v="14"/>
    <x v="3"/>
    <n v="2"/>
    <n v="269.99"/>
    <n v="0.2"/>
    <n v="53.998000000000005"/>
    <n v="9"/>
    <n v="6"/>
  </r>
  <r>
    <n v="1051"/>
    <n v="1"/>
    <n v="46"/>
    <x v="0"/>
    <n v="1"/>
    <n v="1409.99"/>
    <n v="0.2"/>
    <n v="281.99799999999999"/>
    <n v="9"/>
    <n v="6"/>
  </r>
  <r>
    <n v="1052"/>
    <n v="1"/>
    <n v="7"/>
    <x v="0"/>
    <n v="1"/>
    <n v="3999.99"/>
    <n v="0.05"/>
    <n v="199.99950000000001"/>
    <n v="9"/>
    <n v="6"/>
  </r>
  <r>
    <n v="1052"/>
    <n v="2"/>
    <n v="103"/>
    <x v="1"/>
    <n v="1"/>
    <n v="551.99"/>
    <n v="0.05"/>
    <n v="27.599500000000003"/>
    <n v="5"/>
    <n v="6"/>
  </r>
  <r>
    <n v="1052"/>
    <n v="3"/>
    <n v="26"/>
    <x v="2"/>
    <n v="2"/>
    <n v="599.99"/>
    <n v="7.0000000000000007E-2"/>
    <n v="41.999300000000005"/>
    <n v="8"/>
    <n v="6"/>
  </r>
  <r>
    <n v="1053"/>
    <n v="1"/>
    <n v="49"/>
    <x v="0"/>
    <n v="2"/>
    <n v="3499.99"/>
    <n v="0.05"/>
    <n v="174.99950000000001"/>
    <n v="9"/>
    <n v="6"/>
  </r>
  <r>
    <n v="1053"/>
    <n v="2"/>
    <n v="26"/>
    <x v="1"/>
    <n v="2"/>
    <n v="599.99"/>
    <n v="0.2"/>
    <n v="119.998"/>
    <n v="5"/>
    <n v="6"/>
  </r>
  <r>
    <n v="1053"/>
    <n v="3"/>
    <n v="23"/>
    <x v="2"/>
    <n v="2"/>
    <n v="299.99"/>
    <n v="0.2"/>
    <n v="59.998000000000005"/>
    <n v="8"/>
    <n v="6"/>
  </r>
  <r>
    <n v="1053"/>
    <n v="4"/>
    <n v="68"/>
    <x v="3"/>
    <n v="1"/>
    <n v="449.99"/>
    <n v="0.1"/>
    <n v="44.999000000000002"/>
    <n v="9"/>
    <n v="6"/>
  </r>
  <r>
    <n v="1053"/>
    <n v="5"/>
    <n v="73"/>
    <x v="4"/>
    <n v="2"/>
    <n v="749.99"/>
    <n v="0.05"/>
    <n v="37.499500000000005"/>
    <n v="3"/>
    <n v="6"/>
  </r>
  <r>
    <n v="1054"/>
    <n v="1"/>
    <n v="36"/>
    <x v="0"/>
    <n v="2"/>
    <n v="832.99"/>
    <n v="0.1"/>
    <n v="83.299000000000007"/>
    <n v="9"/>
    <n v="6"/>
  </r>
  <r>
    <n v="1054"/>
    <n v="2"/>
    <n v="16"/>
    <x v="1"/>
    <n v="1"/>
    <n v="599.99"/>
    <n v="0.05"/>
    <n v="29.999500000000001"/>
    <n v="5"/>
    <n v="6"/>
  </r>
  <r>
    <n v="1055"/>
    <n v="1"/>
    <n v="43"/>
    <x v="0"/>
    <n v="2"/>
    <n v="5299.99"/>
    <n v="7.0000000000000007E-2"/>
    <n v="370.99930000000001"/>
    <n v="9"/>
    <n v="6"/>
  </r>
  <r>
    <n v="1055"/>
    <n v="2"/>
    <n v="101"/>
    <x v="1"/>
    <n v="2"/>
    <n v="339.99"/>
    <n v="0.2"/>
    <n v="67.998000000000005"/>
    <n v="5"/>
    <n v="6"/>
  </r>
  <r>
    <n v="1055"/>
    <n v="3"/>
    <n v="12"/>
    <x v="2"/>
    <n v="2"/>
    <n v="549.99"/>
    <n v="0.1"/>
    <n v="54.999000000000002"/>
    <n v="8"/>
    <n v="6"/>
  </r>
  <r>
    <n v="1055"/>
    <n v="4"/>
    <n v="83"/>
    <x v="3"/>
    <n v="2"/>
    <n v="149.99"/>
    <n v="0.1"/>
    <n v="14.999000000000002"/>
    <n v="9"/>
    <n v="6"/>
  </r>
  <r>
    <n v="1055"/>
    <n v="5"/>
    <n v="60"/>
    <x v="4"/>
    <n v="1"/>
    <n v="1559.99"/>
    <n v="0.2"/>
    <n v="311.99800000000005"/>
    <n v="3"/>
    <n v="6"/>
  </r>
  <r>
    <n v="1056"/>
    <n v="1"/>
    <n v="3"/>
    <x v="0"/>
    <n v="1"/>
    <n v="999.99"/>
    <n v="0.05"/>
    <n v="49.999500000000005"/>
    <n v="9"/>
    <n v="6"/>
  </r>
  <r>
    <n v="1057"/>
    <n v="1"/>
    <n v="105"/>
    <x v="0"/>
    <n v="1"/>
    <n v="533.99"/>
    <n v="0.2"/>
    <n v="106.798"/>
    <n v="9"/>
    <n v="6"/>
  </r>
  <r>
    <n v="1057"/>
    <n v="2"/>
    <n v="97"/>
    <x v="1"/>
    <n v="1"/>
    <n v="349.99"/>
    <n v="0.05"/>
    <n v="17.499500000000001"/>
    <n v="5"/>
    <n v="6"/>
  </r>
  <r>
    <n v="1057"/>
    <n v="3"/>
    <n v="98"/>
    <x v="2"/>
    <n v="2"/>
    <n v="489.99"/>
    <n v="0.05"/>
    <n v="24.499500000000001"/>
    <n v="8"/>
    <n v="6"/>
  </r>
  <r>
    <n v="1058"/>
    <n v="1"/>
    <n v="43"/>
    <x v="0"/>
    <n v="1"/>
    <n v="5299.99"/>
    <n v="0.1"/>
    <n v="529.99900000000002"/>
    <n v="9"/>
    <n v="6"/>
  </r>
  <r>
    <n v="1058"/>
    <n v="2"/>
    <n v="29"/>
    <x v="1"/>
    <n v="2"/>
    <n v="999.99"/>
    <n v="0.05"/>
    <n v="49.999500000000005"/>
    <n v="5"/>
    <n v="6"/>
  </r>
  <r>
    <n v="1058"/>
    <n v="3"/>
    <n v="103"/>
    <x v="2"/>
    <n v="1"/>
    <n v="551.99"/>
    <n v="7.0000000000000007E-2"/>
    <n v="38.639300000000006"/>
    <n v="8"/>
    <n v="6"/>
  </r>
  <r>
    <n v="1059"/>
    <n v="1"/>
    <n v="46"/>
    <x v="0"/>
    <n v="2"/>
    <n v="1409.99"/>
    <n v="0.05"/>
    <n v="70.499499999999998"/>
    <n v="9"/>
    <n v="6"/>
  </r>
  <r>
    <n v="1059"/>
    <n v="2"/>
    <n v="7"/>
    <x v="1"/>
    <n v="1"/>
    <n v="3999.99"/>
    <n v="0.1"/>
    <n v="399.99900000000002"/>
    <n v="5"/>
    <n v="6"/>
  </r>
  <r>
    <n v="1059"/>
    <n v="3"/>
    <n v="13"/>
    <x v="2"/>
    <n v="1"/>
    <n v="269.99"/>
    <n v="7.0000000000000007E-2"/>
    <n v="18.899300000000004"/>
    <n v="8"/>
    <n v="6"/>
  </r>
  <r>
    <n v="1060"/>
    <n v="1"/>
    <n v="7"/>
    <x v="0"/>
    <n v="1"/>
    <n v="3999.99"/>
    <n v="7.0000000000000007E-2"/>
    <n v="279.99930000000001"/>
    <n v="9"/>
    <n v="6"/>
  </r>
  <r>
    <n v="1060"/>
    <n v="2"/>
    <n v="11"/>
    <x v="1"/>
    <n v="2"/>
    <n v="1680.99"/>
    <n v="7.0000000000000007E-2"/>
    <n v="117.66930000000001"/>
    <n v="5"/>
    <n v="6"/>
  </r>
  <r>
    <n v="1060"/>
    <n v="3"/>
    <n v="61"/>
    <x v="2"/>
    <n v="2"/>
    <n v="4999.99"/>
    <n v="0.1"/>
    <n v="499.99900000000002"/>
    <n v="8"/>
    <n v="6"/>
  </r>
  <r>
    <n v="1060"/>
    <n v="4"/>
    <n v="30"/>
    <x v="3"/>
    <n v="2"/>
    <n v="999.99"/>
    <n v="0.05"/>
    <n v="49.999500000000005"/>
    <n v="9"/>
    <n v="6"/>
  </r>
  <r>
    <n v="1061"/>
    <n v="1"/>
    <n v="14"/>
    <x v="0"/>
    <n v="1"/>
    <n v="269.99"/>
    <n v="7.0000000000000007E-2"/>
    <n v="18.899300000000004"/>
    <n v="9"/>
    <n v="6"/>
  </r>
  <r>
    <n v="1061"/>
    <n v="2"/>
    <n v="19"/>
    <x v="1"/>
    <n v="1"/>
    <n v="449"/>
    <n v="0.1"/>
    <n v="44.900000000000006"/>
    <n v="5"/>
    <n v="6"/>
  </r>
  <r>
    <n v="1062"/>
    <n v="1"/>
    <n v="13"/>
    <x v="0"/>
    <n v="1"/>
    <n v="269.99"/>
    <n v="0.05"/>
    <n v="13.499500000000001"/>
    <n v="9"/>
    <n v="6"/>
  </r>
  <r>
    <n v="1062"/>
    <n v="2"/>
    <n v="111"/>
    <x v="1"/>
    <n v="2"/>
    <n v="470.99"/>
    <n v="0.2"/>
    <n v="94.198000000000008"/>
    <n v="5"/>
    <n v="6"/>
  </r>
  <r>
    <n v="1062"/>
    <n v="3"/>
    <n v="5"/>
    <x v="2"/>
    <n v="1"/>
    <n v="1320.99"/>
    <n v="0.05"/>
    <n v="66.049500000000009"/>
    <n v="8"/>
    <n v="6"/>
  </r>
  <r>
    <n v="1062"/>
    <n v="4"/>
    <n v="12"/>
    <x v="3"/>
    <n v="1"/>
    <n v="549.99"/>
    <n v="0.2"/>
    <n v="109.998"/>
    <n v="9"/>
    <n v="6"/>
  </r>
  <r>
    <n v="1063"/>
    <n v="1"/>
    <n v="33"/>
    <x v="0"/>
    <n v="2"/>
    <n v="469.99"/>
    <n v="0.1"/>
    <n v="46.999000000000002"/>
    <n v="9"/>
    <n v="6"/>
  </r>
  <r>
    <n v="1063"/>
    <n v="2"/>
    <n v="100"/>
    <x v="1"/>
    <n v="2"/>
    <n v="489.99"/>
    <n v="7.0000000000000007E-2"/>
    <n v="34.299300000000002"/>
    <n v="5"/>
    <n v="6"/>
  </r>
  <r>
    <n v="1063"/>
    <n v="3"/>
    <n v="72"/>
    <x v="2"/>
    <n v="2"/>
    <n v="619.99"/>
    <n v="0.2"/>
    <n v="123.998"/>
    <n v="8"/>
    <n v="6"/>
  </r>
  <r>
    <n v="1064"/>
    <n v="1"/>
    <n v="18"/>
    <x v="0"/>
    <n v="1"/>
    <n v="449"/>
    <n v="7.0000000000000007E-2"/>
    <n v="31.430000000000003"/>
    <n v="9"/>
    <n v="6"/>
  </r>
  <r>
    <n v="1064"/>
    <n v="2"/>
    <n v="49"/>
    <x v="1"/>
    <n v="1"/>
    <n v="3499.99"/>
    <n v="0.1"/>
    <n v="349.99900000000002"/>
    <n v="5"/>
    <n v="6"/>
  </r>
  <r>
    <n v="1065"/>
    <n v="1"/>
    <n v="48"/>
    <x v="0"/>
    <n v="2"/>
    <n v="1499.99"/>
    <n v="7.0000000000000007E-2"/>
    <n v="104.99930000000001"/>
    <n v="9"/>
    <n v="6"/>
  </r>
  <r>
    <n v="1065"/>
    <n v="2"/>
    <n v="103"/>
    <x v="1"/>
    <n v="2"/>
    <n v="551.99"/>
    <n v="0.05"/>
    <n v="27.599500000000003"/>
    <n v="5"/>
    <n v="6"/>
  </r>
  <r>
    <n v="1065"/>
    <n v="3"/>
    <n v="63"/>
    <x v="2"/>
    <n v="1"/>
    <n v="3499.99"/>
    <n v="7.0000000000000007E-2"/>
    <n v="244.99930000000001"/>
    <n v="8"/>
    <n v="6"/>
  </r>
  <r>
    <n v="1066"/>
    <n v="1"/>
    <n v="15"/>
    <x v="0"/>
    <n v="2"/>
    <n v="529.99"/>
    <n v="0.05"/>
    <n v="26.499500000000001"/>
    <n v="9"/>
    <n v="6"/>
  </r>
  <r>
    <n v="1066"/>
    <n v="2"/>
    <n v="46"/>
    <x v="1"/>
    <n v="1"/>
    <n v="1409.99"/>
    <n v="0.1"/>
    <n v="140.999"/>
    <n v="5"/>
    <n v="6"/>
  </r>
  <r>
    <n v="1066"/>
    <n v="3"/>
    <n v="12"/>
    <x v="2"/>
    <n v="1"/>
    <n v="549.99"/>
    <n v="0.1"/>
    <n v="54.999000000000002"/>
    <n v="8"/>
    <n v="6"/>
  </r>
  <r>
    <n v="1067"/>
    <n v="1"/>
    <n v="74"/>
    <x v="0"/>
    <n v="2"/>
    <n v="439.99"/>
    <n v="7.0000000000000007E-2"/>
    <n v="30.799300000000002"/>
    <n v="9"/>
    <n v="6"/>
  </r>
  <r>
    <n v="1067"/>
    <n v="2"/>
    <n v="9"/>
    <x v="1"/>
    <n v="2"/>
    <n v="2999.99"/>
    <n v="0.2"/>
    <n v="599.99799999999993"/>
    <n v="5"/>
    <n v="6"/>
  </r>
  <r>
    <n v="1067"/>
    <n v="3"/>
    <n v="72"/>
    <x v="2"/>
    <n v="2"/>
    <n v="619.99"/>
    <n v="0.1"/>
    <n v="61.999000000000002"/>
    <n v="8"/>
    <n v="6"/>
  </r>
  <r>
    <n v="1067"/>
    <n v="4"/>
    <n v="6"/>
    <x v="3"/>
    <n v="2"/>
    <n v="469.99"/>
    <n v="0.2"/>
    <n v="93.998000000000005"/>
    <n v="9"/>
    <n v="6"/>
  </r>
  <r>
    <n v="1068"/>
    <n v="1"/>
    <n v="87"/>
    <x v="0"/>
    <n v="2"/>
    <n v="189.99"/>
    <n v="0.2"/>
    <n v="37.998000000000005"/>
    <n v="9"/>
    <n v="6"/>
  </r>
  <r>
    <n v="1068"/>
    <n v="2"/>
    <n v="82"/>
    <x v="1"/>
    <n v="1"/>
    <n v="659.99"/>
    <n v="0.2"/>
    <n v="131.99800000000002"/>
    <n v="5"/>
    <n v="6"/>
  </r>
  <r>
    <n v="1068"/>
    <n v="3"/>
    <n v="49"/>
    <x v="2"/>
    <n v="2"/>
    <n v="3499.99"/>
    <n v="0.2"/>
    <n v="699.99800000000005"/>
    <n v="8"/>
    <n v="6"/>
  </r>
  <r>
    <n v="1068"/>
    <n v="4"/>
    <n v="45"/>
    <x v="3"/>
    <n v="2"/>
    <n v="869.99"/>
    <n v="0.2"/>
    <n v="173.99800000000002"/>
    <n v="9"/>
    <n v="6"/>
  </r>
  <r>
    <n v="1069"/>
    <n v="1"/>
    <n v="109"/>
    <x v="0"/>
    <n v="1"/>
    <n v="416.99"/>
    <n v="7.0000000000000007E-2"/>
    <n v="29.189300000000003"/>
    <n v="9"/>
    <n v="6"/>
  </r>
  <r>
    <n v="1069"/>
    <n v="2"/>
    <n v="93"/>
    <x v="1"/>
    <n v="1"/>
    <n v="209.99"/>
    <n v="0.1"/>
    <n v="20.999000000000002"/>
    <n v="5"/>
    <n v="6"/>
  </r>
  <r>
    <n v="1070"/>
    <n v="1"/>
    <n v="110"/>
    <x v="0"/>
    <n v="1"/>
    <n v="470.99"/>
    <n v="0.2"/>
    <n v="94.198000000000008"/>
    <n v="9"/>
    <n v="6"/>
  </r>
  <r>
    <n v="1070"/>
    <n v="2"/>
    <n v="18"/>
    <x v="1"/>
    <n v="2"/>
    <n v="449"/>
    <n v="0.1"/>
    <n v="44.900000000000006"/>
    <n v="5"/>
    <n v="6"/>
  </r>
  <r>
    <n v="1070"/>
    <n v="3"/>
    <n v="94"/>
    <x v="2"/>
    <n v="1"/>
    <n v="249.99"/>
    <n v="0.05"/>
    <n v="12.499500000000001"/>
    <n v="8"/>
    <n v="6"/>
  </r>
  <r>
    <n v="1071"/>
    <n v="1"/>
    <n v="25"/>
    <x v="0"/>
    <n v="2"/>
    <n v="499.99"/>
    <n v="0.2"/>
    <n v="99.998000000000005"/>
    <n v="9"/>
    <n v="6"/>
  </r>
  <r>
    <n v="1072"/>
    <n v="1"/>
    <n v="83"/>
    <x v="0"/>
    <n v="1"/>
    <n v="149.99"/>
    <n v="0.2"/>
    <n v="29.998000000000005"/>
    <n v="9"/>
    <n v="6"/>
  </r>
  <r>
    <n v="1072"/>
    <n v="2"/>
    <n v="89"/>
    <x v="1"/>
    <n v="2"/>
    <n v="209.99"/>
    <n v="7.0000000000000007E-2"/>
    <n v="14.699300000000003"/>
    <n v="5"/>
    <n v="6"/>
  </r>
  <r>
    <n v="1072"/>
    <n v="3"/>
    <n v="36"/>
    <x v="2"/>
    <n v="2"/>
    <n v="832.99"/>
    <n v="7.0000000000000007E-2"/>
    <n v="58.309300000000007"/>
    <n v="8"/>
    <n v="6"/>
  </r>
  <r>
    <n v="1073"/>
    <n v="1"/>
    <n v="81"/>
    <x v="0"/>
    <n v="1"/>
    <n v="1099.99"/>
    <n v="0.2"/>
    <n v="219.99800000000002"/>
    <n v="9"/>
    <n v="6"/>
  </r>
  <r>
    <n v="1073"/>
    <n v="2"/>
    <n v="13"/>
    <x v="1"/>
    <n v="1"/>
    <n v="269.99"/>
    <n v="7.0000000000000007E-2"/>
    <n v="18.899300000000004"/>
    <n v="5"/>
    <n v="6"/>
  </r>
  <r>
    <n v="1073"/>
    <n v="3"/>
    <n v="20"/>
    <x v="2"/>
    <n v="1"/>
    <n v="599.99"/>
    <n v="0.2"/>
    <n v="119.998"/>
    <n v="8"/>
    <n v="6"/>
  </r>
  <r>
    <n v="1074"/>
    <n v="1"/>
    <n v="59"/>
    <x v="0"/>
    <n v="1"/>
    <n v="2599.9899999999998"/>
    <n v="0.1"/>
    <n v="259.99899999999997"/>
    <n v="9"/>
    <n v="6"/>
  </r>
  <r>
    <n v="1074"/>
    <n v="2"/>
    <n v="87"/>
    <x v="1"/>
    <n v="1"/>
    <n v="189.99"/>
    <n v="7.0000000000000007E-2"/>
    <n v="13.299300000000002"/>
    <n v="5"/>
    <n v="6"/>
  </r>
  <r>
    <n v="1074"/>
    <n v="3"/>
    <n v="89"/>
    <x v="2"/>
    <n v="2"/>
    <n v="209.99"/>
    <n v="0.1"/>
    <n v="20.999000000000002"/>
    <n v="8"/>
    <n v="6"/>
  </r>
  <r>
    <n v="1075"/>
    <n v="1"/>
    <n v="48"/>
    <x v="0"/>
    <n v="2"/>
    <n v="1499.99"/>
    <n v="0.1"/>
    <n v="149.999"/>
    <n v="9"/>
    <n v="6"/>
  </r>
  <r>
    <n v="1075"/>
    <n v="2"/>
    <n v="111"/>
    <x v="1"/>
    <n v="2"/>
    <n v="470.99"/>
    <n v="0.05"/>
    <n v="23.549500000000002"/>
    <n v="5"/>
    <n v="6"/>
  </r>
  <r>
    <n v="1076"/>
    <n v="1"/>
    <n v="95"/>
    <x v="0"/>
    <n v="1"/>
    <n v="299.99"/>
    <n v="0.1"/>
    <n v="29.999000000000002"/>
    <n v="9"/>
    <n v="6"/>
  </r>
  <r>
    <n v="1076"/>
    <n v="2"/>
    <n v="102"/>
    <x v="1"/>
    <n v="1"/>
    <n v="489.99"/>
    <n v="7.0000000000000007E-2"/>
    <n v="34.299300000000002"/>
    <n v="5"/>
    <n v="6"/>
  </r>
  <r>
    <n v="1076"/>
    <n v="3"/>
    <n v="73"/>
    <x v="2"/>
    <n v="2"/>
    <n v="749.99"/>
    <n v="7.0000000000000007E-2"/>
    <n v="52.499300000000005"/>
    <n v="8"/>
    <n v="6"/>
  </r>
  <r>
    <n v="1077"/>
    <n v="1"/>
    <n v="60"/>
    <x v="0"/>
    <n v="2"/>
    <n v="1559.99"/>
    <n v="0.05"/>
    <n v="77.999500000000012"/>
    <n v="9"/>
    <n v="6"/>
  </r>
  <r>
    <n v="1078"/>
    <n v="1"/>
    <n v="76"/>
    <x v="0"/>
    <n v="2"/>
    <n v="299.99"/>
    <n v="7.0000000000000007E-2"/>
    <n v="20.999300000000002"/>
    <n v="9"/>
    <n v="6"/>
  </r>
  <r>
    <n v="1078"/>
    <n v="2"/>
    <n v="60"/>
    <x v="1"/>
    <n v="2"/>
    <n v="1559.99"/>
    <n v="0.2"/>
    <n v="311.99800000000005"/>
    <n v="5"/>
    <n v="6"/>
  </r>
  <r>
    <n v="1078"/>
    <n v="3"/>
    <n v="15"/>
    <x v="2"/>
    <n v="1"/>
    <n v="529.99"/>
    <n v="7.0000000000000007E-2"/>
    <n v="37.099300000000007"/>
    <n v="8"/>
    <n v="6"/>
  </r>
  <r>
    <n v="1078"/>
    <n v="4"/>
    <n v="10"/>
    <x v="3"/>
    <n v="2"/>
    <n v="1549"/>
    <n v="0.1"/>
    <n v="154.9"/>
    <n v="9"/>
    <n v="6"/>
  </r>
  <r>
    <n v="1078"/>
    <n v="5"/>
    <n v="72"/>
    <x v="4"/>
    <n v="2"/>
    <n v="619.99"/>
    <n v="0.2"/>
    <n v="123.998"/>
    <n v="3"/>
    <n v="6"/>
  </r>
  <r>
    <n v="1079"/>
    <n v="1"/>
    <n v="70"/>
    <x v="0"/>
    <n v="2"/>
    <n v="659.99"/>
    <n v="7.0000000000000007E-2"/>
    <n v="46.199300000000008"/>
    <n v="9"/>
    <n v="6"/>
  </r>
  <r>
    <n v="1080"/>
    <n v="1"/>
    <n v="31"/>
    <x v="0"/>
    <n v="1"/>
    <n v="1632.99"/>
    <n v="0.2"/>
    <n v="326.59800000000001"/>
    <n v="9"/>
    <n v="6"/>
  </r>
  <r>
    <n v="1080"/>
    <n v="2"/>
    <n v="40"/>
    <x v="1"/>
    <n v="1"/>
    <n v="4999.99"/>
    <n v="0.1"/>
    <n v="499.99900000000002"/>
    <n v="5"/>
    <n v="6"/>
  </r>
  <r>
    <n v="1080"/>
    <n v="3"/>
    <n v="50"/>
    <x v="2"/>
    <n v="1"/>
    <n v="5999.99"/>
    <n v="0.05"/>
    <n v="299.99950000000001"/>
    <n v="8"/>
    <n v="6"/>
  </r>
  <r>
    <n v="1080"/>
    <n v="4"/>
    <n v="32"/>
    <x v="3"/>
    <n v="2"/>
    <n v="469.99"/>
    <n v="0.2"/>
    <n v="93.998000000000005"/>
    <n v="9"/>
    <n v="6"/>
  </r>
  <r>
    <n v="1080"/>
    <n v="5"/>
    <n v="86"/>
    <x v="4"/>
    <n v="1"/>
    <n v="149.99"/>
    <n v="0.05"/>
    <n v="7.4995000000000012"/>
    <n v="3"/>
    <n v="6"/>
  </r>
  <r>
    <n v="1081"/>
    <n v="1"/>
    <n v="52"/>
    <x v="0"/>
    <n v="2"/>
    <n v="875.99"/>
    <n v="0.1"/>
    <n v="87.599000000000004"/>
    <n v="9"/>
    <n v="6"/>
  </r>
  <r>
    <n v="1082"/>
    <n v="1"/>
    <n v="29"/>
    <x v="0"/>
    <n v="2"/>
    <n v="999.99"/>
    <n v="0.2"/>
    <n v="199.99800000000002"/>
    <n v="9"/>
    <n v="6"/>
  </r>
  <r>
    <n v="1083"/>
    <n v="1"/>
    <n v="65"/>
    <x v="0"/>
    <n v="2"/>
    <n v="346.99"/>
    <n v="0.2"/>
    <n v="69.39800000000001"/>
    <n v="9"/>
    <n v="6"/>
  </r>
  <r>
    <n v="1083"/>
    <n v="2"/>
    <n v="77"/>
    <x v="1"/>
    <n v="2"/>
    <n v="799.99"/>
    <n v="0.1"/>
    <n v="79.999000000000009"/>
    <n v="5"/>
    <n v="6"/>
  </r>
  <r>
    <n v="1083"/>
    <n v="3"/>
    <n v="61"/>
    <x v="2"/>
    <n v="1"/>
    <n v="4999.99"/>
    <n v="7.0000000000000007E-2"/>
    <n v="349.99930000000001"/>
    <n v="8"/>
    <n v="6"/>
  </r>
  <r>
    <n v="1083"/>
    <n v="4"/>
    <n v="33"/>
    <x v="3"/>
    <n v="1"/>
    <n v="469.99"/>
    <n v="0.2"/>
    <n v="93.998000000000005"/>
    <n v="9"/>
    <n v="6"/>
  </r>
  <r>
    <n v="1084"/>
    <n v="1"/>
    <n v="30"/>
    <x v="0"/>
    <n v="1"/>
    <n v="999.99"/>
    <n v="0.05"/>
    <n v="49.999500000000005"/>
    <n v="9"/>
    <n v="6"/>
  </r>
  <r>
    <n v="1084"/>
    <n v="2"/>
    <n v="70"/>
    <x v="1"/>
    <n v="1"/>
    <n v="659.99"/>
    <n v="0.05"/>
    <n v="32.999500000000005"/>
    <n v="5"/>
    <n v="6"/>
  </r>
  <r>
    <n v="1084"/>
    <n v="3"/>
    <n v="98"/>
    <x v="2"/>
    <n v="2"/>
    <n v="489.99"/>
    <n v="0.2"/>
    <n v="97.998000000000005"/>
    <n v="8"/>
    <n v="6"/>
  </r>
  <r>
    <n v="1084"/>
    <n v="4"/>
    <n v="65"/>
    <x v="3"/>
    <n v="2"/>
    <n v="346.99"/>
    <n v="7.0000000000000007E-2"/>
    <n v="24.289300000000004"/>
    <n v="9"/>
    <n v="6"/>
  </r>
  <r>
    <n v="1084"/>
    <n v="5"/>
    <n v="60"/>
    <x v="4"/>
    <n v="1"/>
    <n v="1559.99"/>
    <n v="0.1"/>
    <n v="155.99900000000002"/>
    <n v="3"/>
    <n v="6"/>
  </r>
  <r>
    <n v="1085"/>
    <n v="1"/>
    <n v="66"/>
    <x v="0"/>
    <n v="2"/>
    <n v="250.99"/>
    <n v="0.2"/>
    <n v="50.198000000000008"/>
    <n v="9"/>
    <n v="6"/>
  </r>
  <r>
    <n v="1085"/>
    <n v="2"/>
    <n v="64"/>
    <x v="1"/>
    <n v="1"/>
    <n v="489.99"/>
    <n v="0.1"/>
    <n v="48.999000000000002"/>
    <n v="5"/>
    <n v="6"/>
  </r>
  <r>
    <n v="1085"/>
    <n v="3"/>
    <n v="74"/>
    <x v="2"/>
    <n v="1"/>
    <n v="439.99"/>
    <n v="0.1"/>
    <n v="43.999000000000002"/>
    <n v="8"/>
    <n v="6"/>
  </r>
  <r>
    <n v="1086"/>
    <n v="1"/>
    <n v="108"/>
    <x v="0"/>
    <n v="1"/>
    <n v="449.99"/>
    <n v="7.0000000000000007E-2"/>
    <n v="31.499300000000005"/>
    <n v="9"/>
    <n v="6"/>
  </r>
  <r>
    <n v="1086"/>
    <n v="2"/>
    <n v="67"/>
    <x v="1"/>
    <n v="1"/>
    <n v="250.99"/>
    <n v="0.1"/>
    <n v="25.099000000000004"/>
    <n v="5"/>
    <n v="6"/>
  </r>
  <r>
    <n v="1086"/>
    <n v="3"/>
    <n v="81"/>
    <x v="2"/>
    <n v="2"/>
    <n v="1099.99"/>
    <n v="0.05"/>
    <n v="54.999500000000005"/>
    <n v="8"/>
    <n v="6"/>
  </r>
  <r>
    <n v="1086"/>
    <n v="4"/>
    <n v="10"/>
    <x v="3"/>
    <n v="2"/>
    <n v="1549"/>
    <n v="7.0000000000000007E-2"/>
    <n v="108.43"/>
    <n v="9"/>
    <n v="6"/>
  </r>
  <r>
    <n v="1086"/>
    <n v="5"/>
    <n v="5"/>
    <x v="4"/>
    <n v="1"/>
    <n v="1320.99"/>
    <n v="0.2"/>
    <n v="264.19800000000004"/>
    <n v="3"/>
    <n v="6"/>
  </r>
  <r>
    <n v="1087"/>
    <n v="1"/>
    <n v="15"/>
    <x v="0"/>
    <n v="1"/>
    <n v="529.99"/>
    <n v="7.0000000000000007E-2"/>
    <n v="37.099300000000007"/>
    <n v="9"/>
    <n v="6"/>
  </r>
  <r>
    <n v="1087"/>
    <n v="2"/>
    <n v="102"/>
    <x v="1"/>
    <n v="2"/>
    <n v="489.99"/>
    <n v="7.0000000000000007E-2"/>
    <n v="34.299300000000002"/>
    <n v="5"/>
    <n v="6"/>
  </r>
  <r>
    <n v="1087"/>
    <n v="3"/>
    <n v="59"/>
    <x v="2"/>
    <n v="2"/>
    <n v="2599.9899999999998"/>
    <n v="0.1"/>
    <n v="259.99899999999997"/>
    <n v="8"/>
    <n v="6"/>
  </r>
  <r>
    <n v="1087"/>
    <n v="4"/>
    <n v="13"/>
    <x v="3"/>
    <n v="2"/>
    <n v="269.99"/>
    <n v="7.0000000000000007E-2"/>
    <n v="18.899300000000004"/>
    <n v="9"/>
    <n v="6"/>
  </r>
  <r>
    <n v="1087"/>
    <n v="5"/>
    <n v="109"/>
    <x v="4"/>
    <n v="2"/>
    <n v="416.99"/>
    <n v="0.2"/>
    <n v="83.39800000000001"/>
    <n v="3"/>
    <n v="6"/>
  </r>
  <r>
    <n v="1088"/>
    <n v="1"/>
    <n v="64"/>
    <x v="0"/>
    <n v="1"/>
    <n v="489.99"/>
    <n v="0.1"/>
    <n v="48.999000000000002"/>
    <n v="9"/>
    <n v="6"/>
  </r>
  <r>
    <n v="1088"/>
    <n v="2"/>
    <n v="30"/>
    <x v="1"/>
    <n v="1"/>
    <n v="999.99"/>
    <n v="0.1"/>
    <n v="99.999000000000009"/>
    <n v="5"/>
    <n v="6"/>
  </r>
  <r>
    <n v="1088"/>
    <n v="3"/>
    <n v="33"/>
    <x v="2"/>
    <n v="1"/>
    <n v="469.99"/>
    <n v="7.0000000000000007E-2"/>
    <n v="32.899300000000004"/>
    <n v="8"/>
    <n v="6"/>
  </r>
  <r>
    <n v="1088"/>
    <n v="4"/>
    <n v="36"/>
    <x v="3"/>
    <n v="2"/>
    <n v="832.99"/>
    <n v="0.2"/>
    <n v="166.59800000000001"/>
    <n v="9"/>
    <n v="6"/>
  </r>
  <r>
    <n v="1089"/>
    <n v="1"/>
    <n v="70"/>
    <x v="0"/>
    <n v="2"/>
    <n v="659.99"/>
    <n v="7.0000000000000007E-2"/>
    <n v="46.199300000000008"/>
    <n v="9"/>
    <n v="6"/>
  </r>
  <r>
    <n v="1089"/>
    <n v="2"/>
    <n v="30"/>
    <x v="1"/>
    <n v="2"/>
    <n v="999.99"/>
    <n v="0.05"/>
    <n v="49.999500000000005"/>
    <n v="5"/>
    <n v="6"/>
  </r>
  <r>
    <n v="1090"/>
    <n v="1"/>
    <n v="74"/>
    <x v="0"/>
    <n v="1"/>
    <n v="439.99"/>
    <n v="0.2"/>
    <n v="87.998000000000005"/>
    <n v="9"/>
    <n v="6"/>
  </r>
  <r>
    <n v="1091"/>
    <n v="1"/>
    <n v="97"/>
    <x v="0"/>
    <n v="1"/>
    <n v="349.99"/>
    <n v="0.05"/>
    <n v="17.499500000000001"/>
    <n v="9"/>
    <n v="6"/>
  </r>
  <r>
    <n v="1091"/>
    <n v="2"/>
    <n v="56"/>
    <x v="1"/>
    <n v="1"/>
    <n v="5499.99"/>
    <n v="0.1"/>
    <n v="549.99900000000002"/>
    <n v="5"/>
    <n v="6"/>
  </r>
  <r>
    <n v="1091"/>
    <n v="3"/>
    <n v="19"/>
    <x v="2"/>
    <n v="1"/>
    <n v="449"/>
    <n v="0.1"/>
    <n v="44.900000000000006"/>
    <n v="8"/>
    <n v="6"/>
  </r>
  <r>
    <n v="1092"/>
    <n v="1"/>
    <n v="34"/>
    <x v="0"/>
    <n v="1"/>
    <n v="469.99"/>
    <n v="0.05"/>
    <n v="23.499500000000001"/>
    <n v="9"/>
    <n v="6"/>
  </r>
  <r>
    <n v="1092"/>
    <n v="2"/>
    <n v="30"/>
    <x v="1"/>
    <n v="2"/>
    <n v="999.99"/>
    <n v="7.0000000000000007E-2"/>
    <n v="69.999300000000005"/>
    <n v="5"/>
    <n v="6"/>
  </r>
  <r>
    <n v="1092"/>
    <n v="3"/>
    <n v="2"/>
    <x v="2"/>
    <n v="2"/>
    <n v="749.99"/>
    <n v="0.1"/>
    <n v="74.999000000000009"/>
    <n v="8"/>
    <n v="6"/>
  </r>
  <r>
    <n v="1092"/>
    <n v="4"/>
    <n v="18"/>
    <x v="3"/>
    <n v="1"/>
    <n v="449"/>
    <n v="0.2"/>
    <n v="89.800000000000011"/>
    <n v="9"/>
    <n v="6"/>
  </r>
  <r>
    <n v="1093"/>
    <n v="1"/>
    <n v="45"/>
    <x v="0"/>
    <n v="2"/>
    <n v="869.99"/>
    <n v="7.0000000000000007E-2"/>
    <n v="60.899300000000004"/>
    <n v="9"/>
    <n v="6"/>
  </r>
  <r>
    <n v="1093"/>
    <n v="2"/>
    <n v="17"/>
    <x v="1"/>
    <n v="2"/>
    <n v="429"/>
    <n v="0.1"/>
    <n v="42.900000000000006"/>
    <n v="5"/>
    <n v="6"/>
  </r>
  <r>
    <n v="1093"/>
    <n v="3"/>
    <n v="90"/>
    <x v="2"/>
    <n v="2"/>
    <n v="209.99"/>
    <n v="0.1"/>
    <n v="20.999000000000002"/>
    <n v="8"/>
    <n v="6"/>
  </r>
  <r>
    <n v="1094"/>
    <n v="1"/>
    <n v="71"/>
    <x v="0"/>
    <n v="1"/>
    <n v="416.99"/>
    <n v="0.1"/>
    <n v="41.699000000000005"/>
    <n v="9"/>
    <n v="6"/>
  </r>
  <r>
    <n v="1094"/>
    <n v="2"/>
    <n v="11"/>
    <x v="1"/>
    <n v="1"/>
    <n v="1680.99"/>
    <n v="0.1"/>
    <n v="168.09900000000002"/>
    <n v="5"/>
    <n v="6"/>
  </r>
  <r>
    <n v="1094"/>
    <n v="3"/>
    <n v="24"/>
    <x v="2"/>
    <n v="1"/>
    <n v="549.99"/>
    <n v="0.1"/>
    <n v="54.999000000000002"/>
    <n v="8"/>
    <n v="6"/>
  </r>
  <r>
    <n v="1094"/>
    <n v="4"/>
    <n v="107"/>
    <x v="3"/>
    <n v="1"/>
    <n v="416.99"/>
    <n v="0.2"/>
    <n v="83.39800000000001"/>
    <n v="9"/>
    <n v="6"/>
  </r>
  <r>
    <n v="1095"/>
    <n v="1"/>
    <n v="78"/>
    <x v="0"/>
    <n v="2"/>
    <n v="647.99"/>
    <n v="0.05"/>
    <n v="32.399500000000003"/>
    <n v="9"/>
    <n v="6"/>
  </r>
  <r>
    <n v="1095"/>
    <n v="2"/>
    <n v="3"/>
    <x v="1"/>
    <n v="2"/>
    <n v="999.99"/>
    <n v="0.2"/>
    <n v="199.99800000000002"/>
    <n v="5"/>
    <n v="6"/>
  </r>
  <r>
    <n v="1095"/>
    <n v="3"/>
    <n v="15"/>
    <x v="2"/>
    <n v="2"/>
    <n v="529.99"/>
    <n v="0.1"/>
    <n v="52.999000000000002"/>
    <n v="8"/>
    <n v="6"/>
  </r>
  <r>
    <n v="1095"/>
    <n v="4"/>
    <n v="31"/>
    <x v="3"/>
    <n v="1"/>
    <n v="1632.99"/>
    <n v="0.2"/>
    <n v="326.59800000000001"/>
    <n v="9"/>
    <n v="6"/>
  </r>
  <r>
    <n v="1095"/>
    <n v="5"/>
    <n v="50"/>
    <x v="4"/>
    <n v="2"/>
    <n v="5999.99"/>
    <n v="0.05"/>
    <n v="299.99950000000001"/>
    <n v="3"/>
    <n v="6"/>
  </r>
  <r>
    <n v="1096"/>
    <n v="1"/>
    <n v="11"/>
    <x v="0"/>
    <n v="1"/>
    <n v="1680.99"/>
    <n v="0.1"/>
    <n v="168.09900000000002"/>
    <n v="9"/>
    <n v="6"/>
  </r>
  <r>
    <n v="1097"/>
    <n v="1"/>
    <n v="99"/>
    <x v="0"/>
    <n v="1"/>
    <n v="299.99"/>
    <n v="0.05"/>
    <n v="14.999500000000001"/>
    <n v="9"/>
    <n v="6"/>
  </r>
  <r>
    <n v="1097"/>
    <n v="2"/>
    <n v="106"/>
    <x v="1"/>
    <n v="2"/>
    <n v="449.99"/>
    <n v="7.0000000000000007E-2"/>
    <n v="31.499300000000005"/>
    <n v="5"/>
    <n v="6"/>
  </r>
  <r>
    <n v="1097"/>
    <n v="3"/>
    <n v="98"/>
    <x v="2"/>
    <n v="2"/>
    <n v="489.99"/>
    <n v="7.0000000000000007E-2"/>
    <n v="34.299300000000002"/>
    <n v="8"/>
    <n v="6"/>
  </r>
  <r>
    <n v="1097"/>
    <n v="4"/>
    <n v="19"/>
    <x v="3"/>
    <n v="1"/>
    <n v="449"/>
    <n v="0.2"/>
    <n v="89.800000000000011"/>
    <n v="9"/>
    <n v="6"/>
  </r>
  <r>
    <n v="1097"/>
    <n v="5"/>
    <n v="35"/>
    <x v="4"/>
    <n v="2"/>
    <n v="832.99"/>
    <n v="0.05"/>
    <n v="41.649500000000003"/>
    <n v="3"/>
    <n v="6"/>
  </r>
  <r>
    <n v="1098"/>
    <n v="1"/>
    <n v="88"/>
    <x v="0"/>
    <n v="1"/>
    <n v="189.99"/>
    <n v="0.1"/>
    <n v="18.999000000000002"/>
    <n v="9"/>
    <n v="6"/>
  </r>
  <r>
    <n v="1099"/>
    <n v="1"/>
    <n v="64"/>
    <x v="0"/>
    <n v="1"/>
    <n v="489.99"/>
    <n v="0.1"/>
    <n v="48.999000000000002"/>
    <n v="9"/>
    <n v="6"/>
  </r>
  <r>
    <n v="1099"/>
    <n v="2"/>
    <n v="13"/>
    <x v="1"/>
    <n v="2"/>
    <n v="269.99"/>
    <n v="0.05"/>
    <n v="13.499500000000001"/>
    <n v="5"/>
    <n v="6"/>
  </r>
  <r>
    <n v="1099"/>
    <n v="3"/>
    <n v="46"/>
    <x v="2"/>
    <n v="1"/>
    <n v="1409.99"/>
    <n v="7.0000000000000007E-2"/>
    <n v="98.699300000000008"/>
    <n v="8"/>
    <n v="6"/>
  </r>
  <r>
    <n v="1099"/>
    <n v="4"/>
    <n v="89"/>
    <x v="3"/>
    <n v="2"/>
    <n v="209.99"/>
    <n v="0.1"/>
    <n v="20.999000000000002"/>
    <n v="9"/>
    <n v="6"/>
  </r>
  <r>
    <n v="1100"/>
    <n v="1"/>
    <n v="12"/>
    <x v="0"/>
    <n v="1"/>
    <n v="549.99"/>
    <n v="0.05"/>
    <n v="27.499500000000001"/>
    <n v="9"/>
    <n v="6"/>
  </r>
  <r>
    <n v="1100"/>
    <n v="2"/>
    <n v="9"/>
    <x v="1"/>
    <n v="2"/>
    <n v="2999.99"/>
    <n v="0.1"/>
    <n v="299.99899999999997"/>
    <n v="5"/>
    <n v="6"/>
  </r>
  <r>
    <n v="1101"/>
    <n v="1"/>
    <n v="105"/>
    <x v="0"/>
    <n v="1"/>
    <n v="533.99"/>
    <n v="7.0000000000000007E-2"/>
    <n v="37.379300000000008"/>
    <n v="9"/>
    <n v="6"/>
  </r>
  <r>
    <n v="1101"/>
    <n v="2"/>
    <n v="51"/>
    <x v="1"/>
    <n v="1"/>
    <n v="6499.99"/>
    <n v="0.05"/>
    <n v="324.99950000000001"/>
    <n v="5"/>
    <n v="6"/>
  </r>
  <r>
    <n v="1102"/>
    <n v="1"/>
    <n v="91"/>
    <x v="0"/>
    <n v="1"/>
    <n v="349.99"/>
    <n v="7.0000000000000007E-2"/>
    <n v="24.499300000000002"/>
    <n v="9"/>
    <n v="6"/>
  </r>
  <r>
    <n v="1103"/>
    <n v="1"/>
    <n v="106"/>
    <x v="0"/>
    <n v="1"/>
    <n v="449.99"/>
    <n v="0.2"/>
    <n v="89.998000000000005"/>
    <n v="9"/>
    <n v="6"/>
  </r>
  <r>
    <n v="1103"/>
    <n v="2"/>
    <n v="46"/>
    <x v="1"/>
    <n v="2"/>
    <n v="1409.99"/>
    <n v="0.2"/>
    <n v="281.99799999999999"/>
    <n v="5"/>
    <n v="6"/>
  </r>
  <r>
    <n v="1104"/>
    <n v="1"/>
    <n v="17"/>
    <x v="0"/>
    <n v="1"/>
    <n v="429"/>
    <n v="0.1"/>
    <n v="42.900000000000006"/>
    <n v="9"/>
    <n v="6"/>
  </r>
  <r>
    <n v="1104"/>
    <n v="2"/>
    <n v="70"/>
    <x v="1"/>
    <n v="2"/>
    <n v="659.99"/>
    <n v="0.1"/>
    <n v="65.999000000000009"/>
    <n v="5"/>
    <n v="6"/>
  </r>
  <r>
    <n v="1104"/>
    <n v="3"/>
    <n v="43"/>
    <x v="2"/>
    <n v="1"/>
    <n v="5299.99"/>
    <n v="7.0000000000000007E-2"/>
    <n v="370.99930000000001"/>
    <n v="8"/>
    <n v="6"/>
  </r>
  <r>
    <n v="1104"/>
    <n v="4"/>
    <n v="80"/>
    <x v="3"/>
    <n v="1"/>
    <n v="761.99"/>
    <n v="7.0000000000000007E-2"/>
    <n v="53.339300000000009"/>
    <n v="9"/>
    <n v="6"/>
  </r>
  <r>
    <n v="1105"/>
    <n v="1"/>
    <n v="60"/>
    <x v="0"/>
    <n v="1"/>
    <n v="1559.99"/>
    <n v="0.05"/>
    <n v="77.999500000000012"/>
    <n v="9"/>
    <n v="6"/>
  </r>
  <r>
    <n v="1105"/>
    <n v="2"/>
    <n v="56"/>
    <x v="1"/>
    <n v="2"/>
    <n v="5499.99"/>
    <n v="0.2"/>
    <n v="1099.998"/>
    <n v="5"/>
    <n v="6"/>
  </r>
  <r>
    <n v="1105"/>
    <n v="3"/>
    <n v="35"/>
    <x v="2"/>
    <n v="2"/>
    <n v="832.99"/>
    <n v="7.0000000000000007E-2"/>
    <n v="58.309300000000007"/>
    <n v="8"/>
    <n v="6"/>
  </r>
  <r>
    <n v="1106"/>
    <n v="1"/>
    <n v="96"/>
    <x v="0"/>
    <n v="1"/>
    <n v="349.99"/>
    <n v="0.1"/>
    <n v="34.999000000000002"/>
    <n v="9"/>
    <n v="6"/>
  </r>
  <r>
    <n v="1107"/>
    <n v="1"/>
    <n v="43"/>
    <x v="0"/>
    <n v="1"/>
    <n v="5299.99"/>
    <n v="0.2"/>
    <n v="1059.998"/>
    <n v="9"/>
    <n v="6"/>
  </r>
  <r>
    <n v="1107"/>
    <n v="2"/>
    <n v="41"/>
    <x v="1"/>
    <n v="2"/>
    <n v="1469.99"/>
    <n v="0.2"/>
    <n v="293.99799999999999"/>
    <n v="5"/>
    <n v="6"/>
  </r>
  <r>
    <n v="1108"/>
    <n v="1"/>
    <n v="45"/>
    <x v="0"/>
    <n v="2"/>
    <n v="869.99"/>
    <n v="0.05"/>
    <n v="43.499500000000005"/>
    <n v="9"/>
    <n v="6"/>
  </r>
  <r>
    <n v="1108"/>
    <n v="2"/>
    <n v="100"/>
    <x v="1"/>
    <n v="1"/>
    <n v="489.99"/>
    <n v="7.0000000000000007E-2"/>
    <n v="34.299300000000002"/>
    <n v="5"/>
    <n v="6"/>
  </r>
  <r>
    <n v="1108"/>
    <n v="3"/>
    <n v="105"/>
    <x v="2"/>
    <n v="1"/>
    <n v="533.99"/>
    <n v="7.0000000000000007E-2"/>
    <n v="37.379300000000008"/>
    <n v="8"/>
    <n v="6"/>
  </r>
  <r>
    <n v="1109"/>
    <n v="1"/>
    <n v="72"/>
    <x v="0"/>
    <n v="2"/>
    <n v="619.99"/>
    <n v="0.1"/>
    <n v="61.999000000000002"/>
    <n v="9"/>
    <n v="6"/>
  </r>
  <r>
    <n v="1110"/>
    <n v="1"/>
    <n v="56"/>
    <x v="0"/>
    <n v="1"/>
    <n v="5499.99"/>
    <n v="0.1"/>
    <n v="549.99900000000002"/>
    <n v="9"/>
    <n v="6"/>
  </r>
  <r>
    <n v="1111"/>
    <n v="1"/>
    <n v="95"/>
    <x v="0"/>
    <n v="1"/>
    <n v="299.99"/>
    <n v="0.05"/>
    <n v="14.999500000000001"/>
    <n v="9"/>
    <n v="6"/>
  </r>
  <r>
    <n v="1111"/>
    <n v="2"/>
    <n v="66"/>
    <x v="1"/>
    <n v="2"/>
    <n v="250.99"/>
    <n v="0.1"/>
    <n v="25.099000000000004"/>
    <n v="5"/>
    <n v="6"/>
  </r>
  <r>
    <n v="1111"/>
    <n v="3"/>
    <n v="14"/>
    <x v="2"/>
    <n v="1"/>
    <n v="269.99"/>
    <n v="0.2"/>
    <n v="53.998000000000005"/>
    <n v="8"/>
    <n v="6"/>
  </r>
  <r>
    <n v="1111"/>
    <n v="4"/>
    <n v="24"/>
    <x v="3"/>
    <n v="1"/>
    <n v="549.99"/>
    <n v="7.0000000000000007E-2"/>
    <n v="38.499300000000005"/>
    <n v="9"/>
    <n v="6"/>
  </r>
  <r>
    <n v="1112"/>
    <n v="1"/>
    <n v="71"/>
    <x v="0"/>
    <n v="2"/>
    <n v="416.99"/>
    <n v="0.05"/>
    <n v="20.849500000000003"/>
    <n v="9"/>
    <n v="6"/>
  </r>
  <r>
    <n v="1112"/>
    <n v="2"/>
    <n v="42"/>
    <x v="1"/>
    <n v="1"/>
    <n v="2299.9899999999998"/>
    <n v="7.0000000000000007E-2"/>
    <n v="160.99930000000001"/>
    <n v="5"/>
    <n v="6"/>
  </r>
  <r>
    <n v="1112"/>
    <n v="3"/>
    <n v="5"/>
    <x v="2"/>
    <n v="2"/>
    <n v="1320.99"/>
    <n v="0.1"/>
    <n v="132.09900000000002"/>
    <n v="8"/>
    <n v="6"/>
  </r>
  <r>
    <n v="1112"/>
    <n v="4"/>
    <n v="87"/>
    <x v="3"/>
    <n v="2"/>
    <n v="189.99"/>
    <n v="7.0000000000000007E-2"/>
    <n v="13.299300000000002"/>
    <n v="9"/>
    <n v="6"/>
  </r>
  <r>
    <n v="1112"/>
    <n v="5"/>
    <n v="9"/>
    <x v="4"/>
    <n v="2"/>
    <n v="2999.99"/>
    <n v="0.1"/>
    <n v="299.99899999999997"/>
    <n v="3"/>
    <n v="6"/>
  </r>
  <r>
    <n v="1113"/>
    <n v="1"/>
    <n v="106"/>
    <x v="0"/>
    <n v="1"/>
    <n v="449.99"/>
    <n v="7.0000000000000007E-2"/>
    <n v="31.499300000000005"/>
    <n v="9"/>
    <n v="6"/>
  </r>
  <r>
    <n v="1114"/>
    <n v="1"/>
    <n v="52"/>
    <x v="0"/>
    <n v="1"/>
    <n v="875.99"/>
    <n v="0.2"/>
    <n v="175.19800000000001"/>
    <n v="9"/>
    <n v="6"/>
  </r>
  <r>
    <n v="1115"/>
    <n v="1"/>
    <n v="97"/>
    <x v="0"/>
    <n v="2"/>
    <n v="349.99"/>
    <n v="0.2"/>
    <n v="69.998000000000005"/>
    <n v="9"/>
    <n v="6"/>
  </r>
  <r>
    <n v="1115"/>
    <n v="2"/>
    <n v="50"/>
    <x v="1"/>
    <n v="2"/>
    <n v="5999.99"/>
    <n v="7.0000000000000007E-2"/>
    <n v="419.99930000000001"/>
    <n v="5"/>
    <n v="6"/>
  </r>
  <r>
    <n v="1115"/>
    <n v="3"/>
    <n v="91"/>
    <x v="2"/>
    <n v="2"/>
    <n v="349.99"/>
    <n v="7.0000000000000007E-2"/>
    <n v="24.499300000000002"/>
    <n v="8"/>
    <n v="6"/>
  </r>
  <r>
    <n v="1115"/>
    <n v="4"/>
    <n v="49"/>
    <x v="3"/>
    <n v="2"/>
    <n v="3499.99"/>
    <n v="0.1"/>
    <n v="349.99900000000002"/>
    <n v="9"/>
    <n v="6"/>
  </r>
  <r>
    <n v="1116"/>
    <n v="1"/>
    <n v="11"/>
    <x v="0"/>
    <n v="2"/>
    <n v="1680.99"/>
    <n v="7.0000000000000007E-2"/>
    <n v="117.66930000000001"/>
    <n v="9"/>
    <n v="6"/>
  </r>
  <r>
    <n v="1117"/>
    <n v="1"/>
    <n v="37"/>
    <x v="0"/>
    <n v="2"/>
    <n v="379.99"/>
    <n v="0.1"/>
    <n v="37.999000000000002"/>
    <n v="9"/>
    <n v="6"/>
  </r>
  <r>
    <n v="1117"/>
    <n v="2"/>
    <n v="91"/>
    <x v="1"/>
    <n v="1"/>
    <n v="349.99"/>
    <n v="0.2"/>
    <n v="69.998000000000005"/>
    <n v="5"/>
    <n v="6"/>
  </r>
  <r>
    <n v="1117"/>
    <n v="3"/>
    <n v="51"/>
    <x v="2"/>
    <n v="2"/>
    <n v="6499.99"/>
    <n v="0.1"/>
    <n v="649.99900000000002"/>
    <n v="8"/>
    <n v="6"/>
  </r>
  <r>
    <n v="1118"/>
    <n v="1"/>
    <n v="55"/>
    <x v="0"/>
    <n v="2"/>
    <n v="2699.99"/>
    <n v="0.2"/>
    <n v="539.99799999999993"/>
    <n v="9"/>
    <n v="6"/>
  </r>
  <r>
    <n v="1118"/>
    <n v="2"/>
    <n v="50"/>
    <x v="1"/>
    <n v="1"/>
    <n v="5999.99"/>
    <n v="7.0000000000000007E-2"/>
    <n v="419.99930000000001"/>
    <n v="5"/>
    <n v="6"/>
  </r>
  <r>
    <n v="1118"/>
    <n v="3"/>
    <n v="29"/>
    <x v="2"/>
    <n v="1"/>
    <n v="999.99"/>
    <n v="0.05"/>
    <n v="49.999500000000005"/>
    <n v="8"/>
    <n v="6"/>
  </r>
  <r>
    <n v="1118"/>
    <n v="4"/>
    <n v="47"/>
    <x v="3"/>
    <n v="2"/>
    <n v="5299.99"/>
    <n v="0.2"/>
    <n v="1059.998"/>
    <n v="9"/>
    <n v="6"/>
  </r>
  <r>
    <n v="1119"/>
    <n v="1"/>
    <n v="93"/>
    <x v="0"/>
    <n v="2"/>
    <n v="209.99"/>
    <n v="0.1"/>
    <n v="20.999000000000002"/>
    <n v="9"/>
    <n v="6"/>
  </r>
  <r>
    <n v="1119"/>
    <n v="2"/>
    <n v="55"/>
    <x v="1"/>
    <n v="2"/>
    <n v="2699.99"/>
    <n v="0.05"/>
    <n v="134.99949999999998"/>
    <n v="5"/>
    <n v="6"/>
  </r>
  <r>
    <n v="1119"/>
    <n v="3"/>
    <n v="104"/>
    <x v="2"/>
    <n v="1"/>
    <n v="481.99"/>
    <n v="0.2"/>
    <n v="96.39800000000001"/>
    <n v="8"/>
    <n v="6"/>
  </r>
  <r>
    <n v="1120"/>
    <n v="1"/>
    <n v="92"/>
    <x v="0"/>
    <n v="2"/>
    <n v="209.99"/>
    <n v="7.0000000000000007E-2"/>
    <n v="14.699300000000003"/>
    <n v="9"/>
    <n v="6"/>
  </r>
  <r>
    <n v="1120"/>
    <n v="2"/>
    <n v="31"/>
    <x v="1"/>
    <n v="1"/>
    <n v="1632.99"/>
    <n v="7.0000000000000007E-2"/>
    <n v="114.30930000000001"/>
    <n v="5"/>
    <n v="6"/>
  </r>
  <r>
    <n v="1120"/>
    <n v="3"/>
    <n v="30"/>
    <x v="2"/>
    <n v="2"/>
    <n v="999.99"/>
    <n v="0.05"/>
    <n v="49.999500000000005"/>
    <n v="8"/>
    <n v="6"/>
  </r>
  <r>
    <n v="1120"/>
    <n v="4"/>
    <n v="93"/>
    <x v="3"/>
    <n v="1"/>
    <n v="209.99"/>
    <n v="7.0000000000000007E-2"/>
    <n v="14.699300000000003"/>
    <n v="9"/>
    <n v="6"/>
  </r>
  <r>
    <n v="1120"/>
    <n v="5"/>
    <n v="94"/>
    <x v="4"/>
    <n v="1"/>
    <n v="249.99"/>
    <n v="0.2"/>
    <n v="49.998000000000005"/>
    <n v="3"/>
    <n v="6"/>
  </r>
  <r>
    <n v="1121"/>
    <n v="1"/>
    <n v="11"/>
    <x v="0"/>
    <n v="2"/>
    <n v="1680.99"/>
    <n v="0.1"/>
    <n v="168.09900000000002"/>
    <n v="9"/>
    <n v="6"/>
  </r>
  <r>
    <n v="1121"/>
    <n v="2"/>
    <n v="110"/>
    <x v="1"/>
    <n v="2"/>
    <n v="470.99"/>
    <n v="0.05"/>
    <n v="23.549500000000002"/>
    <n v="5"/>
    <n v="6"/>
  </r>
  <r>
    <n v="1122"/>
    <n v="1"/>
    <n v="9"/>
    <x v="0"/>
    <n v="2"/>
    <n v="2999.99"/>
    <n v="7.0000000000000007E-2"/>
    <n v="209.99930000000001"/>
    <n v="9"/>
    <n v="6"/>
  </r>
  <r>
    <n v="1122"/>
    <n v="2"/>
    <n v="53"/>
    <x v="1"/>
    <n v="1"/>
    <n v="749.99"/>
    <n v="0.1"/>
    <n v="74.999000000000009"/>
    <n v="5"/>
    <n v="6"/>
  </r>
  <r>
    <n v="1122"/>
    <n v="3"/>
    <n v="49"/>
    <x v="2"/>
    <n v="2"/>
    <n v="3499.99"/>
    <n v="0.2"/>
    <n v="699.99800000000005"/>
    <n v="8"/>
    <n v="6"/>
  </r>
  <r>
    <n v="1122"/>
    <n v="4"/>
    <n v="41"/>
    <x v="3"/>
    <n v="2"/>
    <n v="1469.99"/>
    <n v="0.05"/>
    <n v="73.499499999999998"/>
    <n v="9"/>
    <n v="6"/>
  </r>
  <r>
    <n v="1122"/>
    <n v="5"/>
    <n v="72"/>
    <x v="4"/>
    <n v="1"/>
    <n v="619.99"/>
    <n v="0.1"/>
    <n v="61.999000000000002"/>
    <n v="3"/>
    <n v="6"/>
  </r>
  <r>
    <n v="1123"/>
    <n v="1"/>
    <n v="65"/>
    <x v="0"/>
    <n v="2"/>
    <n v="346.99"/>
    <n v="7.0000000000000007E-2"/>
    <n v="24.289300000000004"/>
    <n v="9"/>
    <n v="6"/>
  </r>
  <r>
    <n v="1123"/>
    <n v="2"/>
    <n v="61"/>
    <x v="1"/>
    <n v="2"/>
    <n v="4999.99"/>
    <n v="0.1"/>
    <n v="499.99900000000002"/>
    <n v="5"/>
    <n v="6"/>
  </r>
  <r>
    <n v="1124"/>
    <n v="1"/>
    <n v="7"/>
    <x v="0"/>
    <n v="2"/>
    <n v="3999.99"/>
    <n v="0.1"/>
    <n v="399.99900000000002"/>
    <n v="9"/>
    <n v="6"/>
  </r>
  <r>
    <n v="1124"/>
    <n v="2"/>
    <n v="6"/>
    <x v="1"/>
    <n v="1"/>
    <n v="469.99"/>
    <n v="0.1"/>
    <n v="46.999000000000002"/>
    <n v="5"/>
    <n v="6"/>
  </r>
  <r>
    <n v="1124"/>
    <n v="3"/>
    <n v="109"/>
    <x v="2"/>
    <n v="2"/>
    <n v="416.99"/>
    <n v="7.0000000000000007E-2"/>
    <n v="29.189300000000003"/>
    <n v="8"/>
    <n v="6"/>
  </r>
  <r>
    <n v="1124"/>
    <n v="4"/>
    <n v="45"/>
    <x v="3"/>
    <n v="2"/>
    <n v="869.99"/>
    <n v="0.05"/>
    <n v="43.499500000000005"/>
    <n v="9"/>
    <n v="6"/>
  </r>
  <r>
    <n v="1124"/>
    <n v="5"/>
    <n v="2"/>
    <x v="4"/>
    <n v="2"/>
    <n v="749.99"/>
    <n v="0.05"/>
    <n v="37.499500000000005"/>
    <n v="3"/>
    <n v="6"/>
  </r>
  <r>
    <n v="1125"/>
    <n v="1"/>
    <n v="16"/>
    <x v="0"/>
    <n v="2"/>
    <n v="599.99"/>
    <n v="0.05"/>
    <n v="29.999500000000001"/>
    <n v="9"/>
    <n v="6"/>
  </r>
  <r>
    <n v="1125"/>
    <n v="2"/>
    <n v="21"/>
    <x v="1"/>
    <n v="1"/>
    <n v="269.99"/>
    <n v="0.1"/>
    <n v="26.999000000000002"/>
    <n v="5"/>
    <n v="6"/>
  </r>
  <r>
    <n v="1125"/>
    <n v="3"/>
    <n v="81"/>
    <x v="2"/>
    <n v="2"/>
    <n v="1099.99"/>
    <n v="7.0000000000000007E-2"/>
    <n v="76.999300000000005"/>
    <n v="8"/>
    <n v="6"/>
  </r>
  <r>
    <n v="1125"/>
    <n v="4"/>
    <n v="24"/>
    <x v="3"/>
    <n v="1"/>
    <n v="549.99"/>
    <n v="7.0000000000000007E-2"/>
    <n v="38.499300000000005"/>
    <n v="9"/>
    <n v="6"/>
  </r>
  <r>
    <n v="1125"/>
    <n v="5"/>
    <n v="32"/>
    <x v="4"/>
    <n v="2"/>
    <n v="469.99"/>
    <n v="7.0000000000000007E-2"/>
    <n v="32.899300000000004"/>
    <n v="3"/>
    <n v="6"/>
  </r>
  <r>
    <n v="1126"/>
    <n v="1"/>
    <n v="33"/>
    <x v="0"/>
    <n v="2"/>
    <n v="469.99"/>
    <n v="0.1"/>
    <n v="46.999000000000002"/>
    <n v="9"/>
    <n v="6"/>
  </r>
  <r>
    <n v="1126"/>
    <n v="2"/>
    <n v="58"/>
    <x v="1"/>
    <n v="1"/>
    <n v="4999.99"/>
    <n v="0.2"/>
    <n v="999.99800000000005"/>
    <n v="5"/>
    <n v="6"/>
  </r>
  <r>
    <n v="1126"/>
    <n v="3"/>
    <n v="89"/>
    <x v="2"/>
    <n v="2"/>
    <n v="209.99"/>
    <n v="0.05"/>
    <n v="10.499500000000001"/>
    <n v="8"/>
    <n v="6"/>
  </r>
  <r>
    <n v="1127"/>
    <n v="1"/>
    <n v="23"/>
    <x v="0"/>
    <n v="2"/>
    <n v="299.99"/>
    <n v="0.1"/>
    <n v="29.999000000000002"/>
    <n v="9"/>
    <n v="6"/>
  </r>
  <r>
    <n v="1127"/>
    <n v="2"/>
    <n v="96"/>
    <x v="1"/>
    <n v="2"/>
    <n v="349.99"/>
    <n v="7.0000000000000007E-2"/>
    <n v="24.499300000000002"/>
    <n v="5"/>
    <n v="6"/>
  </r>
  <r>
    <n v="1127"/>
    <n v="3"/>
    <n v="37"/>
    <x v="2"/>
    <n v="1"/>
    <n v="379.99"/>
    <n v="0.2"/>
    <n v="75.998000000000005"/>
    <n v="8"/>
    <n v="6"/>
  </r>
  <r>
    <n v="1128"/>
    <n v="1"/>
    <n v="44"/>
    <x v="0"/>
    <n v="1"/>
    <n v="539.99"/>
    <n v="0.05"/>
    <n v="26.999500000000001"/>
    <n v="9"/>
    <n v="6"/>
  </r>
  <r>
    <n v="1128"/>
    <n v="2"/>
    <n v="10"/>
    <x v="1"/>
    <n v="1"/>
    <n v="1549"/>
    <n v="0.2"/>
    <n v="309.8"/>
    <n v="5"/>
    <n v="6"/>
  </r>
  <r>
    <n v="1128"/>
    <n v="3"/>
    <n v="65"/>
    <x v="2"/>
    <n v="2"/>
    <n v="346.99"/>
    <n v="0.05"/>
    <n v="17.349500000000003"/>
    <n v="8"/>
    <n v="6"/>
  </r>
  <r>
    <n v="1129"/>
    <n v="1"/>
    <n v="71"/>
    <x v="0"/>
    <n v="2"/>
    <n v="416.99"/>
    <n v="0.2"/>
    <n v="83.39800000000001"/>
    <n v="9"/>
    <n v="6"/>
  </r>
  <r>
    <n v="1129"/>
    <n v="2"/>
    <n v="56"/>
    <x v="1"/>
    <n v="1"/>
    <n v="5499.99"/>
    <n v="0.2"/>
    <n v="1099.998"/>
    <n v="5"/>
    <n v="6"/>
  </r>
  <r>
    <n v="1129"/>
    <n v="3"/>
    <n v="61"/>
    <x v="2"/>
    <n v="2"/>
    <n v="4999.99"/>
    <n v="0.05"/>
    <n v="249.99950000000001"/>
    <n v="8"/>
    <n v="6"/>
  </r>
  <r>
    <n v="1130"/>
    <n v="1"/>
    <n v="54"/>
    <x v="0"/>
    <n v="2"/>
    <n v="3199.99"/>
    <n v="0.2"/>
    <n v="639.99800000000005"/>
    <n v="9"/>
    <n v="6"/>
  </r>
  <r>
    <n v="1131"/>
    <n v="1"/>
    <n v="60"/>
    <x v="0"/>
    <n v="2"/>
    <n v="1559.99"/>
    <n v="7.0000000000000007E-2"/>
    <n v="109.19930000000001"/>
    <n v="9"/>
    <n v="6"/>
  </r>
  <r>
    <n v="1131"/>
    <n v="2"/>
    <n v="103"/>
    <x v="1"/>
    <n v="2"/>
    <n v="551.99"/>
    <n v="0.05"/>
    <n v="27.599500000000003"/>
    <n v="5"/>
    <n v="6"/>
  </r>
  <r>
    <n v="1132"/>
    <n v="1"/>
    <n v="43"/>
    <x v="0"/>
    <n v="1"/>
    <n v="5299.99"/>
    <n v="0.05"/>
    <n v="264.99950000000001"/>
    <n v="9"/>
    <n v="6"/>
  </r>
  <r>
    <n v="1132"/>
    <n v="2"/>
    <n v="10"/>
    <x v="1"/>
    <n v="1"/>
    <n v="1549"/>
    <n v="0.1"/>
    <n v="154.9"/>
    <n v="5"/>
    <n v="6"/>
  </r>
  <r>
    <n v="1132"/>
    <n v="3"/>
    <n v="36"/>
    <x v="2"/>
    <n v="2"/>
    <n v="832.99"/>
    <n v="0.1"/>
    <n v="83.299000000000007"/>
    <n v="8"/>
    <n v="6"/>
  </r>
  <r>
    <n v="1132"/>
    <n v="4"/>
    <n v="16"/>
    <x v="3"/>
    <n v="1"/>
    <n v="599.99"/>
    <n v="0.05"/>
    <n v="29.999500000000001"/>
    <n v="9"/>
    <n v="6"/>
  </r>
  <r>
    <n v="1133"/>
    <n v="1"/>
    <n v="4"/>
    <x v="0"/>
    <n v="2"/>
    <n v="2899.99"/>
    <n v="0.05"/>
    <n v="144.99949999999998"/>
    <n v="9"/>
    <n v="6"/>
  </r>
  <r>
    <n v="1133"/>
    <n v="2"/>
    <n v="17"/>
    <x v="1"/>
    <n v="1"/>
    <n v="429"/>
    <n v="7.0000000000000007E-2"/>
    <n v="30.03"/>
    <n v="5"/>
    <n v="6"/>
  </r>
  <r>
    <n v="1133"/>
    <n v="3"/>
    <n v="90"/>
    <x v="2"/>
    <n v="2"/>
    <n v="209.99"/>
    <n v="0.2"/>
    <n v="41.998000000000005"/>
    <n v="8"/>
    <n v="6"/>
  </r>
  <r>
    <n v="1133"/>
    <n v="4"/>
    <n v="62"/>
    <x v="3"/>
    <n v="1"/>
    <n v="3499.99"/>
    <n v="0.2"/>
    <n v="699.99800000000005"/>
    <n v="9"/>
    <n v="6"/>
  </r>
  <r>
    <n v="1134"/>
    <n v="1"/>
    <n v="97"/>
    <x v="0"/>
    <n v="1"/>
    <n v="349.99"/>
    <n v="0.1"/>
    <n v="34.999000000000002"/>
    <n v="9"/>
    <n v="6"/>
  </r>
  <r>
    <n v="1134"/>
    <n v="2"/>
    <n v="36"/>
    <x v="1"/>
    <n v="1"/>
    <n v="832.99"/>
    <n v="0.1"/>
    <n v="83.299000000000007"/>
    <n v="5"/>
    <n v="6"/>
  </r>
  <r>
    <n v="1135"/>
    <n v="1"/>
    <n v="101"/>
    <x v="0"/>
    <n v="2"/>
    <n v="339.99"/>
    <n v="0.05"/>
    <n v="16.999500000000001"/>
    <n v="9"/>
    <n v="6"/>
  </r>
  <r>
    <n v="1135"/>
    <n v="2"/>
    <n v="51"/>
    <x v="1"/>
    <n v="1"/>
    <n v="6499.99"/>
    <n v="0.1"/>
    <n v="649.99900000000002"/>
    <n v="5"/>
    <n v="6"/>
  </r>
  <r>
    <n v="1136"/>
    <n v="1"/>
    <n v="105"/>
    <x v="0"/>
    <n v="1"/>
    <n v="533.99"/>
    <n v="0.1"/>
    <n v="53.399000000000001"/>
    <n v="9"/>
    <n v="6"/>
  </r>
  <r>
    <n v="1137"/>
    <n v="1"/>
    <n v="28"/>
    <x v="0"/>
    <n v="1"/>
    <n v="2499.9899999999998"/>
    <n v="0.2"/>
    <n v="499.99799999999999"/>
    <n v="9"/>
    <n v="6"/>
  </r>
  <r>
    <n v="1137"/>
    <n v="2"/>
    <n v="58"/>
    <x v="1"/>
    <n v="2"/>
    <n v="4999.99"/>
    <n v="0.2"/>
    <n v="999.99800000000005"/>
    <n v="5"/>
    <n v="6"/>
  </r>
  <r>
    <n v="1137"/>
    <n v="3"/>
    <n v="84"/>
    <x v="2"/>
    <n v="2"/>
    <n v="109.99"/>
    <n v="0.2"/>
    <n v="21.998000000000001"/>
    <n v="8"/>
    <n v="6"/>
  </r>
  <r>
    <n v="1137"/>
    <n v="4"/>
    <n v="69"/>
    <x v="3"/>
    <n v="2"/>
    <n v="416.99"/>
    <n v="7.0000000000000007E-2"/>
    <n v="29.189300000000003"/>
    <n v="9"/>
    <n v="6"/>
  </r>
  <r>
    <n v="1138"/>
    <n v="1"/>
    <n v="13"/>
    <x v="0"/>
    <n v="2"/>
    <n v="269.99"/>
    <n v="0.05"/>
    <n v="13.499500000000001"/>
    <n v="9"/>
    <n v="6"/>
  </r>
  <r>
    <n v="1138"/>
    <n v="2"/>
    <n v="105"/>
    <x v="1"/>
    <n v="2"/>
    <n v="533.99"/>
    <n v="0.05"/>
    <n v="26.6995"/>
    <n v="5"/>
    <n v="6"/>
  </r>
  <r>
    <n v="1138"/>
    <n v="3"/>
    <n v="93"/>
    <x v="2"/>
    <n v="1"/>
    <n v="209.99"/>
    <n v="0.1"/>
    <n v="20.999000000000002"/>
    <n v="8"/>
    <n v="6"/>
  </r>
  <r>
    <n v="1139"/>
    <n v="1"/>
    <n v="106"/>
    <x v="0"/>
    <n v="2"/>
    <n v="449.99"/>
    <n v="0.05"/>
    <n v="22.499500000000001"/>
    <n v="9"/>
    <n v="6"/>
  </r>
  <r>
    <n v="1139"/>
    <n v="2"/>
    <n v="44"/>
    <x v="1"/>
    <n v="2"/>
    <n v="539.99"/>
    <n v="0.1"/>
    <n v="53.999000000000002"/>
    <n v="5"/>
    <n v="6"/>
  </r>
  <r>
    <n v="1139"/>
    <n v="3"/>
    <n v="69"/>
    <x v="2"/>
    <n v="1"/>
    <n v="416.99"/>
    <n v="0.05"/>
    <n v="20.849500000000003"/>
    <n v="8"/>
    <n v="6"/>
  </r>
  <r>
    <n v="1139"/>
    <n v="4"/>
    <n v="25"/>
    <x v="3"/>
    <n v="2"/>
    <n v="499.99"/>
    <n v="0.1"/>
    <n v="49.999000000000002"/>
    <n v="9"/>
    <n v="6"/>
  </r>
  <r>
    <n v="1139"/>
    <n v="5"/>
    <n v="7"/>
    <x v="4"/>
    <n v="1"/>
    <n v="3999.99"/>
    <n v="0.1"/>
    <n v="399.99900000000002"/>
    <n v="3"/>
    <n v="6"/>
  </r>
  <r>
    <n v="1140"/>
    <n v="1"/>
    <n v="39"/>
    <x v="0"/>
    <n v="2"/>
    <n v="1499.99"/>
    <n v="0.1"/>
    <n v="149.999"/>
    <n v="9"/>
    <n v="6"/>
  </r>
  <r>
    <n v="1140"/>
    <n v="2"/>
    <n v="71"/>
    <x v="1"/>
    <n v="2"/>
    <n v="416.99"/>
    <n v="7.0000000000000007E-2"/>
    <n v="29.189300000000003"/>
    <n v="5"/>
    <n v="6"/>
  </r>
  <r>
    <n v="1140"/>
    <n v="3"/>
    <n v="38"/>
    <x v="2"/>
    <n v="2"/>
    <n v="549.99"/>
    <n v="0.1"/>
    <n v="54.999000000000002"/>
    <n v="8"/>
    <n v="6"/>
  </r>
  <r>
    <n v="1140"/>
    <n v="4"/>
    <n v="40"/>
    <x v="3"/>
    <n v="2"/>
    <n v="4999.99"/>
    <n v="7.0000000000000007E-2"/>
    <n v="349.99930000000001"/>
    <n v="9"/>
    <n v="6"/>
  </r>
  <r>
    <n v="1141"/>
    <n v="1"/>
    <n v="8"/>
    <x v="0"/>
    <n v="1"/>
    <n v="1799.99"/>
    <n v="0.1"/>
    <n v="179.99900000000002"/>
    <n v="9"/>
    <n v="6"/>
  </r>
  <r>
    <n v="1142"/>
    <n v="1"/>
    <n v="20"/>
    <x v="0"/>
    <n v="2"/>
    <n v="599.99"/>
    <n v="7.0000000000000007E-2"/>
    <n v="41.999300000000005"/>
    <n v="9"/>
    <n v="6"/>
  </r>
  <r>
    <n v="1142"/>
    <n v="2"/>
    <n v="30"/>
    <x v="1"/>
    <n v="1"/>
    <n v="999.99"/>
    <n v="0.1"/>
    <n v="99.999000000000009"/>
    <n v="5"/>
    <n v="6"/>
  </r>
  <r>
    <n v="1142"/>
    <n v="3"/>
    <n v="109"/>
    <x v="2"/>
    <n v="2"/>
    <n v="416.99"/>
    <n v="0.05"/>
    <n v="20.849500000000003"/>
    <n v="8"/>
    <n v="6"/>
  </r>
  <r>
    <n v="1142"/>
    <n v="4"/>
    <n v="108"/>
    <x v="3"/>
    <n v="2"/>
    <n v="449.99"/>
    <n v="0.2"/>
    <n v="89.998000000000005"/>
    <n v="9"/>
    <n v="6"/>
  </r>
  <r>
    <n v="1142"/>
    <n v="5"/>
    <n v="100"/>
    <x v="4"/>
    <n v="2"/>
    <n v="489.99"/>
    <n v="0.05"/>
    <n v="24.499500000000001"/>
    <n v="3"/>
    <n v="6"/>
  </r>
  <r>
    <n v="1143"/>
    <n v="1"/>
    <n v="99"/>
    <x v="0"/>
    <n v="1"/>
    <n v="299.99"/>
    <n v="0.2"/>
    <n v="59.998000000000005"/>
    <n v="9"/>
    <n v="6"/>
  </r>
  <r>
    <n v="1143"/>
    <n v="2"/>
    <n v="48"/>
    <x v="1"/>
    <n v="1"/>
    <n v="1499.99"/>
    <n v="0.2"/>
    <n v="299.99799999999999"/>
    <n v="5"/>
    <n v="6"/>
  </r>
  <r>
    <n v="1143"/>
    <n v="3"/>
    <n v="69"/>
    <x v="2"/>
    <n v="2"/>
    <n v="416.99"/>
    <n v="0.1"/>
    <n v="41.699000000000005"/>
    <n v="8"/>
    <n v="6"/>
  </r>
  <r>
    <n v="1144"/>
    <n v="1"/>
    <n v="88"/>
    <x v="0"/>
    <n v="1"/>
    <n v="189.99"/>
    <n v="7.0000000000000007E-2"/>
    <n v="13.299300000000002"/>
    <n v="9"/>
    <n v="6"/>
  </r>
  <r>
    <n v="1145"/>
    <n v="1"/>
    <n v="105"/>
    <x v="0"/>
    <n v="2"/>
    <n v="533.99"/>
    <n v="7.0000000000000007E-2"/>
    <n v="37.379300000000008"/>
    <n v="9"/>
    <n v="6"/>
  </r>
  <r>
    <n v="1146"/>
    <n v="1"/>
    <n v="36"/>
    <x v="0"/>
    <n v="1"/>
    <n v="832.99"/>
    <n v="7.0000000000000007E-2"/>
    <n v="58.309300000000007"/>
    <n v="9"/>
    <n v="6"/>
  </r>
  <r>
    <n v="1146"/>
    <n v="2"/>
    <n v="64"/>
    <x v="1"/>
    <n v="1"/>
    <n v="489.99"/>
    <n v="0.2"/>
    <n v="97.998000000000005"/>
    <n v="5"/>
    <n v="6"/>
  </r>
  <r>
    <n v="1146"/>
    <n v="3"/>
    <n v="11"/>
    <x v="2"/>
    <n v="1"/>
    <n v="1680.99"/>
    <n v="0.2"/>
    <n v="336.19800000000004"/>
    <n v="8"/>
    <n v="6"/>
  </r>
  <r>
    <n v="1147"/>
    <n v="1"/>
    <n v="82"/>
    <x v="0"/>
    <n v="1"/>
    <n v="659.99"/>
    <n v="0.2"/>
    <n v="131.99800000000002"/>
    <n v="9"/>
    <n v="6"/>
  </r>
  <r>
    <n v="1147"/>
    <n v="2"/>
    <n v="39"/>
    <x v="1"/>
    <n v="2"/>
    <n v="1499.99"/>
    <n v="0.05"/>
    <n v="74.999499999999998"/>
    <n v="5"/>
    <n v="6"/>
  </r>
  <r>
    <n v="1148"/>
    <n v="1"/>
    <n v="82"/>
    <x v="0"/>
    <n v="1"/>
    <n v="659.99"/>
    <n v="7.0000000000000007E-2"/>
    <n v="46.199300000000008"/>
    <n v="9"/>
    <n v="6"/>
  </r>
  <r>
    <n v="1148"/>
    <n v="2"/>
    <n v="22"/>
    <x v="1"/>
    <n v="1"/>
    <n v="269.99"/>
    <n v="7.0000000000000007E-2"/>
    <n v="18.899300000000004"/>
    <n v="5"/>
    <n v="6"/>
  </r>
  <r>
    <n v="1148"/>
    <n v="3"/>
    <n v="77"/>
    <x v="2"/>
    <n v="2"/>
    <n v="799.99"/>
    <n v="0.05"/>
    <n v="39.999500000000005"/>
    <n v="8"/>
    <n v="6"/>
  </r>
  <r>
    <n v="1148"/>
    <n v="4"/>
    <n v="94"/>
    <x v="3"/>
    <n v="2"/>
    <n v="249.99"/>
    <n v="0.1"/>
    <n v="24.999000000000002"/>
    <n v="9"/>
    <n v="6"/>
  </r>
  <r>
    <n v="1149"/>
    <n v="1"/>
    <n v="98"/>
    <x v="0"/>
    <n v="2"/>
    <n v="489.99"/>
    <n v="7.0000000000000007E-2"/>
    <n v="34.299300000000002"/>
    <n v="9"/>
    <n v="6"/>
  </r>
  <r>
    <n v="1149"/>
    <n v="2"/>
    <n v="48"/>
    <x v="1"/>
    <n v="1"/>
    <n v="1499.99"/>
    <n v="0.05"/>
    <n v="74.999499999999998"/>
    <n v="5"/>
    <n v="6"/>
  </r>
  <r>
    <n v="1149"/>
    <n v="3"/>
    <n v="58"/>
    <x v="2"/>
    <n v="1"/>
    <n v="4999.99"/>
    <n v="0.05"/>
    <n v="249.99950000000001"/>
    <n v="8"/>
    <n v="6"/>
  </r>
  <r>
    <n v="1149"/>
    <n v="4"/>
    <n v="85"/>
    <x v="3"/>
    <n v="1"/>
    <n v="329.99"/>
    <n v="0.2"/>
    <n v="65.998000000000005"/>
    <n v="9"/>
    <n v="6"/>
  </r>
  <r>
    <n v="1149"/>
    <n v="5"/>
    <n v="94"/>
    <x v="4"/>
    <n v="1"/>
    <n v="249.99"/>
    <n v="0.1"/>
    <n v="24.999000000000002"/>
    <n v="3"/>
    <n v="6"/>
  </r>
  <r>
    <n v="1150"/>
    <n v="1"/>
    <n v="29"/>
    <x v="0"/>
    <n v="1"/>
    <n v="999.99"/>
    <n v="0.05"/>
    <n v="49.999500000000005"/>
    <n v="9"/>
    <n v="6"/>
  </r>
  <r>
    <n v="1150"/>
    <n v="2"/>
    <n v="91"/>
    <x v="1"/>
    <n v="1"/>
    <n v="349.99"/>
    <n v="0.05"/>
    <n v="17.499500000000001"/>
    <n v="5"/>
    <n v="6"/>
  </r>
  <r>
    <n v="1150"/>
    <n v="3"/>
    <n v="104"/>
    <x v="2"/>
    <n v="2"/>
    <n v="481.99"/>
    <n v="7.0000000000000007E-2"/>
    <n v="33.739300000000007"/>
    <n v="8"/>
    <n v="6"/>
  </r>
  <r>
    <n v="1150"/>
    <n v="4"/>
    <n v="21"/>
    <x v="3"/>
    <n v="2"/>
    <n v="269.99"/>
    <n v="0.1"/>
    <n v="26.999000000000002"/>
    <n v="9"/>
    <n v="6"/>
  </r>
  <r>
    <n v="1151"/>
    <n v="1"/>
    <n v="30"/>
    <x v="0"/>
    <n v="2"/>
    <n v="999.99"/>
    <n v="0.05"/>
    <n v="49.999500000000005"/>
    <n v="9"/>
    <n v="6"/>
  </r>
  <r>
    <n v="1152"/>
    <n v="1"/>
    <n v="58"/>
    <x v="0"/>
    <n v="1"/>
    <n v="4999.99"/>
    <n v="7.0000000000000007E-2"/>
    <n v="349.99930000000001"/>
    <n v="9"/>
    <n v="6"/>
  </r>
  <r>
    <n v="1152"/>
    <n v="2"/>
    <n v="91"/>
    <x v="1"/>
    <n v="2"/>
    <n v="349.99"/>
    <n v="0.2"/>
    <n v="69.998000000000005"/>
    <n v="5"/>
    <n v="6"/>
  </r>
  <r>
    <n v="1152"/>
    <n v="3"/>
    <n v="24"/>
    <x v="2"/>
    <n v="1"/>
    <n v="549.99"/>
    <n v="0.05"/>
    <n v="27.499500000000001"/>
    <n v="8"/>
    <n v="6"/>
  </r>
  <r>
    <n v="1153"/>
    <n v="1"/>
    <n v="103"/>
    <x v="0"/>
    <n v="1"/>
    <n v="551.99"/>
    <n v="0.1"/>
    <n v="55.199000000000005"/>
    <n v="9"/>
    <n v="6"/>
  </r>
  <r>
    <n v="1153"/>
    <n v="2"/>
    <n v="6"/>
    <x v="1"/>
    <n v="2"/>
    <n v="469.99"/>
    <n v="0.05"/>
    <n v="23.499500000000001"/>
    <n v="5"/>
    <n v="6"/>
  </r>
  <r>
    <n v="1154"/>
    <n v="1"/>
    <n v="17"/>
    <x v="0"/>
    <n v="1"/>
    <n v="429"/>
    <n v="0.2"/>
    <n v="85.800000000000011"/>
    <n v="9"/>
    <n v="6"/>
  </r>
  <r>
    <n v="1154"/>
    <n v="2"/>
    <n v="60"/>
    <x v="1"/>
    <n v="1"/>
    <n v="1559.99"/>
    <n v="7.0000000000000007E-2"/>
    <n v="109.19930000000001"/>
    <n v="5"/>
    <n v="6"/>
  </r>
  <r>
    <n v="1154"/>
    <n v="3"/>
    <n v="67"/>
    <x v="2"/>
    <n v="2"/>
    <n v="250.99"/>
    <n v="0.2"/>
    <n v="50.198000000000008"/>
    <n v="8"/>
    <n v="6"/>
  </r>
  <r>
    <n v="1155"/>
    <n v="1"/>
    <n v="68"/>
    <x v="0"/>
    <n v="2"/>
    <n v="449.99"/>
    <n v="0.05"/>
    <n v="22.499500000000001"/>
    <n v="9"/>
    <n v="6"/>
  </r>
  <r>
    <n v="1155"/>
    <n v="2"/>
    <n v="6"/>
    <x v="1"/>
    <n v="2"/>
    <n v="469.99"/>
    <n v="0.1"/>
    <n v="46.999000000000002"/>
    <n v="5"/>
    <n v="6"/>
  </r>
  <r>
    <n v="1155"/>
    <n v="3"/>
    <n v="35"/>
    <x v="2"/>
    <n v="1"/>
    <n v="832.99"/>
    <n v="7.0000000000000007E-2"/>
    <n v="58.309300000000007"/>
    <n v="8"/>
    <n v="6"/>
  </r>
  <r>
    <n v="1155"/>
    <n v="4"/>
    <n v="77"/>
    <x v="3"/>
    <n v="2"/>
    <n v="799.99"/>
    <n v="0.05"/>
    <n v="39.999500000000005"/>
    <n v="9"/>
    <n v="6"/>
  </r>
  <r>
    <n v="1156"/>
    <n v="1"/>
    <n v="111"/>
    <x v="0"/>
    <n v="2"/>
    <n v="470.99"/>
    <n v="0.05"/>
    <n v="23.549500000000002"/>
    <n v="9"/>
    <n v="6"/>
  </r>
  <r>
    <n v="1156"/>
    <n v="2"/>
    <n v="86"/>
    <x v="1"/>
    <n v="1"/>
    <n v="149.99"/>
    <n v="0.05"/>
    <n v="7.4995000000000012"/>
    <n v="5"/>
    <n v="6"/>
  </r>
  <r>
    <n v="1157"/>
    <n v="1"/>
    <n v="20"/>
    <x v="0"/>
    <n v="1"/>
    <n v="599.99"/>
    <n v="0.1"/>
    <n v="59.999000000000002"/>
    <n v="9"/>
    <n v="6"/>
  </r>
  <r>
    <n v="1157"/>
    <n v="2"/>
    <n v="31"/>
    <x v="1"/>
    <n v="2"/>
    <n v="1632.99"/>
    <n v="0.1"/>
    <n v="163.29900000000001"/>
    <n v="5"/>
    <n v="6"/>
  </r>
  <r>
    <n v="1157"/>
    <n v="3"/>
    <n v="37"/>
    <x v="2"/>
    <n v="2"/>
    <n v="379.99"/>
    <n v="0.2"/>
    <n v="75.998000000000005"/>
    <n v="8"/>
    <n v="6"/>
  </r>
  <r>
    <n v="1157"/>
    <n v="4"/>
    <n v="41"/>
    <x v="3"/>
    <n v="1"/>
    <n v="1469.99"/>
    <n v="7.0000000000000007E-2"/>
    <n v="102.89930000000001"/>
    <n v="9"/>
    <n v="6"/>
  </r>
  <r>
    <n v="1158"/>
    <n v="1"/>
    <n v="95"/>
    <x v="0"/>
    <n v="2"/>
    <n v="299.99"/>
    <n v="0.1"/>
    <n v="29.999000000000002"/>
    <n v="9"/>
    <n v="6"/>
  </r>
  <r>
    <n v="1158"/>
    <n v="2"/>
    <n v="74"/>
    <x v="1"/>
    <n v="1"/>
    <n v="439.99"/>
    <n v="7.0000000000000007E-2"/>
    <n v="30.799300000000002"/>
    <n v="5"/>
    <n v="6"/>
  </r>
  <r>
    <n v="1159"/>
    <n v="1"/>
    <n v="12"/>
    <x v="0"/>
    <n v="2"/>
    <n v="549.99"/>
    <n v="0.1"/>
    <n v="54.999000000000002"/>
    <n v="9"/>
    <n v="6"/>
  </r>
  <r>
    <n v="1160"/>
    <n v="1"/>
    <n v="41"/>
    <x v="0"/>
    <n v="1"/>
    <n v="1469.99"/>
    <n v="0.1"/>
    <n v="146.999"/>
    <n v="9"/>
    <n v="6"/>
  </r>
  <r>
    <n v="1160"/>
    <n v="2"/>
    <n v="9"/>
    <x v="1"/>
    <n v="1"/>
    <n v="2999.99"/>
    <n v="0.2"/>
    <n v="599.99799999999993"/>
    <n v="5"/>
    <n v="6"/>
  </r>
  <r>
    <n v="1161"/>
    <n v="1"/>
    <n v="71"/>
    <x v="0"/>
    <n v="2"/>
    <n v="416.99"/>
    <n v="0.1"/>
    <n v="41.699000000000005"/>
    <n v="9"/>
    <n v="6"/>
  </r>
  <r>
    <n v="1161"/>
    <n v="2"/>
    <n v="38"/>
    <x v="1"/>
    <n v="1"/>
    <n v="549.99"/>
    <n v="7.0000000000000007E-2"/>
    <n v="38.499300000000005"/>
    <n v="5"/>
    <n v="6"/>
  </r>
  <r>
    <n v="1161"/>
    <n v="3"/>
    <n v="22"/>
    <x v="2"/>
    <n v="1"/>
    <n v="269.99"/>
    <n v="0.2"/>
    <n v="53.998000000000005"/>
    <n v="8"/>
    <n v="6"/>
  </r>
  <r>
    <n v="1161"/>
    <n v="4"/>
    <n v="29"/>
    <x v="3"/>
    <n v="2"/>
    <n v="999.99"/>
    <n v="0.1"/>
    <n v="99.999000000000009"/>
    <n v="9"/>
    <n v="6"/>
  </r>
  <r>
    <n v="1162"/>
    <n v="1"/>
    <n v="88"/>
    <x v="0"/>
    <n v="1"/>
    <n v="189.99"/>
    <n v="0.2"/>
    <n v="37.998000000000005"/>
    <n v="9"/>
    <n v="6"/>
  </r>
  <r>
    <n v="1162"/>
    <n v="2"/>
    <n v="40"/>
    <x v="1"/>
    <n v="2"/>
    <n v="4999.99"/>
    <n v="0.2"/>
    <n v="999.99800000000005"/>
    <n v="5"/>
    <n v="6"/>
  </r>
  <r>
    <n v="1162"/>
    <n v="3"/>
    <n v="86"/>
    <x v="2"/>
    <n v="1"/>
    <n v="149.99"/>
    <n v="0.1"/>
    <n v="14.999000000000002"/>
    <n v="8"/>
    <n v="6"/>
  </r>
  <r>
    <n v="1162"/>
    <n v="4"/>
    <n v="41"/>
    <x v="3"/>
    <n v="1"/>
    <n v="1469.99"/>
    <n v="0.05"/>
    <n v="73.499499999999998"/>
    <n v="9"/>
    <n v="6"/>
  </r>
  <r>
    <n v="1162"/>
    <n v="5"/>
    <n v="12"/>
    <x v="4"/>
    <n v="2"/>
    <n v="549.99"/>
    <n v="0.05"/>
    <n v="27.499500000000001"/>
    <n v="3"/>
    <n v="6"/>
  </r>
  <r>
    <n v="1163"/>
    <n v="1"/>
    <n v="63"/>
    <x v="0"/>
    <n v="2"/>
    <n v="3499.99"/>
    <n v="0.05"/>
    <n v="174.99950000000001"/>
    <n v="9"/>
    <n v="6"/>
  </r>
  <r>
    <n v="1163"/>
    <n v="2"/>
    <n v="53"/>
    <x v="1"/>
    <n v="2"/>
    <n v="749.99"/>
    <n v="0.1"/>
    <n v="74.999000000000009"/>
    <n v="5"/>
    <n v="6"/>
  </r>
  <r>
    <n v="1164"/>
    <n v="1"/>
    <n v="8"/>
    <x v="0"/>
    <n v="1"/>
    <n v="1799.99"/>
    <n v="0.2"/>
    <n v="359.99800000000005"/>
    <n v="9"/>
    <n v="6"/>
  </r>
  <r>
    <n v="1164"/>
    <n v="2"/>
    <n v="78"/>
    <x v="1"/>
    <n v="1"/>
    <n v="647.99"/>
    <n v="0.05"/>
    <n v="32.399500000000003"/>
    <n v="5"/>
    <n v="6"/>
  </r>
  <r>
    <n v="1164"/>
    <n v="3"/>
    <n v="103"/>
    <x v="2"/>
    <n v="2"/>
    <n v="551.99"/>
    <n v="0.05"/>
    <n v="27.599500000000003"/>
    <n v="8"/>
    <n v="6"/>
  </r>
  <r>
    <n v="1164"/>
    <n v="4"/>
    <n v="44"/>
    <x v="3"/>
    <n v="2"/>
    <n v="539.99"/>
    <n v="0.05"/>
    <n v="26.999500000000001"/>
    <n v="9"/>
    <n v="6"/>
  </r>
  <r>
    <n v="1165"/>
    <n v="1"/>
    <n v="65"/>
    <x v="0"/>
    <n v="2"/>
    <n v="346.99"/>
    <n v="7.0000000000000007E-2"/>
    <n v="24.289300000000004"/>
    <n v="9"/>
    <n v="6"/>
  </r>
  <r>
    <n v="1165"/>
    <n v="2"/>
    <n v="68"/>
    <x v="1"/>
    <n v="1"/>
    <n v="449.99"/>
    <n v="7.0000000000000007E-2"/>
    <n v="31.499300000000005"/>
    <n v="5"/>
    <n v="6"/>
  </r>
  <r>
    <n v="1166"/>
    <n v="1"/>
    <n v="103"/>
    <x v="0"/>
    <n v="2"/>
    <n v="551.99"/>
    <n v="7.0000000000000007E-2"/>
    <n v="38.639300000000006"/>
    <n v="9"/>
    <n v="6"/>
  </r>
  <r>
    <n v="1167"/>
    <n v="1"/>
    <n v="29"/>
    <x v="0"/>
    <n v="2"/>
    <n v="999.99"/>
    <n v="0.05"/>
    <n v="49.999500000000005"/>
    <n v="9"/>
    <n v="6"/>
  </r>
  <r>
    <n v="1167"/>
    <n v="2"/>
    <n v="81"/>
    <x v="1"/>
    <n v="2"/>
    <n v="1099.99"/>
    <n v="0.1"/>
    <n v="109.99900000000001"/>
    <n v="5"/>
    <n v="6"/>
  </r>
  <r>
    <n v="1167"/>
    <n v="3"/>
    <n v="68"/>
    <x v="2"/>
    <n v="1"/>
    <n v="449.99"/>
    <n v="7.0000000000000007E-2"/>
    <n v="31.499300000000005"/>
    <n v="8"/>
    <n v="6"/>
  </r>
  <r>
    <n v="1168"/>
    <n v="1"/>
    <n v="23"/>
    <x v="0"/>
    <n v="2"/>
    <n v="299.99"/>
    <n v="0.1"/>
    <n v="29.999000000000002"/>
    <n v="9"/>
    <n v="6"/>
  </r>
  <r>
    <n v="1168"/>
    <n v="2"/>
    <n v="82"/>
    <x v="1"/>
    <n v="1"/>
    <n v="659.99"/>
    <n v="0.2"/>
    <n v="131.99800000000002"/>
    <n v="5"/>
    <n v="6"/>
  </r>
  <r>
    <n v="1168"/>
    <n v="3"/>
    <n v="51"/>
    <x v="2"/>
    <n v="1"/>
    <n v="6499.99"/>
    <n v="7.0000000000000007E-2"/>
    <n v="454.99930000000001"/>
    <n v="8"/>
    <n v="6"/>
  </r>
  <r>
    <n v="1168"/>
    <n v="4"/>
    <n v="107"/>
    <x v="3"/>
    <n v="2"/>
    <n v="416.99"/>
    <n v="0.2"/>
    <n v="83.39800000000001"/>
    <n v="9"/>
    <n v="6"/>
  </r>
  <r>
    <n v="1168"/>
    <n v="5"/>
    <n v="15"/>
    <x v="4"/>
    <n v="2"/>
    <n v="529.99"/>
    <n v="0.05"/>
    <n v="26.499500000000001"/>
    <n v="3"/>
    <n v="6"/>
  </r>
  <r>
    <n v="1169"/>
    <n v="1"/>
    <n v="91"/>
    <x v="0"/>
    <n v="2"/>
    <n v="349.99"/>
    <n v="0.2"/>
    <n v="69.998000000000005"/>
    <n v="9"/>
    <n v="6"/>
  </r>
  <r>
    <n v="1169"/>
    <n v="2"/>
    <n v="51"/>
    <x v="1"/>
    <n v="1"/>
    <n v="6499.99"/>
    <n v="0.05"/>
    <n v="324.99950000000001"/>
    <n v="5"/>
    <n v="6"/>
  </r>
  <r>
    <n v="1169"/>
    <n v="3"/>
    <n v="58"/>
    <x v="2"/>
    <n v="2"/>
    <n v="4999.99"/>
    <n v="0.1"/>
    <n v="499.99900000000002"/>
    <n v="8"/>
    <n v="6"/>
  </r>
  <r>
    <n v="1169"/>
    <n v="4"/>
    <n v="81"/>
    <x v="3"/>
    <n v="2"/>
    <n v="1099.99"/>
    <n v="0.2"/>
    <n v="219.99800000000002"/>
    <n v="9"/>
    <n v="6"/>
  </r>
  <r>
    <n v="1170"/>
    <n v="1"/>
    <n v="15"/>
    <x v="0"/>
    <n v="1"/>
    <n v="529.99"/>
    <n v="0.1"/>
    <n v="52.999000000000002"/>
    <n v="9"/>
    <n v="6"/>
  </r>
  <r>
    <n v="1170"/>
    <n v="2"/>
    <n v="47"/>
    <x v="1"/>
    <n v="2"/>
    <n v="5299.99"/>
    <n v="0.05"/>
    <n v="264.99950000000001"/>
    <n v="5"/>
    <n v="6"/>
  </r>
  <r>
    <n v="1170"/>
    <n v="3"/>
    <n v="62"/>
    <x v="2"/>
    <n v="2"/>
    <n v="3499.99"/>
    <n v="0.1"/>
    <n v="349.99900000000002"/>
    <n v="8"/>
    <n v="6"/>
  </r>
  <r>
    <n v="1171"/>
    <n v="1"/>
    <n v="94"/>
    <x v="0"/>
    <n v="2"/>
    <n v="249.99"/>
    <n v="0.2"/>
    <n v="49.998000000000005"/>
    <n v="9"/>
    <n v="6"/>
  </r>
  <r>
    <n v="1171"/>
    <n v="2"/>
    <n v="92"/>
    <x v="1"/>
    <n v="2"/>
    <n v="209.99"/>
    <n v="7.0000000000000007E-2"/>
    <n v="14.699300000000003"/>
    <n v="5"/>
    <n v="6"/>
  </r>
  <r>
    <n v="1171"/>
    <n v="3"/>
    <n v="10"/>
    <x v="2"/>
    <n v="2"/>
    <n v="1549"/>
    <n v="7.0000000000000007E-2"/>
    <n v="108.43"/>
    <n v="8"/>
    <n v="6"/>
  </r>
  <r>
    <n v="1172"/>
    <n v="1"/>
    <n v="78"/>
    <x v="0"/>
    <n v="2"/>
    <n v="647.99"/>
    <n v="7.0000000000000007E-2"/>
    <n v="45.359300000000005"/>
    <n v="9"/>
    <n v="6"/>
  </r>
  <r>
    <n v="1172"/>
    <n v="2"/>
    <n v="104"/>
    <x v="1"/>
    <n v="1"/>
    <n v="481.99"/>
    <n v="0.2"/>
    <n v="96.39800000000001"/>
    <n v="5"/>
    <n v="6"/>
  </r>
  <r>
    <n v="1173"/>
    <n v="1"/>
    <n v="95"/>
    <x v="0"/>
    <n v="1"/>
    <n v="299.99"/>
    <n v="0.2"/>
    <n v="59.998000000000005"/>
    <n v="9"/>
    <n v="6"/>
  </r>
  <r>
    <n v="1173"/>
    <n v="2"/>
    <n v="17"/>
    <x v="1"/>
    <n v="1"/>
    <n v="429"/>
    <n v="7.0000000000000007E-2"/>
    <n v="30.03"/>
    <n v="5"/>
    <n v="6"/>
  </r>
  <r>
    <n v="1173"/>
    <n v="3"/>
    <n v="68"/>
    <x v="2"/>
    <n v="1"/>
    <n v="449.99"/>
    <n v="0.05"/>
    <n v="22.499500000000001"/>
    <n v="8"/>
    <n v="6"/>
  </r>
  <r>
    <n v="1173"/>
    <n v="4"/>
    <n v="103"/>
    <x v="3"/>
    <n v="2"/>
    <n v="551.99"/>
    <n v="0.2"/>
    <n v="110.39800000000001"/>
    <n v="9"/>
    <n v="6"/>
  </r>
  <r>
    <n v="1174"/>
    <n v="1"/>
    <n v="110"/>
    <x v="0"/>
    <n v="2"/>
    <n v="470.99"/>
    <n v="0.2"/>
    <n v="94.198000000000008"/>
    <n v="9"/>
    <n v="6"/>
  </r>
  <r>
    <n v="1174"/>
    <n v="2"/>
    <n v="6"/>
    <x v="1"/>
    <n v="1"/>
    <n v="469.99"/>
    <n v="7.0000000000000007E-2"/>
    <n v="32.899300000000004"/>
    <n v="5"/>
    <n v="6"/>
  </r>
  <r>
    <n v="1174"/>
    <n v="3"/>
    <n v="106"/>
    <x v="2"/>
    <n v="1"/>
    <n v="449.99"/>
    <n v="0.1"/>
    <n v="44.999000000000002"/>
    <n v="8"/>
    <n v="6"/>
  </r>
  <r>
    <n v="1175"/>
    <n v="1"/>
    <n v="58"/>
    <x v="0"/>
    <n v="2"/>
    <n v="4999.99"/>
    <n v="7.0000000000000007E-2"/>
    <n v="349.99930000000001"/>
    <n v="9"/>
    <n v="6"/>
  </r>
  <r>
    <n v="1175"/>
    <n v="2"/>
    <n v="65"/>
    <x v="1"/>
    <n v="1"/>
    <n v="346.99"/>
    <n v="0.2"/>
    <n v="69.39800000000001"/>
    <n v="5"/>
    <n v="6"/>
  </r>
  <r>
    <n v="1175"/>
    <n v="3"/>
    <n v="20"/>
    <x v="2"/>
    <n v="1"/>
    <n v="599.99"/>
    <n v="0.05"/>
    <n v="29.999500000000001"/>
    <n v="8"/>
    <n v="6"/>
  </r>
  <r>
    <n v="1175"/>
    <n v="4"/>
    <n v="3"/>
    <x v="3"/>
    <n v="1"/>
    <n v="999.99"/>
    <n v="0.05"/>
    <n v="49.999500000000005"/>
    <n v="9"/>
    <n v="6"/>
  </r>
  <r>
    <n v="1175"/>
    <n v="5"/>
    <n v="9"/>
    <x v="4"/>
    <n v="1"/>
    <n v="2999.99"/>
    <n v="0.05"/>
    <n v="149.99949999999998"/>
    <n v="3"/>
    <n v="6"/>
  </r>
  <r>
    <n v="1176"/>
    <n v="1"/>
    <n v="87"/>
    <x v="0"/>
    <n v="1"/>
    <n v="189.99"/>
    <n v="0.1"/>
    <n v="18.999000000000002"/>
    <n v="9"/>
    <n v="6"/>
  </r>
  <r>
    <n v="1177"/>
    <n v="1"/>
    <n v="62"/>
    <x v="0"/>
    <n v="2"/>
    <n v="3499.99"/>
    <n v="7.0000000000000007E-2"/>
    <n v="244.99930000000001"/>
    <n v="9"/>
    <n v="6"/>
  </r>
  <r>
    <n v="1177"/>
    <n v="2"/>
    <n v="74"/>
    <x v="1"/>
    <n v="1"/>
    <n v="439.99"/>
    <n v="0.1"/>
    <n v="43.999000000000002"/>
    <n v="5"/>
    <n v="6"/>
  </r>
  <r>
    <n v="1178"/>
    <n v="1"/>
    <n v="46"/>
    <x v="0"/>
    <n v="1"/>
    <n v="1409.99"/>
    <n v="7.0000000000000007E-2"/>
    <n v="98.699300000000008"/>
    <n v="9"/>
    <n v="6"/>
  </r>
  <r>
    <n v="1178"/>
    <n v="2"/>
    <n v="77"/>
    <x v="1"/>
    <n v="1"/>
    <n v="799.99"/>
    <n v="0.2"/>
    <n v="159.99800000000002"/>
    <n v="5"/>
    <n v="6"/>
  </r>
  <r>
    <n v="1178"/>
    <n v="3"/>
    <n v="108"/>
    <x v="2"/>
    <n v="1"/>
    <n v="449.99"/>
    <n v="0.05"/>
    <n v="22.499500000000001"/>
    <n v="8"/>
    <n v="6"/>
  </r>
  <r>
    <n v="1178"/>
    <n v="4"/>
    <n v="13"/>
    <x v="3"/>
    <n v="2"/>
    <n v="269.99"/>
    <n v="0.05"/>
    <n v="13.499500000000001"/>
    <n v="9"/>
    <n v="6"/>
  </r>
  <r>
    <n v="1179"/>
    <n v="1"/>
    <n v="93"/>
    <x v="0"/>
    <n v="2"/>
    <n v="209.99"/>
    <n v="0.05"/>
    <n v="10.499500000000001"/>
    <n v="9"/>
    <n v="6"/>
  </r>
  <r>
    <n v="1179"/>
    <n v="2"/>
    <n v="88"/>
    <x v="1"/>
    <n v="2"/>
    <n v="189.99"/>
    <n v="0.05"/>
    <n v="9.4995000000000012"/>
    <n v="5"/>
    <n v="6"/>
  </r>
  <r>
    <n v="1179"/>
    <n v="3"/>
    <n v="33"/>
    <x v="2"/>
    <n v="2"/>
    <n v="469.99"/>
    <n v="0.2"/>
    <n v="93.998000000000005"/>
    <n v="8"/>
    <n v="6"/>
  </r>
  <r>
    <n v="1179"/>
    <n v="4"/>
    <n v="50"/>
    <x v="3"/>
    <n v="1"/>
    <n v="5999.99"/>
    <n v="7.0000000000000007E-2"/>
    <n v="419.99930000000001"/>
    <n v="9"/>
    <n v="6"/>
  </r>
  <r>
    <n v="1180"/>
    <n v="1"/>
    <n v="66"/>
    <x v="0"/>
    <n v="2"/>
    <n v="250.99"/>
    <n v="7.0000000000000007E-2"/>
    <n v="17.569300000000002"/>
    <n v="9"/>
    <n v="6"/>
  </r>
  <r>
    <n v="1181"/>
    <n v="1"/>
    <n v="98"/>
    <x v="0"/>
    <n v="1"/>
    <n v="489.99"/>
    <n v="0.1"/>
    <n v="48.999000000000002"/>
    <n v="9"/>
    <n v="6"/>
  </r>
  <r>
    <n v="1182"/>
    <n v="1"/>
    <n v="35"/>
    <x v="0"/>
    <n v="1"/>
    <n v="832.99"/>
    <n v="0.1"/>
    <n v="83.299000000000007"/>
    <n v="9"/>
    <n v="6"/>
  </r>
  <r>
    <n v="1182"/>
    <n v="2"/>
    <n v="49"/>
    <x v="1"/>
    <n v="2"/>
    <n v="3499.99"/>
    <n v="0.1"/>
    <n v="349.99900000000002"/>
    <n v="5"/>
    <n v="6"/>
  </r>
  <r>
    <n v="1183"/>
    <n v="1"/>
    <n v="63"/>
    <x v="0"/>
    <n v="1"/>
    <n v="3499.99"/>
    <n v="0.2"/>
    <n v="699.99800000000005"/>
    <n v="9"/>
    <n v="6"/>
  </r>
  <r>
    <n v="1183"/>
    <n v="2"/>
    <n v="80"/>
    <x v="1"/>
    <n v="2"/>
    <n v="761.99"/>
    <n v="0.2"/>
    <n v="152.398"/>
    <n v="5"/>
    <n v="6"/>
  </r>
  <r>
    <n v="1183"/>
    <n v="3"/>
    <n v="6"/>
    <x v="2"/>
    <n v="2"/>
    <n v="469.99"/>
    <n v="0.05"/>
    <n v="23.499500000000001"/>
    <n v="8"/>
    <n v="6"/>
  </r>
  <r>
    <n v="1184"/>
    <n v="1"/>
    <n v="16"/>
    <x v="0"/>
    <n v="2"/>
    <n v="599.99"/>
    <n v="0.05"/>
    <n v="29.999500000000001"/>
    <n v="9"/>
    <n v="6"/>
  </r>
  <r>
    <n v="1184"/>
    <n v="2"/>
    <n v="71"/>
    <x v="1"/>
    <n v="1"/>
    <n v="416.99"/>
    <n v="0.05"/>
    <n v="20.849500000000003"/>
    <n v="5"/>
    <n v="6"/>
  </r>
  <r>
    <n v="1185"/>
    <n v="1"/>
    <n v="19"/>
    <x v="0"/>
    <n v="2"/>
    <n v="449"/>
    <n v="7.0000000000000007E-2"/>
    <n v="31.430000000000003"/>
    <n v="9"/>
    <n v="6"/>
  </r>
  <r>
    <n v="1185"/>
    <n v="2"/>
    <n v="21"/>
    <x v="1"/>
    <n v="1"/>
    <n v="269.99"/>
    <n v="7.0000000000000007E-2"/>
    <n v="18.899300000000004"/>
    <n v="5"/>
    <n v="6"/>
  </r>
  <r>
    <n v="1185"/>
    <n v="3"/>
    <n v="63"/>
    <x v="2"/>
    <n v="2"/>
    <n v="3499.99"/>
    <n v="0.1"/>
    <n v="349.99900000000002"/>
    <n v="8"/>
    <n v="6"/>
  </r>
  <r>
    <n v="1185"/>
    <n v="4"/>
    <n v="80"/>
    <x v="3"/>
    <n v="1"/>
    <n v="761.99"/>
    <n v="0.2"/>
    <n v="152.398"/>
    <n v="9"/>
    <n v="6"/>
  </r>
  <r>
    <n v="1186"/>
    <n v="1"/>
    <n v="48"/>
    <x v="0"/>
    <n v="2"/>
    <n v="1499.99"/>
    <n v="0.1"/>
    <n v="149.999"/>
    <n v="9"/>
    <n v="6"/>
  </r>
  <r>
    <n v="1186"/>
    <n v="2"/>
    <n v="49"/>
    <x v="1"/>
    <n v="1"/>
    <n v="3499.99"/>
    <n v="7.0000000000000007E-2"/>
    <n v="244.99930000000001"/>
    <n v="5"/>
    <n v="6"/>
  </r>
  <r>
    <n v="1186"/>
    <n v="3"/>
    <n v="106"/>
    <x v="2"/>
    <n v="1"/>
    <n v="449.99"/>
    <n v="0.1"/>
    <n v="44.999000000000002"/>
    <n v="8"/>
    <n v="6"/>
  </r>
  <r>
    <n v="1186"/>
    <n v="4"/>
    <n v="27"/>
    <x v="3"/>
    <n v="1"/>
    <n v="999.99"/>
    <n v="0.2"/>
    <n v="199.99800000000002"/>
    <n v="9"/>
    <n v="6"/>
  </r>
  <r>
    <n v="1187"/>
    <n v="1"/>
    <n v="36"/>
    <x v="0"/>
    <n v="2"/>
    <n v="832.99"/>
    <n v="0.1"/>
    <n v="83.299000000000007"/>
    <n v="9"/>
    <n v="6"/>
  </r>
  <r>
    <n v="1187"/>
    <n v="2"/>
    <n v="79"/>
    <x v="1"/>
    <n v="1"/>
    <n v="402.99"/>
    <n v="7.0000000000000007E-2"/>
    <n v="28.209300000000002"/>
    <n v="5"/>
    <n v="6"/>
  </r>
  <r>
    <n v="1187"/>
    <n v="3"/>
    <n v="4"/>
    <x v="2"/>
    <n v="1"/>
    <n v="2899.99"/>
    <n v="0.1"/>
    <n v="289.99899999999997"/>
    <n v="8"/>
    <n v="6"/>
  </r>
  <r>
    <n v="1187"/>
    <n v="4"/>
    <n v="53"/>
    <x v="3"/>
    <n v="2"/>
    <n v="749.99"/>
    <n v="0.1"/>
    <n v="74.999000000000009"/>
    <n v="9"/>
    <n v="6"/>
  </r>
  <r>
    <n v="1188"/>
    <n v="1"/>
    <n v="66"/>
    <x v="0"/>
    <n v="2"/>
    <n v="250.99"/>
    <n v="0.1"/>
    <n v="25.099000000000004"/>
    <n v="9"/>
    <n v="6"/>
  </r>
  <r>
    <n v="1188"/>
    <n v="2"/>
    <n v="91"/>
    <x v="1"/>
    <n v="2"/>
    <n v="349.99"/>
    <n v="0.2"/>
    <n v="69.998000000000005"/>
    <n v="5"/>
    <n v="6"/>
  </r>
  <r>
    <n v="1188"/>
    <n v="3"/>
    <n v="87"/>
    <x v="2"/>
    <n v="2"/>
    <n v="189.99"/>
    <n v="0.1"/>
    <n v="18.999000000000002"/>
    <n v="8"/>
    <n v="6"/>
  </r>
  <r>
    <n v="1189"/>
    <n v="1"/>
    <n v="55"/>
    <x v="0"/>
    <n v="1"/>
    <n v="2699.99"/>
    <n v="7.0000000000000007E-2"/>
    <n v="188.99930000000001"/>
    <n v="9"/>
    <n v="6"/>
  </r>
  <r>
    <n v="1189"/>
    <n v="2"/>
    <n v="102"/>
    <x v="1"/>
    <n v="2"/>
    <n v="489.99"/>
    <n v="0.1"/>
    <n v="48.999000000000002"/>
    <n v="5"/>
    <n v="6"/>
  </r>
  <r>
    <n v="1189"/>
    <n v="3"/>
    <n v="40"/>
    <x v="2"/>
    <n v="2"/>
    <n v="4999.99"/>
    <n v="0.1"/>
    <n v="499.99900000000002"/>
    <n v="8"/>
    <n v="6"/>
  </r>
  <r>
    <n v="1190"/>
    <n v="1"/>
    <n v="71"/>
    <x v="0"/>
    <n v="1"/>
    <n v="416.99"/>
    <n v="7.0000000000000007E-2"/>
    <n v="29.189300000000003"/>
    <n v="9"/>
    <n v="6"/>
  </r>
  <r>
    <n v="1191"/>
    <n v="1"/>
    <n v="40"/>
    <x v="0"/>
    <n v="2"/>
    <n v="4999.99"/>
    <n v="0.1"/>
    <n v="499.99900000000002"/>
    <n v="9"/>
    <n v="6"/>
  </r>
  <r>
    <n v="1191"/>
    <n v="2"/>
    <n v="89"/>
    <x v="1"/>
    <n v="2"/>
    <n v="209.99"/>
    <n v="0.1"/>
    <n v="20.999000000000002"/>
    <n v="5"/>
    <n v="6"/>
  </r>
  <r>
    <n v="1191"/>
    <n v="3"/>
    <n v="100"/>
    <x v="2"/>
    <n v="1"/>
    <n v="489.99"/>
    <n v="7.0000000000000007E-2"/>
    <n v="34.299300000000002"/>
    <n v="8"/>
    <n v="6"/>
  </r>
  <r>
    <n v="1192"/>
    <n v="1"/>
    <n v="24"/>
    <x v="0"/>
    <n v="2"/>
    <n v="549.99"/>
    <n v="0.1"/>
    <n v="54.999000000000002"/>
    <n v="9"/>
    <n v="6"/>
  </r>
  <r>
    <n v="1192"/>
    <n v="2"/>
    <n v="88"/>
    <x v="1"/>
    <n v="2"/>
    <n v="189.99"/>
    <n v="7.0000000000000007E-2"/>
    <n v="13.299300000000002"/>
    <n v="5"/>
    <n v="6"/>
  </r>
  <r>
    <n v="1192"/>
    <n v="3"/>
    <n v="37"/>
    <x v="2"/>
    <n v="2"/>
    <n v="379.99"/>
    <n v="0.2"/>
    <n v="75.998000000000005"/>
    <n v="8"/>
    <n v="6"/>
  </r>
  <r>
    <n v="1193"/>
    <n v="1"/>
    <n v="83"/>
    <x v="0"/>
    <n v="2"/>
    <n v="149.99"/>
    <n v="0.05"/>
    <n v="7.4995000000000012"/>
    <n v="9"/>
    <n v="6"/>
  </r>
  <r>
    <n v="1193"/>
    <n v="2"/>
    <n v="27"/>
    <x v="1"/>
    <n v="1"/>
    <n v="999.99"/>
    <n v="0.05"/>
    <n v="49.999500000000005"/>
    <n v="5"/>
    <n v="6"/>
  </r>
  <r>
    <n v="1194"/>
    <n v="1"/>
    <n v="71"/>
    <x v="0"/>
    <n v="1"/>
    <n v="416.99"/>
    <n v="0.05"/>
    <n v="20.849500000000003"/>
    <n v="9"/>
    <n v="6"/>
  </r>
  <r>
    <n v="1194"/>
    <n v="2"/>
    <n v="7"/>
    <x v="1"/>
    <n v="2"/>
    <n v="3999.99"/>
    <n v="7.0000000000000007E-2"/>
    <n v="279.99930000000001"/>
    <n v="5"/>
    <n v="6"/>
  </r>
  <r>
    <n v="1194"/>
    <n v="3"/>
    <n v="105"/>
    <x v="2"/>
    <n v="2"/>
    <n v="533.99"/>
    <n v="0.1"/>
    <n v="53.399000000000001"/>
    <n v="8"/>
    <n v="6"/>
  </r>
  <r>
    <n v="1194"/>
    <n v="4"/>
    <n v="84"/>
    <x v="3"/>
    <n v="1"/>
    <n v="109.99"/>
    <n v="0.05"/>
    <n v="5.4995000000000003"/>
    <n v="9"/>
    <n v="6"/>
  </r>
  <r>
    <n v="1195"/>
    <n v="1"/>
    <n v="52"/>
    <x v="0"/>
    <n v="1"/>
    <n v="875.99"/>
    <n v="7.0000000000000007E-2"/>
    <n v="61.319300000000005"/>
    <n v="9"/>
    <n v="6"/>
  </r>
  <r>
    <n v="1196"/>
    <n v="1"/>
    <n v="53"/>
    <x v="0"/>
    <n v="1"/>
    <n v="749.99"/>
    <n v="7.0000000000000007E-2"/>
    <n v="52.499300000000005"/>
    <n v="9"/>
    <n v="6"/>
  </r>
  <r>
    <n v="1197"/>
    <n v="1"/>
    <n v="13"/>
    <x v="0"/>
    <n v="1"/>
    <n v="269.99"/>
    <n v="7.0000000000000007E-2"/>
    <n v="18.899300000000004"/>
    <n v="9"/>
    <n v="6"/>
  </r>
  <r>
    <n v="1197"/>
    <n v="2"/>
    <n v="108"/>
    <x v="1"/>
    <n v="2"/>
    <n v="449.99"/>
    <n v="0.05"/>
    <n v="22.499500000000001"/>
    <n v="5"/>
    <n v="6"/>
  </r>
  <r>
    <n v="1197"/>
    <n v="3"/>
    <n v="9"/>
    <x v="2"/>
    <n v="2"/>
    <n v="2999.99"/>
    <n v="0.05"/>
    <n v="149.99949999999998"/>
    <n v="8"/>
    <n v="6"/>
  </r>
  <r>
    <n v="1197"/>
    <n v="4"/>
    <n v="106"/>
    <x v="3"/>
    <n v="2"/>
    <n v="449.99"/>
    <n v="0.2"/>
    <n v="89.998000000000005"/>
    <n v="9"/>
    <n v="6"/>
  </r>
  <r>
    <n v="1198"/>
    <n v="1"/>
    <n v="105"/>
    <x v="0"/>
    <n v="1"/>
    <n v="533.99"/>
    <n v="0.05"/>
    <n v="26.6995"/>
    <n v="9"/>
    <n v="6"/>
  </r>
  <r>
    <n v="1199"/>
    <n v="1"/>
    <n v="32"/>
    <x v="0"/>
    <n v="1"/>
    <n v="469.99"/>
    <n v="0.05"/>
    <n v="23.499500000000001"/>
    <n v="9"/>
    <n v="6"/>
  </r>
  <r>
    <n v="1199"/>
    <n v="2"/>
    <n v="94"/>
    <x v="1"/>
    <n v="2"/>
    <n v="249.99"/>
    <n v="7.0000000000000007E-2"/>
    <n v="17.499300000000002"/>
    <n v="5"/>
    <n v="6"/>
  </r>
  <r>
    <n v="1199"/>
    <n v="3"/>
    <n v="109"/>
    <x v="2"/>
    <n v="2"/>
    <n v="416.99"/>
    <n v="0.1"/>
    <n v="41.699000000000005"/>
    <n v="8"/>
    <n v="6"/>
  </r>
  <r>
    <n v="1200"/>
    <n v="1"/>
    <n v="42"/>
    <x v="0"/>
    <n v="2"/>
    <n v="2299.9899999999998"/>
    <n v="0.2"/>
    <n v="459.99799999999999"/>
    <n v="9"/>
    <n v="6"/>
  </r>
  <r>
    <n v="1201"/>
    <n v="1"/>
    <n v="95"/>
    <x v="0"/>
    <n v="1"/>
    <n v="299.99"/>
    <n v="7.0000000000000007E-2"/>
    <n v="20.999300000000002"/>
    <n v="9"/>
    <n v="6"/>
  </r>
  <r>
    <n v="1201"/>
    <n v="2"/>
    <n v="13"/>
    <x v="1"/>
    <n v="1"/>
    <n v="269.99"/>
    <n v="0.05"/>
    <n v="13.499500000000001"/>
    <n v="5"/>
    <n v="6"/>
  </r>
  <r>
    <n v="1201"/>
    <n v="3"/>
    <n v="26"/>
    <x v="2"/>
    <n v="1"/>
    <n v="599.99"/>
    <n v="0.2"/>
    <n v="119.998"/>
    <n v="8"/>
    <n v="6"/>
  </r>
  <r>
    <n v="1201"/>
    <n v="4"/>
    <n v="17"/>
    <x v="3"/>
    <n v="2"/>
    <n v="429"/>
    <n v="0.05"/>
    <n v="21.450000000000003"/>
    <n v="9"/>
    <n v="6"/>
  </r>
  <r>
    <n v="1201"/>
    <n v="5"/>
    <n v="19"/>
    <x v="4"/>
    <n v="2"/>
    <n v="449"/>
    <n v="0.2"/>
    <n v="89.800000000000011"/>
    <n v="3"/>
    <n v="6"/>
  </r>
  <r>
    <n v="1202"/>
    <n v="1"/>
    <n v="84"/>
    <x v="0"/>
    <n v="2"/>
    <n v="109.99"/>
    <n v="0.05"/>
    <n v="5.4995000000000003"/>
    <n v="9"/>
    <n v="6"/>
  </r>
  <r>
    <n v="1203"/>
    <n v="1"/>
    <n v="6"/>
    <x v="0"/>
    <n v="2"/>
    <n v="469.99"/>
    <n v="7.0000000000000007E-2"/>
    <n v="32.899300000000004"/>
    <n v="9"/>
    <n v="6"/>
  </r>
  <r>
    <n v="1203"/>
    <n v="2"/>
    <n v="55"/>
    <x v="1"/>
    <n v="1"/>
    <n v="2699.99"/>
    <n v="0.05"/>
    <n v="134.99949999999998"/>
    <n v="5"/>
    <n v="6"/>
  </r>
  <r>
    <n v="1204"/>
    <n v="1"/>
    <n v="37"/>
    <x v="0"/>
    <n v="2"/>
    <n v="379.99"/>
    <n v="7.0000000000000007E-2"/>
    <n v="26.599300000000003"/>
    <n v="9"/>
    <n v="6"/>
  </r>
  <r>
    <n v="1205"/>
    <n v="1"/>
    <n v="105"/>
    <x v="0"/>
    <n v="2"/>
    <n v="533.99"/>
    <n v="0.2"/>
    <n v="106.798"/>
    <n v="9"/>
    <n v="6"/>
  </r>
  <r>
    <n v="1205"/>
    <n v="2"/>
    <n v="46"/>
    <x v="1"/>
    <n v="2"/>
    <n v="1409.99"/>
    <n v="0.2"/>
    <n v="281.99799999999999"/>
    <n v="5"/>
    <n v="6"/>
  </r>
  <r>
    <n v="1205"/>
    <n v="3"/>
    <n v="71"/>
    <x v="2"/>
    <n v="1"/>
    <n v="416.99"/>
    <n v="0.05"/>
    <n v="20.849500000000003"/>
    <n v="8"/>
    <n v="6"/>
  </r>
  <r>
    <n v="1205"/>
    <n v="4"/>
    <n v="79"/>
    <x v="3"/>
    <n v="2"/>
    <n v="402.99"/>
    <n v="7.0000000000000007E-2"/>
    <n v="28.209300000000002"/>
    <n v="9"/>
    <n v="6"/>
  </r>
  <r>
    <n v="1205"/>
    <n v="5"/>
    <n v="92"/>
    <x v="4"/>
    <n v="1"/>
    <n v="209.99"/>
    <n v="0.1"/>
    <n v="20.999000000000002"/>
    <n v="3"/>
    <n v="6"/>
  </r>
  <r>
    <n v="1206"/>
    <n v="1"/>
    <n v="73"/>
    <x v="0"/>
    <n v="1"/>
    <n v="749.99"/>
    <n v="7.0000000000000007E-2"/>
    <n v="52.499300000000005"/>
    <n v="9"/>
    <n v="6"/>
  </r>
  <r>
    <n v="1206"/>
    <n v="2"/>
    <n v="29"/>
    <x v="1"/>
    <n v="1"/>
    <n v="999.99"/>
    <n v="0.2"/>
    <n v="199.99800000000002"/>
    <n v="5"/>
    <n v="6"/>
  </r>
  <r>
    <n v="1207"/>
    <n v="1"/>
    <n v="104"/>
    <x v="0"/>
    <n v="1"/>
    <n v="481.99"/>
    <n v="0.05"/>
    <n v="24.099500000000003"/>
    <n v="9"/>
    <n v="6"/>
  </r>
  <r>
    <n v="1207"/>
    <n v="2"/>
    <n v="103"/>
    <x v="1"/>
    <n v="1"/>
    <n v="551.99"/>
    <n v="0.1"/>
    <n v="55.199000000000005"/>
    <n v="5"/>
    <n v="6"/>
  </r>
  <r>
    <n v="1207"/>
    <n v="3"/>
    <n v="23"/>
    <x v="2"/>
    <n v="1"/>
    <n v="299.99"/>
    <n v="7.0000000000000007E-2"/>
    <n v="20.999300000000002"/>
    <n v="8"/>
    <n v="6"/>
  </r>
  <r>
    <n v="1208"/>
    <n v="1"/>
    <n v="12"/>
    <x v="0"/>
    <n v="1"/>
    <n v="549.99"/>
    <n v="0.2"/>
    <n v="109.998"/>
    <n v="9"/>
    <n v="6"/>
  </r>
  <r>
    <n v="1208"/>
    <n v="2"/>
    <n v="65"/>
    <x v="1"/>
    <n v="2"/>
    <n v="346.99"/>
    <n v="7.0000000000000007E-2"/>
    <n v="24.289300000000004"/>
    <n v="5"/>
    <n v="6"/>
  </r>
  <r>
    <n v="1208"/>
    <n v="3"/>
    <n v="86"/>
    <x v="2"/>
    <n v="2"/>
    <n v="149.99"/>
    <n v="0.2"/>
    <n v="29.998000000000005"/>
    <n v="8"/>
    <n v="6"/>
  </r>
  <r>
    <n v="1208"/>
    <n v="4"/>
    <n v="13"/>
    <x v="3"/>
    <n v="2"/>
    <n v="269.99"/>
    <n v="0.1"/>
    <n v="26.999000000000002"/>
    <n v="9"/>
    <n v="6"/>
  </r>
  <r>
    <n v="1208"/>
    <n v="5"/>
    <n v="87"/>
    <x v="4"/>
    <n v="1"/>
    <n v="189.99"/>
    <n v="7.0000000000000007E-2"/>
    <n v="13.299300000000002"/>
    <n v="3"/>
    <n v="6"/>
  </r>
  <r>
    <n v="1209"/>
    <n v="1"/>
    <n v="89"/>
    <x v="0"/>
    <n v="1"/>
    <n v="209.99"/>
    <n v="7.0000000000000007E-2"/>
    <n v="14.699300000000003"/>
    <n v="9"/>
    <n v="6"/>
  </r>
  <r>
    <n v="1209"/>
    <n v="2"/>
    <n v="97"/>
    <x v="1"/>
    <n v="1"/>
    <n v="349.99"/>
    <n v="0.05"/>
    <n v="17.499500000000001"/>
    <n v="5"/>
    <n v="6"/>
  </r>
  <r>
    <n v="1210"/>
    <n v="1"/>
    <n v="26"/>
    <x v="0"/>
    <n v="1"/>
    <n v="599.99"/>
    <n v="0.1"/>
    <n v="59.999000000000002"/>
    <n v="9"/>
    <n v="6"/>
  </r>
  <r>
    <n v="1210"/>
    <n v="2"/>
    <n v="6"/>
    <x v="1"/>
    <n v="2"/>
    <n v="469.99"/>
    <n v="7.0000000000000007E-2"/>
    <n v="32.899300000000004"/>
    <n v="5"/>
    <n v="6"/>
  </r>
  <r>
    <n v="1210"/>
    <n v="3"/>
    <n v="78"/>
    <x v="2"/>
    <n v="2"/>
    <n v="647.99"/>
    <n v="0.05"/>
    <n v="32.399500000000003"/>
    <n v="8"/>
    <n v="6"/>
  </r>
  <r>
    <n v="1210"/>
    <n v="4"/>
    <n v="84"/>
    <x v="3"/>
    <n v="1"/>
    <n v="109.99"/>
    <n v="0.1"/>
    <n v="10.999000000000001"/>
    <n v="9"/>
    <n v="6"/>
  </r>
  <r>
    <n v="1210"/>
    <n v="5"/>
    <n v="35"/>
    <x v="4"/>
    <n v="2"/>
    <n v="832.99"/>
    <n v="0.05"/>
    <n v="41.649500000000003"/>
    <n v="3"/>
    <n v="6"/>
  </r>
  <r>
    <n v="1211"/>
    <n v="1"/>
    <n v="15"/>
    <x v="0"/>
    <n v="2"/>
    <n v="529.99"/>
    <n v="0.2"/>
    <n v="105.998"/>
    <n v="9"/>
    <n v="6"/>
  </r>
  <r>
    <n v="1211"/>
    <n v="2"/>
    <n v="59"/>
    <x v="1"/>
    <n v="1"/>
    <n v="2599.9899999999998"/>
    <n v="0.05"/>
    <n v="129.99949999999998"/>
    <n v="5"/>
    <n v="6"/>
  </r>
  <r>
    <n v="1211"/>
    <n v="3"/>
    <n v="92"/>
    <x v="2"/>
    <n v="1"/>
    <n v="209.99"/>
    <n v="0.2"/>
    <n v="41.998000000000005"/>
    <n v="8"/>
    <n v="6"/>
  </r>
  <r>
    <n v="1211"/>
    <n v="4"/>
    <n v="93"/>
    <x v="3"/>
    <n v="1"/>
    <n v="209.99"/>
    <n v="0.1"/>
    <n v="20.999000000000002"/>
    <n v="9"/>
    <n v="6"/>
  </r>
  <r>
    <n v="1211"/>
    <n v="5"/>
    <n v="108"/>
    <x v="4"/>
    <n v="2"/>
    <n v="449.99"/>
    <n v="0.2"/>
    <n v="89.998000000000005"/>
    <n v="3"/>
    <n v="6"/>
  </r>
  <r>
    <n v="1212"/>
    <n v="1"/>
    <n v="74"/>
    <x v="0"/>
    <n v="1"/>
    <n v="439.99"/>
    <n v="0.1"/>
    <n v="43.999000000000002"/>
    <n v="9"/>
    <n v="6"/>
  </r>
  <r>
    <n v="1212"/>
    <n v="2"/>
    <n v="37"/>
    <x v="1"/>
    <n v="2"/>
    <n v="379.99"/>
    <n v="7.0000000000000007E-2"/>
    <n v="26.599300000000003"/>
    <n v="5"/>
    <n v="6"/>
  </r>
  <r>
    <n v="1212"/>
    <n v="3"/>
    <n v="39"/>
    <x v="2"/>
    <n v="2"/>
    <n v="1499.99"/>
    <n v="0.05"/>
    <n v="74.999499999999998"/>
    <n v="8"/>
    <n v="6"/>
  </r>
  <r>
    <n v="1212"/>
    <n v="4"/>
    <n v="68"/>
    <x v="3"/>
    <n v="2"/>
    <n v="449.99"/>
    <n v="7.0000000000000007E-2"/>
    <n v="31.499300000000005"/>
    <n v="9"/>
    <n v="6"/>
  </r>
  <r>
    <n v="1213"/>
    <n v="1"/>
    <n v="64"/>
    <x v="0"/>
    <n v="2"/>
    <n v="489.99"/>
    <n v="7.0000000000000007E-2"/>
    <n v="34.299300000000002"/>
    <n v="9"/>
    <n v="6"/>
  </r>
  <r>
    <n v="1213"/>
    <n v="2"/>
    <n v="78"/>
    <x v="1"/>
    <n v="1"/>
    <n v="647.99"/>
    <n v="7.0000000000000007E-2"/>
    <n v="45.359300000000005"/>
    <n v="5"/>
    <n v="6"/>
  </r>
  <r>
    <n v="1213"/>
    <n v="3"/>
    <n v="102"/>
    <x v="2"/>
    <n v="2"/>
    <n v="489.99"/>
    <n v="0.1"/>
    <n v="48.999000000000002"/>
    <n v="8"/>
    <n v="6"/>
  </r>
  <r>
    <n v="1213"/>
    <n v="4"/>
    <n v="15"/>
    <x v="3"/>
    <n v="1"/>
    <n v="529.99"/>
    <n v="0.05"/>
    <n v="26.499500000000001"/>
    <n v="9"/>
    <n v="6"/>
  </r>
  <r>
    <n v="1214"/>
    <n v="1"/>
    <n v="9"/>
    <x v="0"/>
    <n v="2"/>
    <n v="2999.99"/>
    <n v="0.05"/>
    <n v="149.99949999999998"/>
    <n v="9"/>
    <n v="6"/>
  </r>
  <r>
    <n v="1214"/>
    <n v="2"/>
    <n v="7"/>
    <x v="1"/>
    <n v="1"/>
    <n v="3999.99"/>
    <n v="0.2"/>
    <n v="799.99800000000005"/>
    <n v="5"/>
    <n v="6"/>
  </r>
  <r>
    <n v="1214"/>
    <n v="3"/>
    <n v="22"/>
    <x v="2"/>
    <n v="1"/>
    <n v="269.99"/>
    <n v="0.05"/>
    <n v="13.499500000000001"/>
    <n v="8"/>
    <n v="6"/>
  </r>
  <r>
    <n v="1214"/>
    <n v="4"/>
    <n v="77"/>
    <x v="3"/>
    <n v="2"/>
    <n v="799.99"/>
    <n v="0.1"/>
    <n v="79.999000000000009"/>
    <n v="9"/>
    <n v="6"/>
  </r>
  <r>
    <n v="1214"/>
    <n v="5"/>
    <n v="67"/>
    <x v="4"/>
    <n v="2"/>
    <n v="250.99"/>
    <n v="0.2"/>
    <n v="50.198000000000008"/>
    <n v="3"/>
    <n v="6"/>
  </r>
  <r>
    <n v="1215"/>
    <n v="1"/>
    <n v="73"/>
    <x v="0"/>
    <n v="2"/>
    <n v="749.99"/>
    <n v="0.1"/>
    <n v="74.999000000000009"/>
    <n v="9"/>
    <n v="6"/>
  </r>
  <r>
    <n v="1215"/>
    <n v="2"/>
    <n v="10"/>
    <x v="1"/>
    <n v="2"/>
    <n v="1549"/>
    <n v="7.0000000000000007E-2"/>
    <n v="108.43"/>
    <n v="5"/>
    <n v="6"/>
  </r>
  <r>
    <n v="1216"/>
    <n v="1"/>
    <n v="64"/>
    <x v="0"/>
    <n v="2"/>
    <n v="489.99"/>
    <n v="0.1"/>
    <n v="48.999000000000002"/>
    <n v="9"/>
    <n v="6"/>
  </r>
  <r>
    <n v="1216"/>
    <n v="2"/>
    <n v="54"/>
    <x v="1"/>
    <n v="1"/>
    <n v="3199.99"/>
    <n v="0.05"/>
    <n v="159.99950000000001"/>
    <n v="5"/>
    <n v="6"/>
  </r>
  <r>
    <n v="1216"/>
    <n v="3"/>
    <n v="19"/>
    <x v="2"/>
    <n v="1"/>
    <n v="449"/>
    <n v="0.2"/>
    <n v="89.800000000000011"/>
    <n v="8"/>
    <n v="6"/>
  </r>
  <r>
    <n v="1216"/>
    <n v="4"/>
    <n v="110"/>
    <x v="3"/>
    <n v="2"/>
    <n v="470.99"/>
    <n v="7.0000000000000007E-2"/>
    <n v="32.969300000000004"/>
    <n v="9"/>
    <n v="6"/>
  </r>
  <r>
    <n v="1216"/>
    <n v="5"/>
    <n v="43"/>
    <x v="4"/>
    <n v="1"/>
    <n v="5299.99"/>
    <n v="0.1"/>
    <n v="529.99900000000002"/>
    <n v="3"/>
    <n v="6"/>
  </r>
  <r>
    <n v="1217"/>
    <n v="1"/>
    <n v="73"/>
    <x v="0"/>
    <n v="1"/>
    <n v="749.99"/>
    <n v="0.05"/>
    <n v="37.499500000000005"/>
    <n v="9"/>
    <n v="6"/>
  </r>
  <r>
    <n v="1217"/>
    <n v="2"/>
    <n v="106"/>
    <x v="1"/>
    <n v="2"/>
    <n v="449.99"/>
    <n v="0.05"/>
    <n v="22.499500000000001"/>
    <n v="5"/>
    <n v="6"/>
  </r>
  <r>
    <n v="1218"/>
    <n v="1"/>
    <n v="32"/>
    <x v="0"/>
    <n v="1"/>
    <n v="469.99"/>
    <n v="7.0000000000000007E-2"/>
    <n v="32.899300000000004"/>
    <n v="9"/>
    <n v="6"/>
  </r>
  <r>
    <n v="1218"/>
    <n v="2"/>
    <n v="102"/>
    <x v="1"/>
    <n v="2"/>
    <n v="489.99"/>
    <n v="0.05"/>
    <n v="24.499500000000001"/>
    <n v="5"/>
    <n v="6"/>
  </r>
  <r>
    <n v="1219"/>
    <n v="1"/>
    <n v="17"/>
    <x v="0"/>
    <n v="2"/>
    <n v="429"/>
    <n v="7.0000000000000007E-2"/>
    <n v="30.03"/>
    <n v="9"/>
    <n v="6"/>
  </r>
  <r>
    <n v="1219"/>
    <n v="2"/>
    <n v="62"/>
    <x v="1"/>
    <n v="2"/>
    <n v="3499.99"/>
    <n v="0.1"/>
    <n v="349.99900000000002"/>
    <n v="5"/>
    <n v="6"/>
  </r>
  <r>
    <n v="1219"/>
    <n v="3"/>
    <n v="40"/>
    <x v="2"/>
    <n v="2"/>
    <n v="4999.99"/>
    <n v="0.2"/>
    <n v="999.99800000000005"/>
    <n v="8"/>
    <n v="6"/>
  </r>
  <r>
    <n v="1220"/>
    <n v="1"/>
    <n v="47"/>
    <x v="0"/>
    <n v="2"/>
    <n v="5299.99"/>
    <n v="0.1"/>
    <n v="529.99900000000002"/>
    <n v="9"/>
    <n v="6"/>
  </r>
  <r>
    <n v="1220"/>
    <n v="2"/>
    <n v="49"/>
    <x v="1"/>
    <n v="1"/>
    <n v="3499.99"/>
    <n v="0.2"/>
    <n v="699.99800000000005"/>
    <n v="5"/>
    <n v="6"/>
  </r>
  <r>
    <n v="1220"/>
    <n v="3"/>
    <n v="85"/>
    <x v="2"/>
    <n v="2"/>
    <n v="329.99"/>
    <n v="0.2"/>
    <n v="65.998000000000005"/>
    <n v="8"/>
    <n v="6"/>
  </r>
  <r>
    <n v="1221"/>
    <n v="1"/>
    <n v="100"/>
    <x v="0"/>
    <n v="1"/>
    <n v="489.99"/>
    <n v="0.05"/>
    <n v="24.499500000000001"/>
    <n v="9"/>
    <n v="6"/>
  </r>
  <r>
    <n v="1221"/>
    <n v="2"/>
    <n v="81"/>
    <x v="1"/>
    <n v="2"/>
    <n v="1099.99"/>
    <n v="0.05"/>
    <n v="54.999500000000005"/>
    <n v="5"/>
    <n v="6"/>
  </r>
  <r>
    <n v="1221"/>
    <n v="3"/>
    <n v="42"/>
    <x v="2"/>
    <n v="2"/>
    <n v="2299.9899999999998"/>
    <n v="0.1"/>
    <n v="229.999"/>
    <n v="8"/>
    <n v="6"/>
  </r>
  <r>
    <n v="1221"/>
    <n v="4"/>
    <n v="38"/>
    <x v="3"/>
    <n v="2"/>
    <n v="549.99"/>
    <n v="0.1"/>
    <n v="54.999000000000002"/>
    <n v="9"/>
    <n v="6"/>
  </r>
  <r>
    <n v="1221"/>
    <n v="5"/>
    <n v="97"/>
    <x v="4"/>
    <n v="2"/>
    <n v="349.99"/>
    <n v="7.0000000000000007E-2"/>
    <n v="24.499300000000002"/>
    <n v="3"/>
    <n v="6"/>
  </r>
  <r>
    <n v="1222"/>
    <n v="1"/>
    <n v="97"/>
    <x v="0"/>
    <n v="1"/>
    <n v="349.99"/>
    <n v="0.2"/>
    <n v="69.998000000000005"/>
    <n v="9"/>
    <n v="6"/>
  </r>
  <r>
    <n v="1223"/>
    <n v="1"/>
    <n v="103"/>
    <x v="0"/>
    <n v="1"/>
    <n v="551.99"/>
    <n v="0.05"/>
    <n v="27.599500000000003"/>
    <n v="9"/>
    <n v="6"/>
  </r>
  <r>
    <n v="1224"/>
    <n v="1"/>
    <n v="62"/>
    <x v="0"/>
    <n v="1"/>
    <n v="3499.99"/>
    <n v="7.0000000000000007E-2"/>
    <n v="244.99930000000001"/>
    <n v="9"/>
    <n v="6"/>
  </r>
  <r>
    <n v="1224"/>
    <n v="2"/>
    <n v="51"/>
    <x v="1"/>
    <n v="1"/>
    <n v="6499.99"/>
    <n v="0.1"/>
    <n v="649.99900000000002"/>
    <n v="5"/>
    <n v="6"/>
  </r>
  <r>
    <n v="1224"/>
    <n v="3"/>
    <n v="108"/>
    <x v="2"/>
    <n v="1"/>
    <n v="449.99"/>
    <n v="0.05"/>
    <n v="22.499500000000001"/>
    <n v="8"/>
    <n v="6"/>
  </r>
  <r>
    <n v="1224"/>
    <n v="4"/>
    <n v="32"/>
    <x v="3"/>
    <n v="1"/>
    <n v="469.99"/>
    <n v="0.2"/>
    <n v="93.998000000000005"/>
    <n v="9"/>
    <n v="6"/>
  </r>
  <r>
    <n v="1225"/>
    <n v="1"/>
    <n v="81"/>
    <x v="0"/>
    <n v="1"/>
    <n v="1099.99"/>
    <n v="0.1"/>
    <n v="109.99900000000001"/>
    <n v="9"/>
    <n v="6"/>
  </r>
  <r>
    <n v="1225"/>
    <n v="2"/>
    <n v="59"/>
    <x v="1"/>
    <n v="2"/>
    <n v="2599.9899999999998"/>
    <n v="0.1"/>
    <n v="259.99899999999997"/>
    <n v="5"/>
    <n v="6"/>
  </r>
  <r>
    <n v="1225"/>
    <n v="3"/>
    <n v="6"/>
    <x v="2"/>
    <n v="2"/>
    <n v="469.99"/>
    <n v="0.1"/>
    <n v="46.999000000000002"/>
    <n v="8"/>
    <n v="6"/>
  </r>
  <r>
    <n v="1226"/>
    <n v="1"/>
    <n v="77"/>
    <x v="0"/>
    <n v="2"/>
    <n v="799.99"/>
    <n v="0.05"/>
    <n v="39.999500000000005"/>
    <n v="9"/>
    <n v="6"/>
  </r>
  <r>
    <n v="1226"/>
    <n v="2"/>
    <n v="101"/>
    <x v="1"/>
    <n v="1"/>
    <n v="339.99"/>
    <n v="0.2"/>
    <n v="67.998000000000005"/>
    <n v="5"/>
    <n v="6"/>
  </r>
  <r>
    <n v="1226"/>
    <n v="3"/>
    <n v="11"/>
    <x v="2"/>
    <n v="2"/>
    <n v="1680.99"/>
    <n v="7.0000000000000007E-2"/>
    <n v="117.66930000000001"/>
    <n v="8"/>
    <n v="6"/>
  </r>
  <r>
    <n v="1226"/>
    <n v="4"/>
    <n v="51"/>
    <x v="3"/>
    <n v="1"/>
    <n v="6499.99"/>
    <n v="7.0000000000000007E-2"/>
    <n v="454.99930000000001"/>
    <n v="9"/>
    <n v="6"/>
  </r>
  <r>
    <n v="1226"/>
    <n v="5"/>
    <n v="42"/>
    <x v="4"/>
    <n v="1"/>
    <n v="2299.9899999999998"/>
    <n v="0.1"/>
    <n v="229.999"/>
    <n v="3"/>
    <n v="6"/>
  </r>
  <r>
    <n v="1227"/>
    <n v="1"/>
    <n v="90"/>
    <x v="0"/>
    <n v="2"/>
    <n v="209.99"/>
    <n v="0.2"/>
    <n v="41.998000000000005"/>
    <n v="9"/>
    <n v="6"/>
  </r>
  <r>
    <n v="1227"/>
    <n v="2"/>
    <n v="44"/>
    <x v="1"/>
    <n v="1"/>
    <n v="539.99"/>
    <n v="7.0000000000000007E-2"/>
    <n v="37.799300000000002"/>
    <n v="5"/>
    <n v="6"/>
  </r>
  <r>
    <n v="1227"/>
    <n v="3"/>
    <n v="26"/>
    <x v="2"/>
    <n v="1"/>
    <n v="599.99"/>
    <n v="0.05"/>
    <n v="29.999500000000001"/>
    <n v="8"/>
    <n v="6"/>
  </r>
  <r>
    <n v="1227"/>
    <n v="4"/>
    <n v="8"/>
    <x v="3"/>
    <n v="1"/>
    <n v="1799.99"/>
    <n v="7.0000000000000007E-2"/>
    <n v="125.99930000000002"/>
    <n v="9"/>
    <n v="6"/>
  </r>
  <r>
    <n v="1227"/>
    <n v="5"/>
    <n v="42"/>
    <x v="4"/>
    <n v="2"/>
    <n v="2299.9899999999998"/>
    <n v="0.2"/>
    <n v="459.99799999999999"/>
    <n v="3"/>
    <n v="6"/>
  </r>
  <r>
    <n v="1228"/>
    <n v="1"/>
    <n v="92"/>
    <x v="0"/>
    <n v="1"/>
    <n v="209.99"/>
    <n v="0.2"/>
    <n v="41.998000000000005"/>
    <n v="9"/>
    <n v="6"/>
  </r>
  <r>
    <n v="1228"/>
    <n v="2"/>
    <n v="55"/>
    <x v="1"/>
    <n v="2"/>
    <n v="2699.99"/>
    <n v="0.2"/>
    <n v="539.99799999999993"/>
    <n v="5"/>
    <n v="6"/>
  </r>
  <r>
    <n v="1228"/>
    <n v="3"/>
    <n v="20"/>
    <x v="2"/>
    <n v="2"/>
    <n v="599.99"/>
    <n v="0.05"/>
    <n v="29.999500000000001"/>
    <n v="8"/>
    <n v="6"/>
  </r>
  <r>
    <n v="1229"/>
    <n v="1"/>
    <n v="36"/>
    <x v="0"/>
    <n v="2"/>
    <n v="832.99"/>
    <n v="7.0000000000000007E-2"/>
    <n v="58.309300000000007"/>
    <n v="9"/>
    <n v="6"/>
  </r>
  <r>
    <n v="1229"/>
    <n v="2"/>
    <n v="61"/>
    <x v="1"/>
    <n v="2"/>
    <n v="4999.99"/>
    <n v="0.1"/>
    <n v="499.99900000000002"/>
    <n v="5"/>
    <n v="6"/>
  </r>
  <r>
    <n v="1230"/>
    <n v="1"/>
    <n v="32"/>
    <x v="0"/>
    <n v="2"/>
    <n v="469.99"/>
    <n v="0.1"/>
    <n v="46.999000000000002"/>
    <n v="9"/>
    <n v="6"/>
  </r>
  <r>
    <n v="1230"/>
    <n v="2"/>
    <n v="38"/>
    <x v="1"/>
    <n v="2"/>
    <n v="549.99"/>
    <n v="7.0000000000000007E-2"/>
    <n v="38.499300000000005"/>
    <n v="5"/>
    <n v="6"/>
  </r>
  <r>
    <n v="1231"/>
    <n v="1"/>
    <n v="75"/>
    <x v="0"/>
    <n v="2"/>
    <n v="599.99"/>
    <n v="0.05"/>
    <n v="29.999500000000001"/>
    <n v="9"/>
    <n v="6"/>
  </r>
  <r>
    <n v="1231"/>
    <n v="2"/>
    <n v="70"/>
    <x v="1"/>
    <n v="1"/>
    <n v="659.99"/>
    <n v="7.0000000000000007E-2"/>
    <n v="46.199300000000008"/>
    <n v="5"/>
    <n v="6"/>
  </r>
  <r>
    <n v="1232"/>
    <n v="1"/>
    <n v="4"/>
    <x v="0"/>
    <n v="2"/>
    <n v="2899.99"/>
    <n v="7.0000000000000007E-2"/>
    <n v="202.99930000000001"/>
    <n v="9"/>
    <n v="6"/>
  </r>
  <r>
    <n v="1232"/>
    <n v="2"/>
    <n v="110"/>
    <x v="1"/>
    <n v="2"/>
    <n v="470.99"/>
    <n v="0.05"/>
    <n v="23.549500000000002"/>
    <n v="5"/>
    <n v="6"/>
  </r>
  <r>
    <n v="1232"/>
    <n v="3"/>
    <n v="6"/>
    <x v="2"/>
    <n v="2"/>
    <n v="469.99"/>
    <n v="0.2"/>
    <n v="93.998000000000005"/>
    <n v="8"/>
    <n v="6"/>
  </r>
  <r>
    <n v="1233"/>
    <n v="1"/>
    <n v="87"/>
    <x v="0"/>
    <n v="2"/>
    <n v="189.99"/>
    <n v="0.2"/>
    <n v="37.998000000000005"/>
    <n v="9"/>
    <n v="6"/>
  </r>
  <r>
    <n v="1233"/>
    <n v="2"/>
    <n v="61"/>
    <x v="1"/>
    <n v="2"/>
    <n v="4999.99"/>
    <n v="0.1"/>
    <n v="499.99900000000002"/>
    <n v="5"/>
    <n v="6"/>
  </r>
  <r>
    <n v="1233"/>
    <n v="3"/>
    <n v="55"/>
    <x v="2"/>
    <n v="1"/>
    <n v="2699.99"/>
    <n v="0.2"/>
    <n v="539.99799999999993"/>
    <n v="8"/>
    <n v="6"/>
  </r>
  <r>
    <n v="1234"/>
    <n v="1"/>
    <n v="56"/>
    <x v="0"/>
    <n v="2"/>
    <n v="5499.99"/>
    <n v="7.0000000000000007E-2"/>
    <n v="384.99930000000001"/>
    <n v="9"/>
    <n v="6"/>
  </r>
  <r>
    <n v="1234"/>
    <n v="2"/>
    <n v="71"/>
    <x v="1"/>
    <n v="2"/>
    <n v="416.99"/>
    <n v="7.0000000000000007E-2"/>
    <n v="29.189300000000003"/>
    <n v="5"/>
    <n v="6"/>
  </r>
  <r>
    <n v="1235"/>
    <n v="1"/>
    <n v="7"/>
    <x v="0"/>
    <n v="1"/>
    <n v="3999.99"/>
    <n v="0.1"/>
    <n v="399.99900000000002"/>
    <n v="9"/>
    <n v="6"/>
  </r>
  <r>
    <n v="1236"/>
    <n v="1"/>
    <n v="60"/>
    <x v="0"/>
    <n v="1"/>
    <n v="1559.99"/>
    <n v="7.0000000000000007E-2"/>
    <n v="109.19930000000001"/>
    <n v="9"/>
    <n v="6"/>
  </r>
  <r>
    <n v="1236"/>
    <n v="2"/>
    <n v="32"/>
    <x v="1"/>
    <n v="2"/>
    <n v="469.99"/>
    <n v="0.05"/>
    <n v="23.499500000000001"/>
    <n v="5"/>
    <n v="6"/>
  </r>
  <r>
    <n v="1236"/>
    <n v="3"/>
    <n v="91"/>
    <x v="2"/>
    <n v="1"/>
    <n v="349.99"/>
    <n v="0.1"/>
    <n v="34.999000000000002"/>
    <n v="8"/>
    <n v="6"/>
  </r>
  <r>
    <n v="1237"/>
    <n v="1"/>
    <n v="23"/>
    <x v="0"/>
    <n v="1"/>
    <n v="299.99"/>
    <n v="0.1"/>
    <n v="29.999000000000002"/>
    <n v="9"/>
    <n v="6"/>
  </r>
  <r>
    <n v="1237"/>
    <n v="2"/>
    <n v="87"/>
    <x v="1"/>
    <n v="2"/>
    <n v="189.99"/>
    <n v="0.1"/>
    <n v="18.999000000000002"/>
    <n v="5"/>
    <n v="6"/>
  </r>
  <r>
    <n v="1237"/>
    <n v="3"/>
    <n v="95"/>
    <x v="2"/>
    <n v="2"/>
    <n v="299.99"/>
    <n v="0.2"/>
    <n v="59.998000000000005"/>
    <n v="8"/>
    <n v="6"/>
  </r>
  <r>
    <n v="1237"/>
    <n v="4"/>
    <n v="55"/>
    <x v="3"/>
    <n v="2"/>
    <n v="2699.99"/>
    <n v="7.0000000000000007E-2"/>
    <n v="188.99930000000001"/>
    <n v="9"/>
    <n v="6"/>
  </r>
  <r>
    <n v="1237"/>
    <n v="5"/>
    <n v="25"/>
    <x v="4"/>
    <n v="1"/>
    <n v="499.99"/>
    <n v="7.0000000000000007E-2"/>
    <n v="34.999300000000005"/>
    <n v="3"/>
    <n v="6"/>
  </r>
  <r>
    <n v="1238"/>
    <n v="1"/>
    <n v="40"/>
    <x v="0"/>
    <n v="1"/>
    <n v="4999.99"/>
    <n v="0.1"/>
    <n v="499.99900000000002"/>
    <n v="9"/>
    <n v="6"/>
  </r>
  <r>
    <n v="1238"/>
    <n v="2"/>
    <n v="14"/>
    <x v="1"/>
    <n v="1"/>
    <n v="269.99"/>
    <n v="0.1"/>
    <n v="26.999000000000002"/>
    <n v="5"/>
    <n v="6"/>
  </r>
  <r>
    <n v="1238"/>
    <n v="3"/>
    <n v="99"/>
    <x v="2"/>
    <n v="2"/>
    <n v="299.99"/>
    <n v="0.2"/>
    <n v="59.998000000000005"/>
    <n v="8"/>
    <n v="6"/>
  </r>
  <r>
    <n v="1238"/>
    <n v="4"/>
    <n v="101"/>
    <x v="3"/>
    <n v="1"/>
    <n v="339.99"/>
    <n v="0.1"/>
    <n v="33.999000000000002"/>
    <n v="9"/>
    <n v="6"/>
  </r>
  <r>
    <n v="1239"/>
    <n v="1"/>
    <n v="15"/>
    <x v="0"/>
    <n v="2"/>
    <n v="529.99"/>
    <n v="0.2"/>
    <n v="105.998"/>
    <n v="9"/>
    <n v="6"/>
  </r>
  <r>
    <n v="1239"/>
    <n v="2"/>
    <n v="91"/>
    <x v="1"/>
    <n v="1"/>
    <n v="349.99"/>
    <n v="0.1"/>
    <n v="34.999000000000002"/>
    <n v="5"/>
    <n v="6"/>
  </r>
  <r>
    <n v="1239"/>
    <n v="3"/>
    <n v="34"/>
    <x v="2"/>
    <n v="2"/>
    <n v="469.99"/>
    <n v="0.1"/>
    <n v="46.999000000000002"/>
    <n v="8"/>
    <n v="6"/>
  </r>
  <r>
    <n v="1239"/>
    <n v="4"/>
    <n v="36"/>
    <x v="3"/>
    <n v="1"/>
    <n v="832.99"/>
    <n v="0.05"/>
    <n v="41.649500000000003"/>
    <n v="9"/>
    <n v="6"/>
  </r>
  <r>
    <n v="1240"/>
    <n v="1"/>
    <n v="107"/>
    <x v="0"/>
    <n v="2"/>
    <n v="416.99"/>
    <n v="0.1"/>
    <n v="41.699000000000005"/>
    <n v="9"/>
    <n v="6"/>
  </r>
  <r>
    <n v="1240"/>
    <n v="2"/>
    <n v="23"/>
    <x v="1"/>
    <n v="2"/>
    <n v="299.99"/>
    <n v="0.05"/>
    <n v="14.999500000000001"/>
    <n v="5"/>
    <n v="6"/>
  </r>
  <r>
    <n v="1240"/>
    <n v="3"/>
    <n v="15"/>
    <x v="2"/>
    <n v="2"/>
    <n v="529.99"/>
    <n v="0.2"/>
    <n v="105.998"/>
    <n v="8"/>
    <n v="6"/>
  </r>
  <r>
    <n v="1240"/>
    <n v="4"/>
    <n v="77"/>
    <x v="3"/>
    <n v="2"/>
    <n v="799.99"/>
    <n v="0.05"/>
    <n v="39.999500000000005"/>
    <n v="9"/>
    <n v="6"/>
  </r>
  <r>
    <n v="1240"/>
    <n v="5"/>
    <n v="57"/>
    <x v="4"/>
    <n v="1"/>
    <n v="1999.99"/>
    <n v="0.05"/>
    <n v="99.999500000000012"/>
    <n v="3"/>
    <n v="6"/>
  </r>
  <r>
    <n v="1241"/>
    <n v="1"/>
    <n v="74"/>
    <x v="0"/>
    <n v="1"/>
    <n v="439.99"/>
    <n v="0.05"/>
    <n v="21.999500000000001"/>
    <n v="9"/>
    <n v="6"/>
  </r>
  <r>
    <n v="1241"/>
    <n v="2"/>
    <n v="71"/>
    <x v="1"/>
    <n v="2"/>
    <n v="416.99"/>
    <n v="0.05"/>
    <n v="20.849500000000003"/>
    <n v="5"/>
    <n v="6"/>
  </r>
  <r>
    <n v="1242"/>
    <n v="1"/>
    <n v="94"/>
    <x v="0"/>
    <n v="1"/>
    <n v="249.99"/>
    <n v="0.05"/>
    <n v="12.499500000000001"/>
    <n v="9"/>
    <n v="6"/>
  </r>
  <r>
    <n v="1242"/>
    <n v="2"/>
    <n v="27"/>
    <x v="1"/>
    <n v="1"/>
    <n v="999.99"/>
    <n v="7.0000000000000007E-2"/>
    <n v="69.999300000000005"/>
    <n v="5"/>
    <n v="6"/>
  </r>
  <r>
    <n v="1242"/>
    <n v="3"/>
    <n v="10"/>
    <x v="2"/>
    <n v="1"/>
    <n v="1549"/>
    <n v="7.0000000000000007E-2"/>
    <n v="108.43"/>
    <n v="8"/>
    <n v="6"/>
  </r>
  <r>
    <n v="1242"/>
    <n v="4"/>
    <n v="70"/>
    <x v="3"/>
    <n v="1"/>
    <n v="659.99"/>
    <n v="0.2"/>
    <n v="131.99800000000002"/>
    <n v="9"/>
    <n v="6"/>
  </r>
  <r>
    <n v="1243"/>
    <n v="1"/>
    <n v="44"/>
    <x v="0"/>
    <n v="1"/>
    <n v="539.99"/>
    <n v="7.0000000000000007E-2"/>
    <n v="37.799300000000002"/>
    <n v="9"/>
    <n v="6"/>
  </r>
  <r>
    <n v="1244"/>
    <n v="1"/>
    <n v="45"/>
    <x v="0"/>
    <n v="1"/>
    <n v="869.99"/>
    <n v="0.2"/>
    <n v="173.99800000000002"/>
    <n v="9"/>
    <n v="6"/>
  </r>
  <r>
    <n v="1244"/>
    <n v="2"/>
    <n v="38"/>
    <x v="1"/>
    <n v="2"/>
    <n v="549.99"/>
    <n v="7.0000000000000007E-2"/>
    <n v="38.499300000000005"/>
    <n v="5"/>
    <n v="6"/>
  </r>
  <r>
    <n v="1244"/>
    <n v="3"/>
    <n v="33"/>
    <x v="2"/>
    <n v="1"/>
    <n v="469.99"/>
    <n v="7.0000000000000007E-2"/>
    <n v="32.899300000000004"/>
    <n v="8"/>
    <n v="6"/>
  </r>
  <r>
    <n v="1244"/>
    <n v="4"/>
    <n v="37"/>
    <x v="3"/>
    <n v="2"/>
    <n v="379.99"/>
    <n v="0.1"/>
    <n v="37.999000000000002"/>
    <n v="9"/>
    <n v="6"/>
  </r>
  <r>
    <n v="1245"/>
    <n v="1"/>
    <n v="13"/>
    <x v="0"/>
    <n v="1"/>
    <n v="269.99"/>
    <n v="0.1"/>
    <n v="26.999000000000002"/>
    <n v="9"/>
    <n v="6"/>
  </r>
  <r>
    <n v="1246"/>
    <n v="1"/>
    <n v="78"/>
    <x v="0"/>
    <n v="2"/>
    <n v="647.99"/>
    <n v="0.2"/>
    <n v="129.59800000000001"/>
    <n v="9"/>
    <n v="6"/>
  </r>
  <r>
    <n v="1246"/>
    <n v="2"/>
    <n v="46"/>
    <x v="1"/>
    <n v="1"/>
    <n v="1409.99"/>
    <n v="0.05"/>
    <n v="70.499499999999998"/>
    <n v="5"/>
    <n v="6"/>
  </r>
  <r>
    <n v="1246"/>
    <n v="3"/>
    <n v="45"/>
    <x v="2"/>
    <n v="2"/>
    <n v="869.99"/>
    <n v="7.0000000000000007E-2"/>
    <n v="60.899300000000004"/>
    <n v="8"/>
    <n v="6"/>
  </r>
  <r>
    <n v="1247"/>
    <n v="1"/>
    <n v="15"/>
    <x v="0"/>
    <n v="2"/>
    <n v="529.99"/>
    <n v="0.1"/>
    <n v="52.999000000000002"/>
    <n v="9"/>
    <n v="6"/>
  </r>
  <r>
    <n v="1247"/>
    <n v="2"/>
    <n v="28"/>
    <x v="1"/>
    <n v="2"/>
    <n v="2499.9899999999998"/>
    <n v="0.1"/>
    <n v="249.999"/>
    <n v="5"/>
    <n v="6"/>
  </r>
  <r>
    <n v="1247"/>
    <n v="3"/>
    <n v="26"/>
    <x v="2"/>
    <n v="1"/>
    <n v="599.99"/>
    <n v="0.05"/>
    <n v="29.999500000000001"/>
    <n v="8"/>
    <n v="6"/>
  </r>
  <r>
    <n v="1248"/>
    <n v="1"/>
    <n v="94"/>
    <x v="0"/>
    <n v="2"/>
    <n v="249.99"/>
    <n v="0.05"/>
    <n v="12.499500000000001"/>
    <n v="9"/>
    <n v="6"/>
  </r>
  <r>
    <n v="1248"/>
    <n v="2"/>
    <n v="33"/>
    <x v="1"/>
    <n v="2"/>
    <n v="469.99"/>
    <n v="0.1"/>
    <n v="46.999000000000002"/>
    <n v="5"/>
    <n v="6"/>
  </r>
  <r>
    <n v="1248"/>
    <n v="3"/>
    <n v="92"/>
    <x v="2"/>
    <n v="1"/>
    <n v="209.99"/>
    <n v="0.1"/>
    <n v="20.999000000000002"/>
    <n v="8"/>
    <n v="6"/>
  </r>
  <r>
    <n v="1248"/>
    <n v="4"/>
    <n v="12"/>
    <x v="3"/>
    <n v="1"/>
    <n v="549.99"/>
    <n v="0.05"/>
    <n v="27.499500000000001"/>
    <n v="9"/>
    <n v="6"/>
  </r>
  <r>
    <n v="1249"/>
    <n v="1"/>
    <n v="62"/>
    <x v="0"/>
    <n v="1"/>
    <n v="3499.99"/>
    <n v="0.05"/>
    <n v="174.99950000000001"/>
    <n v="9"/>
    <n v="6"/>
  </r>
  <r>
    <n v="1249"/>
    <n v="2"/>
    <n v="104"/>
    <x v="1"/>
    <n v="1"/>
    <n v="481.99"/>
    <n v="0.05"/>
    <n v="24.099500000000003"/>
    <n v="5"/>
    <n v="6"/>
  </r>
  <r>
    <n v="1249"/>
    <n v="3"/>
    <n v="61"/>
    <x v="2"/>
    <n v="1"/>
    <n v="4999.99"/>
    <n v="0.2"/>
    <n v="999.99800000000005"/>
    <n v="8"/>
    <n v="6"/>
  </r>
  <r>
    <n v="1250"/>
    <n v="1"/>
    <n v="78"/>
    <x v="0"/>
    <n v="2"/>
    <n v="647.99"/>
    <n v="0.05"/>
    <n v="32.399500000000003"/>
    <n v="9"/>
    <n v="6"/>
  </r>
  <r>
    <n v="1250"/>
    <n v="2"/>
    <n v="66"/>
    <x v="1"/>
    <n v="2"/>
    <n v="250.99"/>
    <n v="0.1"/>
    <n v="25.099000000000004"/>
    <n v="5"/>
    <n v="6"/>
  </r>
  <r>
    <n v="1250"/>
    <n v="3"/>
    <n v="20"/>
    <x v="2"/>
    <n v="2"/>
    <n v="599.99"/>
    <n v="0.05"/>
    <n v="29.999500000000001"/>
    <n v="8"/>
    <n v="6"/>
  </r>
  <r>
    <n v="1250"/>
    <n v="4"/>
    <n v="6"/>
    <x v="3"/>
    <n v="2"/>
    <n v="469.99"/>
    <n v="0.1"/>
    <n v="46.999000000000002"/>
    <n v="9"/>
    <n v="6"/>
  </r>
  <r>
    <n v="1251"/>
    <n v="1"/>
    <n v="40"/>
    <x v="0"/>
    <n v="2"/>
    <n v="4999.99"/>
    <n v="0.1"/>
    <n v="499.99900000000002"/>
    <n v="9"/>
    <n v="6"/>
  </r>
  <r>
    <n v="1251"/>
    <n v="2"/>
    <n v="56"/>
    <x v="1"/>
    <n v="1"/>
    <n v="5499.99"/>
    <n v="7.0000000000000007E-2"/>
    <n v="384.99930000000001"/>
    <n v="5"/>
    <n v="6"/>
  </r>
  <r>
    <n v="1251"/>
    <n v="3"/>
    <n v="7"/>
    <x v="2"/>
    <n v="1"/>
    <n v="3999.99"/>
    <n v="7.0000000000000007E-2"/>
    <n v="279.99930000000001"/>
    <n v="8"/>
    <n v="6"/>
  </r>
  <r>
    <n v="1252"/>
    <n v="1"/>
    <n v="79"/>
    <x v="0"/>
    <n v="1"/>
    <n v="402.99"/>
    <n v="0.2"/>
    <n v="80.598000000000013"/>
    <n v="9"/>
    <n v="6"/>
  </r>
  <r>
    <n v="1252"/>
    <n v="2"/>
    <n v="84"/>
    <x v="1"/>
    <n v="1"/>
    <n v="109.99"/>
    <n v="0.2"/>
    <n v="21.998000000000001"/>
    <n v="5"/>
    <n v="6"/>
  </r>
  <r>
    <n v="1252"/>
    <n v="3"/>
    <n v="57"/>
    <x v="2"/>
    <n v="2"/>
    <n v="1999.99"/>
    <n v="0.05"/>
    <n v="99.999500000000012"/>
    <n v="8"/>
    <n v="6"/>
  </r>
  <r>
    <n v="1253"/>
    <n v="1"/>
    <n v="25"/>
    <x v="0"/>
    <n v="2"/>
    <n v="499.99"/>
    <n v="0.1"/>
    <n v="49.999000000000002"/>
    <n v="9"/>
    <n v="6"/>
  </r>
  <r>
    <n v="1253"/>
    <n v="2"/>
    <n v="21"/>
    <x v="1"/>
    <n v="1"/>
    <n v="269.99"/>
    <n v="7.0000000000000007E-2"/>
    <n v="18.899300000000004"/>
    <n v="5"/>
    <n v="6"/>
  </r>
  <r>
    <n v="1253"/>
    <n v="3"/>
    <n v="88"/>
    <x v="2"/>
    <n v="1"/>
    <n v="189.99"/>
    <n v="0.2"/>
    <n v="37.998000000000005"/>
    <n v="8"/>
    <n v="6"/>
  </r>
  <r>
    <n v="1254"/>
    <n v="1"/>
    <n v="80"/>
    <x v="0"/>
    <n v="1"/>
    <n v="761.99"/>
    <n v="0.2"/>
    <n v="152.398"/>
    <n v="9"/>
    <n v="6"/>
  </r>
  <r>
    <n v="1254"/>
    <n v="2"/>
    <n v="91"/>
    <x v="1"/>
    <n v="1"/>
    <n v="349.99"/>
    <n v="0.2"/>
    <n v="69.998000000000005"/>
    <n v="5"/>
    <n v="6"/>
  </r>
  <r>
    <n v="1255"/>
    <n v="1"/>
    <n v="43"/>
    <x v="0"/>
    <n v="2"/>
    <n v="5299.99"/>
    <n v="0.2"/>
    <n v="1059.998"/>
    <n v="9"/>
    <n v="6"/>
  </r>
  <r>
    <n v="1255"/>
    <n v="2"/>
    <n v="53"/>
    <x v="1"/>
    <n v="1"/>
    <n v="749.99"/>
    <n v="0.05"/>
    <n v="37.499500000000005"/>
    <n v="5"/>
    <n v="6"/>
  </r>
  <r>
    <n v="1255"/>
    <n v="3"/>
    <n v="14"/>
    <x v="2"/>
    <n v="2"/>
    <n v="269.99"/>
    <n v="0.2"/>
    <n v="53.998000000000005"/>
    <n v="8"/>
    <n v="6"/>
  </r>
  <r>
    <n v="1255"/>
    <n v="4"/>
    <n v="26"/>
    <x v="3"/>
    <n v="2"/>
    <n v="599.99"/>
    <n v="0.05"/>
    <n v="29.999500000000001"/>
    <n v="9"/>
    <n v="6"/>
  </r>
  <r>
    <n v="1255"/>
    <n v="5"/>
    <n v="82"/>
    <x v="4"/>
    <n v="1"/>
    <n v="659.99"/>
    <n v="0.05"/>
    <n v="32.999500000000005"/>
    <n v="3"/>
    <n v="6"/>
  </r>
  <r>
    <n v="1256"/>
    <n v="1"/>
    <n v="44"/>
    <x v="0"/>
    <n v="2"/>
    <n v="539.99"/>
    <n v="0.2"/>
    <n v="107.998"/>
    <n v="9"/>
    <n v="6"/>
  </r>
  <r>
    <n v="1256"/>
    <n v="2"/>
    <n v="100"/>
    <x v="1"/>
    <n v="1"/>
    <n v="489.99"/>
    <n v="0.1"/>
    <n v="48.999000000000002"/>
    <n v="5"/>
    <n v="6"/>
  </r>
  <r>
    <n v="1257"/>
    <n v="1"/>
    <n v="30"/>
    <x v="0"/>
    <n v="2"/>
    <n v="999.99"/>
    <n v="0.05"/>
    <n v="49.999500000000005"/>
    <n v="9"/>
    <n v="6"/>
  </r>
  <r>
    <n v="1257"/>
    <n v="2"/>
    <n v="61"/>
    <x v="1"/>
    <n v="1"/>
    <n v="4999.99"/>
    <n v="0.05"/>
    <n v="249.99950000000001"/>
    <n v="5"/>
    <n v="6"/>
  </r>
  <r>
    <n v="1257"/>
    <n v="3"/>
    <n v="17"/>
    <x v="2"/>
    <n v="2"/>
    <n v="429"/>
    <n v="0.1"/>
    <n v="42.900000000000006"/>
    <n v="8"/>
    <n v="6"/>
  </r>
  <r>
    <n v="1257"/>
    <n v="4"/>
    <n v="41"/>
    <x v="3"/>
    <n v="1"/>
    <n v="1469.99"/>
    <n v="0.05"/>
    <n v="73.499499999999998"/>
    <n v="9"/>
    <n v="6"/>
  </r>
  <r>
    <n v="1257"/>
    <n v="5"/>
    <n v="4"/>
    <x v="4"/>
    <n v="1"/>
    <n v="2899.99"/>
    <n v="0.1"/>
    <n v="289.99899999999997"/>
    <n v="3"/>
    <n v="6"/>
  </r>
  <r>
    <n v="1258"/>
    <n v="1"/>
    <n v="94"/>
    <x v="0"/>
    <n v="2"/>
    <n v="249.99"/>
    <n v="0.1"/>
    <n v="24.999000000000002"/>
    <n v="9"/>
    <n v="6"/>
  </r>
  <r>
    <n v="1258"/>
    <n v="2"/>
    <n v="99"/>
    <x v="1"/>
    <n v="2"/>
    <n v="299.99"/>
    <n v="0.05"/>
    <n v="14.999500000000001"/>
    <n v="5"/>
    <n v="6"/>
  </r>
  <r>
    <n v="1259"/>
    <n v="1"/>
    <n v="60"/>
    <x v="0"/>
    <n v="1"/>
    <n v="1559.99"/>
    <n v="0.1"/>
    <n v="155.99900000000002"/>
    <n v="9"/>
    <n v="6"/>
  </r>
  <r>
    <n v="1259"/>
    <n v="2"/>
    <n v="19"/>
    <x v="1"/>
    <n v="1"/>
    <n v="449"/>
    <n v="0.2"/>
    <n v="89.800000000000011"/>
    <n v="5"/>
    <n v="6"/>
  </r>
  <r>
    <n v="1260"/>
    <n v="1"/>
    <n v="8"/>
    <x v="0"/>
    <n v="1"/>
    <n v="1799.99"/>
    <n v="0.1"/>
    <n v="179.99900000000002"/>
    <n v="9"/>
    <n v="6"/>
  </r>
  <r>
    <n v="1260"/>
    <n v="2"/>
    <n v="66"/>
    <x v="1"/>
    <n v="1"/>
    <n v="250.99"/>
    <n v="0.1"/>
    <n v="25.099000000000004"/>
    <n v="5"/>
    <n v="6"/>
  </r>
  <r>
    <n v="1261"/>
    <n v="1"/>
    <n v="73"/>
    <x v="0"/>
    <n v="1"/>
    <n v="749.99"/>
    <n v="0.2"/>
    <n v="149.99800000000002"/>
    <n v="9"/>
    <n v="6"/>
  </r>
  <r>
    <n v="1261"/>
    <n v="2"/>
    <n v="88"/>
    <x v="1"/>
    <n v="2"/>
    <n v="189.99"/>
    <n v="0.2"/>
    <n v="37.998000000000005"/>
    <n v="5"/>
    <n v="6"/>
  </r>
  <r>
    <n v="1261"/>
    <n v="3"/>
    <n v="100"/>
    <x v="2"/>
    <n v="1"/>
    <n v="489.99"/>
    <n v="0.05"/>
    <n v="24.499500000000001"/>
    <n v="8"/>
    <n v="6"/>
  </r>
  <r>
    <n v="1261"/>
    <n v="4"/>
    <n v="42"/>
    <x v="3"/>
    <n v="1"/>
    <n v="2299.9899999999998"/>
    <n v="0.1"/>
    <n v="229.999"/>
    <n v="9"/>
    <n v="6"/>
  </r>
  <r>
    <n v="1262"/>
    <n v="1"/>
    <n v="37"/>
    <x v="0"/>
    <n v="1"/>
    <n v="379.99"/>
    <n v="7.0000000000000007E-2"/>
    <n v="26.599300000000003"/>
    <n v="9"/>
    <n v="6"/>
  </r>
  <r>
    <n v="1262"/>
    <n v="2"/>
    <n v="52"/>
    <x v="1"/>
    <n v="1"/>
    <n v="875.99"/>
    <n v="0.05"/>
    <n v="43.799500000000002"/>
    <n v="5"/>
    <n v="6"/>
  </r>
  <r>
    <n v="1262"/>
    <n v="3"/>
    <n v="43"/>
    <x v="2"/>
    <n v="2"/>
    <n v="5299.99"/>
    <n v="7.0000000000000007E-2"/>
    <n v="370.99930000000001"/>
    <n v="8"/>
    <n v="6"/>
  </r>
  <r>
    <n v="1262"/>
    <n v="4"/>
    <n v="77"/>
    <x v="3"/>
    <n v="1"/>
    <n v="799.99"/>
    <n v="7.0000000000000007E-2"/>
    <n v="55.999300000000005"/>
    <n v="9"/>
    <n v="6"/>
  </r>
  <r>
    <n v="1263"/>
    <n v="1"/>
    <n v="45"/>
    <x v="0"/>
    <n v="1"/>
    <n v="869.99"/>
    <n v="0.2"/>
    <n v="173.99800000000002"/>
    <n v="9"/>
    <n v="6"/>
  </r>
  <r>
    <n v="1263"/>
    <n v="2"/>
    <n v="62"/>
    <x v="1"/>
    <n v="1"/>
    <n v="3499.99"/>
    <n v="0.05"/>
    <n v="174.99950000000001"/>
    <n v="5"/>
    <n v="6"/>
  </r>
  <r>
    <n v="1263"/>
    <n v="3"/>
    <n v="19"/>
    <x v="2"/>
    <n v="2"/>
    <n v="449"/>
    <n v="0.1"/>
    <n v="44.900000000000006"/>
    <n v="8"/>
    <n v="6"/>
  </r>
  <r>
    <n v="1264"/>
    <n v="1"/>
    <n v="101"/>
    <x v="0"/>
    <n v="1"/>
    <n v="339.99"/>
    <n v="7.0000000000000007E-2"/>
    <n v="23.799300000000002"/>
    <n v="9"/>
    <n v="6"/>
  </r>
  <r>
    <n v="1264"/>
    <n v="2"/>
    <n v="77"/>
    <x v="1"/>
    <n v="2"/>
    <n v="799.99"/>
    <n v="7.0000000000000007E-2"/>
    <n v="55.999300000000005"/>
    <n v="5"/>
    <n v="6"/>
  </r>
  <r>
    <n v="1264"/>
    <n v="3"/>
    <n v="29"/>
    <x v="2"/>
    <n v="2"/>
    <n v="999.99"/>
    <n v="0.2"/>
    <n v="199.99800000000002"/>
    <n v="8"/>
    <n v="6"/>
  </r>
  <r>
    <n v="1264"/>
    <n v="4"/>
    <n v="52"/>
    <x v="3"/>
    <n v="1"/>
    <n v="875.99"/>
    <n v="0.05"/>
    <n v="43.799500000000002"/>
    <n v="9"/>
    <n v="6"/>
  </r>
  <r>
    <n v="1265"/>
    <n v="1"/>
    <n v="41"/>
    <x v="0"/>
    <n v="2"/>
    <n v="1469.99"/>
    <n v="0.1"/>
    <n v="146.999"/>
    <n v="9"/>
    <n v="6"/>
  </r>
  <r>
    <n v="1265"/>
    <n v="2"/>
    <n v="72"/>
    <x v="1"/>
    <n v="2"/>
    <n v="619.99"/>
    <n v="7.0000000000000007E-2"/>
    <n v="43.399300000000004"/>
    <n v="5"/>
    <n v="6"/>
  </r>
  <r>
    <n v="1266"/>
    <n v="1"/>
    <n v="90"/>
    <x v="0"/>
    <n v="1"/>
    <n v="209.99"/>
    <n v="0.2"/>
    <n v="41.998000000000005"/>
    <n v="9"/>
    <n v="6"/>
  </r>
  <r>
    <n v="1266"/>
    <n v="2"/>
    <n v="48"/>
    <x v="1"/>
    <n v="1"/>
    <n v="1499.99"/>
    <n v="0.2"/>
    <n v="299.99799999999999"/>
    <n v="5"/>
    <n v="6"/>
  </r>
  <r>
    <n v="1267"/>
    <n v="1"/>
    <n v="45"/>
    <x v="0"/>
    <n v="1"/>
    <n v="869.99"/>
    <n v="0.1"/>
    <n v="86.999000000000009"/>
    <n v="9"/>
    <n v="6"/>
  </r>
  <r>
    <n v="1267"/>
    <n v="2"/>
    <n v="27"/>
    <x v="1"/>
    <n v="1"/>
    <n v="999.99"/>
    <n v="7.0000000000000007E-2"/>
    <n v="69.999300000000005"/>
    <n v="5"/>
    <n v="6"/>
  </r>
  <r>
    <n v="1267"/>
    <n v="3"/>
    <n v="108"/>
    <x v="2"/>
    <n v="1"/>
    <n v="449.99"/>
    <n v="0.2"/>
    <n v="89.998000000000005"/>
    <n v="8"/>
    <n v="6"/>
  </r>
  <r>
    <n v="1267"/>
    <n v="4"/>
    <n v="95"/>
    <x v="3"/>
    <n v="1"/>
    <n v="299.99"/>
    <n v="0.05"/>
    <n v="14.999500000000001"/>
    <n v="9"/>
    <n v="6"/>
  </r>
  <r>
    <n v="1268"/>
    <n v="1"/>
    <n v="68"/>
    <x v="0"/>
    <n v="2"/>
    <n v="449.99"/>
    <n v="7.0000000000000007E-2"/>
    <n v="31.499300000000005"/>
    <n v="9"/>
    <n v="6"/>
  </r>
  <r>
    <n v="1268"/>
    <n v="2"/>
    <n v="87"/>
    <x v="1"/>
    <n v="2"/>
    <n v="189.99"/>
    <n v="7.0000000000000007E-2"/>
    <n v="13.299300000000002"/>
    <n v="5"/>
    <n v="6"/>
  </r>
  <r>
    <n v="1268"/>
    <n v="3"/>
    <n v="59"/>
    <x v="2"/>
    <n v="2"/>
    <n v="2599.9899999999998"/>
    <n v="0.2"/>
    <n v="519.99799999999993"/>
    <n v="8"/>
    <n v="6"/>
  </r>
  <r>
    <n v="1268"/>
    <n v="4"/>
    <n v="100"/>
    <x v="3"/>
    <n v="1"/>
    <n v="489.99"/>
    <n v="7.0000000000000007E-2"/>
    <n v="34.299300000000002"/>
    <n v="9"/>
    <n v="6"/>
  </r>
  <r>
    <n v="1269"/>
    <n v="1"/>
    <n v="4"/>
    <x v="0"/>
    <n v="2"/>
    <n v="2899.99"/>
    <n v="0.2"/>
    <n v="579.99799999999993"/>
    <n v="9"/>
    <n v="6"/>
  </r>
  <r>
    <n v="1269"/>
    <n v="2"/>
    <n v="7"/>
    <x v="1"/>
    <n v="1"/>
    <n v="3999.99"/>
    <n v="0.2"/>
    <n v="799.99800000000005"/>
    <n v="5"/>
    <n v="6"/>
  </r>
  <r>
    <n v="1269"/>
    <n v="3"/>
    <n v="111"/>
    <x v="2"/>
    <n v="1"/>
    <n v="470.99"/>
    <n v="0.1"/>
    <n v="47.099000000000004"/>
    <n v="8"/>
    <n v="6"/>
  </r>
  <r>
    <n v="1270"/>
    <n v="1"/>
    <n v="54"/>
    <x v="0"/>
    <n v="1"/>
    <n v="3199.99"/>
    <n v="0.2"/>
    <n v="639.99800000000005"/>
    <n v="9"/>
    <n v="6"/>
  </r>
  <r>
    <n v="1271"/>
    <n v="1"/>
    <n v="25"/>
    <x v="0"/>
    <n v="2"/>
    <n v="499.99"/>
    <n v="0.1"/>
    <n v="49.999000000000002"/>
    <n v="9"/>
    <n v="6"/>
  </r>
  <r>
    <n v="1271"/>
    <n v="2"/>
    <n v="50"/>
    <x v="1"/>
    <n v="2"/>
    <n v="5999.99"/>
    <n v="7.0000000000000007E-2"/>
    <n v="419.99930000000001"/>
    <n v="5"/>
    <n v="6"/>
  </r>
  <r>
    <n v="1271"/>
    <n v="3"/>
    <n v="87"/>
    <x v="2"/>
    <n v="2"/>
    <n v="189.99"/>
    <n v="7.0000000000000007E-2"/>
    <n v="13.299300000000002"/>
    <n v="8"/>
    <n v="6"/>
  </r>
  <r>
    <n v="1271"/>
    <n v="4"/>
    <n v="32"/>
    <x v="3"/>
    <n v="2"/>
    <n v="469.99"/>
    <n v="7.0000000000000007E-2"/>
    <n v="32.899300000000004"/>
    <n v="9"/>
    <n v="6"/>
  </r>
  <r>
    <n v="1272"/>
    <n v="1"/>
    <n v="16"/>
    <x v="0"/>
    <n v="2"/>
    <n v="599.99"/>
    <n v="0.2"/>
    <n v="119.998"/>
    <n v="9"/>
    <n v="6"/>
  </r>
  <r>
    <n v="1272"/>
    <n v="2"/>
    <n v="71"/>
    <x v="1"/>
    <n v="2"/>
    <n v="416.99"/>
    <n v="0.1"/>
    <n v="41.699000000000005"/>
    <n v="5"/>
    <n v="6"/>
  </r>
  <r>
    <n v="1272"/>
    <n v="3"/>
    <n v="86"/>
    <x v="2"/>
    <n v="1"/>
    <n v="149.99"/>
    <n v="7.0000000000000007E-2"/>
    <n v="10.499300000000002"/>
    <n v="8"/>
    <n v="6"/>
  </r>
  <r>
    <n v="1273"/>
    <n v="1"/>
    <n v="95"/>
    <x v="0"/>
    <n v="2"/>
    <n v="299.99"/>
    <n v="7.0000000000000007E-2"/>
    <n v="20.999300000000002"/>
    <n v="9"/>
    <n v="6"/>
  </r>
  <r>
    <n v="1273"/>
    <n v="2"/>
    <n v="20"/>
    <x v="1"/>
    <n v="1"/>
    <n v="599.99"/>
    <n v="7.0000000000000007E-2"/>
    <n v="41.999300000000005"/>
    <n v="5"/>
    <n v="6"/>
  </r>
  <r>
    <n v="1273"/>
    <n v="3"/>
    <n v="58"/>
    <x v="2"/>
    <n v="1"/>
    <n v="4999.99"/>
    <n v="0.2"/>
    <n v="999.99800000000005"/>
    <n v="8"/>
    <n v="6"/>
  </r>
  <r>
    <n v="1274"/>
    <n v="1"/>
    <n v="81"/>
    <x v="0"/>
    <n v="1"/>
    <n v="1099.99"/>
    <n v="0.1"/>
    <n v="109.99900000000001"/>
    <n v="9"/>
    <n v="6"/>
  </r>
  <r>
    <n v="1275"/>
    <n v="1"/>
    <n v="58"/>
    <x v="0"/>
    <n v="1"/>
    <n v="4999.99"/>
    <n v="7.0000000000000007E-2"/>
    <n v="349.99930000000001"/>
    <n v="9"/>
    <n v="6"/>
  </r>
  <r>
    <n v="1275"/>
    <n v="2"/>
    <n v="30"/>
    <x v="1"/>
    <n v="1"/>
    <n v="999.99"/>
    <n v="0.1"/>
    <n v="99.999000000000009"/>
    <n v="5"/>
    <n v="6"/>
  </r>
  <r>
    <n v="1276"/>
    <n v="1"/>
    <n v="18"/>
    <x v="0"/>
    <n v="2"/>
    <n v="449"/>
    <n v="0.2"/>
    <n v="89.800000000000011"/>
    <n v="9"/>
    <n v="6"/>
  </r>
  <r>
    <n v="1276"/>
    <n v="2"/>
    <n v="58"/>
    <x v="1"/>
    <n v="1"/>
    <n v="4999.99"/>
    <n v="0.2"/>
    <n v="999.99800000000005"/>
    <n v="5"/>
    <n v="6"/>
  </r>
  <r>
    <n v="1276"/>
    <n v="3"/>
    <n v="42"/>
    <x v="2"/>
    <n v="1"/>
    <n v="2299.9899999999998"/>
    <n v="0.05"/>
    <n v="114.9995"/>
    <n v="8"/>
    <n v="6"/>
  </r>
  <r>
    <n v="1276"/>
    <n v="4"/>
    <n v="24"/>
    <x v="3"/>
    <n v="2"/>
    <n v="549.99"/>
    <n v="0.2"/>
    <n v="109.998"/>
    <n v="9"/>
    <n v="6"/>
  </r>
  <r>
    <n v="1276"/>
    <n v="5"/>
    <n v="78"/>
    <x v="4"/>
    <n v="2"/>
    <n v="647.99"/>
    <n v="0.2"/>
    <n v="129.59800000000001"/>
    <n v="3"/>
    <n v="6"/>
  </r>
  <r>
    <n v="1277"/>
    <n v="1"/>
    <n v="56"/>
    <x v="0"/>
    <n v="2"/>
    <n v="5499.99"/>
    <n v="0.2"/>
    <n v="1099.998"/>
    <n v="9"/>
    <n v="6"/>
  </r>
  <r>
    <n v="1277"/>
    <n v="2"/>
    <n v="93"/>
    <x v="1"/>
    <n v="2"/>
    <n v="209.99"/>
    <n v="0.05"/>
    <n v="10.499500000000001"/>
    <n v="5"/>
    <n v="6"/>
  </r>
  <r>
    <n v="1277"/>
    <n v="3"/>
    <n v="9"/>
    <x v="2"/>
    <n v="2"/>
    <n v="2999.99"/>
    <n v="0.1"/>
    <n v="299.99899999999997"/>
    <n v="8"/>
    <n v="6"/>
  </r>
  <r>
    <n v="1277"/>
    <n v="4"/>
    <n v="4"/>
    <x v="3"/>
    <n v="1"/>
    <n v="2899.99"/>
    <n v="0.1"/>
    <n v="289.99899999999997"/>
    <n v="9"/>
    <n v="6"/>
  </r>
  <r>
    <n v="1277"/>
    <n v="5"/>
    <n v="11"/>
    <x v="4"/>
    <n v="1"/>
    <n v="1680.99"/>
    <n v="0.2"/>
    <n v="336.19800000000004"/>
    <n v="3"/>
    <n v="6"/>
  </r>
  <r>
    <n v="1278"/>
    <n v="1"/>
    <n v="103"/>
    <x v="0"/>
    <n v="2"/>
    <n v="551.99"/>
    <n v="0.1"/>
    <n v="55.199000000000005"/>
    <n v="9"/>
    <n v="6"/>
  </r>
  <r>
    <n v="1278"/>
    <n v="2"/>
    <n v="32"/>
    <x v="1"/>
    <n v="1"/>
    <n v="469.99"/>
    <n v="0.1"/>
    <n v="46.999000000000002"/>
    <n v="5"/>
    <n v="6"/>
  </r>
  <r>
    <n v="1279"/>
    <n v="1"/>
    <n v="9"/>
    <x v="0"/>
    <n v="2"/>
    <n v="2999.99"/>
    <n v="0.05"/>
    <n v="149.99949999999998"/>
    <n v="9"/>
    <n v="6"/>
  </r>
  <r>
    <n v="1280"/>
    <n v="1"/>
    <n v="72"/>
    <x v="0"/>
    <n v="2"/>
    <n v="619.99"/>
    <n v="7.0000000000000007E-2"/>
    <n v="43.399300000000004"/>
    <n v="9"/>
    <n v="6"/>
  </r>
  <r>
    <n v="1280"/>
    <n v="2"/>
    <n v="74"/>
    <x v="1"/>
    <n v="1"/>
    <n v="439.99"/>
    <n v="0.05"/>
    <n v="21.999500000000001"/>
    <n v="5"/>
    <n v="6"/>
  </r>
  <r>
    <n v="1280"/>
    <n v="3"/>
    <n v="52"/>
    <x v="2"/>
    <n v="1"/>
    <n v="875.99"/>
    <n v="7.0000000000000007E-2"/>
    <n v="61.319300000000005"/>
    <n v="8"/>
    <n v="6"/>
  </r>
  <r>
    <n v="1280"/>
    <n v="4"/>
    <n v="63"/>
    <x v="3"/>
    <n v="1"/>
    <n v="3499.99"/>
    <n v="0.2"/>
    <n v="699.99800000000005"/>
    <n v="9"/>
    <n v="6"/>
  </r>
  <r>
    <n v="1281"/>
    <n v="1"/>
    <n v="36"/>
    <x v="0"/>
    <n v="1"/>
    <n v="832.99"/>
    <n v="0.05"/>
    <n v="41.649500000000003"/>
    <n v="9"/>
    <n v="6"/>
  </r>
  <r>
    <n v="1281"/>
    <n v="2"/>
    <n v="49"/>
    <x v="1"/>
    <n v="2"/>
    <n v="3499.99"/>
    <n v="0.05"/>
    <n v="174.99950000000001"/>
    <n v="5"/>
    <n v="6"/>
  </r>
  <r>
    <n v="1281"/>
    <n v="3"/>
    <n v="75"/>
    <x v="2"/>
    <n v="1"/>
    <n v="599.99"/>
    <n v="0.05"/>
    <n v="29.999500000000001"/>
    <n v="8"/>
    <n v="6"/>
  </r>
  <r>
    <n v="1282"/>
    <n v="1"/>
    <n v="111"/>
    <x v="0"/>
    <n v="1"/>
    <n v="470.99"/>
    <n v="0.05"/>
    <n v="23.549500000000002"/>
    <n v="9"/>
    <n v="6"/>
  </r>
  <r>
    <n v="1282"/>
    <n v="2"/>
    <n v="50"/>
    <x v="1"/>
    <n v="2"/>
    <n v="5999.99"/>
    <n v="0.2"/>
    <n v="1199.998"/>
    <n v="5"/>
    <n v="6"/>
  </r>
  <r>
    <n v="1283"/>
    <n v="1"/>
    <n v="61"/>
    <x v="0"/>
    <n v="2"/>
    <n v="4999.99"/>
    <n v="0.05"/>
    <n v="249.99950000000001"/>
    <n v="9"/>
    <n v="6"/>
  </r>
  <r>
    <n v="1283"/>
    <n v="2"/>
    <n v="81"/>
    <x v="1"/>
    <n v="1"/>
    <n v="1099.99"/>
    <n v="0.2"/>
    <n v="219.99800000000002"/>
    <n v="5"/>
    <n v="6"/>
  </r>
  <r>
    <n v="1283"/>
    <n v="3"/>
    <n v="7"/>
    <x v="2"/>
    <n v="1"/>
    <n v="3999.99"/>
    <n v="0.1"/>
    <n v="399.99900000000002"/>
    <n v="8"/>
    <n v="6"/>
  </r>
  <r>
    <n v="1283"/>
    <n v="4"/>
    <n v="32"/>
    <x v="3"/>
    <n v="1"/>
    <n v="469.99"/>
    <n v="0.1"/>
    <n v="46.999000000000002"/>
    <n v="9"/>
    <n v="6"/>
  </r>
  <r>
    <n v="1283"/>
    <n v="5"/>
    <n v="11"/>
    <x v="4"/>
    <n v="1"/>
    <n v="1680.99"/>
    <n v="0.2"/>
    <n v="336.19800000000004"/>
    <n v="3"/>
    <n v="6"/>
  </r>
  <r>
    <n v="1284"/>
    <n v="1"/>
    <n v="101"/>
    <x v="0"/>
    <n v="1"/>
    <n v="339.99"/>
    <n v="7.0000000000000007E-2"/>
    <n v="23.799300000000002"/>
    <n v="9"/>
    <n v="6"/>
  </r>
  <r>
    <n v="1284"/>
    <n v="2"/>
    <n v="8"/>
    <x v="1"/>
    <n v="1"/>
    <n v="1799.99"/>
    <n v="0.05"/>
    <n v="89.999500000000012"/>
    <n v="5"/>
    <n v="6"/>
  </r>
  <r>
    <n v="1284"/>
    <n v="3"/>
    <n v="4"/>
    <x v="2"/>
    <n v="2"/>
    <n v="2899.99"/>
    <n v="0.05"/>
    <n v="144.99949999999998"/>
    <n v="8"/>
    <n v="6"/>
  </r>
  <r>
    <n v="1285"/>
    <n v="1"/>
    <n v="78"/>
    <x v="0"/>
    <n v="2"/>
    <n v="647.99"/>
    <n v="7.0000000000000007E-2"/>
    <n v="45.359300000000005"/>
    <n v="9"/>
    <n v="6"/>
  </r>
  <r>
    <n v="1285"/>
    <n v="2"/>
    <n v="93"/>
    <x v="1"/>
    <n v="1"/>
    <n v="209.99"/>
    <n v="0.1"/>
    <n v="20.999000000000002"/>
    <n v="5"/>
    <n v="6"/>
  </r>
  <r>
    <n v="1285"/>
    <n v="3"/>
    <n v="69"/>
    <x v="2"/>
    <n v="2"/>
    <n v="416.99"/>
    <n v="0.2"/>
    <n v="83.39800000000001"/>
    <n v="8"/>
    <n v="6"/>
  </r>
  <r>
    <n v="1285"/>
    <n v="4"/>
    <n v="6"/>
    <x v="3"/>
    <n v="1"/>
    <n v="469.99"/>
    <n v="0.1"/>
    <n v="46.999000000000002"/>
    <n v="9"/>
    <n v="6"/>
  </r>
  <r>
    <n v="1286"/>
    <n v="1"/>
    <n v="109"/>
    <x v="0"/>
    <n v="2"/>
    <n v="416.99"/>
    <n v="0.2"/>
    <n v="83.39800000000001"/>
    <n v="9"/>
    <n v="6"/>
  </r>
  <r>
    <n v="1286"/>
    <n v="2"/>
    <n v="81"/>
    <x v="1"/>
    <n v="2"/>
    <n v="1099.99"/>
    <n v="7.0000000000000007E-2"/>
    <n v="76.999300000000005"/>
    <n v="5"/>
    <n v="6"/>
  </r>
  <r>
    <n v="1286"/>
    <n v="3"/>
    <n v="87"/>
    <x v="2"/>
    <n v="1"/>
    <n v="189.99"/>
    <n v="7.0000000000000007E-2"/>
    <n v="13.299300000000002"/>
    <n v="8"/>
    <n v="6"/>
  </r>
  <r>
    <n v="1287"/>
    <n v="1"/>
    <n v="27"/>
    <x v="0"/>
    <n v="2"/>
    <n v="999.99"/>
    <n v="0.2"/>
    <n v="199.99800000000002"/>
    <n v="9"/>
    <n v="6"/>
  </r>
  <r>
    <n v="1287"/>
    <n v="2"/>
    <n v="62"/>
    <x v="1"/>
    <n v="2"/>
    <n v="3499.99"/>
    <n v="0.1"/>
    <n v="349.99900000000002"/>
    <n v="5"/>
    <n v="6"/>
  </r>
  <r>
    <n v="1287"/>
    <n v="3"/>
    <n v="103"/>
    <x v="2"/>
    <n v="1"/>
    <n v="551.99"/>
    <n v="0.1"/>
    <n v="55.199000000000005"/>
    <n v="8"/>
    <n v="6"/>
  </r>
  <r>
    <n v="1287"/>
    <n v="4"/>
    <n v="100"/>
    <x v="3"/>
    <n v="2"/>
    <n v="489.99"/>
    <n v="0.05"/>
    <n v="24.499500000000001"/>
    <n v="9"/>
    <n v="6"/>
  </r>
  <r>
    <n v="1288"/>
    <n v="1"/>
    <n v="73"/>
    <x v="0"/>
    <n v="1"/>
    <n v="749.99"/>
    <n v="0.2"/>
    <n v="149.99800000000002"/>
    <n v="9"/>
    <n v="6"/>
  </r>
  <r>
    <n v="1288"/>
    <n v="2"/>
    <n v="64"/>
    <x v="1"/>
    <n v="2"/>
    <n v="489.99"/>
    <n v="0.2"/>
    <n v="97.998000000000005"/>
    <n v="5"/>
    <n v="6"/>
  </r>
  <r>
    <n v="1288"/>
    <n v="3"/>
    <n v="62"/>
    <x v="2"/>
    <n v="2"/>
    <n v="3499.99"/>
    <n v="0.1"/>
    <n v="349.99900000000002"/>
    <n v="8"/>
    <n v="6"/>
  </r>
  <r>
    <n v="1288"/>
    <n v="4"/>
    <n v="17"/>
    <x v="3"/>
    <n v="2"/>
    <n v="429"/>
    <n v="7.0000000000000007E-2"/>
    <n v="30.03"/>
    <n v="9"/>
    <n v="6"/>
  </r>
  <r>
    <n v="1289"/>
    <n v="1"/>
    <n v="89"/>
    <x v="0"/>
    <n v="1"/>
    <n v="209.99"/>
    <n v="0.05"/>
    <n v="10.499500000000001"/>
    <n v="9"/>
    <n v="6"/>
  </r>
  <r>
    <n v="1289"/>
    <n v="2"/>
    <n v="3"/>
    <x v="1"/>
    <n v="1"/>
    <n v="999.99"/>
    <n v="0.1"/>
    <n v="99.999000000000009"/>
    <n v="5"/>
    <n v="6"/>
  </r>
  <r>
    <n v="1290"/>
    <n v="1"/>
    <n v="75"/>
    <x v="0"/>
    <n v="2"/>
    <n v="599.99"/>
    <n v="0.05"/>
    <n v="29.999500000000001"/>
    <n v="9"/>
    <n v="6"/>
  </r>
  <r>
    <n v="1290"/>
    <n v="2"/>
    <n v="36"/>
    <x v="1"/>
    <n v="1"/>
    <n v="832.99"/>
    <n v="0.05"/>
    <n v="41.649500000000003"/>
    <n v="5"/>
    <n v="6"/>
  </r>
  <r>
    <n v="1290"/>
    <n v="3"/>
    <n v="92"/>
    <x v="2"/>
    <n v="2"/>
    <n v="209.99"/>
    <n v="0.1"/>
    <n v="20.999000000000002"/>
    <n v="8"/>
    <n v="6"/>
  </r>
  <r>
    <n v="1291"/>
    <n v="1"/>
    <n v="57"/>
    <x v="0"/>
    <n v="1"/>
    <n v="1999.99"/>
    <n v="0.1"/>
    <n v="199.99900000000002"/>
    <n v="9"/>
    <n v="6"/>
  </r>
  <r>
    <n v="1291"/>
    <n v="2"/>
    <n v="58"/>
    <x v="1"/>
    <n v="2"/>
    <n v="4999.99"/>
    <n v="0.05"/>
    <n v="249.99950000000001"/>
    <n v="5"/>
    <n v="6"/>
  </r>
  <r>
    <n v="1292"/>
    <n v="1"/>
    <n v="70"/>
    <x v="0"/>
    <n v="1"/>
    <n v="659.99"/>
    <n v="7.0000000000000007E-2"/>
    <n v="46.199300000000008"/>
    <n v="9"/>
    <n v="6"/>
  </r>
  <r>
    <n v="1293"/>
    <n v="1"/>
    <n v="88"/>
    <x v="0"/>
    <n v="2"/>
    <n v="189.99"/>
    <n v="0.1"/>
    <n v="18.999000000000002"/>
    <n v="9"/>
    <n v="6"/>
  </r>
  <r>
    <n v="1293"/>
    <n v="2"/>
    <n v="74"/>
    <x v="1"/>
    <n v="2"/>
    <n v="439.99"/>
    <n v="0.05"/>
    <n v="21.999500000000001"/>
    <n v="5"/>
    <n v="6"/>
  </r>
  <r>
    <n v="1293"/>
    <n v="3"/>
    <n v="38"/>
    <x v="2"/>
    <n v="2"/>
    <n v="549.99"/>
    <n v="7.0000000000000007E-2"/>
    <n v="38.499300000000005"/>
    <n v="8"/>
    <n v="6"/>
  </r>
  <r>
    <n v="1294"/>
    <n v="1"/>
    <n v="95"/>
    <x v="0"/>
    <n v="2"/>
    <n v="299.99"/>
    <n v="0.05"/>
    <n v="14.999500000000001"/>
    <n v="9"/>
    <n v="6"/>
  </r>
  <r>
    <n v="1294"/>
    <n v="2"/>
    <n v="44"/>
    <x v="1"/>
    <n v="1"/>
    <n v="539.99"/>
    <n v="0.05"/>
    <n v="26.999500000000001"/>
    <n v="5"/>
    <n v="6"/>
  </r>
  <r>
    <n v="1295"/>
    <n v="1"/>
    <n v="5"/>
    <x v="0"/>
    <n v="2"/>
    <n v="1320.99"/>
    <n v="0.2"/>
    <n v="264.19800000000004"/>
    <n v="9"/>
    <n v="6"/>
  </r>
  <r>
    <n v="1295"/>
    <n v="2"/>
    <n v="61"/>
    <x v="1"/>
    <n v="1"/>
    <n v="4999.99"/>
    <n v="0.2"/>
    <n v="999.99800000000005"/>
    <n v="5"/>
    <n v="6"/>
  </r>
  <r>
    <n v="1295"/>
    <n v="3"/>
    <n v="52"/>
    <x v="2"/>
    <n v="1"/>
    <n v="875.99"/>
    <n v="0.05"/>
    <n v="43.799500000000002"/>
    <n v="8"/>
    <n v="6"/>
  </r>
  <r>
    <n v="1296"/>
    <n v="1"/>
    <n v="25"/>
    <x v="0"/>
    <n v="2"/>
    <n v="499.99"/>
    <n v="0.05"/>
    <n v="24.999500000000001"/>
    <n v="9"/>
    <n v="6"/>
  </r>
  <r>
    <n v="1296"/>
    <n v="2"/>
    <n v="90"/>
    <x v="1"/>
    <n v="1"/>
    <n v="209.99"/>
    <n v="0.1"/>
    <n v="20.999000000000002"/>
    <n v="5"/>
    <n v="6"/>
  </r>
  <r>
    <n v="1296"/>
    <n v="3"/>
    <n v="16"/>
    <x v="2"/>
    <n v="1"/>
    <n v="599.99"/>
    <n v="0.05"/>
    <n v="29.999500000000001"/>
    <n v="8"/>
    <n v="6"/>
  </r>
  <r>
    <n v="1296"/>
    <n v="4"/>
    <n v="2"/>
    <x v="3"/>
    <n v="2"/>
    <n v="749.99"/>
    <n v="0.1"/>
    <n v="74.999000000000009"/>
    <n v="9"/>
    <n v="6"/>
  </r>
  <r>
    <n v="1297"/>
    <n v="1"/>
    <n v="104"/>
    <x v="0"/>
    <n v="2"/>
    <n v="481.99"/>
    <n v="7.0000000000000007E-2"/>
    <n v="33.739300000000007"/>
    <n v="9"/>
    <n v="6"/>
  </r>
  <r>
    <n v="1297"/>
    <n v="2"/>
    <n v="43"/>
    <x v="1"/>
    <n v="1"/>
    <n v="5299.99"/>
    <n v="0.05"/>
    <n v="264.99950000000001"/>
    <n v="5"/>
    <n v="6"/>
  </r>
  <r>
    <n v="1297"/>
    <n v="3"/>
    <n v="51"/>
    <x v="2"/>
    <n v="2"/>
    <n v="6499.99"/>
    <n v="0.05"/>
    <n v="324.99950000000001"/>
    <n v="8"/>
    <n v="6"/>
  </r>
  <r>
    <n v="1298"/>
    <n v="1"/>
    <n v="59"/>
    <x v="0"/>
    <n v="1"/>
    <n v="2599.9899999999998"/>
    <n v="0.05"/>
    <n v="129.99949999999998"/>
    <n v="9"/>
    <n v="6"/>
  </r>
  <r>
    <n v="1298"/>
    <n v="2"/>
    <n v="110"/>
    <x v="1"/>
    <n v="2"/>
    <n v="470.99"/>
    <n v="7.0000000000000007E-2"/>
    <n v="32.969300000000004"/>
    <n v="5"/>
    <n v="6"/>
  </r>
  <r>
    <n v="1299"/>
    <n v="1"/>
    <n v="14"/>
    <x v="0"/>
    <n v="2"/>
    <n v="269.99"/>
    <n v="0.1"/>
    <n v="26.999000000000002"/>
    <n v="9"/>
    <n v="6"/>
  </r>
  <r>
    <n v="1299"/>
    <n v="2"/>
    <n v="101"/>
    <x v="1"/>
    <n v="1"/>
    <n v="339.99"/>
    <n v="0.05"/>
    <n v="16.999500000000001"/>
    <n v="5"/>
    <n v="6"/>
  </r>
  <r>
    <n v="1299"/>
    <n v="3"/>
    <n v="75"/>
    <x v="2"/>
    <n v="1"/>
    <n v="599.99"/>
    <n v="0.05"/>
    <n v="29.999500000000001"/>
    <n v="8"/>
    <n v="6"/>
  </r>
  <r>
    <n v="1299"/>
    <n v="4"/>
    <n v="52"/>
    <x v="3"/>
    <n v="2"/>
    <n v="875.99"/>
    <n v="0.2"/>
    <n v="175.19800000000001"/>
    <n v="9"/>
    <n v="6"/>
  </r>
  <r>
    <n v="1300"/>
    <n v="1"/>
    <n v="101"/>
    <x v="0"/>
    <n v="2"/>
    <n v="339.99"/>
    <n v="7.0000000000000007E-2"/>
    <n v="23.799300000000002"/>
    <n v="9"/>
    <n v="6"/>
  </r>
  <r>
    <n v="1300"/>
    <n v="2"/>
    <n v="58"/>
    <x v="1"/>
    <n v="2"/>
    <n v="4999.99"/>
    <n v="0.05"/>
    <n v="249.99950000000001"/>
    <n v="5"/>
    <n v="6"/>
  </r>
  <r>
    <n v="1301"/>
    <n v="1"/>
    <n v="45"/>
    <x v="0"/>
    <n v="2"/>
    <n v="869.99"/>
    <n v="0.2"/>
    <n v="173.99800000000002"/>
    <n v="9"/>
    <n v="6"/>
  </r>
  <r>
    <n v="1301"/>
    <n v="2"/>
    <n v="105"/>
    <x v="1"/>
    <n v="2"/>
    <n v="533.99"/>
    <n v="0.1"/>
    <n v="53.399000000000001"/>
    <n v="5"/>
    <n v="6"/>
  </r>
  <r>
    <n v="1301"/>
    <n v="3"/>
    <n v="8"/>
    <x v="2"/>
    <n v="1"/>
    <n v="1799.99"/>
    <n v="0.2"/>
    <n v="359.99800000000005"/>
    <n v="8"/>
    <n v="6"/>
  </r>
  <r>
    <n v="1302"/>
    <n v="1"/>
    <n v="38"/>
    <x v="0"/>
    <n v="1"/>
    <n v="549.99"/>
    <n v="0.05"/>
    <n v="27.499500000000001"/>
    <n v="9"/>
    <n v="6"/>
  </r>
  <r>
    <n v="1302"/>
    <n v="2"/>
    <n v="20"/>
    <x v="1"/>
    <n v="2"/>
    <n v="599.99"/>
    <n v="0.1"/>
    <n v="59.999000000000002"/>
    <n v="5"/>
    <n v="6"/>
  </r>
  <r>
    <n v="1302"/>
    <n v="3"/>
    <n v="56"/>
    <x v="2"/>
    <n v="2"/>
    <n v="5499.99"/>
    <n v="7.0000000000000007E-2"/>
    <n v="384.99930000000001"/>
    <n v="8"/>
    <n v="6"/>
  </r>
  <r>
    <n v="1303"/>
    <n v="1"/>
    <n v="96"/>
    <x v="0"/>
    <n v="1"/>
    <n v="349.99"/>
    <n v="0.1"/>
    <n v="34.999000000000002"/>
    <n v="9"/>
    <n v="6"/>
  </r>
  <r>
    <n v="1303"/>
    <n v="2"/>
    <n v="63"/>
    <x v="1"/>
    <n v="2"/>
    <n v="3499.99"/>
    <n v="0.2"/>
    <n v="699.99800000000005"/>
    <n v="5"/>
    <n v="6"/>
  </r>
  <r>
    <n v="1303"/>
    <n v="3"/>
    <n v="108"/>
    <x v="2"/>
    <n v="1"/>
    <n v="449.99"/>
    <n v="0.1"/>
    <n v="44.999000000000002"/>
    <n v="8"/>
    <n v="6"/>
  </r>
  <r>
    <n v="1303"/>
    <n v="4"/>
    <n v="73"/>
    <x v="3"/>
    <n v="1"/>
    <n v="749.99"/>
    <n v="0.1"/>
    <n v="74.999000000000009"/>
    <n v="9"/>
    <n v="6"/>
  </r>
  <r>
    <n v="1303"/>
    <n v="5"/>
    <n v="24"/>
    <x v="4"/>
    <n v="2"/>
    <n v="549.99"/>
    <n v="0.1"/>
    <n v="54.999000000000002"/>
    <n v="3"/>
    <n v="6"/>
  </r>
  <r>
    <n v="1304"/>
    <n v="1"/>
    <n v="80"/>
    <x v="0"/>
    <n v="1"/>
    <n v="761.99"/>
    <n v="0.05"/>
    <n v="38.099499999999999"/>
    <n v="9"/>
    <n v="6"/>
  </r>
  <r>
    <n v="1304"/>
    <n v="2"/>
    <n v="99"/>
    <x v="1"/>
    <n v="2"/>
    <n v="299.99"/>
    <n v="0.05"/>
    <n v="14.999500000000001"/>
    <n v="5"/>
    <n v="6"/>
  </r>
  <r>
    <n v="1304"/>
    <n v="3"/>
    <n v="102"/>
    <x v="2"/>
    <n v="1"/>
    <n v="489.99"/>
    <n v="0.2"/>
    <n v="97.998000000000005"/>
    <n v="8"/>
    <n v="6"/>
  </r>
  <r>
    <n v="1304"/>
    <n v="4"/>
    <n v="17"/>
    <x v="3"/>
    <n v="1"/>
    <n v="429"/>
    <n v="0.05"/>
    <n v="21.450000000000003"/>
    <n v="9"/>
    <n v="6"/>
  </r>
  <r>
    <n v="1305"/>
    <n v="1"/>
    <n v="85"/>
    <x v="0"/>
    <n v="1"/>
    <n v="329.99"/>
    <n v="0.2"/>
    <n v="65.998000000000005"/>
    <n v="9"/>
    <n v="6"/>
  </r>
  <r>
    <n v="1305"/>
    <n v="2"/>
    <n v="9"/>
    <x v="1"/>
    <n v="1"/>
    <n v="2999.99"/>
    <n v="7.0000000000000007E-2"/>
    <n v="209.99930000000001"/>
    <n v="5"/>
    <n v="6"/>
  </r>
  <r>
    <n v="1305"/>
    <n v="3"/>
    <n v="11"/>
    <x v="2"/>
    <n v="1"/>
    <n v="1680.99"/>
    <n v="0.05"/>
    <n v="84.049500000000009"/>
    <n v="8"/>
    <n v="6"/>
  </r>
  <r>
    <n v="1305"/>
    <n v="4"/>
    <n v="91"/>
    <x v="3"/>
    <n v="2"/>
    <n v="349.99"/>
    <n v="0.05"/>
    <n v="17.499500000000001"/>
    <n v="9"/>
    <n v="6"/>
  </r>
  <r>
    <n v="1306"/>
    <n v="1"/>
    <n v="103"/>
    <x v="0"/>
    <n v="2"/>
    <n v="551.99"/>
    <n v="0.05"/>
    <n v="27.599500000000003"/>
    <n v="9"/>
    <n v="6"/>
  </r>
  <r>
    <n v="1306"/>
    <n v="2"/>
    <n v="81"/>
    <x v="1"/>
    <n v="2"/>
    <n v="1099.99"/>
    <n v="7.0000000000000007E-2"/>
    <n v="76.999300000000005"/>
    <n v="5"/>
    <n v="6"/>
  </r>
  <r>
    <n v="1306"/>
    <n v="3"/>
    <n v="45"/>
    <x v="2"/>
    <n v="1"/>
    <n v="869.99"/>
    <n v="0.2"/>
    <n v="173.99800000000002"/>
    <n v="8"/>
    <n v="6"/>
  </r>
  <r>
    <n v="1306"/>
    <n v="4"/>
    <n v="42"/>
    <x v="3"/>
    <n v="1"/>
    <n v="2299.9899999999998"/>
    <n v="0.2"/>
    <n v="459.99799999999999"/>
    <n v="9"/>
    <n v="6"/>
  </r>
  <r>
    <n v="1306"/>
    <n v="5"/>
    <n v="9"/>
    <x v="4"/>
    <n v="2"/>
    <n v="2999.99"/>
    <n v="7.0000000000000007E-2"/>
    <n v="209.99930000000001"/>
    <n v="3"/>
    <n v="6"/>
  </r>
  <r>
    <n v="1307"/>
    <n v="1"/>
    <n v="96"/>
    <x v="0"/>
    <n v="2"/>
    <n v="349.99"/>
    <n v="7.0000000000000007E-2"/>
    <n v="24.499300000000002"/>
    <n v="9"/>
    <n v="6"/>
  </r>
  <r>
    <n v="1307"/>
    <n v="2"/>
    <n v="53"/>
    <x v="1"/>
    <n v="2"/>
    <n v="749.99"/>
    <n v="0.2"/>
    <n v="149.99800000000002"/>
    <n v="5"/>
    <n v="6"/>
  </r>
  <r>
    <n v="1307"/>
    <n v="3"/>
    <n v="69"/>
    <x v="2"/>
    <n v="2"/>
    <n v="416.99"/>
    <n v="0.2"/>
    <n v="83.39800000000001"/>
    <n v="8"/>
    <n v="6"/>
  </r>
  <r>
    <n v="1308"/>
    <n v="1"/>
    <n v="54"/>
    <x v="0"/>
    <n v="1"/>
    <n v="3199.99"/>
    <n v="0.05"/>
    <n v="159.99950000000001"/>
    <n v="9"/>
    <n v="6"/>
  </r>
  <r>
    <n v="1308"/>
    <n v="2"/>
    <n v="69"/>
    <x v="1"/>
    <n v="1"/>
    <n v="416.99"/>
    <n v="0.2"/>
    <n v="83.39800000000001"/>
    <n v="5"/>
    <n v="6"/>
  </r>
  <r>
    <n v="1308"/>
    <n v="3"/>
    <n v="14"/>
    <x v="2"/>
    <n v="2"/>
    <n v="269.99"/>
    <n v="7.0000000000000007E-2"/>
    <n v="18.899300000000004"/>
    <n v="8"/>
    <n v="6"/>
  </r>
  <r>
    <n v="1308"/>
    <n v="4"/>
    <n v="56"/>
    <x v="3"/>
    <n v="1"/>
    <n v="5499.99"/>
    <n v="0.2"/>
    <n v="1099.998"/>
    <n v="9"/>
    <n v="6"/>
  </r>
  <r>
    <n v="1308"/>
    <n v="5"/>
    <n v="32"/>
    <x v="4"/>
    <n v="1"/>
    <n v="469.99"/>
    <n v="7.0000000000000007E-2"/>
    <n v="32.899300000000004"/>
    <n v="3"/>
    <n v="6"/>
  </r>
  <r>
    <n v="1309"/>
    <n v="1"/>
    <n v="65"/>
    <x v="0"/>
    <n v="1"/>
    <n v="346.99"/>
    <n v="0.05"/>
    <n v="17.349500000000003"/>
    <n v="9"/>
    <n v="6"/>
  </r>
  <r>
    <n v="1309"/>
    <n v="2"/>
    <n v="87"/>
    <x v="1"/>
    <n v="2"/>
    <n v="189.99"/>
    <n v="0.2"/>
    <n v="37.998000000000005"/>
    <n v="5"/>
    <n v="6"/>
  </r>
  <r>
    <n v="1310"/>
    <n v="1"/>
    <n v="59"/>
    <x v="0"/>
    <n v="1"/>
    <n v="2599.9899999999998"/>
    <n v="0.2"/>
    <n v="519.99799999999993"/>
    <n v="9"/>
    <n v="6"/>
  </r>
  <r>
    <n v="1310"/>
    <n v="2"/>
    <n v="77"/>
    <x v="1"/>
    <n v="2"/>
    <n v="799.99"/>
    <n v="0.2"/>
    <n v="159.99800000000002"/>
    <n v="5"/>
    <n v="6"/>
  </r>
  <r>
    <n v="1310"/>
    <n v="3"/>
    <n v="11"/>
    <x v="2"/>
    <n v="2"/>
    <n v="1680.99"/>
    <n v="0.1"/>
    <n v="168.09900000000002"/>
    <n v="8"/>
    <n v="6"/>
  </r>
  <r>
    <n v="1310"/>
    <n v="4"/>
    <n v="54"/>
    <x v="3"/>
    <n v="1"/>
    <n v="3199.99"/>
    <n v="0.2"/>
    <n v="639.99800000000005"/>
    <n v="9"/>
    <n v="6"/>
  </r>
  <r>
    <n v="1311"/>
    <n v="1"/>
    <n v="69"/>
    <x v="0"/>
    <n v="1"/>
    <n v="416.99"/>
    <n v="0.1"/>
    <n v="41.699000000000005"/>
    <n v="9"/>
    <n v="6"/>
  </r>
  <r>
    <n v="1311"/>
    <n v="2"/>
    <n v="45"/>
    <x v="1"/>
    <n v="2"/>
    <n v="869.99"/>
    <n v="7.0000000000000007E-2"/>
    <n v="60.899300000000004"/>
    <n v="5"/>
    <n v="6"/>
  </r>
  <r>
    <n v="1311"/>
    <n v="3"/>
    <n v="27"/>
    <x v="2"/>
    <n v="2"/>
    <n v="999.99"/>
    <n v="0.1"/>
    <n v="99.999000000000009"/>
    <n v="8"/>
    <n v="6"/>
  </r>
  <r>
    <n v="1311"/>
    <n v="4"/>
    <n v="42"/>
    <x v="3"/>
    <n v="1"/>
    <n v="2299.9899999999998"/>
    <n v="0.1"/>
    <n v="229.999"/>
    <n v="9"/>
    <n v="6"/>
  </r>
  <r>
    <n v="1312"/>
    <n v="1"/>
    <n v="67"/>
    <x v="0"/>
    <n v="2"/>
    <n v="250.99"/>
    <n v="0.05"/>
    <n v="12.549500000000002"/>
    <n v="9"/>
    <n v="6"/>
  </r>
  <r>
    <n v="1312"/>
    <n v="2"/>
    <n v="14"/>
    <x v="1"/>
    <n v="1"/>
    <n v="269.99"/>
    <n v="0.2"/>
    <n v="53.998000000000005"/>
    <n v="5"/>
    <n v="6"/>
  </r>
  <r>
    <n v="1312"/>
    <n v="3"/>
    <n v="20"/>
    <x v="2"/>
    <n v="1"/>
    <n v="599.99"/>
    <n v="7.0000000000000007E-2"/>
    <n v="41.999300000000005"/>
    <n v="8"/>
    <n v="6"/>
  </r>
  <r>
    <n v="1313"/>
    <n v="1"/>
    <n v="75"/>
    <x v="0"/>
    <n v="1"/>
    <n v="599.99"/>
    <n v="0.2"/>
    <n v="119.998"/>
    <n v="9"/>
    <n v="6"/>
  </r>
  <r>
    <n v="1313"/>
    <n v="2"/>
    <n v="33"/>
    <x v="1"/>
    <n v="1"/>
    <n v="469.99"/>
    <n v="0.2"/>
    <n v="93.998000000000005"/>
    <n v="5"/>
    <n v="6"/>
  </r>
  <r>
    <n v="1313"/>
    <n v="3"/>
    <n v="69"/>
    <x v="2"/>
    <n v="1"/>
    <n v="416.99"/>
    <n v="7.0000000000000007E-2"/>
    <n v="29.189300000000003"/>
    <n v="8"/>
    <n v="6"/>
  </r>
  <r>
    <n v="1314"/>
    <n v="1"/>
    <n v="52"/>
    <x v="0"/>
    <n v="1"/>
    <n v="875.99"/>
    <n v="7.0000000000000007E-2"/>
    <n v="61.319300000000005"/>
    <n v="9"/>
    <n v="6"/>
  </r>
  <r>
    <n v="1314"/>
    <n v="2"/>
    <n v="72"/>
    <x v="1"/>
    <n v="2"/>
    <n v="619.99"/>
    <n v="0.05"/>
    <n v="30.999500000000001"/>
    <n v="5"/>
    <n v="6"/>
  </r>
  <r>
    <n v="1314"/>
    <n v="3"/>
    <n v="94"/>
    <x v="2"/>
    <n v="1"/>
    <n v="249.99"/>
    <n v="0.1"/>
    <n v="24.999000000000002"/>
    <n v="8"/>
    <n v="6"/>
  </r>
  <r>
    <n v="1315"/>
    <n v="1"/>
    <n v="104"/>
    <x v="0"/>
    <n v="2"/>
    <n v="481.99"/>
    <n v="7.0000000000000007E-2"/>
    <n v="33.739300000000007"/>
    <n v="9"/>
    <n v="6"/>
  </r>
  <r>
    <n v="1315"/>
    <n v="2"/>
    <n v="41"/>
    <x v="1"/>
    <n v="1"/>
    <n v="1469.99"/>
    <n v="0.05"/>
    <n v="73.499499999999998"/>
    <n v="5"/>
    <n v="6"/>
  </r>
  <r>
    <n v="1315"/>
    <n v="3"/>
    <n v="24"/>
    <x v="2"/>
    <n v="1"/>
    <n v="549.99"/>
    <n v="0.1"/>
    <n v="54.999000000000002"/>
    <n v="8"/>
    <n v="6"/>
  </r>
  <r>
    <n v="1315"/>
    <n v="4"/>
    <n v="26"/>
    <x v="3"/>
    <n v="1"/>
    <n v="599.99"/>
    <n v="7.0000000000000007E-2"/>
    <n v="41.999300000000005"/>
    <n v="9"/>
    <n v="6"/>
  </r>
  <r>
    <n v="1315"/>
    <n v="5"/>
    <n v="16"/>
    <x v="4"/>
    <n v="2"/>
    <n v="599.99"/>
    <n v="0.2"/>
    <n v="119.998"/>
    <n v="3"/>
    <n v="6"/>
  </r>
  <r>
    <n v="1316"/>
    <n v="1"/>
    <n v="76"/>
    <x v="0"/>
    <n v="2"/>
    <n v="299.99"/>
    <n v="0.1"/>
    <n v="29.999000000000002"/>
    <n v="9"/>
    <n v="6"/>
  </r>
  <r>
    <n v="1316"/>
    <n v="2"/>
    <n v="90"/>
    <x v="1"/>
    <n v="1"/>
    <n v="209.99"/>
    <n v="0.1"/>
    <n v="20.999000000000002"/>
    <n v="5"/>
    <n v="6"/>
  </r>
  <r>
    <n v="1317"/>
    <n v="1"/>
    <n v="82"/>
    <x v="0"/>
    <n v="1"/>
    <n v="659.99"/>
    <n v="0.1"/>
    <n v="65.999000000000009"/>
    <n v="9"/>
    <n v="6"/>
  </r>
  <r>
    <n v="1318"/>
    <n v="1"/>
    <n v="82"/>
    <x v="0"/>
    <n v="2"/>
    <n v="659.99"/>
    <n v="0.2"/>
    <n v="131.99800000000002"/>
    <n v="9"/>
    <n v="6"/>
  </r>
  <r>
    <n v="1318"/>
    <n v="2"/>
    <n v="62"/>
    <x v="1"/>
    <n v="2"/>
    <n v="3499.99"/>
    <n v="0.2"/>
    <n v="699.99800000000005"/>
    <n v="5"/>
    <n v="6"/>
  </r>
  <r>
    <n v="1318"/>
    <n v="3"/>
    <n v="111"/>
    <x v="2"/>
    <n v="1"/>
    <n v="470.99"/>
    <n v="0.2"/>
    <n v="94.198000000000008"/>
    <n v="8"/>
    <n v="6"/>
  </r>
  <r>
    <n v="1318"/>
    <n v="4"/>
    <n v="92"/>
    <x v="3"/>
    <n v="1"/>
    <n v="209.99"/>
    <n v="7.0000000000000007E-2"/>
    <n v="14.699300000000003"/>
    <n v="9"/>
    <n v="6"/>
  </r>
  <r>
    <n v="1319"/>
    <n v="1"/>
    <n v="75"/>
    <x v="0"/>
    <n v="1"/>
    <n v="599.99"/>
    <n v="7.0000000000000007E-2"/>
    <n v="41.999300000000005"/>
    <n v="9"/>
    <n v="6"/>
  </r>
  <r>
    <n v="1319"/>
    <n v="2"/>
    <n v="91"/>
    <x v="1"/>
    <n v="1"/>
    <n v="349.99"/>
    <n v="0.2"/>
    <n v="69.998000000000005"/>
    <n v="5"/>
    <n v="6"/>
  </r>
  <r>
    <n v="1320"/>
    <n v="1"/>
    <n v="104"/>
    <x v="0"/>
    <n v="1"/>
    <n v="481.99"/>
    <n v="0.1"/>
    <n v="48.199000000000005"/>
    <n v="9"/>
    <n v="6"/>
  </r>
  <r>
    <n v="1320"/>
    <n v="2"/>
    <n v="93"/>
    <x v="1"/>
    <n v="1"/>
    <n v="209.99"/>
    <n v="0.05"/>
    <n v="10.499500000000001"/>
    <n v="5"/>
    <n v="6"/>
  </r>
  <r>
    <n v="1320"/>
    <n v="3"/>
    <n v="99"/>
    <x v="2"/>
    <n v="2"/>
    <n v="299.99"/>
    <n v="0.2"/>
    <n v="59.998000000000005"/>
    <n v="8"/>
    <n v="6"/>
  </r>
  <r>
    <n v="1321"/>
    <n v="1"/>
    <n v="34"/>
    <x v="0"/>
    <n v="1"/>
    <n v="469.99"/>
    <n v="0.1"/>
    <n v="46.999000000000002"/>
    <n v="9"/>
    <n v="6"/>
  </r>
  <r>
    <n v="1321"/>
    <n v="2"/>
    <n v="107"/>
    <x v="1"/>
    <n v="1"/>
    <n v="416.99"/>
    <n v="0.1"/>
    <n v="41.699000000000005"/>
    <n v="5"/>
    <n v="6"/>
  </r>
  <r>
    <n v="1321"/>
    <n v="3"/>
    <n v="11"/>
    <x v="2"/>
    <n v="2"/>
    <n v="1680.99"/>
    <n v="0.1"/>
    <n v="168.09900000000002"/>
    <n v="8"/>
    <n v="6"/>
  </r>
  <r>
    <n v="1322"/>
    <n v="1"/>
    <n v="28"/>
    <x v="0"/>
    <n v="2"/>
    <n v="2499.9899999999998"/>
    <n v="0.05"/>
    <n v="124.9995"/>
    <n v="9"/>
    <n v="6"/>
  </r>
  <r>
    <n v="1322"/>
    <n v="2"/>
    <n v="104"/>
    <x v="1"/>
    <n v="2"/>
    <n v="481.99"/>
    <n v="0.05"/>
    <n v="24.099500000000003"/>
    <n v="5"/>
    <n v="6"/>
  </r>
  <r>
    <n v="1323"/>
    <n v="1"/>
    <n v="27"/>
    <x v="0"/>
    <n v="2"/>
    <n v="999.99"/>
    <n v="7.0000000000000007E-2"/>
    <n v="69.999300000000005"/>
    <n v="9"/>
    <n v="6"/>
  </r>
  <r>
    <n v="1323"/>
    <n v="2"/>
    <n v="20"/>
    <x v="1"/>
    <n v="1"/>
    <n v="599.99"/>
    <n v="0.05"/>
    <n v="29.999500000000001"/>
    <n v="5"/>
    <n v="6"/>
  </r>
  <r>
    <n v="1323"/>
    <n v="3"/>
    <n v="70"/>
    <x v="2"/>
    <n v="1"/>
    <n v="659.99"/>
    <n v="0.05"/>
    <n v="32.999500000000005"/>
    <n v="8"/>
    <n v="6"/>
  </r>
  <r>
    <n v="1324"/>
    <n v="1"/>
    <n v="66"/>
    <x v="0"/>
    <n v="1"/>
    <n v="250.99"/>
    <n v="0.1"/>
    <n v="25.099000000000004"/>
    <n v="9"/>
    <n v="6"/>
  </r>
  <r>
    <n v="1324"/>
    <n v="2"/>
    <n v="120"/>
    <x v="1"/>
    <n v="2"/>
    <n v="2499.9899999999998"/>
    <n v="0.2"/>
    <n v="499.99799999999999"/>
    <n v="5"/>
    <n v="6"/>
  </r>
  <r>
    <n v="1324"/>
    <n v="3"/>
    <n v="235"/>
    <x v="2"/>
    <n v="1"/>
    <n v="899.99"/>
    <n v="0.1"/>
    <n v="89.999000000000009"/>
    <n v="8"/>
    <n v="6"/>
  </r>
  <r>
    <n v="1324"/>
    <n v="4"/>
    <n v="3"/>
    <x v="3"/>
    <n v="1"/>
    <n v="999.99"/>
    <n v="0.2"/>
    <n v="199.99800000000002"/>
    <n v="9"/>
    <n v="6"/>
  </r>
  <r>
    <n v="1325"/>
    <n v="1"/>
    <n v="139"/>
    <x v="0"/>
    <n v="1"/>
    <n v="2999.99"/>
    <n v="0.05"/>
    <n v="149.99949999999998"/>
    <n v="9"/>
    <n v="6"/>
  </r>
  <r>
    <n v="1325"/>
    <n v="2"/>
    <n v="257"/>
    <x v="1"/>
    <n v="1"/>
    <n v="899.99"/>
    <n v="0.05"/>
    <n v="44.999500000000005"/>
    <n v="5"/>
    <n v="6"/>
  </r>
  <r>
    <n v="1325"/>
    <n v="3"/>
    <n v="209"/>
    <x v="2"/>
    <n v="1"/>
    <n v="2999.99"/>
    <n v="0.1"/>
    <n v="299.99899999999997"/>
    <n v="8"/>
    <n v="6"/>
  </r>
  <r>
    <n v="1325"/>
    <n v="4"/>
    <n v="28"/>
    <x v="3"/>
    <n v="1"/>
    <n v="2499.9899999999998"/>
    <n v="7.0000000000000007E-2"/>
    <n v="174.99930000000001"/>
    <n v="9"/>
    <n v="6"/>
  </r>
  <r>
    <n v="1326"/>
    <n v="1"/>
    <n v="190"/>
    <x v="0"/>
    <n v="2"/>
    <n v="2799.99"/>
    <n v="7.0000000000000007E-2"/>
    <n v="195.99930000000001"/>
    <n v="9"/>
    <n v="6"/>
  </r>
  <r>
    <n v="1326"/>
    <n v="2"/>
    <n v="269"/>
    <x v="1"/>
    <n v="2"/>
    <n v="199.99"/>
    <n v="7.0000000000000007E-2"/>
    <n v="13.999300000000002"/>
    <n v="5"/>
    <n v="6"/>
  </r>
  <r>
    <n v="1327"/>
    <n v="1"/>
    <n v="151"/>
    <x v="0"/>
    <n v="2"/>
    <n v="1549.99"/>
    <n v="7.0000000000000007E-2"/>
    <n v="108.49930000000001"/>
    <n v="9"/>
    <n v="6"/>
  </r>
  <r>
    <n v="1327"/>
    <n v="2"/>
    <n v="235"/>
    <x v="1"/>
    <n v="2"/>
    <n v="899.99"/>
    <n v="0.1"/>
    <n v="89.999000000000009"/>
    <n v="5"/>
    <n v="6"/>
  </r>
  <r>
    <n v="1327"/>
    <n v="3"/>
    <n v="48"/>
    <x v="2"/>
    <n v="2"/>
    <n v="1499.99"/>
    <n v="0.1"/>
    <n v="149.999"/>
    <n v="8"/>
    <n v="6"/>
  </r>
  <r>
    <n v="1327"/>
    <n v="4"/>
    <n v="180"/>
    <x v="3"/>
    <n v="1"/>
    <n v="919.99"/>
    <n v="0.2"/>
    <n v="183.99800000000002"/>
    <n v="9"/>
    <n v="6"/>
  </r>
  <r>
    <n v="1328"/>
    <n v="1"/>
    <n v="241"/>
    <x v="0"/>
    <n v="1"/>
    <n v="749.99"/>
    <n v="7.0000000000000007E-2"/>
    <n v="52.499300000000005"/>
    <n v="9"/>
    <n v="6"/>
  </r>
  <r>
    <n v="1328"/>
    <n v="2"/>
    <n v="129"/>
    <x v="1"/>
    <n v="2"/>
    <n v="919.99"/>
    <n v="0.1"/>
    <n v="91.999000000000009"/>
    <n v="5"/>
    <n v="6"/>
  </r>
  <r>
    <n v="1328"/>
    <n v="3"/>
    <n v="228"/>
    <x v="2"/>
    <n v="1"/>
    <n v="319.99"/>
    <n v="7.0000000000000007E-2"/>
    <n v="22.399300000000004"/>
    <n v="8"/>
    <n v="6"/>
  </r>
  <r>
    <n v="1328"/>
    <n v="4"/>
    <n v="311"/>
    <x v="3"/>
    <n v="1"/>
    <n v="749.99"/>
    <n v="0.1"/>
    <n v="74.999000000000009"/>
    <n v="9"/>
    <n v="6"/>
  </r>
  <r>
    <n v="1328"/>
    <n v="5"/>
    <n v="247"/>
    <x v="4"/>
    <n v="1"/>
    <n v="599.99"/>
    <n v="0.1"/>
    <n v="59.999000000000002"/>
    <n v="3"/>
    <n v="6"/>
  </r>
  <r>
    <n v="1329"/>
    <n v="1"/>
    <n v="143"/>
    <x v="0"/>
    <n v="1"/>
    <n v="1099.99"/>
    <n v="7.0000000000000007E-2"/>
    <n v="76.999300000000005"/>
    <n v="9"/>
    <n v="6"/>
  </r>
  <r>
    <n v="1329"/>
    <n v="2"/>
    <n v="107"/>
    <x v="1"/>
    <n v="1"/>
    <n v="416.99"/>
    <n v="0.05"/>
    <n v="20.849500000000003"/>
    <n v="5"/>
    <n v="6"/>
  </r>
  <r>
    <n v="1329"/>
    <n v="3"/>
    <n v="55"/>
    <x v="2"/>
    <n v="1"/>
    <n v="2699.99"/>
    <n v="7.0000000000000007E-2"/>
    <n v="188.99930000000001"/>
    <n v="8"/>
    <n v="6"/>
  </r>
  <r>
    <n v="1329"/>
    <n v="4"/>
    <n v="283"/>
    <x v="3"/>
    <n v="2"/>
    <n v="319.99"/>
    <n v="0.2"/>
    <n v="63.998000000000005"/>
    <n v="9"/>
    <n v="6"/>
  </r>
  <r>
    <n v="1329"/>
    <n v="5"/>
    <n v="13"/>
    <x v="4"/>
    <n v="1"/>
    <n v="269.99"/>
    <n v="0.1"/>
    <n v="26.999000000000002"/>
    <n v="3"/>
    <n v="6"/>
  </r>
  <r>
    <n v="1330"/>
    <n v="1"/>
    <n v="232"/>
    <x v="0"/>
    <n v="1"/>
    <n v="479.99"/>
    <n v="0.2"/>
    <n v="95.998000000000005"/>
    <n v="9"/>
    <n v="6"/>
  </r>
  <r>
    <n v="1330"/>
    <n v="2"/>
    <n v="243"/>
    <x v="1"/>
    <n v="2"/>
    <n v="679.99"/>
    <n v="0.05"/>
    <n v="33.999500000000005"/>
    <n v="5"/>
    <n v="6"/>
  </r>
  <r>
    <n v="1330"/>
    <n v="3"/>
    <n v="230"/>
    <x v="2"/>
    <n v="2"/>
    <n v="429.99"/>
    <n v="0.2"/>
    <n v="85.998000000000005"/>
    <n v="8"/>
    <n v="6"/>
  </r>
  <r>
    <n v="1330"/>
    <n v="4"/>
    <n v="102"/>
    <x v="3"/>
    <n v="2"/>
    <n v="489.99"/>
    <n v="0.05"/>
    <n v="24.499500000000001"/>
    <n v="9"/>
    <n v="6"/>
  </r>
  <r>
    <n v="1330"/>
    <n v="5"/>
    <n v="282"/>
    <x v="4"/>
    <n v="1"/>
    <n v="279.99"/>
    <n v="0.1"/>
    <n v="27.999000000000002"/>
    <n v="3"/>
    <n v="6"/>
  </r>
  <r>
    <n v="1331"/>
    <n v="1"/>
    <n v="253"/>
    <x v="0"/>
    <n v="1"/>
    <n v="2599.9899999999998"/>
    <n v="0.05"/>
    <n v="129.99949999999998"/>
    <n v="9"/>
    <n v="6"/>
  </r>
  <r>
    <n v="1331"/>
    <n v="2"/>
    <n v="290"/>
    <x v="1"/>
    <n v="1"/>
    <n v="369.99"/>
    <n v="0.05"/>
    <n v="18.499500000000001"/>
    <n v="5"/>
    <n v="6"/>
  </r>
  <r>
    <n v="1331"/>
    <n v="3"/>
    <n v="145"/>
    <x v="2"/>
    <n v="2"/>
    <n v="1799.99"/>
    <n v="0.1"/>
    <n v="179.99900000000002"/>
    <n v="8"/>
    <n v="6"/>
  </r>
  <r>
    <n v="1331"/>
    <n v="4"/>
    <n v="300"/>
    <x v="3"/>
    <n v="1"/>
    <n v="799.99"/>
    <n v="0.2"/>
    <n v="159.99800000000002"/>
    <n v="9"/>
    <n v="6"/>
  </r>
  <r>
    <n v="1332"/>
    <n v="1"/>
    <n v="296"/>
    <x v="0"/>
    <n v="1"/>
    <n v="369.99"/>
    <n v="0.2"/>
    <n v="73.998000000000005"/>
    <n v="9"/>
    <n v="6"/>
  </r>
  <r>
    <n v="1332"/>
    <n v="2"/>
    <n v="93"/>
    <x v="1"/>
    <n v="2"/>
    <n v="209.99"/>
    <n v="0.05"/>
    <n v="10.499500000000001"/>
    <n v="5"/>
    <n v="6"/>
  </r>
  <r>
    <n v="1332"/>
    <n v="3"/>
    <n v="179"/>
    <x v="2"/>
    <n v="2"/>
    <n v="919.99"/>
    <n v="7.0000000000000007E-2"/>
    <n v="64.399300000000011"/>
    <n v="8"/>
    <n v="6"/>
  </r>
  <r>
    <n v="1332"/>
    <n v="4"/>
    <n v="298"/>
    <x v="3"/>
    <n v="1"/>
    <n v="279.99"/>
    <n v="0.1"/>
    <n v="27.999000000000002"/>
    <n v="9"/>
    <n v="6"/>
  </r>
  <r>
    <n v="1333"/>
    <n v="1"/>
    <n v="205"/>
    <x v="0"/>
    <n v="2"/>
    <n v="4999.99"/>
    <n v="0.05"/>
    <n v="249.99950000000001"/>
    <n v="9"/>
    <n v="6"/>
  </r>
  <r>
    <n v="1333"/>
    <n v="2"/>
    <n v="304"/>
    <x v="1"/>
    <n v="2"/>
    <n v="679.99"/>
    <n v="0.1"/>
    <n v="67.999000000000009"/>
    <n v="5"/>
    <n v="6"/>
  </r>
  <r>
    <n v="1333"/>
    <n v="3"/>
    <n v="99"/>
    <x v="2"/>
    <n v="2"/>
    <n v="299.99"/>
    <n v="0.1"/>
    <n v="29.999000000000002"/>
    <n v="8"/>
    <n v="6"/>
  </r>
  <r>
    <n v="1333"/>
    <n v="4"/>
    <n v="12"/>
    <x v="3"/>
    <n v="1"/>
    <n v="549.99"/>
    <n v="0.05"/>
    <n v="27.499500000000001"/>
    <n v="9"/>
    <n v="6"/>
  </r>
  <r>
    <n v="1333"/>
    <n v="5"/>
    <n v="78"/>
    <x v="4"/>
    <n v="1"/>
    <n v="647.99"/>
    <n v="0.1"/>
    <n v="64.799000000000007"/>
    <n v="3"/>
    <n v="6"/>
  </r>
  <r>
    <n v="1334"/>
    <n v="1"/>
    <n v="203"/>
    <x v="0"/>
    <n v="2"/>
    <n v="4999.99"/>
    <n v="0.05"/>
    <n v="249.99950000000001"/>
    <n v="9"/>
    <n v="6"/>
  </r>
  <r>
    <n v="1334"/>
    <n v="2"/>
    <n v="160"/>
    <x v="1"/>
    <n v="2"/>
    <n v="4499.99"/>
    <n v="7.0000000000000007E-2"/>
    <n v="314.99930000000001"/>
    <n v="5"/>
    <n v="6"/>
  </r>
  <r>
    <n v="1334"/>
    <n v="3"/>
    <n v="84"/>
    <x v="2"/>
    <n v="2"/>
    <n v="109.99"/>
    <n v="0.1"/>
    <n v="10.999000000000001"/>
    <n v="8"/>
    <n v="6"/>
  </r>
  <r>
    <n v="1334"/>
    <n v="4"/>
    <n v="13"/>
    <x v="3"/>
    <n v="1"/>
    <n v="269.99"/>
    <n v="0.05"/>
    <n v="13.499500000000001"/>
    <n v="9"/>
    <n v="6"/>
  </r>
  <r>
    <n v="1334"/>
    <n v="5"/>
    <n v="42"/>
    <x v="4"/>
    <n v="1"/>
    <n v="2299.9899999999998"/>
    <n v="0.05"/>
    <n v="114.9995"/>
    <n v="3"/>
    <n v="6"/>
  </r>
  <r>
    <n v="1335"/>
    <n v="1"/>
    <n v="138"/>
    <x v="0"/>
    <n v="2"/>
    <n v="2249.9899999999998"/>
    <n v="0.05"/>
    <n v="112.4995"/>
    <n v="9"/>
    <n v="6"/>
  </r>
  <r>
    <n v="1336"/>
    <n v="1"/>
    <n v="29"/>
    <x v="0"/>
    <n v="2"/>
    <n v="999.99"/>
    <n v="0.2"/>
    <n v="199.99800000000002"/>
    <n v="9"/>
    <n v="6"/>
  </r>
  <r>
    <n v="1336"/>
    <n v="2"/>
    <n v="157"/>
    <x v="1"/>
    <n v="1"/>
    <n v="6499.99"/>
    <n v="0.05"/>
    <n v="324.99950000000001"/>
    <n v="5"/>
    <n v="6"/>
  </r>
  <r>
    <n v="1336"/>
    <n v="3"/>
    <n v="21"/>
    <x v="2"/>
    <n v="2"/>
    <n v="269.99"/>
    <n v="7.0000000000000007E-2"/>
    <n v="18.899300000000004"/>
    <n v="8"/>
    <n v="6"/>
  </r>
  <r>
    <n v="1336"/>
    <n v="4"/>
    <n v="207"/>
    <x v="3"/>
    <n v="1"/>
    <n v="3999.99"/>
    <n v="0.1"/>
    <n v="399.99900000000002"/>
    <n v="9"/>
    <n v="6"/>
  </r>
  <r>
    <n v="1336"/>
    <n v="5"/>
    <n v="185"/>
    <x v="4"/>
    <n v="1"/>
    <n v="2799.99"/>
    <n v="0.1"/>
    <n v="279.99899999999997"/>
    <n v="3"/>
    <n v="6"/>
  </r>
  <r>
    <n v="1337"/>
    <n v="1"/>
    <n v="153"/>
    <x v="0"/>
    <n v="1"/>
    <n v="4999.99"/>
    <n v="0.1"/>
    <n v="499.99900000000002"/>
    <n v="9"/>
    <n v="6"/>
  </r>
  <r>
    <n v="1338"/>
    <n v="1"/>
    <n v="169"/>
    <x v="0"/>
    <n v="2"/>
    <n v="6499.99"/>
    <n v="7.0000000000000007E-2"/>
    <n v="454.99930000000001"/>
    <n v="9"/>
    <n v="6"/>
  </r>
  <r>
    <n v="1339"/>
    <n v="1"/>
    <n v="175"/>
    <x v="0"/>
    <n v="1"/>
    <n v="3199.99"/>
    <n v="7.0000000000000007E-2"/>
    <n v="223.99930000000001"/>
    <n v="9"/>
    <n v="6"/>
  </r>
  <r>
    <n v="1340"/>
    <n v="1"/>
    <n v="253"/>
    <x v="0"/>
    <n v="1"/>
    <n v="2599.9899999999998"/>
    <n v="0.2"/>
    <n v="519.99799999999993"/>
    <n v="9"/>
    <n v="6"/>
  </r>
  <r>
    <n v="1340"/>
    <n v="2"/>
    <n v="92"/>
    <x v="1"/>
    <n v="2"/>
    <n v="209.99"/>
    <n v="0.2"/>
    <n v="41.998000000000005"/>
    <n v="5"/>
    <n v="6"/>
  </r>
  <r>
    <n v="1340"/>
    <n v="3"/>
    <n v="237"/>
    <x v="2"/>
    <n v="2"/>
    <n v="849.99"/>
    <n v="0.05"/>
    <n v="42.499500000000005"/>
    <n v="8"/>
    <n v="6"/>
  </r>
  <r>
    <n v="1341"/>
    <n v="1"/>
    <n v="215"/>
    <x v="0"/>
    <n v="2"/>
    <n v="749.99"/>
    <n v="7.0000000000000007E-2"/>
    <n v="52.499300000000005"/>
    <n v="9"/>
    <n v="6"/>
  </r>
  <r>
    <n v="1341"/>
    <n v="2"/>
    <n v="56"/>
    <x v="1"/>
    <n v="2"/>
    <n v="5499.99"/>
    <n v="0.2"/>
    <n v="1099.998"/>
    <n v="5"/>
    <n v="6"/>
  </r>
  <r>
    <n v="1341"/>
    <n v="3"/>
    <n v="234"/>
    <x v="2"/>
    <n v="2"/>
    <n v="899.99"/>
    <n v="0.05"/>
    <n v="44.999500000000005"/>
    <n v="8"/>
    <n v="6"/>
  </r>
  <r>
    <n v="1341"/>
    <n v="4"/>
    <n v="66"/>
    <x v="3"/>
    <n v="2"/>
    <n v="250.99"/>
    <n v="0.05"/>
    <n v="12.549500000000002"/>
    <n v="9"/>
    <n v="6"/>
  </r>
  <r>
    <n v="1342"/>
    <n v="1"/>
    <n v="60"/>
    <x v="0"/>
    <n v="1"/>
    <n v="1559.99"/>
    <n v="0.05"/>
    <n v="77.999500000000012"/>
    <n v="9"/>
    <n v="6"/>
  </r>
  <r>
    <n v="1342"/>
    <n v="2"/>
    <n v="270"/>
    <x v="1"/>
    <n v="1"/>
    <n v="209.99"/>
    <n v="0.05"/>
    <n v="10.499500000000001"/>
    <n v="5"/>
    <n v="6"/>
  </r>
  <r>
    <n v="1343"/>
    <n v="1"/>
    <n v="244"/>
    <x v="0"/>
    <n v="1"/>
    <n v="559.99"/>
    <n v="0.05"/>
    <n v="27.999500000000001"/>
    <n v="9"/>
    <n v="6"/>
  </r>
  <r>
    <n v="1343"/>
    <n v="2"/>
    <n v="99"/>
    <x v="1"/>
    <n v="1"/>
    <n v="299.99"/>
    <n v="0.05"/>
    <n v="14.999500000000001"/>
    <n v="5"/>
    <n v="6"/>
  </r>
  <r>
    <n v="1343"/>
    <n v="3"/>
    <n v="184"/>
    <x v="2"/>
    <n v="2"/>
    <n v="3499.99"/>
    <n v="0.2"/>
    <n v="699.99800000000005"/>
    <n v="8"/>
    <n v="6"/>
  </r>
  <r>
    <n v="1343"/>
    <n v="4"/>
    <n v="65"/>
    <x v="3"/>
    <n v="2"/>
    <n v="346.99"/>
    <n v="0.2"/>
    <n v="69.39800000000001"/>
    <n v="9"/>
    <n v="6"/>
  </r>
  <r>
    <n v="1343"/>
    <n v="5"/>
    <n v="206"/>
    <x v="4"/>
    <n v="1"/>
    <n v="3299.99"/>
    <n v="0.1"/>
    <n v="329.99900000000002"/>
    <n v="3"/>
    <n v="6"/>
  </r>
  <r>
    <n v="1344"/>
    <n v="1"/>
    <n v="77"/>
    <x v="0"/>
    <n v="2"/>
    <n v="799.99"/>
    <n v="7.0000000000000007E-2"/>
    <n v="55.999300000000005"/>
    <n v="9"/>
    <n v="6"/>
  </r>
  <r>
    <n v="1344"/>
    <n v="2"/>
    <n v="103"/>
    <x v="1"/>
    <n v="2"/>
    <n v="551.99"/>
    <n v="0.2"/>
    <n v="110.39800000000001"/>
    <n v="5"/>
    <n v="6"/>
  </r>
  <r>
    <n v="1344"/>
    <n v="3"/>
    <n v="3"/>
    <x v="2"/>
    <n v="1"/>
    <n v="999.99"/>
    <n v="7.0000000000000007E-2"/>
    <n v="69.999300000000005"/>
    <n v="8"/>
    <n v="6"/>
  </r>
  <r>
    <n v="1344"/>
    <n v="4"/>
    <n v="61"/>
    <x v="3"/>
    <n v="1"/>
    <n v="4999.99"/>
    <n v="7.0000000000000007E-2"/>
    <n v="349.99930000000001"/>
    <n v="9"/>
    <n v="6"/>
  </r>
  <r>
    <n v="1345"/>
    <n v="1"/>
    <n v="40"/>
    <x v="0"/>
    <n v="2"/>
    <n v="4999.99"/>
    <n v="0.2"/>
    <n v="999.99800000000005"/>
    <n v="9"/>
    <n v="6"/>
  </r>
  <r>
    <n v="1345"/>
    <n v="2"/>
    <n v="172"/>
    <x v="1"/>
    <n v="2"/>
    <n v="3199.99"/>
    <n v="0.05"/>
    <n v="159.99950000000001"/>
    <n v="5"/>
    <n v="6"/>
  </r>
  <r>
    <n v="1345"/>
    <n v="3"/>
    <n v="164"/>
    <x v="2"/>
    <n v="2"/>
    <n v="1549"/>
    <n v="0.2"/>
    <n v="309.8"/>
    <n v="8"/>
    <n v="6"/>
  </r>
  <r>
    <n v="1345"/>
    <n v="4"/>
    <n v="2"/>
    <x v="3"/>
    <n v="2"/>
    <n v="749.99"/>
    <n v="0.2"/>
    <n v="149.99800000000002"/>
    <n v="9"/>
    <n v="6"/>
  </r>
  <r>
    <n v="1346"/>
    <n v="1"/>
    <n v="134"/>
    <x v="0"/>
    <n v="2"/>
    <n v="1499.99"/>
    <n v="0.05"/>
    <n v="74.999499999999998"/>
    <n v="9"/>
    <n v="6"/>
  </r>
  <r>
    <n v="1346"/>
    <n v="2"/>
    <n v="150"/>
    <x v="1"/>
    <n v="1"/>
    <n v="4499.99"/>
    <n v="0.05"/>
    <n v="224.99950000000001"/>
    <n v="5"/>
    <n v="6"/>
  </r>
  <r>
    <n v="1346"/>
    <n v="3"/>
    <n v="18"/>
    <x v="2"/>
    <n v="2"/>
    <n v="449"/>
    <n v="0.05"/>
    <n v="22.450000000000003"/>
    <n v="8"/>
    <n v="6"/>
  </r>
  <r>
    <n v="1346"/>
    <n v="4"/>
    <n v="249"/>
    <x v="3"/>
    <n v="1"/>
    <n v="749.99"/>
    <n v="0.1"/>
    <n v="74.999000000000009"/>
    <n v="9"/>
    <n v="6"/>
  </r>
  <r>
    <n v="1346"/>
    <n v="5"/>
    <n v="263"/>
    <x v="4"/>
    <n v="2"/>
    <n v="89.99"/>
    <n v="0.2"/>
    <n v="17.998000000000001"/>
    <n v="3"/>
    <n v="6"/>
  </r>
  <r>
    <n v="1347"/>
    <n v="1"/>
    <n v="43"/>
    <x v="0"/>
    <n v="2"/>
    <n v="5299.99"/>
    <n v="7.0000000000000007E-2"/>
    <n v="370.99930000000001"/>
    <n v="9"/>
    <n v="6"/>
  </r>
  <r>
    <n v="1347"/>
    <n v="2"/>
    <n v="53"/>
    <x v="1"/>
    <n v="1"/>
    <n v="749.99"/>
    <n v="0.05"/>
    <n v="37.499500000000005"/>
    <n v="5"/>
    <n v="6"/>
  </r>
  <r>
    <n v="1348"/>
    <n v="1"/>
    <n v="203"/>
    <x v="0"/>
    <n v="1"/>
    <n v="4999.99"/>
    <n v="0.05"/>
    <n v="249.99950000000001"/>
    <n v="9"/>
    <n v="6"/>
  </r>
  <r>
    <n v="1348"/>
    <n v="2"/>
    <n v="148"/>
    <x v="1"/>
    <n v="1"/>
    <n v="5499.99"/>
    <n v="0.05"/>
    <n v="274.99950000000001"/>
    <n v="5"/>
    <n v="6"/>
  </r>
  <r>
    <n v="1348"/>
    <n v="3"/>
    <n v="58"/>
    <x v="2"/>
    <n v="2"/>
    <n v="4999.99"/>
    <n v="0.1"/>
    <n v="499.99900000000002"/>
    <n v="8"/>
    <n v="6"/>
  </r>
  <r>
    <n v="1348"/>
    <n v="4"/>
    <n v="147"/>
    <x v="3"/>
    <n v="1"/>
    <n v="1799.99"/>
    <n v="7.0000000000000007E-2"/>
    <n v="125.99930000000002"/>
    <n v="9"/>
    <n v="6"/>
  </r>
  <r>
    <n v="1349"/>
    <n v="1"/>
    <n v="138"/>
    <x v="0"/>
    <n v="2"/>
    <n v="2249.9899999999998"/>
    <n v="0.05"/>
    <n v="112.4995"/>
    <n v="9"/>
    <n v="6"/>
  </r>
  <r>
    <n v="1349"/>
    <n v="2"/>
    <n v="205"/>
    <x v="1"/>
    <n v="2"/>
    <n v="4999.99"/>
    <n v="7.0000000000000007E-2"/>
    <n v="349.99930000000001"/>
    <n v="5"/>
    <n v="6"/>
  </r>
  <r>
    <n v="1349"/>
    <n v="3"/>
    <n v="168"/>
    <x v="2"/>
    <n v="2"/>
    <n v="1549"/>
    <n v="0.2"/>
    <n v="309.8"/>
    <n v="8"/>
    <n v="6"/>
  </r>
  <r>
    <n v="1349"/>
    <n v="4"/>
    <n v="184"/>
    <x v="3"/>
    <n v="1"/>
    <n v="3499.99"/>
    <n v="0.2"/>
    <n v="699.99800000000005"/>
    <n v="9"/>
    <n v="6"/>
  </r>
  <r>
    <n v="1350"/>
    <n v="1"/>
    <n v="305"/>
    <x v="0"/>
    <n v="1"/>
    <n v="749.99"/>
    <n v="0.1"/>
    <n v="74.999000000000009"/>
    <n v="9"/>
    <n v="6"/>
  </r>
  <r>
    <n v="1350"/>
    <n v="2"/>
    <n v="250"/>
    <x v="1"/>
    <n v="1"/>
    <n v="2599.9899999999998"/>
    <n v="7.0000000000000007E-2"/>
    <n v="181.99930000000001"/>
    <n v="5"/>
    <n v="6"/>
  </r>
  <r>
    <n v="1350"/>
    <n v="3"/>
    <n v="253"/>
    <x v="2"/>
    <n v="1"/>
    <n v="2599.9899999999998"/>
    <n v="7.0000000000000007E-2"/>
    <n v="181.99930000000001"/>
    <n v="8"/>
    <n v="6"/>
  </r>
  <r>
    <n v="1350"/>
    <n v="4"/>
    <n v="159"/>
    <x v="3"/>
    <n v="1"/>
    <n v="2299.9899999999998"/>
    <n v="0.05"/>
    <n v="114.9995"/>
    <n v="9"/>
    <n v="6"/>
  </r>
  <r>
    <n v="1350"/>
    <n v="5"/>
    <n v="13"/>
    <x v="4"/>
    <n v="2"/>
    <n v="269.99"/>
    <n v="0.2"/>
    <n v="53.998000000000005"/>
    <n v="3"/>
    <n v="6"/>
  </r>
  <r>
    <n v="1351"/>
    <n v="1"/>
    <n v="297"/>
    <x v="0"/>
    <n v="2"/>
    <n v="279.99"/>
    <n v="0.2"/>
    <n v="55.998000000000005"/>
    <n v="9"/>
    <n v="6"/>
  </r>
  <r>
    <n v="1351"/>
    <n v="2"/>
    <n v="133"/>
    <x v="1"/>
    <n v="1"/>
    <n v="1499.99"/>
    <n v="0.1"/>
    <n v="149.999"/>
    <n v="5"/>
    <n v="6"/>
  </r>
  <r>
    <n v="1352"/>
    <n v="1"/>
    <n v="136"/>
    <x v="0"/>
    <n v="1"/>
    <n v="1799.99"/>
    <n v="0.2"/>
    <n v="359.99800000000005"/>
    <n v="9"/>
    <n v="6"/>
  </r>
  <r>
    <n v="1352"/>
    <n v="2"/>
    <n v="52"/>
    <x v="1"/>
    <n v="2"/>
    <n v="875.99"/>
    <n v="0.1"/>
    <n v="87.599000000000004"/>
    <n v="5"/>
    <n v="6"/>
  </r>
  <r>
    <n v="1352"/>
    <n v="3"/>
    <n v="282"/>
    <x v="2"/>
    <n v="2"/>
    <n v="279.99"/>
    <n v="0.1"/>
    <n v="27.999000000000002"/>
    <n v="8"/>
    <n v="6"/>
  </r>
  <r>
    <n v="1352"/>
    <n v="4"/>
    <n v="86"/>
    <x v="3"/>
    <n v="2"/>
    <n v="149.99"/>
    <n v="0.2"/>
    <n v="29.998000000000005"/>
    <n v="9"/>
    <n v="6"/>
  </r>
  <r>
    <n v="1352"/>
    <n v="5"/>
    <n v="100"/>
    <x v="4"/>
    <n v="1"/>
    <n v="489.99"/>
    <n v="0.05"/>
    <n v="24.499500000000001"/>
    <n v="3"/>
    <n v="6"/>
  </r>
  <r>
    <n v="1353"/>
    <n v="1"/>
    <n v="107"/>
    <x v="0"/>
    <n v="2"/>
    <n v="416.99"/>
    <n v="0.05"/>
    <n v="20.849500000000003"/>
    <n v="9"/>
    <n v="6"/>
  </r>
  <r>
    <n v="1353"/>
    <n v="2"/>
    <n v="233"/>
    <x v="1"/>
    <n v="1"/>
    <n v="639.99"/>
    <n v="7.0000000000000007E-2"/>
    <n v="44.799300000000002"/>
    <n v="5"/>
    <n v="6"/>
  </r>
  <r>
    <n v="1353"/>
    <n v="3"/>
    <n v="300"/>
    <x v="2"/>
    <n v="1"/>
    <n v="799.99"/>
    <n v="0.2"/>
    <n v="159.99800000000002"/>
    <n v="8"/>
    <n v="6"/>
  </r>
  <r>
    <n v="1353"/>
    <n v="4"/>
    <n v="86"/>
    <x v="3"/>
    <n v="2"/>
    <n v="149.99"/>
    <n v="0.05"/>
    <n v="7.4995000000000012"/>
    <n v="9"/>
    <n v="6"/>
  </r>
  <r>
    <n v="1354"/>
    <n v="1"/>
    <n v="166"/>
    <x v="0"/>
    <n v="2"/>
    <n v="749.99"/>
    <n v="7.0000000000000007E-2"/>
    <n v="52.499300000000005"/>
    <n v="9"/>
    <n v="6"/>
  </r>
  <r>
    <n v="1355"/>
    <n v="1"/>
    <n v="297"/>
    <x v="0"/>
    <n v="1"/>
    <n v="279.99"/>
    <n v="0.1"/>
    <n v="27.999000000000002"/>
    <n v="9"/>
    <n v="6"/>
  </r>
  <r>
    <n v="1355"/>
    <n v="2"/>
    <n v="253"/>
    <x v="1"/>
    <n v="1"/>
    <n v="2599.9899999999998"/>
    <n v="7.0000000000000007E-2"/>
    <n v="181.99930000000001"/>
    <n v="5"/>
    <n v="6"/>
  </r>
  <r>
    <n v="1355"/>
    <n v="3"/>
    <n v="149"/>
    <x v="2"/>
    <n v="1"/>
    <n v="7499.99"/>
    <n v="0.2"/>
    <n v="1499.998"/>
    <n v="8"/>
    <n v="6"/>
  </r>
  <r>
    <n v="1355"/>
    <n v="4"/>
    <n v="313"/>
    <x v="3"/>
    <n v="2"/>
    <n v="449.99"/>
    <n v="0.1"/>
    <n v="44.999000000000002"/>
    <n v="9"/>
    <n v="6"/>
  </r>
  <r>
    <n v="1356"/>
    <n v="1"/>
    <n v="192"/>
    <x v="0"/>
    <n v="1"/>
    <n v="2599.9899999999998"/>
    <n v="0.05"/>
    <n v="129.99949999999998"/>
    <n v="9"/>
    <n v="6"/>
  </r>
  <r>
    <n v="1356"/>
    <n v="2"/>
    <n v="199"/>
    <x v="1"/>
    <n v="2"/>
    <n v="2999.99"/>
    <n v="0.1"/>
    <n v="299.99899999999997"/>
    <n v="5"/>
    <n v="6"/>
  </r>
  <r>
    <n v="1356"/>
    <n v="3"/>
    <n v="276"/>
    <x v="2"/>
    <n v="2"/>
    <n v="319.99"/>
    <n v="0.1"/>
    <n v="31.999000000000002"/>
    <n v="8"/>
    <n v="6"/>
  </r>
  <r>
    <n v="1357"/>
    <n v="1"/>
    <n v="145"/>
    <x v="0"/>
    <n v="2"/>
    <n v="1799.99"/>
    <n v="0.2"/>
    <n v="359.99800000000005"/>
    <n v="9"/>
    <n v="6"/>
  </r>
  <r>
    <n v="1357"/>
    <n v="2"/>
    <n v="60"/>
    <x v="1"/>
    <n v="1"/>
    <n v="1559.99"/>
    <n v="0.2"/>
    <n v="311.99800000000005"/>
    <n v="5"/>
    <n v="6"/>
  </r>
  <r>
    <n v="1357"/>
    <n v="3"/>
    <n v="130"/>
    <x v="2"/>
    <n v="1"/>
    <n v="919.99"/>
    <n v="0.2"/>
    <n v="183.99800000000002"/>
    <n v="8"/>
    <n v="6"/>
  </r>
  <r>
    <n v="1358"/>
    <n v="1"/>
    <n v="257"/>
    <x v="0"/>
    <n v="2"/>
    <n v="899.99"/>
    <n v="0.2"/>
    <n v="179.99800000000002"/>
    <n v="9"/>
    <n v="6"/>
  </r>
  <r>
    <n v="1359"/>
    <n v="1"/>
    <n v="282"/>
    <x v="0"/>
    <n v="1"/>
    <n v="279.99"/>
    <n v="0.05"/>
    <n v="13.999500000000001"/>
    <n v="9"/>
    <n v="6"/>
  </r>
  <r>
    <n v="1359"/>
    <n v="2"/>
    <n v="82"/>
    <x v="1"/>
    <n v="1"/>
    <n v="659.99"/>
    <n v="0.05"/>
    <n v="32.999500000000005"/>
    <n v="5"/>
    <n v="6"/>
  </r>
  <r>
    <n v="1360"/>
    <n v="1"/>
    <n v="31"/>
    <x v="0"/>
    <n v="1"/>
    <n v="1632.99"/>
    <n v="0.05"/>
    <n v="81.649500000000003"/>
    <n v="9"/>
    <n v="6"/>
  </r>
  <r>
    <n v="1361"/>
    <n v="1"/>
    <n v="307"/>
    <x v="0"/>
    <n v="2"/>
    <n v="749.99"/>
    <n v="7.0000000000000007E-2"/>
    <n v="52.499300000000005"/>
    <n v="9"/>
    <n v="6"/>
  </r>
  <r>
    <n v="1361"/>
    <n v="2"/>
    <n v="153"/>
    <x v="1"/>
    <n v="1"/>
    <n v="4999.99"/>
    <n v="0.05"/>
    <n v="249.99950000000001"/>
    <n v="5"/>
    <n v="6"/>
  </r>
  <r>
    <n v="1361"/>
    <n v="3"/>
    <n v="163"/>
    <x v="2"/>
    <n v="2"/>
    <n v="1349"/>
    <n v="0.2"/>
    <n v="269.8"/>
    <n v="8"/>
    <n v="6"/>
  </r>
  <r>
    <n v="1362"/>
    <n v="1"/>
    <n v="27"/>
    <x v="0"/>
    <n v="2"/>
    <n v="999.99"/>
    <n v="0.2"/>
    <n v="199.99800000000002"/>
    <n v="9"/>
    <n v="6"/>
  </r>
  <r>
    <n v="1362"/>
    <n v="2"/>
    <n v="204"/>
    <x v="1"/>
    <n v="2"/>
    <n v="3599.99"/>
    <n v="7.0000000000000007E-2"/>
    <n v="251.99930000000001"/>
    <n v="5"/>
    <n v="6"/>
  </r>
  <r>
    <n v="1362"/>
    <n v="3"/>
    <n v="4"/>
    <x v="2"/>
    <n v="2"/>
    <n v="2899.99"/>
    <n v="0.2"/>
    <n v="579.99799999999993"/>
    <n v="8"/>
    <n v="6"/>
  </r>
  <r>
    <n v="1363"/>
    <n v="1"/>
    <n v="66"/>
    <x v="0"/>
    <n v="2"/>
    <n v="250.99"/>
    <n v="0.1"/>
    <n v="25.099000000000004"/>
    <n v="9"/>
    <n v="6"/>
  </r>
  <r>
    <n v="1364"/>
    <n v="1"/>
    <n v="78"/>
    <x v="0"/>
    <n v="1"/>
    <n v="647.99"/>
    <n v="7.0000000000000007E-2"/>
    <n v="45.359300000000005"/>
    <n v="9"/>
    <n v="6"/>
  </r>
  <r>
    <n v="1364"/>
    <n v="2"/>
    <n v="155"/>
    <x v="1"/>
    <n v="2"/>
    <n v="11999.99"/>
    <n v="0.1"/>
    <n v="1199.999"/>
    <n v="5"/>
    <n v="6"/>
  </r>
  <r>
    <n v="1364"/>
    <n v="3"/>
    <n v="152"/>
    <x v="2"/>
    <n v="1"/>
    <n v="2499.9899999999998"/>
    <n v="0.1"/>
    <n v="249.999"/>
    <n v="8"/>
    <n v="6"/>
  </r>
  <r>
    <n v="1364"/>
    <n v="4"/>
    <n v="110"/>
    <x v="3"/>
    <n v="1"/>
    <n v="470.99"/>
    <n v="7.0000000000000007E-2"/>
    <n v="32.969300000000004"/>
    <n v="9"/>
    <n v="6"/>
  </r>
  <r>
    <n v="1365"/>
    <n v="1"/>
    <n v="144"/>
    <x v="0"/>
    <n v="1"/>
    <n v="1549.99"/>
    <n v="7.0000000000000007E-2"/>
    <n v="108.49930000000001"/>
    <n v="9"/>
    <n v="6"/>
  </r>
  <r>
    <n v="1365"/>
    <n v="2"/>
    <n v="58"/>
    <x v="1"/>
    <n v="1"/>
    <n v="4999.99"/>
    <n v="7.0000000000000007E-2"/>
    <n v="349.99930000000001"/>
    <n v="5"/>
    <n v="6"/>
  </r>
  <r>
    <n v="1365"/>
    <n v="3"/>
    <n v="236"/>
    <x v="2"/>
    <n v="1"/>
    <n v="749.99"/>
    <n v="0.05"/>
    <n v="37.499500000000005"/>
    <n v="8"/>
    <n v="6"/>
  </r>
  <r>
    <n v="1366"/>
    <n v="1"/>
    <n v="115"/>
    <x v="0"/>
    <n v="1"/>
    <n v="3199.99"/>
    <n v="0.1"/>
    <n v="319.99900000000002"/>
    <n v="9"/>
    <n v="6"/>
  </r>
  <r>
    <n v="1366"/>
    <n v="2"/>
    <n v="128"/>
    <x v="1"/>
    <n v="2"/>
    <n v="1899"/>
    <n v="0.2"/>
    <n v="379.8"/>
    <n v="5"/>
    <n v="6"/>
  </r>
  <r>
    <n v="1366"/>
    <n v="3"/>
    <n v="200"/>
    <x v="2"/>
    <n v="1"/>
    <n v="3499.99"/>
    <n v="7.0000000000000007E-2"/>
    <n v="244.99930000000001"/>
    <n v="8"/>
    <n v="6"/>
  </r>
  <r>
    <n v="1367"/>
    <n v="1"/>
    <n v="132"/>
    <x v="0"/>
    <n v="1"/>
    <n v="1499.99"/>
    <n v="0.1"/>
    <n v="149.999"/>
    <n v="9"/>
    <n v="6"/>
  </r>
  <r>
    <n v="1367"/>
    <n v="2"/>
    <n v="131"/>
    <x v="1"/>
    <n v="2"/>
    <n v="2599"/>
    <n v="0.2"/>
    <n v="519.80000000000007"/>
    <n v="5"/>
    <n v="6"/>
  </r>
  <r>
    <n v="1367"/>
    <n v="3"/>
    <n v="124"/>
    <x v="2"/>
    <n v="1"/>
    <n v="1499"/>
    <n v="7.0000000000000007E-2"/>
    <n v="104.93"/>
    <n v="8"/>
    <n v="6"/>
  </r>
  <r>
    <n v="1367"/>
    <n v="4"/>
    <n v="24"/>
    <x v="3"/>
    <n v="2"/>
    <n v="549.99"/>
    <n v="0.05"/>
    <n v="27.499500000000001"/>
    <n v="9"/>
    <n v="6"/>
  </r>
  <r>
    <n v="1368"/>
    <n v="1"/>
    <n v="66"/>
    <x v="0"/>
    <n v="1"/>
    <n v="250.99"/>
    <n v="0.1"/>
    <n v="25.099000000000004"/>
    <n v="9"/>
    <n v="6"/>
  </r>
  <r>
    <n v="1368"/>
    <n v="2"/>
    <n v="113"/>
    <x v="1"/>
    <n v="2"/>
    <n v="489.99"/>
    <n v="7.0000000000000007E-2"/>
    <n v="34.299300000000002"/>
    <n v="5"/>
    <n v="6"/>
  </r>
  <r>
    <n v="1368"/>
    <n v="3"/>
    <n v="186"/>
    <x v="2"/>
    <n v="1"/>
    <n v="4499.99"/>
    <n v="0.2"/>
    <n v="899.99800000000005"/>
    <n v="8"/>
    <n v="6"/>
  </r>
  <r>
    <n v="1369"/>
    <n v="1"/>
    <n v="213"/>
    <x v="0"/>
    <n v="2"/>
    <n v="269.99"/>
    <n v="0.05"/>
    <n v="13.499500000000001"/>
    <n v="9"/>
    <n v="6"/>
  </r>
  <r>
    <n v="1370"/>
    <n v="1"/>
    <n v="7"/>
    <x v="0"/>
    <n v="1"/>
    <n v="3999.99"/>
    <n v="7.0000000000000007E-2"/>
    <n v="279.99930000000001"/>
    <n v="9"/>
    <n v="6"/>
  </r>
  <r>
    <n v="1370"/>
    <n v="2"/>
    <n v="89"/>
    <x v="1"/>
    <n v="2"/>
    <n v="209.99"/>
    <n v="0.1"/>
    <n v="20.999000000000002"/>
    <n v="5"/>
    <n v="6"/>
  </r>
  <r>
    <n v="1370"/>
    <n v="3"/>
    <n v="208"/>
    <x v="2"/>
    <n v="2"/>
    <n v="1799.99"/>
    <n v="0.2"/>
    <n v="359.99800000000005"/>
    <n v="8"/>
    <n v="6"/>
  </r>
  <r>
    <n v="1370"/>
    <n v="4"/>
    <n v="134"/>
    <x v="3"/>
    <n v="1"/>
    <n v="1499.99"/>
    <n v="0.1"/>
    <n v="149.999"/>
    <n v="9"/>
    <n v="6"/>
  </r>
  <r>
    <n v="1371"/>
    <n v="1"/>
    <n v="223"/>
    <x v="0"/>
    <n v="2"/>
    <n v="529.99"/>
    <n v="7.0000000000000007E-2"/>
    <n v="37.099300000000007"/>
    <n v="9"/>
    <n v="6"/>
  </r>
  <r>
    <n v="1371"/>
    <n v="2"/>
    <n v="8"/>
    <x v="1"/>
    <n v="2"/>
    <n v="1799.99"/>
    <n v="0.2"/>
    <n v="359.99800000000005"/>
    <n v="5"/>
    <n v="6"/>
  </r>
  <r>
    <n v="1372"/>
    <n v="1"/>
    <n v="307"/>
    <x v="0"/>
    <n v="1"/>
    <n v="749.99"/>
    <n v="7.0000000000000007E-2"/>
    <n v="52.499300000000005"/>
    <n v="9"/>
    <n v="6"/>
  </r>
  <r>
    <n v="1372"/>
    <n v="2"/>
    <n v="283"/>
    <x v="1"/>
    <n v="2"/>
    <n v="319.99"/>
    <n v="0.2"/>
    <n v="63.998000000000005"/>
    <n v="5"/>
    <n v="6"/>
  </r>
  <r>
    <n v="1373"/>
    <n v="1"/>
    <n v="63"/>
    <x v="0"/>
    <n v="1"/>
    <n v="3499.99"/>
    <n v="0.1"/>
    <n v="349.99900000000002"/>
    <n v="9"/>
    <n v="6"/>
  </r>
  <r>
    <n v="1374"/>
    <n v="1"/>
    <n v="181"/>
    <x v="0"/>
    <n v="2"/>
    <n v="2199.9899999999998"/>
    <n v="0.05"/>
    <n v="109.9995"/>
    <n v="9"/>
    <n v="6"/>
  </r>
  <r>
    <n v="1374"/>
    <n v="2"/>
    <n v="130"/>
    <x v="1"/>
    <n v="2"/>
    <n v="919.99"/>
    <n v="7.0000000000000007E-2"/>
    <n v="64.399300000000011"/>
    <n v="5"/>
    <n v="6"/>
  </r>
  <r>
    <n v="1375"/>
    <n v="1"/>
    <n v="147"/>
    <x v="0"/>
    <n v="2"/>
    <n v="1799.99"/>
    <n v="0.05"/>
    <n v="89.999500000000012"/>
    <n v="9"/>
    <n v="6"/>
  </r>
  <r>
    <n v="1375"/>
    <n v="2"/>
    <n v="182"/>
    <x v="1"/>
    <n v="1"/>
    <n v="2499.9899999999998"/>
    <n v="0.2"/>
    <n v="499.99799999999999"/>
    <n v="5"/>
    <n v="6"/>
  </r>
  <r>
    <n v="1376"/>
    <n v="1"/>
    <n v="5"/>
    <x v="0"/>
    <n v="1"/>
    <n v="1320.99"/>
    <n v="7.0000000000000007E-2"/>
    <n v="92.469300000000004"/>
    <n v="9"/>
    <n v="6"/>
  </r>
  <r>
    <n v="1377"/>
    <n v="1"/>
    <n v="153"/>
    <x v="0"/>
    <n v="2"/>
    <n v="4999.99"/>
    <n v="0.05"/>
    <n v="249.99950000000001"/>
    <n v="9"/>
    <n v="6"/>
  </r>
  <r>
    <n v="1377"/>
    <n v="2"/>
    <n v="130"/>
    <x v="1"/>
    <n v="1"/>
    <n v="919.99"/>
    <n v="0.05"/>
    <n v="45.999500000000005"/>
    <n v="5"/>
    <n v="6"/>
  </r>
  <r>
    <n v="1377"/>
    <n v="3"/>
    <n v="48"/>
    <x v="2"/>
    <n v="1"/>
    <n v="1499.99"/>
    <n v="7.0000000000000007E-2"/>
    <n v="104.99930000000001"/>
    <n v="8"/>
    <n v="6"/>
  </r>
  <r>
    <n v="1377"/>
    <n v="4"/>
    <n v="188"/>
    <x v="3"/>
    <n v="2"/>
    <n v="3499.99"/>
    <n v="7.0000000000000007E-2"/>
    <n v="244.99930000000001"/>
    <n v="9"/>
    <n v="6"/>
  </r>
  <r>
    <n v="1378"/>
    <n v="1"/>
    <n v="96"/>
    <x v="0"/>
    <n v="2"/>
    <n v="349.99"/>
    <n v="7.0000000000000007E-2"/>
    <n v="24.499300000000002"/>
    <n v="9"/>
    <n v="6"/>
  </r>
  <r>
    <n v="1378"/>
    <n v="2"/>
    <n v="142"/>
    <x v="1"/>
    <n v="2"/>
    <n v="3199.99"/>
    <n v="7.0000000000000007E-2"/>
    <n v="223.99930000000001"/>
    <n v="5"/>
    <n v="6"/>
  </r>
  <r>
    <n v="1378"/>
    <n v="3"/>
    <n v="2"/>
    <x v="2"/>
    <n v="2"/>
    <n v="749.99"/>
    <n v="0.2"/>
    <n v="149.99800000000002"/>
    <n v="8"/>
    <n v="6"/>
  </r>
  <r>
    <n v="1378"/>
    <n v="4"/>
    <n v="110"/>
    <x v="3"/>
    <n v="1"/>
    <n v="470.99"/>
    <n v="7.0000000000000007E-2"/>
    <n v="32.969300000000004"/>
    <n v="9"/>
    <n v="6"/>
  </r>
  <r>
    <n v="1378"/>
    <n v="5"/>
    <n v="129"/>
    <x v="4"/>
    <n v="2"/>
    <n v="919.99"/>
    <n v="0.2"/>
    <n v="183.99800000000002"/>
    <n v="3"/>
    <n v="6"/>
  </r>
  <r>
    <n v="1379"/>
    <n v="1"/>
    <n v="15"/>
    <x v="0"/>
    <n v="1"/>
    <n v="529.99"/>
    <n v="0.1"/>
    <n v="52.999000000000002"/>
    <n v="9"/>
    <n v="6"/>
  </r>
  <r>
    <n v="1379"/>
    <n v="2"/>
    <n v="118"/>
    <x v="1"/>
    <n v="1"/>
    <n v="999.99"/>
    <n v="0.1"/>
    <n v="99.999000000000009"/>
    <n v="5"/>
    <n v="6"/>
  </r>
  <r>
    <n v="1379"/>
    <n v="3"/>
    <n v="263"/>
    <x v="2"/>
    <n v="2"/>
    <n v="89.99"/>
    <n v="0.1"/>
    <n v="8.9990000000000006"/>
    <n v="8"/>
    <n v="6"/>
  </r>
  <r>
    <n v="1380"/>
    <n v="1"/>
    <n v="255"/>
    <x v="0"/>
    <n v="2"/>
    <n v="899.99"/>
    <n v="0.1"/>
    <n v="89.999000000000009"/>
    <n v="9"/>
    <n v="6"/>
  </r>
  <r>
    <n v="1380"/>
    <n v="2"/>
    <n v="229"/>
    <x v="1"/>
    <n v="2"/>
    <n v="429.99"/>
    <n v="7.0000000000000007E-2"/>
    <n v="30.099300000000003"/>
    <n v="5"/>
    <n v="6"/>
  </r>
  <r>
    <n v="1381"/>
    <n v="1"/>
    <n v="274"/>
    <x v="0"/>
    <n v="2"/>
    <n v="229.99"/>
    <n v="0.2"/>
    <n v="45.998000000000005"/>
    <n v="9"/>
    <n v="6"/>
  </r>
  <r>
    <n v="1381"/>
    <n v="2"/>
    <n v="214"/>
    <x v="1"/>
    <n v="2"/>
    <n v="899.99"/>
    <n v="0.1"/>
    <n v="89.999000000000009"/>
    <n v="5"/>
    <n v="6"/>
  </r>
  <r>
    <n v="1382"/>
    <n v="1"/>
    <n v="232"/>
    <x v="0"/>
    <n v="1"/>
    <n v="479.99"/>
    <n v="0.2"/>
    <n v="95.998000000000005"/>
    <n v="9"/>
    <n v="6"/>
  </r>
  <r>
    <n v="1382"/>
    <n v="2"/>
    <n v="81"/>
    <x v="1"/>
    <n v="2"/>
    <n v="1099.99"/>
    <n v="0.05"/>
    <n v="54.999500000000005"/>
    <n v="5"/>
    <n v="6"/>
  </r>
  <r>
    <n v="1382"/>
    <n v="3"/>
    <n v="225"/>
    <x v="2"/>
    <n v="1"/>
    <n v="959.99"/>
    <n v="0.1"/>
    <n v="95.999000000000009"/>
    <n v="8"/>
    <n v="6"/>
  </r>
  <r>
    <n v="1382"/>
    <n v="4"/>
    <n v="135"/>
    <x v="3"/>
    <n v="1"/>
    <n v="1499.99"/>
    <n v="7.0000000000000007E-2"/>
    <n v="104.99930000000001"/>
    <n v="9"/>
    <n v="6"/>
  </r>
  <r>
    <n v="1382"/>
    <n v="5"/>
    <n v="238"/>
    <x v="4"/>
    <n v="1"/>
    <n v="749.99"/>
    <n v="0.2"/>
    <n v="149.99800000000002"/>
    <n v="3"/>
    <n v="6"/>
  </r>
  <r>
    <n v="1383"/>
    <n v="1"/>
    <n v="188"/>
    <x v="0"/>
    <n v="2"/>
    <n v="3499.99"/>
    <n v="0.2"/>
    <n v="699.99800000000005"/>
    <n v="9"/>
    <n v="6"/>
  </r>
  <r>
    <n v="1383"/>
    <n v="2"/>
    <n v="65"/>
    <x v="1"/>
    <n v="2"/>
    <n v="346.99"/>
    <n v="0.05"/>
    <n v="17.349500000000003"/>
    <n v="5"/>
    <n v="6"/>
  </r>
  <r>
    <n v="1384"/>
    <n v="1"/>
    <n v="32"/>
    <x v="0"/>
    <n v="1"/>
    <n v="469.99"/>
    <n v="7.0000000000000007E-2"/>
    <n v="32.899300000000004"/>
    <n v="9"/>
    <n v="6"/>
  </r>
  <r>
    <n v="1384"/>
    <n v="2"/>
    <n v="142"/>
    <x v="1"/>
    <n v="2"/>
    <n v="3199.99"/>
    <n v="0.1"/>
    <n v="319.99900000000002"/>
    <n v="5"/>
    <n v="6"/>
  </r>
  <r>
    <n v="1384"/>
    <n v="3"/>
    <n v="89"/>
    <x v="2"/>
    <n v="1"/>
    <n v="209.99"/>
    <n v="0.1"/>
    <n v="20.999000000000002"/>
    <n v="8"/>
    <n v="6"/>
  </r>
  <r>
    <n v="1384"/>
    <n v="4"/>
    <n v="97"/>
    <x v="3"/>
    <n v="1"/>
    <n v="349.99"/>
    <n v="0.05"/>
    <n v="17.499500000000001"/>
    <n v="9"/>
    <n v="6"/>
  </r>
  <r>
    <n v="1385"/>
    <n v="1"/>
    <n v="24"/>
    <x v="0"/>
    <n v="2"/>
    <n v="549.99"/>
    <n v="0.05"/>
    <n v="27.499500000000001"/>
    <n v="9"/>
    <n v="6"/>
  </r>
  <r>
    <n v="1385"/>
    <n v="2"/>
    <n v="145"/>
    <x v="1"/>
    <n v="1"/>
    <n v="1799.99"/>
    <n v="7.0000000000000007E-2"/>
    <n v="125.99930000000002"/>
    <n v="5"/>
    <n v="6"/>
  </r>
  <r>
    <n v="1385"/>
    <n v="3"/>
    <n v="39"/>
    <x v="2"/>
    <n v="2"/>
    <n v="1499.99"/>
    <n v="0.1"/>
    <n v="149.999"/>
    <n v="8"/>
    <n v="6"/>
  </r>
  <r>
    <n v="1385"/>
    <n v="4"/>
    <n v="135"/>
    <x v="3"/>
    <n v="1"/>
    <n v="1499.99"/>
    <n v="0.05"/>
    <n v="74.999499999999998"/>
    <n v="9"/>
    <n v="6"/>
  </r>
  <r>
    <n v="1386"/>
    <n v="1"/>
    <n v="292"/>
    <x v="0"/>
    <n v="1"/>
    <n v="369.99"/>
    <n v="0.2"/>
    <n v="73.998000000000005"/>
    <n v="9"/>
    <n v="6"/>
  </r>
  <r>
    <n v="1386"/>
    <n v="2"/>
    <n v="262"/>
    <x v="1"/>
    <n v="1"/>
    <n v="249.99"/>
    <n v="0.1"/>
    <n v="24.999000000000002"/>
    <n v="5"/>
    <n v="6"/>
  </r>
  <r>
    <n v="1386"/>
    <n v="3"/>
    <n v="306"/>
    <x v="2"/>
    <n v="1"/>
    <n v="899.99"/>
    <n v="0.1"/>
    <n v="89.999000000000009"/>
    <n v="8"/>
    <n v="6"/>
  </r>
  <r>
    <n v="1386"/>
    <n v="4"/>
    <n v="150"/>
    <x v="3"/>
    <n v="1"/>
    <n v="4499.99"/>
    <n v="7.0000000000000007E-2"/>
    <n v="314.99930000000001"/>
    <n v="9"/>
    <n v="6"/>
  </r>
  <r>
    <n v="1387"/>
    <n v="1"/>
    <n v="106"/>
    <x v="0"/>
    <n v="1"/>
    <n v="449.99"/>
    <n v="0.1"/>
    <n v="44.999000000000002"/>
    <n v="9"/>
    <n v="6"/>
  </r>
  <r>
    <n v="1388"/>
    <n v="1"/>
    <n v="251"/>
    <x v="0"/>
    <n v="1"/>
    <n v="2999.99"/>
    <n v="0.1"/>
    <n v="299.99899999999997"/>
    <n v="9"/>
    <n v="6"/>
  </r>
  <r>
    <n v="1389"/>
    <n v="1"/>
    <n v="85"/>
    <x v="0"/>
    <n v="2"/>
    <n v="329.99"/>
    <n v="0.1"/>
    <n v="32.999000000000002"/>
    <n v="9"/>
    <n v="6"/>
  </r>
  <r>
    <n v="1389"/>
    <n v="2"/>
    <n v="171"/>
    <x v="1"/>
    <n v="2"/>
    <n v="3199.99"/>
    <n v="0.05"/>
    <n v="159.99950000000001"/>
    <n v="5"/>
    <n v="6"/>
  </r>
  <r>
    <n v="1389"/>
    <n v="3"/>
    <n v="227"/>
    <x v="2"/>
    <n v="1"/>
    <n v="319.99"/>
    <n v="7.0000000000000007E-2"/>
    <n v="22.399300000000004"/>
    <n v="8"/>
    <n v="6"/>
  </r>
  <r>
    <n v="1390"/>
    <n v="1"/>
    <n v="41"/>
    <x v="0"/>
    <n v="2"/>
    <n v="1469.99"/>
    <n v="0.05"/>
    <n v="73.499499999999998"/>
    <n v="9"/>
    <n v="6"/>
  </r>
  <r>
    <n v="1390"/>
    <n v="2"/>
    <n v="27"/>
    <x v="1"/>
    <n v="2"/>
    <n v="999.99"/>
    <n v="0.05"/>
    <n v="49.999500000000005"/>
    <n v="5"/>
    <n v="6"/>
  </r>
  <r>
    <n v="1390"/>
    <n v="3"/>
    <n v="306"/>
    <x v="2"/>
    <n v="1"/>
    <n v="899.99"/>
    <n v="0.1"/>
    <n v="89.999000000000009"/>
    <n v="8"/>
    <n v="6"/>
  </r>
  <r>
    <n v="1390"/>
    <n v="4"/>
    <n v="104"/>
    <x v="3"/>
    <n v="1"/>
    <n v="481.99"/>
    <n v="0.05"/>
    <n v="24.099500000000003"/>
    <n v="9"/>
    <n v="6"/>
  </r>
  <r>
    <n v="1390"/>
    <n v="5"/>
    <n v="147"/>
    <x v="4"/>
    <n v="2"/>
    <n v="1799.99"/>
    <n v="0.1"/>
    <n v="179.99900000000002"/>
    <n v="3"/>
    <n v="6"/>
  </r>
  <r>
    <n v="1391"/>
    <n v="1"/>
    <n v="223"/>
    <x v="0"/>
    <n v="2"/>
    <n v="529.99"/>
    <n v="7.0000000000000007E-2"/>
    <n v="37.099300000000007"/>
    <n v="9"/>
    <n v="6"/>
  </r>
  <r>
    <n v="1391"/>
    <n v="2"/>
    <n v="295"/>
    <x v="1"/>
    <n v="2"/>
    <n v="319.99"/>
    <n v="0.2"/>
    <n v="63.998000000000005"/>
    <n v="5"/>
    <n v="6"/>
  </r>
  <r>
    <n v="1391"/>
    <n v="3"/>
    <n v="277"/>
    <x v="2"/>
    <n v="1"/>
    <n v="369.99"/>
    <n v="0.2"/>
    <n v="73.998000000000005"/>
    <n v="8"/>
    <n v="6"/>
  </r>
  <r>
    <n v="1392"/>
    <n v="1"/>
    <n v="87"/>
    <x v="0"/>
    <n v="2"/>
    <n v="189.99"/>
    <n v="0.2"/>
    <n v="37.998000000000005"/>
    <n v="9"/>
    <n v="6"/>
  </r>
  <r>
    <n v="1392"/>
    <n v="2"/>
    <n v="240"/>
    <x v="1"/>
    <n v="2"/>
    <n v="899.99"/>
    <n v="0.05"/>
    <n v="44.999500000000005"/>
    <n v="5"/>
    <n v="6"/>
  </r>
  <r>
    <n v="1393"/>
    <n v="1"/>
    <n v="92"/>
    <x v="0"/>
    <n v="1"/>
    <n v="209.99"/>
    <n v="7.0000000000000007E-2"/>
    <n v="14.699300000000003"/>
    <n v="9"/>
    <n v="6"/>
  </r>
  <r>
    <n v="1393"/>
    <n v="2"/>
    <n v="82"/>
    <x v="1"/>
    <n v="1"/>
    <n v="659.99"/>
    <n v="7.0000000000000007E-2"/>
    <n v="46.199300000000008"/>
    <n v="5"/>
    <n v="6"/>
  </r>
  <r>
    <n v="1393"/>
    <n v="3"/>
    <n v="47"/>
    <x v="2"/>
    <n v="2"/>
    <n v="5299.99"/>
    <n v="0.05"/>
    <n v="264.99950000000001"/>
    <n v="8"/>
    <n v="6"/>
  </r>
  <r>
    <n v="1393"/>
    <n v="4"/>
    <n v="268"/>
    <x v="3"/>
    <n v="2"/>
    <n v="159.99"/>
    <n v="0.05"/>
    <n v="7.9995000000000012"/>
    <n v="9"/>
    <n v="6"/>
  </r>
  <r>
    <n v="1394"/>
    <n v="1"/>
    <n v="165"/>
    <x v="0"/>
    <n v="2"/>
    <n v="2499.9899999999998"/>
    <n v="0.05"/>
    <n v="124.9995"/>
    <n v="9"/>
    <n v="6"/>
  </r>
  <r>
    <n v="1395"/>
    <n v="1"/>
    <n v="204"/>
    <x v="0"/>
    <n v="1"/>
    <n v="3599.99"/>
    <n v="0.2"/>
    <n v="719.99800000000005"/>
    <n v="9"/>
    <n v="6"/>
  </r>
  <r>
    <n v="1395"/>
    <n v="2"/>
    <n v="48"/>
    <x v="1"/>
    <n v="2"/>
    <n v="1499.99"/>
    <n v="0.1"/>
    <n v="149.999"/>
    <n v="5"/>
    <n v="6"/>
  </r>
  <r>
    <n v="1395"/>
    <n v="3"/>
    <n v="180"/>
    <x v="2"/>
    <n v="2"/>
    <n v="919.99"/>
    <n v="0.2"/>
    <n v="183.99800000000002"/>
    <n v="8"/>
    <n v="6"/>
  </r>
  <r>
    <n v="1395"/>
    <n v="4"/>
    <n v="226"/>
    <x v="3"/>
    <n v="1"/>
    <n v="679.99"/>
    <n v="0.1"/>
    <n v="67.999000000000009"/>
    <n v="9"/>
    <n v="6"/>
  </r>
  <r>
    <n v="1396"/>
    <n v="1"/>
    <n v="57"/>
    <x v="0"/>
    <n v="1"/>
    <n v="1999.99"/>
    <n v="0.05"/>
    <n v="99.999500000000012"/>
    <n v="9"/>
    <n v="6"/>
  </r>
  <r>
    <n v="1396"/>
    <n v="2"/>
    <n v="181"/>
    <x v="1"/>
    <n v="1"/>
    <n v="2199.9899999999998"/>
    <n v="0.2"/>
    <n v="439.99799999999999"/>
    <n v="5"/>
    <n v="6"/>
  </r>
  <r>
    <n v="1397"/>
    <n v="1"/>
    <n v="127"/>
    <x v="0"/>
    <n v="2"/>
    <n v="469.99"/>
    <n v="0.1"/>
    <n v="46.999000000000002"/>
    <n v="9"/>
    <n v="6"/>
  </r>
  <r>
    <n v="1397"/>
    <n v="2"/>
    <n v="139"/>
    <x v="1"/>
    <n v="1"/>
    <n v="2999.99"/>
    <n v="7.0000000000000007E-2"/>
    <n v="209.99930000000001"/>
    <n v="5"/>
    <n v="6"/>
  </r>
  <r>
    <n v="1397"/>
    <n v="3"/>
    <n v="7"/>
    <x v="2"/>
    <n v="1"/>
    <n v="3999.99"/>
    <n v="0.05"/>
    <n v="199.99950000000001"/>
    <n v="8"/>
    <n v="6"/>
  </r>
  <r>
    <n v="1397"/>
    <n v="4"/>
    <n v="249"/>
    <x v="3"/>
    <n v="1"/>
    <n v="749.99"/>
    <n v="0.05"/>
    <n v="37.499500000000005"/>
    <n v="9"/>
    <n v="6"/>
  </r>
  <r>
    <n v="1397"/>
    <n v="5"/>
    <n v="78"/>
    <x v="4"/>
    <n v="2"/>
    <n v="647.99"/>
    <n v="0.1"/>
    <n v="64.799000000000007"/>
    <n v="3"/>
    <n v="6"/>
  </r>
  <r>
    <n v="1398"/>
    <n v="1"/>
    <n v="69"/>
    <x v="0"/>
    <n v="2"/>
    <n v="416.99"/>
    <n v="0.05"/>
    <n v="20.849500000000003"/>
    <n v="9"/>
    <n v="6"/>
  </r>
  <r>
    <n v="1398"/>
    <n v="2"/>
    <n v="53"/>
    <x v="1"/>
    <n v="1"/>
    <n v="749.99"/>
    <n v="0.2"/>
    <n v="149.99800000000002"/>
    <n v="5"/>
    <n v="6"/>
  </r>
  <r>
    <n v="1399"/>
    <n v="1"/>
    <n v="210"/>
    <x v="0"/>
    <n v="2"/>
    <n v="1549"/>
    <n v="0.2"/>
    <n v="309.8"/>
    <n v="9"/>
    <n v="6"/>
  </r>
  <r>
    <n v="1399"/>
    <n v="2"/>
    <n v="224"/>
    <x v="1"/>
    <n v="1"/>
    <n v="479.99"/>
    <n v="0.05"/>
    <n v="23.999500000000001"/>
    <n v="5"/>
    <n v="6"/>
  </r>
  <r>
    <n v="1399"/>
    <n v="3"/>
    <n v="127"/>
    <x v="2"/>
    <n v="2"/>
    <n v="469.99"/>
    <n v="7.0000000000000007E-2"/>
    <n v="32.899300000000004"/>
    <n v="8"/>
    <n v="6"/>
  </r>
  <r>
    <n v="1399"/>
    <n v="4"/>
    <n v="28"/>
    <x v="3"/>
    <n v="1"/>
    <n v="2499.9899999999998"/>
    <n v="0.05"/>
    <n v="124.9995"/>
    <n v="9"/>
    <n v="6"/>
  </r>
  <r>
    <n v="1400"/>
    <n v="1"/>
    <n v="24"/>
    <x v="0"/>
    <n v="2"/>
    <n v="549.99"/>
    <n v="0.2"/>
    <n v="109.998"/>
    <n v="9"/>
    <n v="6"/>
  </r>
  <r>
    <n v="1400"/>
    <n v="2"/>
    <n v="217"/>
    <x v="1"/>
    <n v="2"/>
    <n v="909.99"/>
    <n v="0.2"/>
    <n v="181.99800000000002"/>
    <n v="5"/>
    <n v="6"/>
  </r>
  <r>
    <n v="1400"/>
    <n v="3"/>
    <n v="275"/>
    <x v="2"/>
    <n v="1"/>
    <n v="229.99"/>
    <n v="0.1"/>
    <n v="22.999000000000002"/>
    <n v="8"/>
    <n v="6"/>
  </r>
  <r>
    <n v="1400"/>
    <n v="4"/>
    <n v="90"/>
    <x v="3"/>
    <n v="1"/>
    <n v="209.99"/>
    <n v="7.0000000000000007E-2"/>
    <n v="14.699300000000003"/>
    <n v="9"/>
    <n v="6"/>
  </r>
  <r>
    <n v="1401"/>
    <n v="1"/>
    <n v="112"/>
    <x v="0"/>
    <n v="1"/>
    <n v="379.99"/>
    <n v="7.0000000000000007E-2"/>
    <n v="26.599300000000003"/>
    <n v="9"/>
    <n v="6"/>
  </r>
  <r>
    <n v="1401"/>
    <n v="2"/>
    <n v="230"/>
    <x v="1"/>
    <n v="1"/>
    <n v="429.99"/>
    <n v="0.05"/>
    <n v="21.499500000000001"/>
    <n v="5"/>
    <n v="6"/>
  </r>
  <r>
    <n v="1401"/>
    <n v="3"/>
    <n v="254"/>
    <x v="2"/>
    <n v="2"/>
    <n v="749.99"/>
    <n v="0.2"/>
    <n v="149.99800000000002"/>
    <n v="8"/>
    <n v="6"/>
  </r>
  <r>
    <n v="1402"/>
    <n v="1"/>
    <n v="189"/>
    <x v="0"/>
    <n v="2"/>
    <n v="2799.99"/>
    <n v="0.2"/>
    <n v="559.99799999999993"/>
    <n v="9"/>
    <n v="6"/>
  </r>
  <r>
    <n v="1402"/>
    <n v="2"/>
    <n v="28"/>
    <x v="1"/>
    <n v="2"/>
    <n v="2499.9899999999998"/>
    <n v="0.05"/>
    <n v="124.9995"/>
    <n v="5"/>
    <n v="6"/>
  </r>
  <r>
    <n v="1402"/>
    <n v="3"/>
    <n v="203"/>
    <x v="2"/>
    <n v="1"/>
    <n v="4999.99"/>
    <n v="0.05"/>
    <n v="249.99950000000001"/>
    <n v="8"/>
    <n v="6"/>
  </r>
  <r>
    <n v="1402"/>
    <n v="4"/>
    <n v="273"/>
    <x v="3"/>
    <n v="1"/>
    <n v="289.99"/>
    <n v="7.0000000000000007E-2"/>
    <n v="20.299300000000002"/>
    <n v="9"/>
    <n v="6"/>
  </r>
  <r>
    <n v="1403"/>
    <n v="1"/>
    <n v="93"/>
    <x v="0"/>
    <n v="2"/>
    <n v="209.99"/>
    <n v="0.1"/>
    <n v="20.999000000000002"/>
    <n v="9"/>
    <n v="6"/>
  </r>
  <r>
    <n v="1404"/>
    <n v="1"/>
    <n v="112"/>
    <x v="0"/>
    <n v="2"/>
    <n v="379.99"/>
    <n v="0.05"/>
    <n v="18.999500000000001"/>
    <n v="9"/>
    <n v="6"/>
  </r>
  <r>
    <n v="1404"/>
    <n v="2"/>
    <n v="220"/>
    <x v="1"/>
    <n v="1"/>
    <n v="269.99"/>
    <n v="0.1"/>
    <n v="26.999000000000002"/>
    <n v="5"/>
    <n v="6"/>
  </r>
  <r>
    <n v="1404"/>
    <n v="3"/>
    <n v="193"/>
    <x v="2"/>
    <n v="2"/>
    <n v="2799.99"/>
    <n v="0.2"/>
    <n v="559.99799999999993"/>
    <n v="8"/>
    <n v="6"/>
  </r>
  <r>
    <n v="1405"/>
    <n v="1"/>
    <n v="162"/>
    <x v="0"/>
    <n v="2"/>
    <n v="2999.99"/>
    <n v="0.1"/>
    <n v="299.99899999999997"/>
    <n v="9"/>
    <n v="6"/>
  </r>
  <r>
    <n v="1406"/>
    <n v="1"/>
    <n v="230"/>
    <x v="0"/>
    <n v="2"/>
    <n v="429.99"/>
    <n v="0.05"/>
    <n v="21.499500000000001"/>
    <n v="9"/>
    <n v="6"/>
  </r>
  <r>
    <n v="1406"/>
    <n v="2"/>
    <n v="113"/>
    <x v="1"/>
    <n v="1"/>
    <n v="489.99"/>
    <n v="0.1"/>
    <n v="48.999000000000002"/>
    <n v="5"/>
    <n v="6"/>
  </r>
  <r>
    <n v="1407"/>
    <n v="1"/>
    <n v="300"/>
    <x v="0"/>
    <n v="1"/>
    <n v="799.99"/>
    <n v="0.05"/>
    <n v="39.999500000000005"/>
    <n v="9"/>
    <n v="6"/>
  </r>
  <r>
    <n v="1407"/>
    <n v="2"/>
    <n v="36"/>
    <x v="1"/>
    <n v="2"/>
    <n v="832.99"/>
    <n v="0.1"/>
    <n v="83.299000000000007"/>
    <n v="5"/>
    <n v="6"/>
  </r>
  <r>
    <n v="1407"/>
    <n v="3"/>
    <n v="266"/>
    <x v="2"/>
    <n v="1"/>
    <n v="399.99"/>
    <n v="0.1"/>
    <n v="39.999000000000002"/>
    <n v="8"/>
    <n v="6"/>
  </r>
  <r>
    <n v="1407"/>
    <n v="4"/>
    <n v="35"/>
    <x v="3"/>
    <n v="1"/>
    <n v="832.99"/>
    <n v="0.2"/>
    <n v="166.59800000000001"/>
    <n v="9"/>
    <n v="6"/>
  </r>
  <r>
    <n v="1408"/>
    <n v="1"/>
    <n v="23"/>
    <x v="0"/>
    <n v="2"/>
    <n v="299.99"/>
    <n v="0.2"/>
    <n v="59.998000000000005"/>
    <n v="9"/>
    <n v="6"/>
  </r>
  <r>
    <n v="1408"/>
    <n v="2"/>
    <n v="166"/>
    <x v="1"/>
    <n v="1"/>
    <n v="749.99"/>
    <n v="0.2"/>
    <n v="149.99800000000002"/>
    <n v="5"/>
    <n v="6"/>
  </r>
  <r>
    <n v="1408"/>
    <n v="3"/>
    <n v="114"/>
    <x v="2"/>
    <n v="1"/>
    <n v="579.99"/>
    <n v="7.0000000000000007E-2"/>
    <n v="40.599300000000007"/>
    <n v="8"/>
    <n v="6"/>
  </r>
  <r>
    <n v="1408"/>
    <n v="4"/>
    <n v="137"/>
    <x v="3"/>
    <n v="2"/>
    <n v="2599"/>
    <n v="0.2"/>
    <n v="519.80000000000007"/>
    <n v="9"/>
    <n v="6"/>
  </r>
  <r>
    <n v="1409"/>
    <n v="1"/>
    <n v="301"/>
    <x v="0"/>
    <n v="2"/>
    <n v="899.99"/>
    <n v="7.0000000000000007E-2"/>
    <n v="62.999300000000005"/>
    <n v="9"/>
    <n v="6"/>
  </r>
  <r>
    <n v="1409"/>
    <n v="2"/>
    <n v="170"/>
    <x v="1"/>
    <n v="1"/>
    <n v="1299.99"/>
    <n v="7.0000000000000007E-2"/>
    <n v="90.999300000000005"/>
    <n v="5"/>
    <n v="6"/>
  </r>
  <r>
    <n v="1409"/>
    <n v="3"/>
    <n v="171"/>
    <x v="2"/>
    <n v="2"/>
    <n v="3199.99"/>
    <n v="0.05"/>
    <n v="159.99950000000001"/>
    <n v="8"/>
    <n v="6"/>
  </r>
  <r>
    <n v="1409"/>
    <n v="4"/>
    <n v="265"/>
    <x v="3"/>
    <n v="1"/>
    <n v="289.99"/>
    <n v="0.05"/>
    <n v="14.499500000000001"/>
    <n v="9"/>
    <n v="6"/>
  </r>
  <r>
    <n v="1409"/>
    <n v="5"/>
    <n v="222"/>
    <x v="4"/>
    <n v="1"/>
    <n v="269.99"/>
    <n v="0.1"/>
    <n v="26.999000000000002"/>
    <n v="3"/>
    <n v="6"/>
  </r>
  <r>
    <n v="1410"/>
    <n v="1"/>
    <n v="205"/>
    <x v="0"/>
    <n v="2"/>
    <n v="4999.99"/>
    <n v="0.1"/>
    <n v="499.99900000000002"/>
    <n v="9"/>
    <n v="6"/>
  </r>
  <r>
    <n v="1410"/>
    <n v="2"/>
    <n v="203"/>
    <x v="1"/>
    <n v="2"/>
    <n v="4999.99"/>
    <n v="0.2"/>
    <n v="999.99800000000005"/>
    <n v="5"/>
    <n v="6"/>
  </r>
  <r>
    <n v="1410"/>
    <n v="3"/>
    <n v="304"/>
    <x v="2"/>
    <n v="1"/>
    <n v="679.99"/>
    <n v="0.1"/>
    <n v="67.999000000000009"/>
    <n v="8"/>
    <n v="6"/>
  </r>
  <r>
    <n v="1411"/>
    <n v="1"/>
    <n v="9"/>
    <x v="0"/>
    <n v="1"/>
    <n v="2999.99"/>
    <n v="0.1"/>
    <n v="299.99899999999997"/>
    <n v="9"/>
    <n v="6"/>
  </r>
  <r>
    <n v="1411"/>
    <n v="2"/>
    <n v="308"/>
    <x v="1"/>
    <n v="2"/>
    <n v="749.99"/>
    <n v="0.2"/>
    <n v="149.99800000000002"/>
    <n v="5"/>
    <n v="6"/>
  </r>
  <r>
    <n v="1412"/>
    <n v="1"/>
    <n v="180"/>
    <x v="0"/>
    <n v="2"/>
    <n v="919.99"/>
    <n v="7.0000000000000007E-2"/>
    <n v="64.399300000000011"/>
    <n v="9"/>
    <n v="6"/>
  </r>
  <r>
    <n v="1412"/>
    <n v="2"/>
    <n v="43"/>
    <x v="1"/>
    <n v="1"/>
    <n v="5299.99"/>
    <n v="0.1"/>
    <n v="529.99900000000002"/>
    <n v="5"/>
    <n v="6"/>
  </r>
  <r>
    <n v="1412"/>
    <n v="3"/>
    <n v="109"/>
    <x v="2"/>
    <n v="2"/>
    <n v="416.99"/>
    <n v="7.0000000000000007E-2"/>
    <n v="29.189300000000003"/>
    <n v="8"/>
    <n v="6"/>
  </r>
  <r>
    <n v="1413"/>
    <n v="1"/>
    <n v="297"/>
    <x v="0"/>
    <n v="2"/>
    <n v="279.99"/>
    <n v="0.05"/>
    <n v="13.999500000000001"/>
    <n v="9"/>
    <n v="6"/>
  </r>
  <r>
    <n v="1414"/>
    <n v="1"/>
    <n v="162"/>
    <x v="0"/>
    <n v="2"/>
    <n v="2999.99"/>
    <n v="0.1"/>
    <n v="299.99899999999997"/>
    <n v="9"/>
    <n v="6"/>
  </r>
  <r>
    <n v="1414"/>
    <n v="2"/>
    <n v="292"/>
    <x v="1"/>
    <n v="2"/>
    <n v="369.99"/>
    <n v="0.05"/>
    <n v="18.499500000000001"/>
    <n v="5"/>
    <n v="6"/>
  </r>
  <r>
    <n v="1415"/>
    <n v="1"/>
    <n v="31"/>
    <x v="0"/>
    <n v="2"/>
    <n v="1632.99"/>
    <n v="7.0000000000000007E-2"/>
    <n v="114.30930000000001"/>
    <n v="9"/>
    <n v="6"/>
  </r>
  <r>
    <n v="1415"/>
    <n v="2"/>
    <n v="17"/>
    <x v="1"/>
    <n v="1"/>
    <n v="429"/>
    <n v="0.05"/>
    <n v="21.450000000000003"/>
    <n v="5"/>
    <n v="6"/>
  </r>
  <r>
    <n v="1415"/>
    <n v="3"/>
    <n v="264"/>
    <x v="2"/>
    <n v="2"/>
    <n v="249.99"/>
    <n v="0.1"/>
    <n v="24.999000000000002"/>
    <n v="8"/>
    <n v="6"/>
  </r>
  <r>
    <n v="1415"/>
    <n v="4"/>
    <n v="245"/>
    <x v="3"/>
    <n v="1"/>
    <n v="659.99"/>
    <n v="0.05"/>
    <n v="32.999500000000005"/>
    <n v="9"/>
    <n v="6"/>
  </r>
  <r>
    <n v="1416"/>
    <n v="1"/>
    <n v="194"/>
    <x v="0"/>
    <n v="1"/>
    <n v="3499.99"/>
    <n v="0.2"/>
    <n v="699.99800000000005"/>
    <n v="9"/>
    <n v="6"/>
  </r>
  <r>
    <n v="1416"/>
    <n v="2"/>
    <n v="242"/>
    <x v="1"/>
    <n v="2"/>
    <n v="699.99"/>
    <n v="0.1"/>
    <n v="69.999000000000009"/>
    <n v="5"/>
    <n v="6"/>
  </r>
  <r>
    <n v="1416"/>
    <n v="3"/>
    <n v="92"/>
    <x v="2"/>
    <n v="2"/>
    <n v="209.99"/>
    <n v="0.05"/>
    <n v="10.499500000000001"/>
    <n v="8"/>
    <n v="6"/>
  </r>
  <r>
    <n v="1417"/>
    <n v="1"/>
    <n v="219"/>
    <x v="0"/>
    <n v="2"/>
    <n v="639.99"/>
    <n v="0.2"/>
    <n v="127.998"/>
    <n v="9"/>
    <n v="6"/>
  </r>
  <r>
    <n v="1418"/>
    <n v="1"/>
    <n v="120"/>
    <x v="0"/>
    <n v="2"/>
    <n v="2499.9899999999998"/>
    <n v="0.2"/>
    <n v="499.99799999999999"/>
    <n v="9"/>
    <n v="6"/>
  </r>
  <r>
    <n v="1418"/>
    <n v="2"/>
    <n v="243"/>
    <x v="1"/>
    <n v="2"/>
    <n v="679.99"/>
    <n v="0.05"/>
    <n v="33.999500000000005"/>
    <n v="5"/>
    <n v="6"/>
  </r>
  <r>
    <n v="1419"/>
    <n v="1"/>
    <n v="124"/>
    <x v="0"/>
    <n v="1"/>
    <n v="1499"/>
    <n v="7.0000000000000007E-2"/>
    <n v="104.93"/>
    <n v="9"/>
    <n v="6"/>
  </r>
  <r>
    <n v="1419"/>
    <n v="2"/>
    <n v="235"/>
    <x v="1"/>
    <n v="2"/>
    <n v="899.99"/>
    <n v="0.2"/>
    <n v="179.99800000000002"/>
    <n v="5"/>
    <n v="6"/>
  </r>
  <r>
    <n v="1419"/>
    <n v="3"/>
    <n v="234"/>
    <x v="2"/>
    <n v="1"/>
    <n v="899.99"/>
    <n v="0.1"/>
    <n v="89.999000000000009"/>
    <n v="8"/>
    <n v="6"/>
  </r>
  <r>
    <n v="1420"/>
    <n v="1"/>
    <n v="197"/>
    <x v="0"/>
    <n v="1"/>
    <n v="2299.9899999999998"/>
    <n v="0.2"/>
    <n v="459.99799999999999"/>
    <n v="9"/>
    <n v="6"/>
  </r>
  <r>
    <n v="1420"/>
    <n v="2"/>
    <n v="194"/>
    <x v="1"/>
    <n v="2"/>
    <n v="3499.99"/>
    <n v="0.1"/>
    <n v="349.99900000000002"/>
    <n v="5"/>
    <n v="6"/>
  </r>
  <r>
    <n v="1420"/>
    <n v="3"/>
    <n v="128"/>
    <x v="2"/>
    <n v="1"/>
    <n v="1899"/>
    <n v="0.1"/>
    <n v="189.9"/>
    <n v="8"/>
    <n v="6"/>
  </r>
  <r>
    <n v="1421"/>
    <n v="1"/>
    <n v="298"/>
    <x v="0"/>
    <n v="2"/>
    <n v="279.99"/>
    <n v="0.05"/>
    <n v="13.999500000000001"/>
    <n v="9"/>
    <n v="6"/>
  </r>
  <r>
    <n v="1422"/>
    <n v="1"/>
    <n v="80"/>
    <x v="0"/>
    <n v="2"/>
    <n v="761.99"/>
    <n v="7.0000000000000007E-2"/>
    <n v="53.339300000000009"/>
    <n v="9"/>
    <n v="6"/>
  </r>
  <r>
    <n v="1422"/>
    <n v="2"/>
    <n v="180"/>
    <x v="1"/>
    <n v="2"/>
    <n v="919.99"/>
    <n v="0.2"/>
    <n v="183.99800000000002"/>
    <n v="5"/>
    <n v="6"/>
  </r>
  <r>
    <n v="1422"/>
    <n v="3"/>
    <n v="243"/>
    <x v="2"/>
    <n v="1"/>
    <n v="679.99"/>
    <n v="0.05"/>
    <n v="33.999500000000005"/>
    <n v="8"/>
    <n v="6"/>
  </r>
  <r>
    <n v="1423"/>
    <n v="1"/>
    <n v="249"/>
    <x v="0"/>
    <n v="1"/>
    <n v="749.99"/>
    <n v="0.2"/>
    <n v="149.99800000000002"/>
    <n v="9"/>
    <n v="6"/>
  </r>
  <r>
    <n v="1423"/>
    <n v="2"/>
    <n v="71"/>
    <x v="1"/>
    <n v="1"/>
    <n v="416.99"/>
    <n v="0.1"/>
    <n v="41.699000000000005"/>
    <n v="5"/>
    <n v="6"/>
  </r>
  <r>
    <n v="1423"/>
    <n v="3"/>
    <n v="302"/>
    <x v="2"/>
    <n v="1"/>
    <n v="449.99"/>
    <n v="0.2"/>
    <n v="89.998000000000005"/>
    <n v="8"/>
    <n v="6"/>
  </r>
  <r>
    <n v="1423"/>
    <n v="4"/>
    <n v="113"/>
    <x v="3"/>
    <n v="2"/>
    <n v="489.99"/>
    <n v="0.2"/>
    <n v="97.998000000000005"/>
    <n v="9"/>
    <n v="6"/>
  </r>
  <r>
    <n v="1424"/>
    <n v="1"/>
    <n v="140"/>
    <x v="0"/>
    <n v="2"/>
    <n v="4999.99"/>
    <n v="0.2"/>
    <n v="999.99800000000005"/>
    <n v="9"/>
    <n v="6"/>
  </r>
  <r>
    <n v="1425"/>
    <n v="1"/>
    <n v="227"/>
    <x v="0"/>
    <n v="2"/>
    <n v="319.99"/>
    <n v="0.05"/>
    <n v="15.999500000000001"/>
    <n v="9"/>
    <n v="6"/>
  </r>
  <r>
    <n v="1425"/>
    <n v="2"/>
    <n v="263"/>
    <x v="1"/>
    <n v="1"/>
    <n v="89.99"/>
    <n v="7.0000000000000007E-2"/>
    <n v="6.2993000000000006"/>
    <n v="5"/>
    <n v="6"/>
  </r>
  <r>
    <n v="1425"/>
    <n v="3"/>
    <n v="93"/>
    <x v="2"/>
    <n v="1"/>
    <n v="209.99"/>
    <n v="7.0000000000000007E-2"/>
    <n v="14.699300000000003"/>
    <n v="8"/>
    <n v="6"/>
  </r>
  <r>
    <n v="1425"/>
    <n v="4"/>
    <n v="54"/>
    <x v="3"/>
    <n v="2"/>
    <n v="3199.99"/>
    <n v="0.05"/>
    <n v="159.99950000000001"/>
    <n v="9"/>
    <n v="6"/>
  </r>
  <r>
    <n v="1425"/>
    <n v="5"/>
    <n v="145"/>
    <x v="4"/>
    <n v="2"/>
    <n v="1799.99"/>
    <n v="7.0000000000000007E-2"/>
    <n v="125.99930000000002"/>
    <n v="3"/>
    <n v="6"/>
  </r>
  <r>
    <n v="1426"/>
    <n v="1"/>
    <n v="215"/>
    <x v="0"/>
    <n v="1"/>
    <n v="749.99"/>
    <n v="7.0000000000000007E-2"/>
    <n v="52.499300000000005"/>
    <n v="9"/>
    <n v="6"/>
  </r>
  <r>
    <n v="1426"/>
    <n v="2"/>
    <n v="20"/>
    <x v="1"/>
    <n v="2"/>
    <n v="599.99"/>
    <n v="0.05"/>
    <n v="29.999500000000001"/>
    <n v="5"/>
    <n v="6"/>
  </r>
  <r>
    <n v="1426"/>
    <n v="3"/>
    <n v="281"/>
    <x v="2"/>
    <n v="1"/>
    <n v="319.99"/>
    <n v="7.0000000000000007E-2"/>
    <n v="22.399300000000004"/>
    <n v="8"/>
    <n v="6"/>
  </r>
  <r>
    <n v="1427"/>
    <n v="1"/>
    <n v="230"/>
    <x v="0"/>
    <n v="2"/>
    <n v="429.99"/>
    <n v="7.0000000000000007E-2"/>
    <n v="30.099300000000003"/>
    <n v="9"/>
    <n v="6"/>
  </r>
  <r>
    <n v="1427"/>
    <n v="2"/>
    <n v="139"/>
    <x v="1"/>
    <n v="1"/>
    <n v="2999.99"/>
    <n v="0.05"/>
    <n v="149.99949999999998"/>
    <n v="5"/>
    <n v="6"/>
  </r>
  <r>
    <n v="1427"/>
    <n v="3"/>
    <n v="164"/>
    <x v="2"/>
    <n v="2"/>
    <n v="1549"/>
    <n v="7.0000000000000007E-2"/>
    <n v="108.43"/>
    <n v="8"/>
    <n v="6"/>
  </r>
  <r>
    <n v="1428"/>
    <n v="1"/>
    <n v="216"/>
    <x v="0"/>
    <n v="2"/>
    <n v="899.99"/>
    <n v="0.2"/>
    <n v="179.99800000000002"/>
    <n v="9"/>
    <n v="6"/>
  </r>
  <r>
    <n v="1428"/>
    <n v="2"/>
    <n v="126"/>
    <x v="1"/>
    <n v="1"/>
    <n v="469.99"/>
    <n v="7.0000000000000007E-2"/>
    <n v="32.899300000000004"/>
    <n v="5"/>
    <n v="6"/>
  </r>
  <r>
    <n v="1428"/>
    <n v="3"/>
    <n v="187"/>
    <x v="2"/>
    <n v="2"/>
    <n v="2799.99"/>
    <n v="7.0000000000000007E-2"/>
    <n v="195.99930000000001"/>
    <n v="8"/>
    <n v="6"/>
  </r>
  <r>
    <n v="1428"/>
    <n v="4"/>
    <n v="28"/>
    <x v="3"/>
    <n v="1"/>
    <n v="2499.9899999999998"/>
    <n v="0.1"/>
    <n v="249.999"/>
    <n v="9"/>
    <n v="6"/>
  </r>
  <r>
    <n v="1428"/>
    <n v="5"/>
    <n v="194"/>
    <x v="4"/>
    <n v="2"/>
    <n v="3499.99"/>
    <n v="0.2"/>
    <n v="699.99800000000005"/>
    <n v="3"/>
    <n v="6"/>
  </r>
  <r>
    <n v="1429"/>
    <n v="1"/>
    <n v="70"/>
    <x v="0"/>
    <n v="2"/>
    <n v="659.99"/>
    <n v="0.2"/>
    <n v="131.99800000000002"/>
    <n v="9"/>
    <n v="6"/>
  </r>
  <r>
    <n v="1430"/>
    <n v="1"/>
    <n v="221"/>
    <x v="0"/>
    <n v="1"/>
    <n v="319.99"/>
    <n v="0.05"/>
    <n v="15.999500000000001"/>
    <n v="9"/>
    <n v="6"/>
  </r>
  <r>
    <n v="1430"/>
    <n v="2"/>
    <n v="281"/>
    <x v="1"/>
    <n v="1"/>
    <n v="319.99"/>
    <n v="7.0000000000000007E-2"/>
    <n v="22.399300000000004"/>
    <n v="5"/>
    <n v="6"/>
  </r>
  <r>
    <n v="1431"/>
    <n v="1"/>
    <n v="207"/>
    <x v="0"/>
    <n v="1"/>
    <n v="3999.99"/>
    <n v="0.1"/>
    <n v="399.99900000000002"/>
    <n v="9"/>
    <n v="6"/>
  </r>
  <r>
    <n v="1431"/>
    <n v="2"/>
    <n v="53"/>
    <x v="1"/>
    <n v="1"/>
    <n v="749.99"/>
    <n v="7.0000000000000007E-2"/>
    <n v="52.499300000000005"/>
    <n v="5"/>
    <n v="6"/>
  </r>
  <r>
    <n v="1431"/>
    <n v="3"/>
    <n v="252"/>
    <x v="2"/>
    <n v="1"/>
    <n v="2999.99"/>
    <n v="0.2"/>
    <n v="599.99799999999993"/>
    <n v="8"/>
    <n v="6"/>
  </r>
  <r>
    <n v="1431"/>
    <n v="4"/>
    <n v="254"/>
    <x v="3"/>
    <n v="1"/>
    <n v="749.99"/>
    <n v="7.0000000000000007E-2"/>
    <n v="52.499300000000005"/>
    <n v="9"/>
    <n v="6"/>
  </r>
  <r>
    <n v="1432"/>
    <n v="1"/>
    <n v="161"/>
    <x v="0"/>
    <n v="1"/>
    <n v="1899"/>
    <n v="0.2"/>
    <n v="379.8"/>
    <n v="9"/>
    <n v="6"/>
  </r>
  <r>
    <n v="1433"/>
    <n v="1"/>
    <n v="264"/>
    <x v="0"/>
    <n v="1"/>
    <n v="249.99"/>
    <n v="7.0000000000000007E-2"/>
    <n v="17.499300000000002"/>
    <n v="9"/>
    <n v="6"/>
  </r>
  <r>
    <n v="1434"/>
    <n v="1"/>
    <n v="229"/>
    <x v="0"/>
    <n v="2"/>
    <n v="429.99"/>
    <n v="0.2"/>
    <n v="85.998000000000005"/>
    <n v="9"/>
    <n v="6"/>
  </r>
  <r>
    <n v="1434"/>
    <n v="2"/>
    <n v="198"/>
    <x v="1"/>
    <n v="1"/>
    <n v="2999.99"/>
    <n v="0.1"/>
    <n v="299.99899999999997"/>
    <n v="5"/>
    <n v="6"/>
  </r>
  <r>
    <n v="1434"/>
    <n v="3"/>
    <n v="286"/>
    <x v="2"/>
    <n v="2"/>
    <n v="279.99"/>
    <n v="0.1"/>
    <n v="27.999000000000002"/>
    <n v="8"/>
    <n v="6"/>
  </r>
  <r>
    <n v="1434"/>
    <n v="4"/>
    <n v="61"/>
    <x v="3"/>
    <n v="2"/>
    <n v="4999.99"/>
    <n v="7.0000000000000007E-2"/>
    <n v="349.99930000000001"/>
    <n v="9"/>
    <n v="6"/>
  </r>
  <r>
    <n v="1435"/>
    <n v="1"/>
    <n v="141"/>
    <x v="0"/>
    <n v="2"/>
    <n v="1599.99"/>
    <n v="7.0000000000000007E-2"/>
    <n v="111.99930000000001"/>
    <n v="9"/>
    <n v="6"/>
  </r>
  <r>
    <n v="1435"/>
    <n v="2"/>
    <n v="29"/>
    <x v="1"/>
    <n v="1"/>
    <n v="999.99"/>
    <n v="0.2"/>
    <n v="199.99800000000002"/>
    <n v="5"/>
    <n v="6"/>
  </r>
  <r>
    <n v="1435"/>
    <n v="3"/>
    <n v="60"/>
    <x v="2"/>
    <n v="1"/>
    <n v="1559.99"/>
    <n v="0.1"/>
    <n v="155.99900000000002"/>
    <n v="8"/>
    <n v="6"/>
  </r>
  <r>
    <n v="1435"/>
    <n v="4"/>
    <n v="260"/>
    <x v="3"/>
    <n v="1"/>
    <n v="799.99"/>
    <n v="7.0000000000000007E-2"/>
    <n v="55.999300000000005"/>
    <n v="9"/>
    <n v="6"/>
  </r>
  <r>
    <n v="1436"/>
    <n v="1"/>
    <n v="244"/>
    <x v="0"/>
    <n v="2"/>
    <n v="559.99"/>
    <n v="7.0000000000000007E-2"/>
    <n v="39.199300000000001"/>
    <n v="9"/>
    <n v="6"/>
  </r>
  <r>
    <n v="1437"/>
    <n v="1"/>
    <n v="141"/>
    <x v="0"/>
    <n v="2"/>
    <n v="1599.99"/>
    <n v="0.05"/>
    <n v="79.999500000000012"/>
    <n v="9"/>
    <n v="6"/>
  </r>
  <r>
    <n v="1438"/>
    <n v="1"/>
    <n v="225"/>
    <x v="0"/>
    <n v="1"/>
    <n v="959.99"/>
    <n v="0.2"/>
    <n v="191.99800000000002"/>
    <n v="9"/>
    <n v="6"/>
  </r>
  <r>
    <n v="1438"/>
    <n v="2"/>
    <n v="140"/>
    <x v="1"/>
    <n v="1"/>
    <n v="4999.99"/>
    <n v="0.2"/>
    <n v="999.99800000000005"/>
    <n v="5"/>
    <n v="6"/>
  </r>
  <r>
    <n v="1438"/>
    <n v="3"/>
    <n v="81"/>
    <x v="2"/>
    <n v="2"/>
    <n v="1099.99"/>
    <n v="0.05"/>
    <n v="54.999500000000005"/>
    <n v="8"/>
    <n v="6"/>
  </r>
  <r>
    <n v="1438"/>
    <n v="4"/>
    <n v="137"/>
    <x v="3"/>
    <n v="1"/>
    <n v="2599"/>
    <n v="0.1"/>
    <n v="259.90000000000003"/>
    <n v="9"/>
    <n v="6"/>
  </r>
  <r>
    <n v="1438"/>
    <n v="5"/>
    <n v="190"/>
    <x v="4"/>
    <n v="2"/>
    <n v="2799.99"/>
    <n v="7.0000000000000007E-2"/>
    <n v="195.99930000000001"/>
    <n v="3"/>
    <n v="6"/>
  </r>
  <r>
    <n v="1439"/>
    <n v="1"/>
    <n v="42"/>
    <x v="0"/>
    <n v="1"/>
    <n v="2299.9899999999998"/>
    <n v="7.0000000000000007E-2"/>
    <n v="160.99930000000001"/>
    <n v="9"/>
    <n v="6"/>
  </r>
  <r>
    <n v="1439"/>
    <n v="2"/>
    <n v="263"/>
    <x v="1"/>
    <n v="1"/>
    <n v="89.99"/>
    <n v="0.2"/>
    <n v="17.998000000000001"/>
    <n v="5"/>
    <n v="6"/>
  </r>
  <r>
    <n v="1439"/>
    <n v="3"/>
    <n v="102"/>
    <x v="2"/>
    <n v="2"/>
    <n v="489.99"/>
    <n v="0.05"/>
    <n v="24.499500000000001"/>
    <n v="8"/>
    <n v="6"/>
  </r>
  <r>
    <n v="1439"/>
    <n v="4"/>
    <n v="149"/>
    <x v="3"/>
    <n v="1"/>
    <n v="7499.99"/>
    <n v="0.05"/>
    <n v="374.99950000000001"/>
    <n v="9"/>
    <n v="6"/>
  </r>
  <r>
    <n v="1440"/>
    <n v="1"/>
    <n v="116"/>
    <x v="0"/>
    <n v="2"/>
    <n v="749.99"/>
    <n v="7.0000000000000007E-2"/>
    <n v="52.499300000000005"/>
    <n v="9"/>
    <n v="6"/>
  </r>
  <r>
    <n v="1440"/>
    <n v="2"/>
    <n v="109"/>
    <x v="1"/>
    <n v="1"/>
    <n v="416.99"/>
    <n v="7.0000000000000007E-2"/>
    <n v="29.189300000000003"/>
    <n v="5"/>
    <n v="6"/>
  </r>
  <r>
    <n v="1440"/>
    <n v="3"/>
    <n v="186"/>
    <x v="2"/>
    <n v="1"/>
    <n v="4499.99"/>
    <n v="0.1"/>
    <n v="449.99900000000002"/>
    <n v="8"/>
    <n v="6"/>
  </r>
  <r>
    <n v="1440"/>
    <n v="4"/>
    <n v="178"/>
    <x v="3"/>
    <n v="2"/>
    <n v="749.99"/>
    <n v="0.05"/>
    <n v="37.499500000000005"/>
    <n v="9"/>
    <n v="6"/>
  </r>
  <r>
    <n v="1440"/>
    <n v="5"/>
    <n v="67"/>
    <x v="4"/>
    <n v="2"/>
    <n v="250.99"/>
    <n v="0.2"/>
    <n v="50.198000000000008"/>
    <n v="3"/>
    <n v="6"/>
  </r>
  <r>
    <n v="1441"/>
    <n v="1"/>
    <n v="6"/>
    <x v="0"/>
    <n v="1"/>
    <n v="469.99"/>
    <n v="0.05"/>
    <n v="23.499500000000001"/>
    <n v="9"/>
    <n v="6"/>
  </r>
  <r>
    <n v="1441"/>
    <n v="2"/>
    <n v="242"/>
    <x v="1"/>
    <n v="2"/>
    <n v="699.99"/>
    <n v="0.2"/>
    <n v="139.99800000000002"/>
    <n v="5"/>
    <n v="6"/>
  </r>
  <r>
    <n v="1441"/>
    <n v="3"/>
    <n v="46"/>
    <x v="2"/>
    <n v="1"/>
    <n v="1409.99"/>
    <n v="7.0000000000000007E-2"/>
    <n v="98.699300000000008"/>
    <n v="8"/>
    <n v="6"/>
  </r>
  <r>
    <n v="1442"/>
    <n v="1"/>
    <n v="160"/>
    <x v="0"/>
    <n v="1"/>
    <n v="4499.99"/>
    <n v="0.1"/>
    <n v="449.99900000000002"/>
    <n v="9"/>
    <n v="6"/>
  </r>
  <r>
    <n v="1442"/>
    <n v="2"/>
    <n v="220"/>
    <x v="1"/>
    <n v="1"/>
    <n v="269.99"/>
    <n v="7.0000000000000007E-2"/>
    <n v="18.899300000000004"/>
    <n v="5"/>
    <n v="6"/>
  </r>
  <r>
    <n v="1442"/>
    <n v="3"/>
    <n v="271"/>
    <x v="2"/>
    <n v="2"/>
    <n v="209.99"/>
    <n v="0.05"/>
    <n v="10.499500000000001"/>
    <n v="8"/>
    <n v="6"/>
  </r>
  <r>
    <n v="1443"/>
    <n v="1"/>
    <n v="160"/>
    <x v="0"/>
    <n v="1"/>
    <n v="4499.99"/>
    <n v="7.0000000000000007E-2"/>
    <n v="314.99930000000001"/>
    <n v="9"/>
    <n v="6"/>
  </r>
  <r>
    <n v="1443"/>
    <n v="2"/>
    <n v="57"/>
    <x v="1"/>
    <n v="1"/>
    <n v="1999.99"/>
    <n v="0.2"/>
    <n v="399.99800000000005"/>
    <n v="5"/>
    <n v="6"/>
  </r>
  <r>
    <n v="1443"/>
    <n v="3"/>
    <n v="101"/>
    <x v="2"/>
    <n v="2"/>
    <n v="339.99"/>
    <n v="0.1"/>
    <n v="33.999000000000002"/>
    <n v="8"/>
    <n v="6"/>
  </r>
  <r>
    <n v="1444"/>
    <n v="1"/>
    <n v="90"/>
    <x v="0"/>
    <n v="1"/>
    <n v="209.99"/>
    <n v="0.1"/>
    <n v="20.999000000000002"/>
    <n v="9"/>
    <n v="6"/>
  </r>
  <r>
    <n v="1444"/>
    <n v="2"/>
    <n v="128"/>
    <x v="1"/>
    <n v="2"/>
    <n v="1899"/>
    <n v="0.2"/>
    <n v="379.8"/>
    <n v="5"/>
    <n v="6"/>
  </r>
  <r>
    <n v="1445"/>
    <n v="1"/>
    <n v="219"/>
    <x v="0"/>
    <n v="2"/>
    <n v="639.99"/>
    <n v="0.1"/>
    <n v="63.999000000000002"/>
    <n v="9"/>
    <n v="6"/>
  </r>
  <r>
    <n v="1445"/>
    <n v="2"/>
    <n v="52"/>
    <x v="1"/>
    <n v="1"/>
    <n v="875.99"/>
    <n v="7.0000000000000007E-2"/>
    <n v="61.319300000000005"/>
    <n v="5"/>
    <n v="6"/>
  </r>
  <r>
    <n v="1445"/>
    <n v="3"/>
    <n v="123"/>
    <x v="2"/>
    <n v="2"/>
    <n v="999.99"/>
    <n v="0.1"/>
    <n v="99.999000000000009"/>
    <n v="8"/>
    <n v="6"/>
  </r>
  <r>
    <n v="1446"/>
    <n v="1"/>
    <n v="227"/>
    <x v="0"/>
    <n v="1"/>
    <n v="319.99"/>
    <n v="0.05"/>
    <n v="15.999500000000001"/>
    <n v="9"/>
    <n v="6"/>
  </r>
  <r>
    <n v="1446"/>
    <n v="2"/>
    <n v="233"/>
    <x v="1"/>
    <n v="2"/>
    <n v="639.99"/>
    <n v="0.05"/>
    <n v="31.999500000000001"/>
    <n v="5"/>
    <n v="6"/>
  </r>
  <r>
    <n v="1446"/>
    <n v="3"/>
    <n v="234"/>
    <x v="2"/>
    <n v="2"/>
    <n v="899.99"/>
    <n v="0.05"/>
    <n v="44.999500000000005"/>
    <n v="8"/>
    <n v="6"/>
  </r>
  <r>
    <n v="1447"/>
    <n v="1"/>
    <n v="148"/>
    <x v="0"/>
    <n v="1"/>
    <n v="5499.99"/>
    <n v="0.2"/>
    <n v="1099.998"/>
    <n v="9"/>
    <n v="6"/>
  </r>
  <r>
    <n v="1448"/>
    <n v="1"/>
    <n v="239"/>
    <x v="0"/>
    <n v="1"/>
    <n v="749.99"/>
    <n v="0.1"/>
    <n v="74.999000000000009"/>
    <n v="9"/>
    <n v="6"/>
  </r>
  <r>
    <n v="1449"/>
    <n v="1"/>
    <n v="159"/>
    <x v="0"/>
    <n v="1"/>
    <n v="2299.9899999999998"/>
    <n v="7.0000000000000007E-2"/>
    <n v="160.99930000000001"/>
    <n v="9"/>
    <n v="6"/>
  </r>
  <r>
    <n v="1449"/>
    <n v="2"/>
    <n v="55"/>
    <x v="1"/>
    <n v="1"/>
    <n v="2699.99"/>
    <n v="0.2"/>
    <n v="539.99799999999993"/>
    <n v="5"/>
    <n v="6"/>
  </r>
  <r>
    <n v="1449"/>
    <n v="3"/>
    <n v="260"/>
    <x v="2"/>
    <n v="2"/>
    <n v="799.99"/>
    <n v="7.0000000000000007E-2"/>
    <n v="55.999300000000005"/>
    <n v="8"/>
    <n v="6"/>
  </r>
  <r>
    <n v="1449"/>
    <n v="4"/>
    <n v="252"/>
    <x v="3"/>
    <n v="2"/>
    <n v="2999.99"/>
    <n v="0.05"/>
    <n v="149.99949999999998"/>
    <n v="9"/>
    <n v="6"/>
  </r>
  <r>
    <n v="1449"/>
    <n v="5"/>
    <n v="14"/>
    <x v="4"/>
    <n v="2"/>
    <n v="269.99"/>
    <n v="0.1"/>
    <n v="26.999000000000002"/>
    <n v="3"/>
    <n v="6"/>
  </r>
  <r>
    <n v="1450"/>
    <n v="1"/>
    <n v="98"/>
    <x v="0"/>
    <n v="1"/>
    <n v="489.99"/>
    <n v="7.0000000000000007E-2"/>
    <n v="34.299300000000002"/>
    <n v="9"/>
    <n v="6"/>
  </r>
  <r>
    <n v="1450"/>
    <n v="2"/>
    <n v="173"/>
    <x v="1"/>
    <n v="2"/>
    <n v="3199.99"/>
    <n v="0.1"/>
    <n v="319.99900000000002"/>
    <n v="5"/>
    <n v="6"/>
  </r>
  <r>
    <n v="1450"/>
    <n v="3"/>
    <n v="299"/>
    <x v="2"/>
    <n v="1"/>
    <n v="559.99"/>
    <n v="0.2"/>
    <n v="111.998"/>
    <n v="8"/>
    <n v="6"/>
  </r>
  <r>
    <n v="1450"/>
    <n v="4"/>
    <n v="209"/>
    <x v="3"/>
    <n v="2"/>
    <n v="2999.99"/>
    <n v="0.1"/>
    <n v="299.99899999999997"/>
    <n v="9"/>
    <n v="6"/>
  </r>
  <r>
    <n v="1450"/>
    <n v="5"/>
    <n v="235"/>
    <x v="4"/>
    <n v="2"/>
    <n v="899.99"/>
    <n v="0.05"/>
    <n v="44.999500000000005"/>
    <n v="3"/>
    <n v="6"/>
  </r>
  <r>
    <n v="1451"/>
    <n v="1"/>
    <n v="117"/>
    <x v="0"/>
    <n v="1"/>
    <n v="1469.99"/>
    <n v="0.05"/>
    <n v="73.499499999999998"/>
    <n v="9"/>
    <n v="6"/>
  </r>
  <r>
    <n v="1452"/>
    <n v="1"/>
    <n v="99"/>
    <x v="0"/>
    <n v="2"/>
    <n v="299.99"/>
    <n v="0.1"/>
    <n v="29.999000000000002"/>
    <n v="9"/>
    <n v="6"/>
  </r>
  <r>
    <n v="1452"/>
    <n v="2"/>
    <n v="234"/>
    <x v="1"/>
    <n v="1"/>
    <n v="899.99"/>
    <n v="0.2"/>
    <n v="179.99800000000002"/>
    <n v="5"/>
    <n v="6"/>
  </r>
  <r>
    <n v="1452"/>
    <n v="3"/>
    <n v="86"/>
    <x v="2"/>
    <n v="2"/>
    <n v="149.99"/>
    <n v="0.05"/>
    <n v="7.4995000000000012"/>
    <n v="8"/>
    <n v="6"/>
  </r>
  <r>
    <n v="1452"/>
    <n v="4"/>
    <n v="109"/>
    <x v="3"/>
    <n v="2"/>
    <n v="416.99"/>
    <n v="7.0000000000000007E-2"/>
    <n v="29.189300000000003"/>
    <n v="9"/>
    <n v="6"/>
  </r>
  <r>
    <n v="1453"/>
    <n v="1"/>
    <n v="89"/>
    <x v="0"/>
    <n v="2"/>
    <n v="209.99"/>
    <n v="0.1"/>
    <n v="20.999000000000002"/>
    <n v="9"/>
    <n v="6"/>
  </r>
  <r>
    <n v="1454"/>
    <n v="1"/>
    <n v="283"/>
    <x v="0"/>
    <n v="1"/>
    <n v="319.99"/>
    <n v="7.0000000000000007E-2"/>
    <n v="22.399300000000004"/>
    <n v="9"/>
    <n v="6"/>
  </r>
  <r>
    <n v="1454"/>
    <n v="2"/>
    <n v="35"/>
    <x v="1"/>
    <n v="2"/>
    <n v="832.99"/>
    <n v="0.1"/>
    <n v="83.299000000000007"/>
    <n v="5"/>
    <n v="6"/>
  </r>
  <r>
    <n v="1454"/>
    <n v="3"/>
    <n v="124"/>
    <x v="2"/>
    <n v="1"/>
    <n v="1499"/>
    <n v="0.2"/>
    <n v="299.8"/>
    <n v="8"/>
    <n v="6"/>
  </r>
  <r>
    <n v="1454"/>
    <n v="4"/>
    <n v="38"/>
    <x v="3"/>
    <n v="2"/>
    <n v="549.99"/>
    <n v="0.05"/>
    <n v="27.499500000000001"/>
    <n v="9"/>
    <n v="6"/>
  </r>
  <r>
    <n v="1455"/>
    <n v="1"/>
    <n v="101"/>
    <x v="0"/>
    <n v="2"/>
    <n v="339.99"/>
    <n v="0.05"/>
    <n v="16.999500000000001"/>
    <n v="9"/>
    <n v="6"/>
  </r>
  <r>
    <n v="1455"/>
    <n v="2"/>
    <n v="254"/>
    <x v="1"/>
    <n v="1"/>
    <n v="749.99"/>
    <n v="0.2"/>
    <n v="149.99800000000002"/>
    <n v="5"/>
    <n v="6"/>
  </r>
  <r>
    <n v="1456"/>
    <n v="1"/>
    <n v="193"/>
    <x v="0"/>
    <n v="2"/>
    <n v="2799.99"/>
    <n v="0.05"/>
    <n v="139.99949999999998"/>
    <n v="9"/>
    <n v="6"/>
  </r>
  <r>
    <n v="1456"/>
    <n v="2"/>
    <n v="246"/>
    <x v="1"/>
    <n v="1"/>
    <n v="639.99"/>
    <n v="7.0000000000000007E-2"/>
    <n v="44.799300000000002"/>
    <n v="5"/>
    <n v="6"/>
  </r>
  <r>
    <n v="1456"/>
    <n v="3"/>
    <n v="268"/>
    <x v="2"/>
    <n v="2"/>
    <n v="159.99"/>
    <n v="0.1"/>
    <n v="15.999000000000002"/>
    <n v="8"/>
    <n v="6"/>
  </r>
  <r>
    <n v="1456"/>
    <n v="4"/>
    <n v="272"/>
    <x v="3"/>
    <n v="1"/>
    <n v="289.99"/>
    <n v="0.1"/>
    <n v="28.999000000000002"/>
    <n v="9"/>
    <n v="6"/>
  </r>
  <r>
    <n v="1456"/>
    <n v="5"/>
    <n v="126"/>
    <x v="4"/>
    <n v="1"/>
    <n v="469.99"/>
    <n v="0.1"/>
    <n v="46.999000000000002"/>
    <n v="3"/>
    <n v="6"/>
  </r>
  <r>
    <n v="1457"/>
    <n v="1"/>
    <n v="113"/>
    <x v="0"/>
    <n v="1"/>
    <n v="489.99"/>
    <n v="7.0000000000000007E-2"/>
    <n v="34.299300000000002"/>
    <n v="9"/>
    <n v="6"/>
  </r>
  <r>
    <n v="1457"/>
    <n v="2"/>
    <n v="111"/>
    <x v="1"/>
    <n v="1"/>
    <n v="470.99"/>
    <n v="0.2"/>
    <n v="94.198000000000008"/>
    <n v="5"/>
    <n v="6"/>
  </r>
  <r>
    <n v="1457"/>
    <n v="3"/>
    <n v="268"/>
    <x v="2"/>
    <n v="1"/>
    <n v="159.99"/>
    <n v="0.2"/>
    <n v="31.998000000000005"/>
    <n v="8"/>
    <n v="6"/>
  </r>
  <r>
    <n v="1457"/>
    <n v="4"/>
    <n v="152"/>
    <x v="3"/>
    <n v="2"/>
    <n v="2499.9899999999998"/>
    <n v="0.2"/>
    <n v="499.99799999999999"/>
    <n v="9"/>
    <n v="6"/>
  </r>
  <r>
    <n v="1458"/>
    <n v="1"/>
    <n v="295"/>
    <x v="0"/>
    <n v="2"/>
    <n v="319.99"/>
    <n v="0.05"/>
    <n v="15.999500000000001"/>
    <n v="9"/>
    <n v="6"/>
  </r>
  <r>
    <n v="1458"/>
    <n v="2"/>
    <n v="105"/>
    <x v="1"/>
    <n v="1"/>
    <n v="533.99"/>
    <n v="0.05"/>
    <n v="26.6995"/>
    <n v="5"/>
    <n v="6"/>
  </r>
  <r>
    <n v="1458"/>
    <n v="3"/>
    <n v="12"/>
    <x v="2"/>
    <n v="1"/>
    <n v="549.99"/>
    <n v="0.05"/>
    <n v="27.499500000000001"/>
    <n v="8"/>
    <n v="6"/>
  </r>
  <r>
    <n v="1458"/>
    <n v="4"/>
    <n v="78"/>
    <x v="3"/>
    <n v="2"/>
    <n v="647.99"/>
    <n v="0.1"/>
    <n v="64.799000000000007"/>
    <n v="9"/>
    <n v="6"/>
  </r>
  <r>
    <n v="1459"/>
    <n v="1"/>
    <n v="258"/>
    <x v="0"/>
    <n v="1"/>
    <n v="1259.9000000000001"/>
    <n v="0.1"/>
    <n v="125.99000000000001"/>
    <n v="9"/>
    <n v="6"/>
  </r>
  <r>
    <n v="1460"/>
    <n v="1"/>
    <n v="201"/>
    <x v="0"/>
    <n v="1"/>
    <n v="4499.99"/>
    <n v="0.05"/>
    <n v="224.99950000000001"/>
    <n v="9"/>
    <n v="6"/>
  </r>
  <r>
    <n v="1460"/>
    <n v="2"/>
    <n v="76"/>
    <x v="1"/>
    <n v="1"/>
    <n v="299.99"/>
    <n v="7.0000000000000007E-2"/>
    <n v="20.999300000000002"/>
    <n v="5"/>
    <n v="6"/>
  </r>
  <r>
    <n v="1460"/>
    <n v="3"/>
    <n v="167"/>
    <x v="2"/>
    <n v="1"/>
    <n v="749.99"/>
    <n v="0.05"/>
    <n v="37.499500000000005"/>
    <n v="8"/>
    <n v="6"/>
  </r>
  <r>
    <n v="1460"/>
    <n v="4"/>
    <n v="7"/>
    <x v="3"/>
    <n v="2"/>
    <n v="3999.99"/>
    <n v="7.0000000000000007E-2"/>
    <n v="279.99930000000001"/>
    <n v="9"/>
    <n v="6"/>
  </r>
  <r>
    <n v="1460"/>
    <n v="5"/>
    <n v="123"/>
    <x v="4"/>
    <n v="2"/>
    <n v="999.99"/>
    <n v="7.0000000000000007E-2"/>
    <n v="69.999300000000005"/>
    <n v="3"/>
    <n v="6"/>
  </r>
  <r>
    <n v="1461"/>
    <n v="1"/>
    <n v="48"/>
    <x v="0"/>
    <n v="1"/>
    <n v="1499.99"/>
    <n v="0.2"/>
    <n v="299.99799999999999"/>
    <n v="9"/>
    <n v="6"/>
  </r>
  <r>
    <n v="1461"/>
    <n v="2"/>
    <n v="242"/>
    <x v="1"/>
    <n v="2"/>
    <n v="699.99"/>
    <n v="0.2"/>
    <n v="139.99800000000002"/>
    <n v="5"/>
    <n v="6"/>
  </r>
  <r>
    <n v="1462"/>
    <n v="1"/>
    <n v="263"/>
    <x v="0"/>
    <n v="1"/>
    <n v="89.99"/>
    <n v="0.2"/>
    <n v="17.998000000000001"/>
    <n v="9"/>
    <n v="6"/>
  </r>
  <r>
    <n v="1462"/>
    <n v="2"/>
    <n v="25"/>
    <x v="1"/>
    <n v="1"/>
    <n v="499.99"/>
    <n v="7.0000000000000007E-2"/>
    <n v="34.999300000000005"/>
    <n v="5"/>
    <n v="6"/>
  </r>
  <r>
    <n v="1462"/>
    <n v="3"/>
    <n v="223"/>
    <x v="2"/>
    <n v="1"/>
    <n v="529.99"/>
    <n v="0.1"/>
    <n v="52.999000000000002"/>
    <n v="8"/>
    <n v="6"/>
  </r>
  <r>
    <n v="1462"/>
    <n v="4"/>
    <n v="294"/>
    <x v="3"/>
    <n v="1"/>
    <n v="369.99"/>
    <n v="0.1"/>
    <n v="36.999000000000002"/>
    <n v="9"/>
    <n v="6"/>
  </r>
  <r>
    <n v="1462"/>
    <n v="5"/>
    <n v="251"/>
    <x v="4"/>
    <n v="1"/>
    <n v="2999.99"/>
    <n v="0.05"/>
    <n v="149.99949999999998"/>
    <n v="3"/>
    <n v="6"/>
  </r>
  <r>
    <n v="1463"/>
    <n v="1"/>
    <n v="51"/>
    <x v="0"/>
    <n v="2"/>
    <n v="6499.99"/>
    <n v="0.05"/>
    <n v="324.99950000000001"/>
    <n v="9"/>
    <n v="6"/>
  </r>
  <r>
    <n v="1463"/>
    <n v="2"/>
    <n v="168"/>
    <x v="1"/>
    <n v="1"/>
    <n v="1549"/>
    <n v="0.05"/>
    <n v="77.45"/>
    <n v="5"/>
    <n v="6"/>
  </r>
  <r>
    <n v="1464"/>
    <n v="1"/>
    <n v="109"/>
    <x v="0"/>
    <n v="2"/>
    <n v="416.99"/>
    <n v="0.05"/>
    <n v="20.849500000000003"/>
    <n v="9"/>
    <n v="6"/>
  </r>
  <r>
    <n v="1464"/>
    <n v="2"/>
    <n v="124"/>
    <x v="1"/>
    <n v="1"/>
    <n v="1499"/>
    <n v="0.2"/>
    <n v="299.8"/>
    <n v="5"/>
    <n v="6"/>
  </r>
  <r>
    <n v="1464"/>
    <n v="3"/>
    <n v="165"/>
    <x v="2"/>
    <n v="2"/>
    <n v="2499.9899999999998"/>
    <n v="0.2"/>
    <n v="499.99799999999999"/>
    <n v="8"/>
    <n v="6"/>
  </r>
  <r>
    <n v="1464"/>
    <n v="4"/>
    <n v="151"/>
    <x v="3"/>
    <n v="2"/>
    <n v="1549.99"/>
    <n v="0.05"/>
    <n v="77.499500000000012"/>
    <n v="9"/>
    <n v="6"/>
  </r>
  <r>
    <n v="1465"/>
    <n v="1"/>
    <n v="70"/>
    <x v="0"/>
    <n v="2"/>
    <n v="659.99"/>
    <n v="0.05"/>
    <n v="32.999500000000005"/>
    <n v="9"/>
    <n v="6"/>
  </r>
  <r>
    <n v="1466"/>
    <n v="1"/>
    <n v="310"/>
    <x v="0"/>
    <n v="2"/>
    <n v="899.99"/>
    <n v="7.0000000000000007E-2"/>
    <n v="62.999300000000005"/>
    <n v="9"/>
    <n v="6"/>
  </r>
  <r>
    <n v="1466"/>
    <n v="2"/>
    <n v="251"/>
    <x v="1"/>
    <n v="1"/>
    <n v="2999.99"/>
    <n v="0.05"/>
    <n v="149.99949999999998"/>
    <n v="5"/>
    <n v="6"/>
  </r>
  <r>
    <n v="1466"/>
    <n v="3"/>
    <n v="163"/>
    <x v="2"/>
    <n v="2"/>
    <n v="1349"/>
    <n v="0.2"/>
    <n v="269.8"/>
    <n v="8"/>
    <n v="6"/>
  </r>
  <r>
    <n v="1466"/>
    <n v="4"/>
    <n v="39"/>
    <x v="3"/>
    <n v="2"/>
    <n v="1499.99"/>
    <n v="0.05"/>
    <n v="74.999499999999998"/>
    <n v="9"/>
    <n v="6"/>
  </r>
  <r>
    <n v="1467"/>
    <n v="1"/>
    <n v="18"/>
    <x v="0"/>
    <n v="1"/>
    <n v="449"/>
    <n v="7.0000000000000007E-2"/>
    <n v="31.430000000000003"/>
    <n v="9"/>
    <n v="6"/>
  </r>
  <r>
    <n v="1467"/>
    <n v="2"/>
    <n v="115"/>
    <x v="1"/>
    <n v="1"/>
    <n v="3199.99"/>
    <n v="0.2"/>
    <n v="639.99800000000005"/>
    <n v="5"/>
    <n v="6"/>
  </r>
  <r>
    <n v="1467"/>
    <n v="3"/>
    <n v="278"/>
    <x v="2"/>
    <n v="2"/>
    <n v="369.99"/>
    <n v="0.1"/>
    <n v="36.999000000000002"/>
    <n v="8"/>
    <n v="6"/>
  </r>
  <r>
    <n v="1468"/>
    <n v="1"/>
    <n v="269"/>
    <x v="0"/>
    <n v="1"/>
    <n v="199.99"/>
    <n v="0.05"/>
    <n v="9.9995000000000012"/>
    <n v="9"/>
    <n v="6"/>
  </r>
  <r>
    <n v="1468"/>
    <n v="2"/>
    <n v="58"/>
    <x v="1"/>
    <n v="1"/>
    <n v="4999.99"/>
    <n v="7.0000000000000007E-2"/>
    <n v="349.99930000000001"/>
    <n v="5"/>
    <n v="6"/>
  </r>
  <r>
    <n v="1468"/>
    <n v="3"/>
    <n v="50"/>
    <x v="2"/>
    <n v="2"/>
    <n v="5999.99"/>
    <n v="7.0000000000000007E-2"/>
    <n v="419.99930000000001"/>
    <n v="8"/>
    <n v="6"/>
  </r>
  <r>
    <n v="1469"/>
    <n v="1"/>
    <n v="77"/>
    <x v="0"/>
    <n v="2"/>
    <n v="799.99"/>
    <n v="0.2"/>
    <n v="159.99800000000002"/>
    <n v="9"/>
    <n v="6"/>
  </r>
  <r>
    <n v="1469"/>
    <n v="2"/>
    <n v="237"/>
    <x v="1"/>
    <n v="2"/>
    <n v="849.99"/>
    <n v="0.05"/>
    <n v="42.499500000000005"/>
    <n v="5"/>
    <n v="6"/>
  </r>
  <r>
    <n v="1469"/>
    <n v="3"/>
    <n v="182"/>
    <x v="2"/>
    <n v="1"/>
    <n v="2499.9899999999998"/>
    <n v="7.0000000000000007E-2"/>
    <n v="174.99930000000001"/>
    <n v="8"/>
    <n v="6"/>
  </r>
  <r>
    <n v="1469"/>
    <n v="4"/>
    <n v="100"/>
    <x v="3"/>
    <n v="2"/>
    <n v="489.99"/>
    <n v="0.05"/>
    <n v="24.499500000000001"/>
    <n v="9"/>
    <n v="6"/>
  </r>
  <r>
    <n v="1470"/>
    <n v="1"/>
    <n v="110"/>
    <x v="0"/>
    <n v="2"/>
    <n v="470.99"/>
    <n v="0.1"/>
    <n v="47.099000000000004"/>
    <n v="9"/>
    <n v="6"/>
  </r>
  <r>
    <n v="1470"/>
    <n v="2"/>
    <n v="287"/>
    <x v="1"/>
    <n v="1"/>
    <n v="279.99"/>
    <n v="0.05"/>
    <n v="13.999500000000001"/>
    <n v="5"/>
    <n v="6"/>
  </r>
  <r>
    <n v="1470"/>
    <n v="3"/>
    <n v="252"/>
    <x v="2"/>
    <n v="2"/>
    <n v="2999.99"/>
    <n v="0.05"/>
    <n v="149.99949999999998"/>
    <n v="8"/>
    <n v="6"/>
  </r>
  <r>
    <n v="1471"/>
    <n v="1"/>
    <n v="59"/>
    <x v="0"/>
    <n v="2"/>
    <n v="2599.9899999999998"/>
    <n v="0.2"/>
    <n v="519.99799999999993"/>
    <n v="9"/>
    <n v="6"/>
  </r>
  <r>
    <n v="1471"/>
    <n v="2"/>
    <n v="136"/>
    <x v="1"/>
    <n v="1"/>
    <n v="1799.99"/>
    <n v="7.0000000000000007E-2"/>
    <n v="125.99930000000002"/>
    <n v="5"/>
    <n v="6"/>
  </r>
  <r>
    <n v="1472"/>
    <n v="1"/>
    <n v="84"/>
    <x v="0"/>
    <n v="1"/>
    <n v="109.99"/>
    <n v="0.2"/>
    <n v="21.998000000000001"/>
    <n v="9"/>
    <n v="6"/>
  </r>
  <r>
    <n v="1472"/>
    <n v="2"/>
    <n v="300"/>
    <x v="1"/>
    <n v="1"/>
    <n v="799.99"/>
    <n v="0.2"/>
    <n v="159.99800000000002"/>
    <n v="5"/>
    <n v="6"/>
  </r>
  <r>
    <n v="1473"/>
    <n v="1"/>
    <n v="84"/>
    <x v="0"/>
    <n v="2"/>
    <n v="109.99"/>
    <n v="0.2"/>
    <n v="21.998000000000001"/>
    <n v="9"/>
    <n v="6"/>
  </r>
  <r>
    <n v="1473"/>
    <n v="2"/>
    <n v="102"/>
    <x v="1"/>
    <n v="1"/>
    <n v="489.99"/>
    <n v="7.0000000000000007E-2"/>
    <n v="34.299300000000002"/>
    <n v="5"/>
    <n v="6"/>
  </r>
  <r>
    <n v="1474"/>
    <n v="1"/>
    <n v="301"/>
    <x v="0"/>
    <n v="1"/>
    <n v="899.99"/>
    <n v="0.2"/>
    <n v="179.99800000000002"/>
    <n v="9"/>
    <n v="6"/>
  </r>
  <r>
    <n v="1474"/>
    <n v="2"/>
    <n v="123"/>
    <x v="1"/>
    <n v="1"/>
    <n v="999.99"/>
    <n v="0.05"/>
    <n v="49.999500000000005"/>
    <n v="5"/>
    <n v="6"/>
  </r>
  <r>
    <n v="1475"/>
    <n v="1"/>
    <n v="306"/>
    <x v="0"/>
    <n v="2"/>
    <n v="899.99"/>
    <n v="0.05"/>
    <n v="44.999500000000005"/>
    <n v="9"/>
    <n v="6"/>
  </r>
  <r>
    <n v="1475"/>
    <n v="2"/>
    <n v="261"/>
    <x v="1"/>
    <n v="2"/>
    <n v="899.99"/>
    <n v="7.0000000000000007E-2"/>
    <n v="62.999300000000005"/>
    <n v="5"/>
    <n v="6"/>
  </r>
  <r>
    <n v="1475"/>
    <n v="3"/>
    <n v="161"/>
    <x v="2"/>
    <n v="2"/>
    <n v="1899"/>
    <n v="0.05"/>
    <n v="94.95"/>
    <n v="8"/>
    <n v="6"/>
  </r>
  <r>
    <n v="1475"/>
    <n v="4"/>
    <n v="248"/>
    <x v="3"/>
    <n v="2"/>
    <n v="599.99"/>
    <n v="0.2"/>
    <n v="119.998"/>
    <n v="9"/>
    <n v="6"/>
  </r>
  <r>
    <n v="1476"/>
    <n v="1"/>
    <n v="142"/>
    <x v="0"/>
    <n v="2"/>
    <n v="3199.99"/>
    <n v="7.0000000000000007E-2"/>
    <n v="223.99930000000001"/>
    <n v="9"/>
    <n v="6"/>
  </r>
  <r>
    <n v="1476"/>
    <n v="2"/>
    <n v="91"/>
    <x v="1"/>
    <n v="2"/>
    <n v="349.99"/>
    <n v="7.0000000000000007E-2"/>
    <n v="24.499300000000002"/>
    <n v="5"/>
    <n v="6"/>
  </r>
  <r>
    <n v="1476"/>
    <n v="3"/>
    <n v="43"/>
    <x v="2"/>
    <n v="1"/>
    <n v="5299.99"/>
    <n v="7.0000000000000007E-2"/>
    <n v="370.99930000000001"/>
    <n v="8"/>
    <n v="6"/>
  </r>
  <r>
    <n v="1476"/>
    <n v="4"/>
    <n v="191"/>
    <x v="3"/>
    <n v="1"/>
    <n v="2799.99"/>
    <n v="0.1"/>
    <n v="279.99899999999997"/>
    <n v="9"/>
    <n v="6"/>
  </r>
  <r>
    <n v="1476"/>
    <n v="5"/>
    <n v="265"/>
    <x v="4"/>
    <n v="2"/>
    <n v="289.99"/>
    <n v="0.1"/>
    <n v="28.999000000000002"/>
    <n v="3"/>
    <n v="6"/>
  </r>
  <r>
    <n v="1477"/>
    <n v="1"/>
    <n v="210"/>
    <x v="0"/>
    <n v="2"/>
    <n v="1549"/>
    <n v="0.2"/>
    <n v="309.8"/>
    <n v="9"/>
    <n v="6"/>
  </r>
  <r>
    <n v="1478"/>
    <n v="1"/>
    <n v="100"/>
    <x v="0"/>
    <n v="2"/>
    <n v="489.99"/>
    <n v="0.1"/>
    <n v="48.999000000000002"/>
    <n v="9"/>
    <n v="6"/>
  </r>
  <r>
    <n v="1478"/>
    <n v="2"/>
    <n v="123"/>
    <x v="1"/>
    <n v="1"/>
    <n v="999.99"/>
    <n v="0.2"/>
    <n v="199.99800000000002"/>
    <n v="5"/>
    <n v="6"/>
  </r>
  <r>
    <n v="1479"/>
    <n v="1"/>
    <n v="252"/>
    <x v="0"/>
    <n v="1"/>
    <n v="2999.99"/>
    <n v="0.05"/>
    <n v="149.99949999999998"/>
    <n v="9"/>
    <n v="6"/>
  </r>
  <r>
    <n v="1479"/>
    <n v="2"/>
    <n v="256"/>
    <x v="1"/>
    <n v="1"/>
    <n v="899.99"/>
    <n v="0.1"/>
    <n v="89.999000000000009"/>
    <n v="5"/>
    <n v="6"/>
  </r>
  <r>
    <n v="1480"/>
    <n v="1"/>
    <n v="308"/>
    <x v="0"/>
    <n v="2"/>
    <n v="749.99"/>
    <n v="0.1"/>
    <n v="74.999000000000009"/>
    <n v="9"/>
    <n v="6"/>
  </r>
  <r>
    <n v="1480"/>
    <n v="2"/>
    <n v="82"/>
    <x v="1"/>
    <n v="2"/>
    <n v="659.99"/>
    <n v="0.1"/>
    <n v="65.999000000000009"/>
    <n v="5"/>
    <n v="6"/>
  </r>
  <r>
    <n v="1480"/>
    <n v="3"/>
    <n v="92"/>
    <x v="2"/>
    <n v="2"/>
    <n v="209.99"/>
    <n v="7.0000000000000007E-2"/>
    <n v="14.699300000000003"/>
    <n v="8"/>
    <n v="6"/>
  </r>
  <r>
    <n v="1480"/>
    <n v="4"/>
    <n v="225"/>
    <x v="3"/>
    <n v="2"/>
    <n v="959.99"/>
    <n v="7.0000000000000007E-2"/>
    <n v="67.199300000000008"/>
    <n v="9"/>
    <n v="6"/>
  </r>
  <r>
    <n v="1481"/>
    <n v="1"/>
    <n v="53"/>
    <x v="0"/>
    <n v="2"/>
    <n v="749.99"/>
    <n v="7.0000000000000007E-2"/>
    <n v="52.499300000000005"/>
    <n v="9"/>
    <n v="6"/>
  </r>
  <r>
    <n v="1481"/>
    <n v="2"/>
    <n v="130"/>
    <x v="1"/>
    <n v="1"/>
    <n v="919.99"/>
    <n v="0.1"/>
    <n v="91.999000000000009"/>
    <n v="5"/>
    <n v="6"/>
  </r>
  <r>
    <n v="1482"/>
    <n v="1"/>
    <n v="48"/>
    <x v="0"/>
    <n v="1"/>
    <n v="1499.99"/>
    <n v="0.1"/>
    <n v="149.999"/>
    <n v="9"/>
    <n v="6"/>
  </r>
  <r>
    <n v="1482"/>
    <n v="2"/>
    <n v="113"/>
    <x v="1"/>
    <n v="1"/>
    <n v="489.99"/>
    <n v="0.05"/>
    <n v="24.499500000000001"/>
    <n v="5"/>
    <n v="6"/>
  </r>
  <r>
    <n v="1482"/>
    <n v="3"/>
    <n v="58"/>
    <x v="2"/>
    <n v="2"/>
    <n v="4999.99"/>
    <n v="7.0000000000000007E-2"/>
    <n v="349.99930000000001"/>
    <n v="8"/>
    <n v="6"/>
  </r>
  <r>
    <n v="1482"/>
    <n v="4"/>
    <n v="40"/>
    <x v="3"/>
    <n v="1"/>
    <n v="4999.99"/>
    <n v="0.05"/>
    <n v="249.99950000000001"/>
    <n v="9"/>
    <n v="6"/>
  </r>
  <r>
    <n v="1482"/>
    <n v="5"/>
    <n v="205"/>
    <x v="4"/>
    <n v="2"/>
    <n v="4999.99"/>
    <n v="0.05"/>
    <n v="249.99950000000001"/>
    <n v="3"/>
    <n v="6"/>
  </r>
  <r>
    <n v="1483"/>
    <n v="1"/>
    <n v="280"/>
    <x v="0"/>
    <n v="1"/>
    <n v="489.99"/>
    <n v="0.05"/>
    <n v="24.499500000000001"/>
    <n v="9"/>
    <n v="6"/>
  </r>
  <r>
    <n v="1483"/>
    <n v="2"/>
    <n v="226"/>
    <x v="1"/>
    <n v="2"/>
    <n v="679.99"/>
    <n v="7.0000000000000007E-2"/>
    <n v="47.599300000000007"/>
    <n v="5"/>
    <n v="6"/>
  </r>
  <r>
    <n v="1484"/>
    <n v="1"/>
    <n v="295"/>
    <x v="0"/>
    <n v="2"/>
    <n v="319.99"/>
    <n v="7.0000000000000007E-2"/>
    <n v="22.399300000000004"/>
    <n v="9"/>
    <n v="6"/>
  </r>
  <r>
    <n v="1484"/>
    <n v="2"/>
    <n v="49"/>
    <x v="1"/>
    <n v="2"/>
    <n v="3499.99"/>
    <n v="0.2"/>
    <n v="699.99800000000005"/>
    <n v="5"/>
    <n v="6"/>
  </r>
  <r>
    <n v="1484"/>
    <n v="3"/>
    <n v="304"/>
    <x v="2"/>
    <n v="2"/>
    <n v="679.99"/>
    <n v="0.05"/>
    <n v="33.999500000000005"/>
    <n v="8"/>
    <n v="6"/>
  </r>
  <r>
    <n v="1485"/>
    <n v="1"/>
    <n v="122"/>
    <x v="0"/>
    <n v="2"/>
    <n v="2499.9899999999998"/>
    <n v="0.2"/>
    <n v="499.99799999999999"/>
    <n v="9"/>
    <n v="6"/>
  </r>
  <r>
    <n v="1485"/>
    <n v="2"/>
    <n v="276"/>
    <x v="1"/>
    <n v="1"/>
    <n v="319.99"/>
    <n v="0.2"/>
    <n v="63.998000000000005"/>
    <n v="5"/>
    <n v="6"/>
  </r>
  <r>
    <n v="1486"/>
    <n v="1"/>
    <n v="60"/>
    <x v="0"/>
    <n v="2"/>
    <n v="1559.99"/>
    <n v="0.05"/>
    <n v="77.999500000000012"/>
    <n v="9"/>
    <n v="6"/>
  </r>
  <r>
    <n v="1486"/>
    <n v="2"/>
    <n v="98"/>
    <x v="1"/>
    <n v="1"/>
    <n v="489.99"/>
    <n v="0.05"/>
    <n v="24.499500000000001"/>
    <n v="5"/>
    <n v="6"/>
  </r>
  <r>
    <n v="1486"/>
    <n v="3"/>
    <n v="113"/>
    <x v="2"/>
    <n v="1"/>
    <n v="489.99"/>
    <n v="0.1"/>
    <n v="48.999000000000002"/>
    <n v="8"/>
    <n v="6"/>
  </r>
  <r>
    <n v="1486"/>
    <n v="4"/>
    <n v="269"/>
    <x v="3"/>
    <n v="1"/>
    <n v="199.99"/>
    <n v="0.1"/>
    <n v="19.999000000000002"/>
    <n v="9"/>
    <n v="6"/>
  </r>
  <r>
    <n v="1487"/>
    <n v="1"/>
    <n v="160"/>
    <x v="0"/>
    <n v="1"/>
    <n v="4499.99"/>
    <n v="7.0000000000000007E-2"/>
    <n v="314.99930000000001"/>
    <n v="9"/>
    <n v="6"/>
  </r>
  <r>
    <n v="1487"/>
    <n v="2"/>
    <n v="151"/>
    <x v="1"/>
    <n v="2"/>
    <n v="1549.99"/>
    <n v="0.2"/>
    <n v="309.99800000000005"/>
    <n v="5"/>
    <n v="6"/>
  </r>
  <r>
    <n v="1487"/>
    <n v="3"/>
    <n v="198"/>
    <x v="2"/>
    <n v="1"/>
    <n v="2999.99"/>
    <n v="0.05"/>
    <n v="149.99949999999998"/>
    <n v="8"/>
    <n v="6"/>
  </r>
  <r>
    <n v="1487"/>
    <n v="4"/>
    <n v="196"/>
    <x v="3"/>
    <n v="1"/>
    <n v="2299.9899999999998"/>
    <n v="0.05"/>
    <n v="114.9995"/>
    <n v="9"/>
    <n v="6"/>
  </r>
  <r>
    <n v="1487"/>
    <n v="5"/>
    <n v="96"/>
    <x v="4"/>
    <n v="2"/>
    <n v="349.99"/>
    <n v="0.2"/>
    <n v="69.998000000000005"/>
    <n v="3"/>
    <n v="6"/>
  </r>
  <r>
    <n v="1488"/>
    <n v="1"/>
    <n v="42"/>
    <x v="0"/>
    <n v="1"/>
    <n v="2299.9899999999998"/>
    <n v="7.0000000000000007E-2"/>
    <n v="160.99930000000001"/>
    <n v="9"/>
    <n v="6"/>
  </r>
  <r>
    <n v="1488"/>
    <n v="2"/>
    <n v="122"/>
    <x v="1"/>
    <n v="1"/>
    <n v="2499.9899999999998"/>
    <n v="7.0000000000000007E-2"/>
    <n v="174.99930000000001"/>
    <n v="5"/>
    <n v="6"/>
  </r>
  <r>
    <n v="1489"/>
    <n v="1"/>
    <n v="198"/>
    <x v="0"/>
    <n v="1"/>
    <n v="2999.99"/>
    <n v="0.2"/>
    <n v="599.99799999999993"/>
    <n v="9"/>
    <n v="6"/>
  </r>
  <r>
    <n v="1489"/>
    <n v="2"/>
    <n v="282"/>
    <x v="1"/>
    <n v="2"/>
    <n v="279.99"/>
    <n v="0.2"/>
    <n v="55.998000000000005"/>
    <n v="5"/>
    <n v="6"/>
  </r>
  <r>
    <n v="1489"/>
    <n v="3"/>
    <n v="52"/>
    <x v="2"/>
    <n v="1"/>
    <n v="875.99"/>
    <n v="0.1"/>
    <n v="87.599000000000004"/>
    <n v="8"/>
    <n v="6"/>
  </r>
  <r>
    <n v="1490"/>
    <n v="1"/>
    <n v="99"/>
    <x v="0"/>
    <n v="1"/>
    <n v="299.99"/>
    <n v="0.1"/>
    <n v="29.999000000000002"/>
    <n v="9"/>
    <n v="6"/>
  </r>
  <r>
    <n v="1490"/>
    <n v="2"/>
    <n v="254"/>
    <x v="1"/>
    <n v="1"/>
    <n v="749.99"/>
    <n v="0.1"/>
    <n v="74.999000000000009"/>
    <n v="5"/>
    <n v="6"/>
  </r>
  <r>
    <n v="1490"/>
    <n v="3"/>
    <n v="218"/>
    <x v="2"/>
    <n v="1"/>
    <n v="319.99"/>
    <n v="0.05"/>
    <n v="15.999500000000001"/>
    <n v="8"/>
    <n v="6"/>
  </r>
  <r>
    <n v="1491"/>
    <n v="1"/>
    <n v="95"/>
    <x v="0"/>
    <n v="2"/>
    <n v="299.99"/>
    <n v="0.2"/>
    <n v="59.998000000000005"/>
    <n v="9"/>
    <n v="6"/>
  </r>
  <r>
    <n v="1491"/>
    <n v="2"/>
    <n v="302"/>
    <x v="1"/>
    <n v="1"/>
    <n v="449.99"/>
    <n v="0.05"/>
    <n v="22.499500000000001"/>
    <n v="5"/>
    <n v="6"/>
  </r>
  <r>
    <n v="1491"/>
    <n v="3"/>
    <n v="60"/>
    <x v="2"/>
    <n v="2"/>
    <n v="1559.99"/>
    <n v="7.0000000000000007E-2"/>
    <n v="109.19930000000001"/>
    <n v="8"/>
    <n v="6"/>
  </r>
  <r>
    <n v="1491"/>
    <n v="4"/>
    <n v="139"/>
    <x v="3"/>
    <n v="2"/>
    <n v="2999.99"/>
    <n v="7.0000000000000007E-2"/>
    <n v="209.99930000000001"/>
    <n v="9"/>
    <n v="6"/>
  </r>
  <r>
    <n v="1492"/>
    <n v="1"/>
    <n v="37"/>
    <x v="0"/>
    <n v="2"/>
    <n v="379.99"/>
    <n v="0.1"/>
    <n v="37.999000000000002"/>
    <n v="9"/>
    <n v="6"/>
  </r>
  <r>
    <n v="1493"/>
    <n v="1"/>
    <n v="230"/>
    <x v="0"/>
    <n v="1"/>
    <n v="429.99"/>
    <n v="0.1"/>
    <n v="42.999000000000002"/>
    <n v="9"/>
    <n v="6"/>
  </r>
  <r>
    <n v="1494"/>
    <n v="1"/>
    <n v="230"/>
    <x v="0"/>
    <n v="2"/>
    <n v="429.99"/>
    <n v="0.1"/>
    <n v="42.999000000000002"/>
    <n v="9"/>
    <n v="6"/>
  </r>
  <r>
    <n v="1494"/>
    <n v="2"/>
    <n v="178"/>
    <x v="1"/>
    <n v="2"/>
    <n v="749.99"/>
    <n v="0.2"/>
    <n v="149.99800000000002"/>
    <n v="5"/>
    <n v="6"/>
  </r>
  <r>
    <n v="1494"/>
    <n v="3"/>
    <n v="264"/>
    <x v="2"/>
    <n v="2"/>
    <n v="249.99"/>
    <n v="0.05"/>
    <n v="12.499500000000001"/>
    <n v="8"/>
    <n v="6"/>
  </r>
  <r>
    <n v="1495"/>
    <n v="1"/>
    <n v="292"/>
    <x v="0"/>
    <n v="2"/>
    <n v="369.99"/>
    <n v="0.05"/>
    <n v="18.499500000000001"/>
    <n v="9"/>
    <n v="6"/>
  </r>
  <r>
    <n v="1495"/>
    <n v="2"/>
    <n v="308"/>
    <x v="1"/>
    <n v="2"/>
    <n v="749.99"/>
    <n v="0.2"/>
    <n v="149.99800000000002"/>
    <n v="5"/>
    <n v="6"/>
  </r>
  <r>
    <n v="1495"/>
    <n v="3"/>
    <n v="137"/>
    <x v="2"/>
    <n v="1"/>
    <n v="2599"/>
    <n v="0.1"/>
    <n v="259.90000000000003"/>
    <n v="8"/>
    <n v="6"/>
  </r>
  <r>
    <n v="1496"/>
    <n v="1"/>
    <n v="248"/>
    <x v="0"/>
    <n v="1"/>
    <n v="599.99"/>
    <n v="7.0000000000000007E-2"/>
    <n v="41.999300000000005"/>
    <n v="9"/>
    <n v="6"/>
  </r>
  <r>
    <n v="1496"/>
    <n v="2"/>
    <n v="214"/>
    <x v="1"/>
    <n v="1"/>
    <n v="899.99"/>
    <n v="7.0000000000000007E-2"/>
    <n v="62.999300000000005"/>
    <n v="5"/>
    <n v="6"/>
  </r>
  <r>
    <n v="1496"/>
    <n v="3"/>
    <n v="224"/>
    <x v="2"/>
    <n v="2"/>
    <n v="479.99"/>
    <n v="0.05"/>
    <n v="23.999500000000001"/>
    <n v="8"/>
    <n v="6"/>
  </r>
  <r>
    <n v="1496"/>
    <n v="4"/>
    <n v="302"/>
    <x v="3"/>
    <n v="1"/>
    <n v="449.99"/>
    <n v="0.05"/>
    <n v="22.499500000000001"/>
    <n v="9"/>
    <n v="6"/>
  </r>
  <r>
    <n v="1496"/>
    <n v="5"/>
    <n v="225"/>
    <x v="4"/>
    <n v="2"/>
    <n v="959.99"/>
    <n v="0.2"/>
    <n v="191.99800000000002"/>
    <n v="3"/>
    <n v="6"/>
  </r>
  <r>
    <n v="1497"/>
    <n v="1"/>
    <n v="141"/>
    <x v="0"/>
    <n v="2"/>
    <n v="1599.99"/>
    <n v="0.2"/>
    <n v="319.99800000000005"/>
    <n v="9"/>
    <n v="6"/>
  </r>
  <r>
    <n v="1497"/>
    <n v="2"/>
    <n v="198"/>
    <x v="1"/>
    <n v="2"/>
    <n v="2999.99"/>
    <n v="0.1"/>
    <n v="299.99899999999997"/>
    <n v="5"/>
    <n v="6"/>
  </r>
  <r>
    <n v="1497"/>
    <n v="3"/>
    <n v="204"/>
    <x v="2"/>
    <n v="2"/>
    <n v="3599.99"/>
    <n v="7.0000000000000007E-2"/>
    <n v="251.99930000000001"/>
    <n v="8"/>
    <n v="6"/>
  </r>
  <r>
    <n v="1498"/>
    <n v="1"/>
    <n v="172"/>
    <x v="0"/>
    <n v="1"/>
    <n v="3199.99"/>
    <n v="0.05"/>
    <n v="159.99950000000001"/>
    <n v="9"/>
    <n v="6"/>
  </r>
  <r>
    <n v="1498"/>
    <n v="2"/>
    <n v="260"/>
    <x v="1"/>
    <n v="2"/>
    <n v="799.99"/>
    <n v="7.0000000000000007E-2"/>
    <n v="55.999300000000005"/>
    <n v="5"/>
    <n v="6"/>
  </r>
  <r>
    <n v="1499"/>
    <n v="1"/>
    <n v="110"/>
    <x v="0"/>
    <n v="1"/>
    <n v="470.99"/>
    <n v="0.05"/>
    <n v="23.549500000000002"/>
    <n v="9"/>
    <n v="6"/>
  </r>
  <r>
    <n v="1499"/>
    <n v="2"/>
    <n v="208"/>
    <x v="1"/>
    <n v="1"/>
    <n v="1799.99"/>
    <n v="7.0000000000000007E-2"/>
    <n v="125.99930000000002"/>
    <n v="5"/>
    <n v="6"/>
  </r>
  <r>
    <n v="1499"/>
    <n v="3"/>
    <n v="268"/>
    <x v="2"/>
    <n v="2"/>
    <n v="159.99"/>
    <n v="0.05"/>
    <n v="7.9995000000000012"/>
    <n v="8"/>
    <n v="6"/>
  </r>
  <r>
    <n v="1499"/>
    <n v="4"/>
    <n v="2"/>
    <x v="3"/>
    <n v="1"/>
    <n v="749.99"/>
    <n v="0.05"/>
    <n v="37.499500000000005"/>
    <n v="9"/>
    <n v="6"/>
  </r>
  <r>
    <n v="1499"/>
    <n v="5"/>
    <n v="171"/>
    <x v="4"/>
    <n v="2"/>
    <n v="3199.99"/>
    <n v="0.1"/>
    <n v="319.99900000000002"/>
    <n v="3"/>
    <n v="6"/>
  </r>
  <r>
    <n v="1500"/>
    <n v="1"/>
    <n v="41"/>
    <x v="0"/>
    <n v="2"/>
    <n v="1469.99"/>
    <n v="7.0000000000000007E-2"/>
    <n v="102.89930000000001"/>
    <n v="9"/>
    <n v="6"/>
  </r>
  <r>
    <n v="1500"/>
    <n v="2"/>
    <n v="293"/>
    <x v="1"/>
    <n v="1"/>
    <n v="319.99"/>
    <n v="7.0000000000000007E-2"/>
    <n v="22.399300000000004"/>
    <n v="5"/>
    <n v="6"/>
  </r>
  <r>
    <n v="1501"/>
    <n v="1"/>
    <n v="248"/>
    <x v="0"/>
    <n v="1"/>
    <n v="599.99"/>
    <n v="0.05"/>
    <n v="29.999500000000001"/>
    <n v="9"/>
    <n v="6"/>
  </r>
  <r>
    <n v="1501"/>
    <n v="2"/>
    <n v="219"/>
    <x v="1"/>
    <n v="1"/>
    <n v="639.99"/>
    <n v="7.0000000000000007E-2"/>
    <n v="44.799300000000002"/>
    <n v="5"/>
    <n v="6"/>
  </r>
  <r>
    <n v="1501"/>
    <n v="3"/>
    <n v="15"/>
    <x v="2"/>
    <n v="1"/>
    <n v="529.99"/>
    <n v="0.05"/>
    <n v="26.499500000000001"/>
    <n v="8"/>
    <n v="6"/>
  </r>
  <r>
    <n v="1501"/>
    <n v="4"/>
    <n v="67"/>
    <x v="3"/>
    <n v="1"/>
    <n v="250.99"/>
    <n v="0.2"/>
    <n v="50.198000000000008"/>
    <n v="9"/>
    <n v="6"/>
  </r>
  <r>
    <n v="1501"/>
    <n v="5"/>
    <n v="210"/>
    <x v="4"/>
    <n v="1"/>
    <n v="1549"/>
    <n v="0.05"/>
    <n v="77.45"/>
    <n v="3"/>
    <n v="6"/>
  </r>
  <r>
    <n v="1502"/>
    <n v="1"/>
    <n v="231"/>
    <x v="0"/>
    <n v="2"/>
    <n v="529.99"/>
    <n v="0.2"/>
    <n v="105.998"/>
    <n v="9"/>
    <n v="6"/>
  </r>
  <r>
    <n v="1502"/>
    <n v="2"/>
    <n v="19"/>
    <x v="1"/>
    <n v="2"/>
    <n v="449"/>
    <n v="7.0000000000000007E-2"/>
    <n v="31.430000000000003"/>
    <n v="5"/>
    <n v="6"/>
  </r>
  <r>
    <n v="1502"/>
    <n v="3"/>
    <n v="26"/>
    <x v="2"/>
    <n v="2"/>
    <n v="599.99"/>
    <n v="7.0000000000000007E-2"/>
    <n v="41.999300000000005"/>
    <n v="8"/>
    <n v="6"/>
  </r>
  <r>
    <n v="1502"/>
    <n v="4"/>
    <n v="268"/>
    <x v="3"/>
    <n v="1"/>
    <n v="159.99"/>
    <n v="0.2"/>
    <n v="31.998000000000005"/>
    <n v="9"/>
    <n v="6"/>
  </r>
  <r>
    <n v="1502"/>
    <n v="5"/>
    <n v="255"/>
    <x v="4"/>
    <n v="1"/>
    <n v="899.99"/>
    <n v="7.0000000000000007E-2"/>
    <n v="62.999300000000005"/>
    <n v="3"/>
    <n v="6"/>
  </r>
  <r>
    <n v="1503"/>
    <n v="1"/>
    <n v="217"/>
    <x v="0"/>
    <n v="1"/>
    <n v="909.99"/>
    <n v="0.1"/>
    <n v="90.999000000000009"/>
    <n v="9"/>
    <n v="6"/>
  </r>
  <r>
    <n v="1503"/>
    <n v="2"/>
    <n v="302"/>
    <x v="1"/>
    <n v="2"/>
    <n v="449.99"/>
    <n v="0.05"/>
    <n v="22.499500000000001"/>
    <n v="5"/>
    <n v="6"/>
  </r>
  <r>
    <n v="1504"/>
    <n v="1"/>
    <n v="276"/>
    <x v="0"/>
    <n v="1"/>
    <n v="319.99"/>
    <n v="7.0000000000000007E-2"/>
    <n v="22.399300000000004"/>
    <n v="9"/>
    <n v="6"/>
  </r>
  <r>
    <n v="1505"/>
    <n v="1"/>
    <n v="223"/>
    <x v="0"/>
    <n v="2"/>
    <n v="529.99"/>
    <n v="0.05"/>
    <n v="26.499500000000001"/>
    <n v="9"/>
    <n v="6"/>
  </r>
  <r>
    <n v="1505"/>
    <n v="2"/>
    <n v="24"/>
    <x v="1"/>
    <n v="2"/>
    <n v="549.99"/>
    <n v="7.0000000000000007E-2"/>
    <n v="38.499300000000005"/>
    <n v="5"/>
    <n v="6"/>
  </r>
  <r>
    <n v="1505"/>
    <n v="3"/>
    <n v="43"/>
    <x v="2"/>
    <n v="2"/>
    <n v="5299.99"/>
    <n v="0.05"/>
    <n v="264.99950000000001"/>
    <n v="8"/>
    <n v="6"/>
  </r>
  <r>
    <n v="1506"/>
    <n v="1"/>
    <n v="184"/>
    <x v="0"/>
    <n v="1"/>
    <n v="3499.99"/>
    <n v="0.05"/>
    <n v="174.99950000000001"/>
    <n v="9"/>
    <n v="6"/>
  </r>
  <r>
    <n v="1506"/>
    <n v="2"/>
    <n v="153"/>
    <x v="1"/>
    <n v="2"/>
    <n v="4999.99"/>
    <n v="0.2"/>
    <n v="999.99800000000005"/>
    <n v="5"/>
    <n v="6"/>
  </r>
  <r>
    <n v="1506"/>
    <n v="3"/>
    <n v="149"/>
    <x v="2"/>
    <n v="2"/>
    <n v="7499.99"/>
    <n v="0.05"/>
    <n v="374.99950000000001"/>
    <n v="8"/>
    <n v="6"/>
  </r>
  <r>
    <n v="1507"/>
    <n v="1"/>
    <n v="39"/>
    <x v="0"/>
    <n v="2"/>
    <n v="1499.99"/>
    <n v="0.2"/>
    <n v="299.99799999999999"/>
    <n v="9"/>
    <n v="6"/>
  </r>
  <r>
    <n v="1507"/>
    <n v="2"/>
    <n v="11"/>
    <x v="1"/>
    <n v="2"/>
    <n v="1680.99"/>
    <n v="0.1"/>
    <n v="168.09900000000002"/>
    <n v="5"/>
    <n v="6"/>
  </r>
  <r>
    <n v="1507"/>
    <n v="3"/>
    <n v="259"/>
    <x v="2"/>
    <n v="1"/>
    <n v="1199.99"/>
    <n v="7.0000000000000007E-2"/>
    <n v="83.999300000000005"/>
    <n v="8"/>
    <n v="6"/>
  </r>
  <r>
    <n v="1507"/>
    <n v="4"/>
    <n v="281"/>
    <x v="3"/>
    <n v="1"/>
    <n v="319.99"/>
    <n v="7.0000000000000007E-2"/>
    <n v="22.399300000000004"/>
    <n v="9"/>
    <n v="6"/>
  </r>
  <r>
    <n v="1507"/>
    <n v="5"/>
    <n v="293"/>
    <x v="4"/>
    <n v="2"/>
    <n v="319.99"/>
    <n v="0.05"/>
    <n v="15.999500000000001"/>
    <n v="3"/>
    <n v="6"/>
  </r>
  <r>
    <n v="1508"/>
    <n v="1"/>
    <n v="37"/>
    <x v="0"/>
    <n v="1"/>
    <n v="379.99"/>
    <n v="0.2"/>
    <n v="75.998000000000005"/>
    <n v="9"/>
    <n v="6"/>
  </r>
  <r>
    <n v="1508"/>
    <n v="2"/>
    <n v="109"/>
    <x v="1"/>
    <n v="1"/>
    <n v="416.99"/>
    <n v="0.1"/>
    <n v="41.699000000000005"/>
    <n v="5"/>
    <n v="6"/>
  </r>
  <r>
    <n v="1508"/>
    <n v="3"/>
    <n v="52"/>
    <x v="2"/>
    <n v="2"/>
    <n v="875.99"/>
    <n v="0.05"/>
    <n v="43.799500000000002"/>
    <n v="8"/>
    <n v="6"/>
  </r>
  <r>
    <n v="1508"/>
    <n v="4"/>
    <n v="88"/>
    <x v="3"/>
    <n v="1"/>
    <n v="189.99"/>
    <n v="0.05"/>
    <n v="9.4995000000000012"/>
    <n v="9"/>
    <n v="6"/>
  </r>
  <r>
    <n v="1509"/>
    <n v="1"/>
    <n v="215"/>
    <x v="0"/>
    <n v="2"/>
    <n v="749.99"/>
    <n v="7.0000000000000007E-2"/>
    <n v="52.499300000000005"/>
    <n v="9"/>
    <n v="6"/>
  </r>
  <r>
    <n v="1510"/>
    <n v="1"/>
    <n v="142"/>
    <x v="0"/>
    <n v="2"/>
    <n v="3199.99"/>
    <n v="0.05"/>
    <n v="159.99950000000001"/>
    <n v="9"/>
    <n v="6"/>
  </r>
  <r>
    <n v="1510"/>
    <n v="2"/>
    <n v="68"/>
    <x v="1"/>
    <n v="1"/>
    <n v="449.99"/>
    <n v="0.1"/>
    <n v="44.999000000000002"/>
    <n v="5"/>
    <n v="6"/>
  </r>
  <r>
    <n v="1510"/>
    <n v="3"/>
    <n v="251"/>
    <x v="2"/>
    <n v="2"/>
    <n v="2999.99"/>
    <n v="0.1"/>
    <n v="299.99899999999997"/>
    <n v="8"/>
    <n v="6"/>
  </r>
  <r>
    <n v="1510"/>
    <n v="4"/>
    <n v="220"/>
    <x v="3"/>
    <n v="2"/>
    <n v="269.99"/>
    <n v="0.1"/>
    <n v="26.999000000000002"/>
    <n v="9"/>
    <n v="6"/>
  </r>
  <r>
    <n v="1510"/>
    <n v="5"/>
    <n v="137"/>
    <x v="4"/>
    <n v="1"/>
    <n v="2599"/>
    <n v="0.05"/>
    <n v="129.95000000000002"/>
    <n v="3"/>
    <n v="6"/>
  </r>
  <r>
    <n v="1511"/>
    <n v="1"/>
    <n v="144"/>
    <x v="0"/>
    <n v="2"/>
    <n v="1549.99"/>
    <n v="0.2"/>
    <n v="309.99800000000005"/>
    <n v="9"/>
    <n v="6"/>
  </r>
  <r>
    <n v="1511"/>
    <n v="2"/>
    <n v="288"/>
    <x v="1"/>
    <n v="1"/>
    <n v="389.99"/>
    <n v="7.0000000000000007E-2"/>
    <n v="27.299300000000002"/>
    <n v="5"/>
    <n v="6"/>
  </r>
  <r>
    <n v="1511"/>
    <n v="3"/>
    <n v="17"/>
    <x v="2"/>
    <n v="2"/>
    <n v="429"/>
    <n v="7.0000000000000007E-2"/>
    <n v="30.03"/>
    <n v="8"/>
    <n v="6"/>
  </r>
  <r>
    <n v="1511"/>
    <n v="4"/>
    <n v="41"/>
    <x v="3"/>
    <n v="1"/>
    <n v="1469.99"/>
    <n v="0.05"/>
    <n v="73.499499999999998"/>
    <n v="9"/>
    <n v="6"/>
  </r>
  <r>
    <n v="1511"/>
    <n v="5"/>
    <n v="124"/>
    <x v="4"/>
    <n v="2"/>
    <n v="1499"/>
    <n v="0.2"/>
    <n v="299.8"/>
    <n v="3"/>
    <n v="6"/>
  </r>
  <r>
    <n v="1512"/>
    <n v="1"/>
    <n v="217"/>
    <x v="0"/>
    <n v="1"/>
    <n v="909.99"/>
    <n v="7.0000000000000007E-2"/>
    <n v="63.699300000000008"/>
    <n v="9"/>
    <n v="6"/>
  </r>
  <r>
    <n v="1513"/>
    <n v="1"/>
    <n v="166"/>
    <x v="0"/>
    <n v="1"/>
    <n v="749.99"/>
    <n v="0.1"/>
    <n v="74.999000000000009"/>
    <n v="9"/>
    <n v="6"/>
  </r>
  <r>
    <n v="1513"/>
    <n v="2"/>
    <n v="61"/>
    <x v="1"/>
    <n v="2"/>
    <n v="4999.99"/>
    <n v="0.05"/>
    <n v="249.99950000000001"/>
    <n v="5"/>
    <n v="6"/>
  </r>
  <r>
    <n v="1513"/>
    <n v="3"/>
    <n v="159"/>
    <x v="2"/>
    <n v="2"/>
    <n v="2299.9899999999998"/>
    <n v="0.05"/>
    <n v="114.9995"/>
    <n v="8"/>
    <n v="6"/>
  </r>
  <r>
    <n v="1514"/>
    <n v="1"/>
    <n v="240"/>
    <x v="0"/>
    <n v="2"/>
    <n v="899.99"/>
    <n v="0.1"/>
    <n v="89.999000000000009"/>
    <n v="9"/>
    <n v="6"/>
  </r>
  <r>
    <n v="1514"/>
    <n v="2"/>
    <n v="203"/>
    <x v="1"/>
    <n v="2"/>
    <n v="4999.99"/>
    <n v="0.05"/>
    <n v="249.99950000000001"/>
    <n v="5"/>
    <n v="6"/>
  </r>
  <r>
    <n v="1515"/>
    <n v="1"/>
    <n v="27"/>
    <x v="0"/>
    <n v="2"/>
    <n v="999.99"/>
    <n v="0.2"/>
    <n v="199.99800000000002"/>
    <n v="9"/>
    <n v="6"/>
  </r>
  <r>
    <n v="1515"/>
    <n v="2"/>
    <n v="202"/>
    <x v="1"/>
    <n v="2"/>
    <n v="3499.99"/>
    <n v="0.1"/>
    <n v="349.99900000000002"/>
    <n v="5"/>
    <n v="6"/>
  </r>
  <r>
    <n v="1515"/>
    <n v="3"/>
    <n v="310"/>
    <x v="2"/>
    <n v="2"/>
    <n v="899.99"/>
    <n v="0.05"/>
    <n v="44.999500000000005"/>
    <n v="8"/>
    <n v="6"/>
  </r>
  <r>
    <n v="1515"/>
    <n v="4"/>
    <n v="40"/>
    <x v="3"/>
    <n v="1"/>
    <n v="4999.99"/>
    <n v="0.1"/>
    <n v="499.99900000000002"/>
    <n v="9"/>
    <n v="6"/>
  </r>
  <r>
    <n v="1515"/>
    <n v="5"/>
    <n v="158"/>
    <x v="4"/>
    <n v="2"/>
    <n v="959.99"/>
    <n v="0.2"/>
    <n v="191.99800000000002"/>
    <n v="3"/>
    <n v="6"/>
  </r>
  <r>
    <n v="1516"/>
    <n v="1"/>
    <n v="172"/>
    <x v="0"/>
    <n v="2"/>
    <n v="3199.99"/>
    <n v="0.1"/>
    <n v="319.99900000000002"/>
    <n v="9"/>
    <n v="6"/>
  </r>
  <r>
    <n v="1516"/>
    <n v="2"/>
    <n v="253"/>
    <x v="1"/>
    <n v="1"/>
    <n v="2599.9899999999998"/>
    <n v="0.1"/>
    <n v="259.99899999999997"/>
    <n v="5"/>
    <n v="6"/>
  </r>
  <r>
    <n v="1516"/>
    <n v="3"/>
    <n v="196"/>
    <x v="2"/>
    <n v="2"/>
    <n v="2299.9899999999998"/>
    <n v="0.2"/>
    <n v="459.99799999999999"/>
    <n v="8"/>
    <n v="6"/>
  </r>
  <r>
    <n v="1516"/>
    <n v="4"/>
    <n v="259"/>
    <x v="3"/>
    <n v="2"/>
    <n v="1199.99"/>
    <n v="0.2"/>
    <n v="239.99800000000002"/>
    <n v="9"/>
    <n v="6"/>
  </r>
  <r>
    <n v="1516"/>
    <n v="5"/>
    <n v="271"/>
    <x v="4"/>
    <n v="2"/>
    <n v="209.99"/>
    <n v="0.2"/>
    <n v="41.998000000000005"/>
    <n v="3"/>
    <n v="6"/>
  </r>
  <r>
    <n v="1517"/>
    <n v="1"/>
    <n v="303"/>
    <x v="0"/>
    <n v="2"/>
    <n v="2599.9899999999998"/>
    <n v="7.0000000000000007E-2"/>
    <n v="181.99930000000001"/>
    <n v="9"/>
    <n v="6"/>
  </r>
  <r>
    <n v="1517"/>
    <n v="2"/>
    <n v="226"/>
    <x v="1"/>
    <n v="2"/>
    <n v="679.99"/>
    <n v="0.05"/>
    <n v="33.999500000000005"/>
    <n v="5"/>
    <n v="6"/>
  </r>
  <r>
    <n v="1518"/>
    <n v="1"/>
    <n v="304"/>
    <x v="0"/>
    <n v="2"/>
    <n v="679.99"/>
    <n v="0.1"/>
    <n v="67.999000000000009"/>
    <n v="9"/>
    <n v="6"/>
  </r>
  <r>
    <n v="1518"/>
    <n v="2"/>
    <n v="182"/>
    <x v="1"/>
    <n v="2"/>
    <n v="2499.9899999999998"/>
    <n v="0.05"/>
    <n v="124.9995"/>
    <n v="5"/>
    <n v="6"/>
  </r>
  <r>
    <n v="1518"/>
    <n v="3"/>
    <n v="252"/>
    <x v="2"/>
    <n v="2"/>
    <n v="2999.99"/>
    <n v="0.05"/>
    <n v="149.99949999999998"/>
    <n v="8"/>
    <n v="6"/>
  </r>
  <r>
    <n v="1519"/>
    <n v="1"/>
    <n v="150"/>
    <x v="0"/>
    <n v="1"/>
    <n v="4499.99"/>
    <n v="0.2"/>
    <n v="899.99800000000005"/>
    <n v="9"/>
    <n v="6"/>
  </r>
  <r>
    <n v="1519"/>
    <n v="2"/>
    <n v="85"/>
    <x v="1"/>
    <n v="2"/>
    <n v="329.99"/>
    <n v="0.2"/>
    <n v="65.998000000000005"/>
    <n v="5"/>
    <n v="6"/>
  </r>
  <r>
    <n v="1519"/>
    <n v="3"/>
    <n v="124"/>
    <x v="2"/>
    <n v="2"/>
    <n v="1499"/>
    <n v="7.0000000000000007E-2"/>
    <n v="104.93"/>
    <n v="8"/>
    <n v="6"/>
  </r>
  <r>
    <n v="1519"/>
    <n v="4"/>
    <n v="65"/>
    <x v="3"/>
    <n v="1"/>
    <n v="346.99"/>
    <n v="0.2"/>
    <n v="69.39800000000001"/>
    <n v="9"/>
    <n v="6"/>
  </r>
  <r>
    <n v="1519"/>
    <n v="5"/>
    <n v="265"/>
    <x v="4"/>
    <n v="2"/>
    <n v="289.99"/>
    <n v="0.05"/>
    <n v="14.499500000000001"/>
    <n v="3"/>
    <n v="6"/>
  </r>
  <r>
    <n v="1520"/>
    <n v="1"/>
    <n v="186"/>
    <x v="0"/>
    <n v="1"/>
    <n v="4499.99"/>
    <n v="0.05"/>
    <n v="224.99950000000001"/>
    <n v="9"/>
    <n v="6"/>
  </r>
  <r>
    <n v="1520"/>
    <n v="2"/>
    <n v="188"/>
    <x v="1"/>
    <n v="2"/>
    <n v="3499.99"/>
    <n v="0.2"/>
    <n v="699.99800000000005"/>
    <n v="5"/>
    <n v="6"/>
  </r>
  <r>
    <n v="1520"/>
    <n v="3"/>
    <n v="310"/>
    <x v="2"/>
    <n v="2"/>
    <n v="899.99"/>
    <n v="7.0000000000000007E-2"/>
    <n v="62.999300000000005"/>
    <n v="8"/>
    <n v="6"/>
  </r>
  <r>
    <n v="1520"/>
    <n v="4"/>
    <n v="263"/>
    <x v="3"/>
    <n v="2"/>
    <n v="89.99"/>
    <n v="0.1"/>
    <n v="8.9990000000000006"/>
    <n v="9"/>
    <n v="6"/>
  </r>
  <r>
    <n v="1521"/>
    <n v="1"/>
    <n v="100"/>
    <x v="0"/>
    <n v="1"/>
    <n v="489.99"/>
    <n v="0.2"/>
    <n v="97.998000000000005"/>
    <n v="9"/>
    <n v="6"/>
  </r>
  <r>
    <n v="1521"/>
    <n v="2"/>
    <n v="314"/>
    <x v="1"/>
    <n v="2"/>
    <n v="679.99"/>
    <n v="0.2"/>
    <n v="135.99800000000002"/>
    <n v="5"/>
    <n v="6"/>
  </r>
  <r>
    <n v="1521"/>
    <n v="3"/>
    <n v="123"/>
    <x v="2"/>
    <n v="1"/>
    <n v="999.99"/>
    <n v="0.1"/>
    <n v="99.999000000000009"/>
    <n v="8"/>
    <n v="6"/>
  </r>
  <r>
    <n v="1521"/>
    <n v="4"/>
    <n v="135"/>
    <x v="3"/>
    <n v="2"/>
    <n v="1499.99"/>
    <n v="0.2"/>
    <n v="299.99799999999999"/>
    <n v="9"/>
    <n v="6"/>
  </r>
  <r>
    <n v="1522"/>
    <n v="1"/>
    <n v="95"/>
    <x v="0"/>
    <n v="1"/>
    <n v="299.99"/>
    <n v="0.1"/>
    <n v="29.999000000000002"/>
    <n v="9"/>
    <n v="6"/>
  </r>
  <r>
    <n v="1522"/>
    <n v="2"/>
    <n v="141"/>
    <x v="1"/>
    <n v="1"/>
    <n v="1599.99"/>
    <n v="7.0000000000000007E-2"/>
    <n v="111.99930000000001"/>
    <n v="5"/>
    <n v="6"/>
  </r>
  <r>
    <n v="1522"/>
    <n v="3"/>
    <n v="117"/>
    <x v="2"/>
    <n v="1"/>
    <n v="1469.99"/>
    <n v="7.0000000000000007E-2"/>
    <n v="102.89930000000001"/>
    <n v="8"/>
    <n v="6"/>
  </r>
  <r>
    <n v="1523"/>
    <n v="1"/>
    <n v="311"/>
    <x v="0"/>
    <n v="2"/>
    <n v="749.99"/>
    <n v="0.2"/>
    <n v="149.99800000000002"/>
    <n v="9"/>
    <n v="6"/>
  </r>
  <r>
    <n v="1524"/>
    <n v="1"/>
    <n v="168"/>
    <x v="0"/>
    <n v="1"/>
    <n v="1549"/>
    <n v="0.1"/>
    <n v="154.9"/>
    <n v="9"/>
    <n v="6"/>
  </r>
  <r>
    <n v="1524"/>
    <n v="2"/>
    <n v="295"/>
    <x v="1"/>
    <n v="2"/>
    <n v="319.99"/>
    <n v="0.2"/>
    <n v="63.998000000000005"/>
    <n v="5"/>
    <n v="6"/>
  </r>
  <r>
    <n v="1524"/>
    <n v="3"/>
    <n v="313"/>
    <x v="2"/>
    <n v="1"/>
    <n v="449.99"/>
    <n v="0.2"/>
    <n v="89.998000000000005"/>
    <n v="8"/>
    <n v="6"/>
  </r>
  <r>
    <n v="1524"/>
    <n v="4"/>
    <n v="252"/>
    <x v="3"/>
    <n v="2"/>
    <n v="2999.99"/>
    <n v="0.2"/>
    <n v="599.99799999999993"/>
    <n v="9"/>
    <n v="6"/>
  </r>
  <r>
    <n v="1525"/>
    <n v="1"/>
    <n v="156"/>
    <x v="0"/>
    <n v="1"/>
    <n v="6499.99"/>
    <n v="0.1"/>
    <n v="649.99900000000002"/>
    <n v="9"/>
    <n v="6"/>
  </r>
  <r>
    <n v="1525"/>
    <n v="2"/>
    <n v="163"/>
    <x v="1"/>
    <n v="2"/>
    <n v="1349"/>
    <n v="7.0000000000000007E-2"/>
    <n v="94.43"/>
    <n v="5"/>
    <n v="6"/>
  </r>
  <r>
    <n v="1525"/>
    <n v="3"/>
    <n v="193"/>
    <x v="2"/>
    <n v="1"/>
    <n v="2799.99"/>
    <n v="7.0000000000000007E-2"/>
    <n v="195.99930000000001"/>
    <n v="8"/>
    <n v="6"/>
  </r>
  <r>
    <n v="1526"/>
    <n v="1"/>
    <n v="151"/>
    <x v="0"/>
    <n v="1"/>
    <n v="1549.99"/>
    <n v="7.0000000000000007E-2"/>
    <n v="108.49930000000001"/>
    <n v="9"/>
    <n v="6"/>
  </r>
  <r>
    <n v="1526"/>
    <n v="2"/>
    <n v="56"/>
    <x v="1"/>
    <n v="1"/>
    <n v="5499.99"/>
    <n v="0.1"/>
    <n v="549.99900000000002"/>
    <n v="5"/>
    <n v="6"/>
  </r>
  <r>
    <n v="1526"/>
    <n v="3"/>
    <n v="238"/>
    <x v="2"/>
    <n v="1"/>
    <n v="749.99"/>
    <n v="0.1"/>
    <n v="74.999000000000009"/>
    <n v="8"/>
    <n v="6"/>
  </r>
  <r>
    <n v="1526"/>
    <n v="4"/>
    <n v="243"/>
    <x v="3"/>
    <n v="1"/>
    <n v="679.99"/>
    <n v="0.05"/>
    <n v="33.999500000000005"/>
    <n v="9"/>
    <n v="6"/>
  </r>
  <r>
    <n v="1527"/>
    <n v="1"/>
    <n v="33"/>
    <x v="0"/>
    <n v="1"/>
    <n v="469.99"/>
    <n v="0.1"/>
    <n v="46.999000000000002"/>
    <n v="9"/>
    <n v="6"/>
  </r>
  <r>
    <n v="1527"/>
    <n v="2"/>
    <n v="103"/>
    <x v="1"/>
    <n v="1"/>
    <n v="551.99"/>
    <n v="0.05"/>
    <n v="27.599500000000003"/>
    <n v="5"/>
    <n v="6"/>
  </r>
  <r>
    <n v="1527"/>
    <n v="3"/>
    <n v="57"/>
    <x v="2"/>
    <n v="2"/>
    <n v="1999.99"/>
    <n v="0.05"/>
    <n v="99.999500000000012"/>
    <n v="8"/>
    <n v="6"/>
  </r>
  <r>
    <n v="1528"/>
    <n v="1"/>
    <n v="229"/>
    <x v="0"/>
    <n v="2"/>
    <n v="429.99"/>
    <n v="0.2"/>
    <n v="85.998000000000005"/>
    <n v="9"/>
    <n v="6"/>
  </r>
  <r>
    <n v="1529"/>
    <n v="1"/>
    <n v="23"/>
    <x v="0"/>
    <n v="1"/>
    <n v="299.99"/>
    <n v="0.05"/>
    <n v="14.999500000000001"/>
    <n v="9"/>
    <n v="6"/>
  </r>
  <r>
    <n v="1529"/>
    <n v="2"/>
    <n v="50"/>
    <x v="1"/>
    <n v="2"/>
    <n v="5999.99"/>
    <n v="0.1"/>
    <n v="599.99900000000002"/>
    <n v="5"/>
    <n v="6"/>
  </r>
  <r>
    <n v="1530"/>
    <n v="1"/>
    <n v="213"/>
    <x v="0"/>
    <n v="2"/>
    <n v="269.99"/>
    <n v="0.1"/>
    <n v="26.999000000000002"/>
    <n v="9"/>
    <n v="6"/>
  </r>
  <r>
    <n v="1530"/>
    <n v="2"/>
    <n v="116"/>
    <x v="1"/>
    <n v="1"/>
    <n v="749.99"/>
    <n v="0.1"/>
    <n v="74.999000000000009"/>
    <n v="5"/>
    <n v="6"/>
  </r>
  <r>
    <n v="1531"/>
    <n v="1"/>
    <n v="128"/>
    <x v="0"/>
    <n v="1"/>
    <n v="1899"/>
    <n v="0.1"/>
    <n v="189.9"/>
    <n v="9"/>
    <n v="6"/>
  </r>
  <r>
    <n v="1532"/>
    <n v="1"/>
    <n v="209"/>
    <x v="0"/>
    <n v="2"/>
    <n v="2999.99"/>
    <n v="7.0000000000000007E-2"/>
    <n v="209.99930000000001"/>
    <n v="9"/>
    <n v="6"/>
  </r>
  <r>
    <n v="1533"/>
    <n v="1"/>
    <n v="274"/>
    <x v="0"/>
    <n v="2"/>
    <n v="229.99"/>
    <n v="0.1"/>
    <n v="22.999000000000002"/>
    <n v="9"/>
    <n v="6"/>
  </r>
  <r>
    <n v="1533"/>
    <n v="2"/>
    <n v="78"/>
    <x v="1"/>
    <n v="1"/>
    <n v="647.99"/>
    <n v="0.1"/>
    <n v="64.799000000000007"/>
    <n v="5"/>
    <n v="6"/>
  </r>
  <r>
    <n v="1533"/>
    <n v="3"/>
    <n v="96"/>
    <x v="2"/>
    <n v="1"/>
    <n v="349.99"/>
    <n v="0.1"/>
    <n v="34.999000000000002"/>
    <n v="8"/>
    <n v="6"/>
  </r>
  <r>
    <n v="1533"/>
    <n v="4"/>
    <n v="235"/>
    <x v="3"/>
    <n v="2"/>
    <n v="899.99"/>
    <n v="0.1"/>
    <n v="89.999000000000009"/>
    <n v="9"/>
    <n v="6"/>
  </r>
  <r>
    <n v="1533"/>
    <n v="5"/>
    <n v="51"/>
    <x v="4"/>
    <n v="1"/>
    <n v="6499.99"/>
    <n v="0.1"/>
    <n v="649.99900000000002"/>
    <n v="3"/>
    <n v="6"/>
  </r>
  <r>
    <n v="1534"/>
    <n v="1"/>
    <n v="194"/>
    <x v="0"/>
    <n v="1"/>
    <n v="3499.99"/>
    <n v="0.1"/>
    <n v="349.99900000000002"/>
    <n v="9"/>
    <n v="6"/>
  </r>
  <r>
    <n v="1534"/>
    <n v="2"/>
    <n v="117"/>
    <x v="1"/>
    <n v="1"/>
    <n v="1469.99"/>
    <n v="0.05"/>
    <n v="73.499499999999998"/>
    <n v="5"/>
    <n v="6"/>
  </r>
  <r>
    <n v="1534"/>
    <n v="3"/>
    <n v="269"/>
    <x v="2"/>
    <n v="2"/>
    <n v="199.99"/>
    <n v="0.2"/>
    <n v="39.998000000000005"/>
    <n v="8"/>
    <n v="6"/>
  </r>
  <r>
    <n v="1534"/>
    <n v="4"/>
    <n v="172"/>
    <x v="3"/>
    <n v="2"/>
    <n v="3199.99"/>
    <n v="0.2"/>
    <n v="639.99800000000005"/>
    <n v="9"/>
    <n v="6"/>
  </r>
  <r>
    <n v="1535"/>
    <n v="1"/>
    <n v="92"/>
    <x v="0"/>
    <n v="1"/>
    <n v="209.99"/>
    <n v="0.05"/>
    <n v="10.499500000000001"/>
    <n v="9"/>
    <n v="6"/>
  </r>
  <r>
    <n v="1535"/>
    <n v="2"/>
    <n v="75"/>
    <x v="1"/>
    <n v="2"/>
    <n v="599.99"/>
    <n v="0.05"/>
    <n v="29.999500000000001"/>
    <n v="5"/>
    <n v="6"/>
  </r>
  <r>
    <n v="1536"/>
    <n v="1"/>
    <n v="183"/>
    <x v="0"/>
    <n v="1"/>
    <n v="2199.9899999999998"/>
    <n v="0.2"/>
    <n v="439.99799999999999"/>
    <n v="9"/>
    <n v="6"/>
  </r>
  <r>
    <n v="1536"/>
    <n v="2"/>
    <n v="185"/>
    <x v="1"/>
    <n v="2"/>
    <n v="2799.99"/>
    <n v="7.0000000000000007E-2"/>
    <n v="195.99930000000001"/>
    <n v="5"/>
    <n v="6"/>
  </r>
  <r>
    <n v="1536"/>
    <n v="3"/>
    <n v="196"/>
    <x v="2"/>
    <n v="2"/>
    <n v="2299.9899999999998"/>
    <n v="0.2"/>
    <n v="459.99799999999999"/>
    <n v="8"/>
    <n v="6"/>
  </r>
  <r>
    <n v="1537"/>
    <n v="1"/>
    <n v="237"/>
    <x v="0"/>
    <n v="2"/>
    <n v="849.99"/>
    <n v="0.05"/>
    <n v="42.499500000000005"/>
    <n v="9"/>
    <n v="6"/>
  </r>
  <r>
    <n v="1538"/>
    <n v="1"/>
    <n v="206"/>
    <x v="0"/>
    <n v="1"/>
    <n v="3299.99"/>
    <n v="7.0000000000000007E-2"/>
    <n v="230.99930000000001"/>
    <n v="9"/>
    <n v="6"/>
  </r>
  <r>
    <n v="1538"/>
    <n v="2"/>
    <n v="46"/>
    <x v="1"/>
    <n v="2"/>
    <n v="1409.99"/>
    <n v="7.0000000000000007E-2"/>
    <n v="98.699300000000008"/>
    <n v="5"/>
    <n v="6"/>
  </r>
  <r>
    <n v="1538"/>
    <n v="3"/>
    <n v="117"/>
    <x v="2"/>
    <n v="1"/>
    <n v="1469.99"/>
    <n v="7.0000000000000007E-2"/>
    <n v="102.89930000000001"/>
    <n v="8"/>
    <n v="6"/>
  </r>
  <r>
    <n v="1538"/>
    <n v="4"/>
    <n v="197"/>
    <x v="3"/>
    <n v="1"/>
    <n v="2299.9899999999998"/>
    <n v="0.2"/>
    <n v="459.99799999999999"/>
    <n v="9"/>
    <n v="6"/>
  </r>
  <r>
    <n v="1538"/>
    <n v="5"/>
    <n v="306"/>
    <x v="4"/>
    <n v="2"/>
    <n v="899.99"/>
    <n v="0.05"/>
    <n v="44.999500000000005"/>
    <n v="3"/>
    <n v="6"/>
  </r>
  <r>
    <n v="1539"/>
    <n v="1"/>
    <n v="6"/>
    <x v="0"/>
    <n v="2"/>
    <n v="469.99"/>
    <n v="0.05"/>
    <n v="23.499500000000001"/>
    <n v="9"/>
    <n v="6"/>
  </r>
  <r>
    <n v="1539"/>
    <n v="2"/>
    <n v="12"/>
    <x v="1"/>
    <n v="2"/>
    <n v="549.99"/>
    <n v="0.05"/>
    <n v="27.499500000000001"/>
    <n v="5"/>
    <n v="6"/>
  </r>
  <r>
    <n v="1540"/>
    <n v="1"/>
    <n v="71"/>
    <x v="0"/>
    <n v="2"/>
    <n v="416.99"/>
    <n v="0.05"/>
    <n v="20.849500000000003"/>
    <n v="9"/>
    <n v="6"/>
  </r>
  <r>
    <n v="1540"/>
    <n v="2"/>
    <n v="236"/>
    <x v="1"/>
    <n v="1"/>
    <n v="749.99"/>
    <n v="7.0000000000000007E-2"/>
    <n v="52.499300000000005"/>
    <n v="5"/>
    <n v="6"/>
  </r>
  <r>
    <n v="1540"/>
    <n v="3"/>
    <n v="224"/>
    <x v="2"/>
    <n v="1"/>
    <n v="479.99"/>
    <n v="0.05"/>
    <n v="23.999500000000001"/>
    <n v="8"/>
    <n v="6"/>
  </r>
  <r>
    <n v="1540"/>
    <n v="4"/>
    <n v="177"/>
    <x v="3"/>
    <n v="2"/>
    <n v="5499.99"/>
    <n v="0.05"/>
    <n v="274.99950000000001"/>
    <n v="9"/>
    <n v="6"/>
  </r>
  <r>
    <n v="1540"/>
    <n v="5"/>
    <n v="78"/>
    <x v="4"/>
    <n v="1"/>
    <n v="647.99"/>
    <n v="0.2"/>
    <n v="129.59800000000001"/>
    <n v="3"/>
    <n v="6"/>
  </r>
  <r>
    <n v="1541"/>
    <n v="1"/>
    <n v="155"/>
    <x v="0"/>
    <n v="2"/>
    <n v="11999.99"/>
    <n v="0.1"/>
    <n v="1199.999"/>
    <n v="9"/>
    <n v="6"/>
  </r>
  <r>
    <n v="1541"/>
    <n v="2"/>
    <n v="248"/>
    <x v="1"/>
    <n v="2"/>
    <n v="599.99"/>
    <n v="7.0000000000000007E-2"/>
    <n v="41.999300000000005"/>
    <n v="5"/>
    <n v="6"/>
  </r>
  <r>
    <n v="1541"/>
    <n v="3"/>
    <n v="142"/>
    <x v="2"/>
    <n v="2"/>
    <n v="3199.99"/>
    <n v="0.1"/>
    <n v="319.99900000000002"/>
    <n v="8"/>
    <n v="6"/>
  </r>
  <r>
    <n v="1541"/>
    <n v="4"/>
    <n v="17"/>
    <x v="3"/>
    <n v="1"/>
    <n v="429"/>
    <n v="0.1"/>
    <n v="42.900000000000006"/>
    <n v="9"/>
    <n v="6"/>
  </r>
  <r>
    <n v="1541"/>
    <n v="5"/>
    <n v="86"/>
    <x v="4"/>
    <n v="2"/>
    <n v="149.99"/>
    <n v="0.05"/>
    <n v="7.4995000000000012"/>
    <n v="3"/>
    <n v="6"/>
  </r>
  <r>
    <n v="1542"/>
    <n v="1"/>
    <n v="79"/>
    <x v="0"/>
    <n v="1"/>
    <n v="402.99"/>
    <n v="0.2"/>
    <n v="80.598000000000013"/>
    <n v="9"/>
    <n v="6"/>
  </r>
  <r>
    <n v="1542"/>
    <n v="2"/>
    <n v="122"/>
    <x v="1"/>
    <n v="2"/>
    <n v="2499.9899999999998"/>
    <n v="0.05"/>
    <n v="124.9995"/>
    <n v="5"/>
    <n v="6"/>
  </r>
  <r>
    <n v="1542"/>
    <n v="3"/>
    <n v="184"/>
    <x v="2"/>
    <n v="2"/>
    <n v="3499.99"/>
    <n v="0.2"/>
    <n v="699.99800000000005"/>
    <n v="8"/>
    <n v="6"/>
  </r>
  <r>
    <n v="1542"/>
    <n v="4"/>
    <n v="37"/>
    <x v="3"/>
    <n v="2"/>
    <n v="379.99"/>
    <n v="0.1"/>
    <n v="37.999000000000002"/>
    <n v="9"/>
    <n v="6"/>
  </r>
  <r>
    <n v="1542"/>
    <n v="5"/>
    <n v="297"/>
    <x v="4"/>
    <n v="1"/>
    <n v="279.99"/>
    <n v="0.2"/>
    <n v="55.998000000000005"/>
    <n v="3"/>
    <n v="6"/>
  </r>
  <r>
    <n v="1543"/>
    <n v="1"/>
    <n v="108"/>
    <x v="0"/>
    <n v="2"/>
    <n v="449.99"/>
    <n v="0.1"/>
    <n v="44.999000000000002"/>
    <n v="9"/>
    <n v="6"/>
  </r>
  <r>
    <n v="1543"/>
    <n v="2"/>
    <n v="93"/>
    <x v="1"/>
    <n v="1"/>
    <n v="209.99"/>
    <n v="0.2"/>
    <n v="41.998000000000005"/>
    <n v="5"/>
    <n v="6"/>
  </r>
  <r>
    <n v="1543"/>
    <n v="3"/>
    <n v="158"/>
    <x v="2"/>
    <n v="2"/>
    <n v="959.99"/>
    <n v="7.0000000000000007E-2"/>
    <n v="67.199300000000008"/>
    <n v="8"/>
    <n v="6"/>
  </r>
  <r>
    <n v="1543"/>
    <n v="4"/>
    <n v="97"/>
    <x v="3"/>
    <n v="2"/>
    <n v="349.99"/>
    <n v="0.05"/>
    <n v="17.499500000000001"/>
    <n v="9"/>
    <n v="6"/>
  </r>
  <r>
    <n v="1543"/>
    <n v="5"/>
    <n v="136"/>
    <x v="4"/>
    <n v="1"/>
    <n v="1799.99"/>
    <n v="0.2"/>
    <n v="359.99800000000005"/>
    <n v="3"/>
    <n v="6"/>
  </r>
  <r>
    <n v="1544"/>
    <n v="1"/>
    <n v="194"/>
    <x v="0"/>
    <n v="2"/>
    <n v="3499.99"/>
    <n v="0.1"/>
    <n v="349.99900000000002"/>
    <n v="9"/>
    <n v="6"/>
  </r>
  <r>
    <n v="1544"/>
    <n v="2"/>
    <n v="107"/>
    <x v="1"/>
    <n v="2"/>
    <n v="416.99"/>
    <n v="0.2"/>
    <n v="83.39800000000001"/>
    <n v="5"/>
    <n v="6"/>
  </r>
  <r>
    <n v="1545"/>
    <n v="1"/>
    <n v="45"/>
    <x v="0"/>
    <n v="1"/>
    <n v="869.99"/>
    <n v="0.1"/>
    <n v="86.999000000000009"/>
    <n v="9"/>
    <n v="6"/>
  </r>
  <r>
    <n v="1546"/>
    <n v="1"/>
    <n v="156"/>
    <x v="0"/>
    <n v="1"/>
    <n v="6499.99"/>
    <n v="0.1"/>
    <n v="649.99900000000002"/>
    <n v="9"/>
    <n v="6"/>
  </r>
  <r>
    <n v="1546"/>
    <n v="2"/>
    <n v="185"/>
    <x v="1"/>
    <n v="2"/>
    <n v="2799.99"/>
    <n v="0.1"/>
    <n v="279.99899999999997"/>
    <n v="5"/>
    <n v="6"/>
  </r>
  <r>
    <n v="1546"/>
    <n v="3"/>
    <n v="215"/>
    <x v="2"/>
    <n v="1"/>
    <n v="749.99"/>
    <n v="0.1"/>
    <n v="74.999000000000009"/>
    <n v="8"/>
    <n v="6"/>
  </r>
  <r>
    <n v="1546"/>
    <n v="4"/>
    <n v="25"/>
    <x v="3"/>
    <n v="1"/>
    <n v="499.99"/>
    <n v="0.05"/>
    <n v="24.999500000000001"/>
    <n v="9"/>
    <n v="6"/>
  </r>
  <r>
    <n v="1547"/>
    <n v="1"/>
    <n v="106"/>
    <x v="0"/>
    <n v="2"/>
    <n v="449.99"/>
    <n v="0.2"/>
    <n v="89.998000000000005"/>
    <n v="9"/>
    <n v="6"/>
  </r>
  <r>
    <n v="1547"/>
    <n v="2"/>
    <n v="204"/>
    <x v="1"/>
    <n v="1"/>
    <n v="3599.99"/>
    <n v="0.2"/>
    <n v="719.99800000000005"/>
    <n v="5"/>
    <n v="6"/>
  </r>
  <r>
    <n v="1548"/>
    <n v="1"/>
    <n v="32"/>
    <x v="0"/>
    <n v="1"/>
    <n v="469.99"/>
    <n v="0.1"/>
    <n v="46.999000000000002"/>
    <n v="9"/>
    <n v="6"/>
  </r>
  <r>
    <n v="1548"/>
    <n v="2"/>
    <n v="202"/>
    <x v="1"/>
    <n v="1"/>
    <n v="3499.99"/>
    <n v="7.0000000000000007E-2"/>
    <n v="244.99930000000001"/>
    <n v="5"/>
    <n v="6"/>
  </r>
  <r>
    <n v="1548"/>
    <n v="3"/>
    <n v="62"/>
    <x v="2"/>
    <n v="2"/>
    <n v="3499.99"/>
    <n v="0.2"/>
    <n v="699.99800000000005"/>
    <n v="8"/>
    <n v="6"/>
  </r>
  <r>
    <n v="1549"/>
    <n v="1"/>
    <n v="158"/>
    <x v="0"/>
    <n v="1"/>
    <n v="959.99"/>
    <n v="0.2"/>
    <n v="191.99800000000002"/>
    <n v="9"/>
    <n v="6"/>
  </r>
  <r>
    <n v="1549"/>
    <n v="2"/>
    <n v="119"/>
    <x v="1"/>
    <n v="1"/>
    <n v="469.99"/>
    <n v="0.05"/>
    <n v="23.499500000000001"/>
    <n v="5"/>
    <n v="6"/>
  </r>
  <r>
    <n v="1549"/>
    <n v="3"/>
    <n v="249"/>
    <x v="2"/>
    <n v="2"/>
    <n v="749.99"/>
    <n v="0.05"/>
    <n v="37.499500000000005"/>
    <n v="8"/>
    <n v="6"/>
  </r>
  <r>
    <n v="1549"/>
    <n v="4"/>
    <n v="242"/>
    <x v="3"/>
    <n v="2"/>
    <n v="699.99"/>
    <n v="0.1"/>
    <n v="69.999000000000009"/>
    <n v="9"/>
    <n v="6"/>
  </r>
  <r>
    <n v="1550"/>
    <n v="1"/>
    <n v="315"/>
    <x v="0"/>
    <n v="2"/>
    <n v="559.99"/>
    <n v="0.05"/>
    <n v="27.999500000000001"/>
    <n v="9"/>
    <n v="6"/>
  </r>
  <r>
    <n v="1550"/>
    <n v="2"/>
    <n v="245"/>
    <x v="1"/>
    <n v="1"/>
    <n v="659.99"/>
    <n v="7.0000000000000007E-2"/>
    <n v="46.199300000000008"/>
    <n v="5"/>
    <n v="6"/>
  </r>
  <r>
    <n v="1550"/>
    <n v="3"/>
    <n v="185"/>
    <x v="2"/>
    <n v="2"/>
    <n v="2799.99"/>
    <n v="0.1"/>
    <n v="279.99899999999997"/>
    <n v="8"/>
    <n v="6"/>
  </r>
  <r>
    <n v="1550"/>
    <n v="4"/>
    <n v="148"/>
    <x v="3"/>
    <n v="1"/>
    <n v="5499.99"/>
    <n v="7.0000000000000007E-2"/>
    <n v="384.99930000000001"/>
    <n v="9"/>
    <n v="6"/>
  </r>
  <r>
    <n v="1550"/>
    <n v="5"/>
    <n v="86"/>
    <x v="4"/>
    <n v="2"/>
    <n v="149.99"/>
    <n v="0.05"/>
    <n v="7.4995000000000012"/>
    <n v="3"/>
    <n v="6"/>
  </r>
  <r>
    <n v="1551"/>
    <n v="1"/>
    <n v="207"/>
    <x v="0"/>
    <n v="2"/>
    <n v="3999.99"/>
    <n v="0.2"/>
    <n v="799.99800000000005"/>
    <n v="9"/>
    <n v="6"/>
  </r>
  <r>
    <n v="1552"/>
    <n v="1"/>
    <n v="197"/>
    <x v="0"/>
    <n v="1"/>
    <n v="2299.9899999999998"/>
    <n v="0.1"/>
    <n v="229.999"/>
    <n v="9"/>
    <n v="6"/>
  </r>
  <r>
    <n v="1552"/>
    <n v="2"/>
    <n v="41"/>
    <x v="1"/>
    <n v="2"/>
    <n v="1469.99"/>
    <n v="0.05"/>
    <n v="73.499499999999998"/>
    <n v="5"/>
    <n v="6"/>
  </r>
  <r>
    <n v="1553"/>
    <n v="1"/>
    <n v="102"/>
    <x v="0"/>
    <n v="1"/>
    <n v="489.99"/>
    <n v="7.0000000000000007E-2"/>
    <n v="34.299300000000002"/>
    <n v="9"/>
    <n v="6"/>
  </r>
  <r>
    <n v="1553"/>
    <n v="2"/>
    <n v="12"/>
    <x v="1"/>
    <n v="1"/>
    <n v="549.99"/>
    <n v="0.1"/>
    <n v="54.999000000000002"/>
    <n v="5"/>
    <n v="6"/>
  </r>
  <r>
    <n v="1553"/>
    <n v="3"/>
    <n v="251"/>
    <x v="2"/>
    <n v="1"/>
    <n v="2999.99"/>
    <n v="0.05"/>
    <n v="149.99949999999998"/>
    <n v="8"/>
    <n v="6"/>
  </r>
  <r>
    <n v="1553"/>
    <n v="4"/>
    <n v="89"/>
    <x v="3"/>
    <n v="1"/>
    <n v="209.99"/>
    <n v="0.05"/>
    <n v="10.499500000000001"/>
    <n v="9"/>
    <n v="6"/>
  </r>
  <r>
    <n v="1554"/>
    <n v="1"/>
    <n v="166"/>
    <x v="0"/>
    <n v="1"/>
    <n v="749.99"/>
    <n v="0.05"/>
    <n v="37.499500000000005"/>
    <n v="9"/>
    <n v="6"/>
  </r>
  <r>
    <n v="1554"/>
    <n v="2"/>
    <n v="285"/>
    <x v="1"/>
    <n v="1"/>
    <n v="279.99"/>
    <n v="0.2"/>
    <n v="55.998000000000005"/>
    <n v="5"/>
    <n v="6"/>
  </r>
  <r>
    <n v="1555"/>
    <n v="1"/>
    <n v="24"/>
    <x v="0"/>
    <n v="2"/>
    <n v="549.99"/>
    <n v="0.1"/>
    <n v="54.999000000000002"/>
    <n v="9"/>
    <n v="6"/>
  </r>
  <r>
    <n v="1555"/>
    <n v="2"/>
    <n v="156"/>
    <x v="1"/>
    <n v="1"/>
    <n v="6499.99"/>
    <n v="0.1"/>
    <n v="649.99900000000002"/>
    <n v="5"/>
    <n v="6"/>
  </r>
  <r>
    <n v="1555"/>
    <n v="3"/>
    <n v="126"/>
    <x v="2"/>
    <n v="1"/>
    <n v="469.99"/>
    <n v="0.1"/>
    <n v="46.999000000000002"/>
    <n v="8"/>
    <n v="6"/>
  </r>
  <r>
    <n v="1555"/>
    <n v="4"/>
    <n v="128"/>
    <x v="3"/>
    <n v="2"/>
    <n v="1899"/>
    <n v="0.05"/>
    <n v="94.95"/>
    <n v="9"/>
    <n v="6"/>
  </r>
  <r>
    <n v="1555"/>
    <n v="5"/>
    <n v="174"/>
    <x v="4"/>
    <n v="1"/>
    <n v="3199.99"/>
    <n v="0.2"/>
    <n v="639.99800000000005"/>
    <n v="3"/>
    <n v="6"/>
  </r>
  <r>
    <n v="1556"/>
    <n v="1"/>
    <n v="49"/>
    <x v="0"/>
    <n v="2"/>
    <n v="3499.99"/>
    <n v="0.2"/>
    <n v="699.99800000000005"/>
    <n v="9"/>
    <n v="6"/>
  </r>
  <r>
    <n v="1556"/>
    <n v="2"/>
    <n v="82"/>
    <x v="1"/>
    <n v="1"/>
    <n v="659.99"/>
    <n v="7.0000000000000007E-2"/>
    <n v="46.199300000000008"/>
    <n v="5"/>
    <n v="6"/>
  </r>
  <r>
    <n v="1556"/>
    <n v="3"/>
    <n v="265"/>
    <x v="2"/>
    <n v="1"/>
    <n v="289.99"/>
    <n v="0.1"/>
    <n v="28.999000000000002"/>
    <n v="8"/>
    <n v="6"/>
  </r>
  <r>
    <n v="1556"/>
    <n v="4"/>
    <n v="119"/>
    <x v="3"/>
    <n v="2"/>
    <n v="469.99"/>
    <n v="0.05"/>
    <n v="23.499500000000001"/>
    <n v="9"/>
    <n v="6"/>
  </r>
  <r>
    <n v="1556"/>
    <n v="5"/>
    <n v="235"/>
    <x v="4"/>
    <n v="2"/>
    <n v="899.99"/>
    <n v="0.1"/>
    <n v="89.999000000000009"/>
    <n v="3"/>
    <n v="6"/>
  </r>
  <r>
    <n v="1557"/>
    <n v="1"/>
    <n v="163"/>
    <x v="0"/>
    <n v="2"/>
    <n v="1349"/>
    <n v="7.0000000000000007E-2"/>
    <n v="94.43"/>
    <n v="9"/>
    <n v="6"/>
  </r>
  <r>
    <n v="1558"/>
    <n v="1"/>
    <n v="46"/>
    <x v="0"/>
    <n v="2"/>
    <n v="1409.99"/>
    <n v="7.0000000000000007E-2"/>
    <n v="98.699300000000008"/>
    <n v="9"/>
    <n v="6"/>
  </r>
  <r>
    <n v="1558"/>
    <n v="2"/>
    <n v="123"/>
    <x v="1"/>
    <n v="1"/>
    <n v="999.99"/>
    <n v="7.0000000000000007E-2"/>
    <n v="69.999300000000005"/>
    <n v="5"/>
    <n v="6"/>
  </r>
  <r>
    <n v="1558"/>
    <n v="3"/>
    <n v="4"/>
    <x v="2"/>
    <n v="1"/>
    <n v="2899.99"/>
    <n v="0.05"/>
    <n v="144.99949999999998"/>
    <n v="8"/>
    <n v="6"/>
  </r>
  <r>
    <n v="1558"/>
    <n v="4"/>
    <n v="55"/>
    <x v="3"/>
    <n v="1"/>
    <n v="2699.99"/>
    <n v="0.2"/>
    <n v="539.99799999999993"/>
    <n v="9"/>
    <n v="6"/>
  </r>
  <r>
    <n v="1558"/>
    <n v="5"/>
    <n v="253"/>
    <x v="4"/>
    <n v="1"/>
    <n v="2599.9899999999998"/>
    <n v="7.0000000000000007E-2"/>
    <n v="181.99930000000001"/>
    <n v="3"/>
    <n v="6"/>
  </r>
  <r>
    <n v="1559"/>
    <n v="1"/>
    <n v="101"/>
    <x v="0"/>
    <n v="2"/>
    <n v="339.99"/>
    <n v="7.0000000000000007E-2"/>
    <n v="23.799300000000002"/>
    <n v="9"/>
    <n v="6"/>
  </r>
  <r>
    <n v="1559"/>
    <n v="2"/>
    <n v="18"/>
    <x v="1"/>
    <n v="1"/>
    <n v="449"/>
    <n v="0.1"/>
    <n v="44.900000000000006"/>
    <n v="5"/>
    <n v="6"/>
  </r>
  <r>
    <n v="1559"/>
    <n v="3"/>
    <n v="54"/>
    <x v="2"/>
    <n v="2"/>
    <n v="3199.99"/>
    <n v="0.1"/>
    <n v="319.99900000000002"/>
    <n v="8"/>
    <n v="6"/>
  </r>
  <r>
    <n v="1559"/>
    <n v="4"/>
    <n v="221"/>
    <x v="3"/>
    <n v="1"/>
    <n v="319.99"/>
    <n v="0.1"/>
    <n v="31.999000000000002"/>
    <n v="9"/>
    <n v="6"/>
  </r>
  <r>
    <n v="1560"/>
    <n v="1"/>
    <n v="118"/>
    <x v="0"/>
    <n v="2"/>
    <n v="999.99"/>
    <n v="0.2"/>
    <n v="199.99800000000002"/>
    <n v="9"/>
    <n v="6"/>
  </r>
  <r>
    <n v="1560"/>
    <n v="2"/>
    <n v="41"/>
    <x v="1"/>
    <n v="1"/>
    <n v="1469.99"/>
    <n v="0.2"/>
    <n v="293.99799999999999"/>
    <n v="5"/>
    <n v="6"/>
  </r>
  <r>
    <n v="1561"/>
    <n v="1"/>
    <n v="181"/>
    <x v="0"/>
    <n v="2"/>
    <n v="2199.9899999999998"/>
    <n v="7.0000000000000007E-2"/>
    <n v="153.99930000000001"/>
    <n v="9"/>
    <n v="6"/>
  </r>
  <r>
    <n v="1561"/>
    <n v="2"/>
    <n v="297"/>
    <x v="1"/>
    <n v="2"/>
    <n v="279.99"/>
    <n v="0.05"/>
    <n v="13.999500000000001"/>
    <n v="5"/>
    <n v="6"/>
  </r>
  <r>
    <n v="1562"/>
    <n v="1"/>
    <n v="54"/>
    <x v="0"/>
    <n v="1"/>
    <n v="3199.99"/>
    <n v="0.2"/>
    <n v="639.99800000000005"/>
    <n v="9"/>
    <n v="6"/>
  </r>
  <r>
    <n v="1562"/>
    <n v="2"/>
    <n v="66"/>
    <x v="1"/>
    <n v="1"/>
    <n v="250.99"/>
    <n v="0.2"/>
    <n v="50.198000000000008"/>
    <n v="5"/>
    <n v="6"/>
  </r>
  <r>
    <n v="1562"/>
    <n v="3"/>
    <n v="115"/>
    <x v="2"/>
    <n v="2"/>
    <n v="3199.99"/>
    <n v="7.0000000000000007E-2"/>
    <n v="223.99930000000001"/>
    <n v="8"/>
    <n v="6"/>
  </r>
  <r>
    <n v="1563"/>
    <n v="1"/>
    <n v="188"/>
    <x v="0"/>
    <n v="1"/>
    <n v="3499.99"/>
    <n v="7.0000000000000007E-2"/>
    <n v="244.99930000000001"/>
    <n v="9"/>
    <n v="6"/>
  </r>
  <r>
    <n v="1564"/>
    <n v="1"/>
    <n v="309"/>
    <x v="0"/>
    <n v="1"/>
    <n v="899.99"/>
    <n v="7.0000000000000007E-2"/>
    <n v="62.999300000000005"/>
    <n v="9"/>
    <n v="6"/>
  </r>
  <r>
    <n v="1564"/>
    <n v="2"/>
    <n v="14"/>
    <x v="1"/>
    <n v="1"/>
    <n v="269.99"/>
    <n v="0.1"/>
    <n v="26.999000000000002"/>
    <n v="5"/>
    <n v="6"/>
  </r>
  <r>
    <n v="1565"/>
    <n v="1"/>
    <n v="37"/>
    <x v="0"/>
    <n v="1"/>
    <n v="379.99"/>
    <n v="7.0000000000000007E-2"/>
    <n v="26.599300000000003"/>
    <n v="9"/>
    <n v="6"/>
  </r>
  <r>
    <n v="1565"/>
    <n v="2"/>
    <n v="92"/>
    <x v="1"/>
    <n v="1"/>
    <n v="209.99"/>
    <n v="0.1"/>
    <n v="20.999000000000002"/>
    <n v="5"/>
    <n v="6"/>
  </r>
  <r>
    <n v="1565"/>
    <n v="3"/>
    <n v="261"/>
    <x v="2"/>
    <n v="1"/>
    <n v="899.99"/>
    <n v="0.1"/>
    <n v="89.999000000000009"/>
    <n v="8"/>
    <n v="6"/>
  </r>
  <r>
    <n v="1565"/>
    <n v="4"/>
    <n v="95"/>
    <x v="3"/>
    <n v="1"/>
    <n v="299.99"/>
    <n v="7.0000000000000007E-2"/>
    <n v="20.999300000000002"/>
    <n v="9"/>
    <n v="6"/>
  </r>
  <r>
    <n v="1565"/>
    <n v="5"/>
    <n v="226"/>
    <x v="4"/>
    <n v="2"/>
    <n v="679.99"/>
    <n v="0.2"/>
    <n v="135.99800000000002"/>
    <n v="3"/>
    <n v="6"/>
  </r>
  <r>
    <n v="1566"/>
    <n v="1"/>
    <n v="179"/>
    <x v="0"/>
    <n v="1"/>
    <n v="919.99"/>
    <n v="0.05"/>
    <n v="45.999500000000005"/>
    <n v="9"/>
    <n v="6"/>
  </r>
  <r>
    <n v="1566"/>
    <n v="2"/>
    <n v="61"/>
    <x v="1"/>
    <n v="2"/>
    <n v="4999.99"/>
    <n v="0.05"/>
    <n v="249.99950000000001"/>
    <n v="5"/>
    <n v="6"/>
  </r>
  <r>
    <n v="1567"/>
    <n v="1"/>
    <n v="279"/>
    <x v="0"/>
    <n v="1"/>
    <n v="319.99"/>
    <n v="0.2"/>
    <n v="63.998000000000005"/>
    <n v="9"/>
    <n v="6"/>
  </r>
  <r>
    <n v="1568"/>
    <n v="1"/>
    <n v="146"/>
    <x v="0"/>
    <n v="1"/>
    <n v="4999.99"/>
    <n v="0.2"/>
    <n v="999.99800000000005"/>
    <n v="9"/>
    <n v="6"/>
  </r>
  <r>
    <n v="1568"/>
    <n v="2"/>
    <n v="105"/>
    <x v="1"/>
    <n v="1"/>
    <n v="533.99"/>
    <n v="7.0000000000000007E-2"/>
    <n v="37.379300000000008"/>
    <n v="5"/>
    <n v="6"/>
  </r>
  <r>
    <n v="1568"/>
    <n v="3"/>
    <n v="301"/>
    <x v="2"/>
    <n v="1"/>
    <n v="899.99"/>
    <n v="0.1"/>
    <n v="89.999000000000009"/>
    <n v="8"/>
    <n v="6"/>
  </r>
  <r>
    <n v="1569"/>
    <n v="1"/>
    <n v="252"/>
    <x v="0"/>
    <n v="1"/>
    <n v="2999.99"/>
    <n v="0.1"/>
    <n v="299.99899999999997"/>
    <n v="9"/>
    <n v="6"/>
  </r>
  <r>
    <n v="1570"/>
    <n v="1"/>
    <n v="155"/>
    <x v="0"/>
    <n v="1"/>
    <n v="11999.99"/>
    <n v="7.0000000000000007E-2"/>
    <n v="839.99930000000006"/>
    <n v="9"/>
    <n v="6"/>
  </r>
  <r>
    <n v="1571"/>
    <n v="1"/>
    <n v="312"/>
    <x v="0"/>
    <n v="2"/>
    <n v="699.99"/>
    <n v="0.1"/>
    <n v="69.999000000000009"/>
    <n v="9"/>
    <n v="6"/>
  </r>
  <r>
    <n v="1571"/>
    <n v="2"/>
    <n v="212"/>
    <x v="1"/>
    <n v="1"/>
    <n v="559.99"/>
    <n v="7.0000000000000007E-2"/>
    <n v="39.199300000000001"/>
    <n v="5"/>
    <n v="6"/>
  </r>
  <r>
    <n v="1571"/>
    <n v="3"/>
    <n v="20"/>
    <x v="2"/>
    <n v="2"/>
    <n v="599.99"/>
    <n v="0.2"/>
    <n v="119.998"/>
    <n v="8"/>
    <n v="6"/>
  </r>
  <r>
    <n v="1572"/>
    <n v="1"/>
    <n v="216"/>
    <x v="0"/>
    <n v="2"/>
    <n v="899.99"/>
    <n v="0.05"/>
    <n v="44.999500000000005"/>
    <n v="9"/>
    <n v="6"/>
  </r>
  <r>
    <n v="1572"/>
    <n v="2"/>
    <n v="198"/>
    <x v="1"/>
    <n v="1"/>
    <n v="2999.99"/>
    <n v="0.2"/>
    <n v="599.99799999999993"/>
    <n v="5"/>
    <n v="6"/>
  </r>
  <r>
    <n v="1572"/>
    <n v="3"/>
    <n v="115"/>
    <x v="2"/>
    <n v="1"/>
    <n v="3199.99"/>
    <n v="0.05"/>
    <n v="159.99950000000001"/>
    <n v="8"/>
    <n v="6"/>
  </r>
  <r>
    <n v="1572"/>
    <n v="4"/>
    <n v="304"/>
    <x v="3"/>
    <n v="2"/>
    <n v="679.99"/>
    <n v="0.2"/>
    <n v="135.99800000000002"/>
    <n v="9"/>
    <n v="6"/>
  </r>
  <r>
    <n v="1573"/>
    <n v="1"/>
    <n v="9"/>
    <x v="0"/>
    <n v="1"/>
    <n v="2999.99"/>
    <n v="0.05"/>
    <n v="149.99949999999998"/>
    <n v="9"/>
    <n v="6"/>
  </r>
  <r>
    <n v="1573"/>
    <n v="2"/>
    <n v="129"/>
    <x v="1"/>
    <n v="1"/>
    <n v="919.99"/>
    <n v="7.0000000000000007E-2"/>
    <n v="64.399300000000011"/>
    <n v="5"/>
    <n v="6"/>
  </r>
  <r>
    <n v="1573"/>
    <n v="3"/>
    <n v="15"/>
    <x v="2"/>
    <n v="2"/>
    <n v="529.99"/>
    <n v="0.1"/>
    <n v="52.999000000000002"/>
    <n v="8"/>
    <n v="6"/>
  </r>
  <r>
    <n v="1573"/>
    <n v="4"/>
    <n v="216"/>
    <x v="3"/>
    <n v="2"/>
    <n v="899.99"/>
    <n v="7.0000000000000007E-2"/>
    <n v="62.999300000000005"/>
    <n v="9"/>
    <n v="6"/>
  </r>
  <r>
    <n v="1573"/>
    <n v="5"/>
    <n v="263"/>
    <x v="4"/>
    <n v="2"/>
    <n v="89.99"/>
    <n v="0.1"/>
    <n v="8.9990000000000006"/>
    <n v="3"/>
    <n v="6"/>
  </r>
  <r>
    <n v="1574"/>
    <n v="1"/>
    <n v="127"/>
    <x v="0"/>
    <n v="1"/>
    <n v="469.99"/>
    <n v="0.1"/>
    <n v="46.999000000000002"/>
    <n v="9"/>
    <n v="6"/>
  </r>
  <r>
    <n v="1575"/>
    <n v="1"/>
    <n v="44"/>
    <x v="0"/>
    <n v="1"/>
    <n v="539.99"/>
    <n v="7.0000000000000007E-2"/>
    <n v="37.799300000000002"/>
    <n v="9"/>
    <n v="6"/>
  </r>
  <r>
    <n v="1575"/>
    <n v="2"/>
    <n v="207"/>
    <x v="1"/>
    <n v="2"/>
    <n v="3999.99"/>
    <n v="0.1"/>
    <n v="399.99900000000002"/>
    <n v="5"/>
    <n v="6"/>
  </r>
  <r>
    <n v="1575"/>
    <n v="3"/>
    <n v="213"/>
    <x v="2"/>
    <n v="1"/>
    <n v="269.99"/>
    <n v="7.0000000000000007E-2"/>
    <n v="18.899300000000004"/>
    <n v="8"/>
    <n v="6"/>
  </r>
  <r>
    <n v="1575"/>
    <n v="4"/>
    <n v="126"/>
    <x v="3"/>
    <n v="2"/>
    <n v="469.99"/>
    <n v="0.05"/>
    <n v="23.499500000000001"/>
    <n v="9"/>
    <n v="6"/>
  </r>
  <r>
    <n v="1575"/>
    <n v="5"/>
    <n v="92"/>
    <x v="4"/>
    <n v="2"/>
    <n v="209.99"/>
    <n v="0.2"/>
    <n v="41.998000000000005"/>
    <n v="3"/>
    <n v="6"/>
  </r>
  <r>
    <n v="1576"/>
    <n v="1"/>
    <n v="69"/>
    <x v="0"/>
    <n v="1"/>
    <n v="416.99"/>
    <n v="0.05"/>
    <n v="20.849500000000003"/>
    <n v="9"/>
    <n v="6"/>
  </r>
  <r>
    <n v="1576"/>
    <n v="2"/>
    <n v="293"/>
    <x v="1"/>
    <n v="1"/>
    <n v="319.99"/>
    <n v="0.05"/>
    <n v="15.999500000000001"/>
    <n v="5"/>
    <n v="6"/>
  </r>
  <r>
    <n v="1576"/>
    <n v="3"/>
    <n v="202"/>
    <x v="2"/>
    <n v="2"/>
    <n v="3499.99"/>
    <n v="0.05"/>
    <n v="174.99950000000001"/>
    <n v="8"/>
    <n v="6"/>
  </r>
  <r>
    <n v="1577"/>
    <n v="1"/>
    <n v="298"/>
    <x v="0"/>
    <n v="2"/>
    <n v="279.99"/>
    <n v="0.05"/>
    <n v="13.999500000000001"/>
    <n v="9"/>
    <n v="6"/>
  </r>
  <r>
    <n v="1577"/>
    <n v="2"/>
    <n v="111"/>
    <x v="1"/>
    <n v="2"/>
    <n v="470.99"/>
    <n v="0.1"/>
    <n v="47.099000000000004"/>
    <n v="5"/>
    <n v="6"/>
  </r>
  <r>
    <n v="1577"/>
    <n v="3"/>
    <n v="300"/>
    <x v="2"/>
    <n v="2"/>
    <n v="799.99"/>
    <n v="0.2"/>
    <n v="159.99800000000002"/>
    <n v="8"/>
    <n v="6"/>
  </r>
  <r>
    <n v="1577"/>
    <n v="4"/>
    <n v="131"/>
    <x v="3"/>
    <n v="2"/>
    <n v="2599"/>
    <n v="7.0000000000000007E-2"/>
    <n v="181.93"/>
    <n v="9"/>
    <n v="6"/>
  </r>
  <r>
    <n v="1577"/>
    <n v="5"/>
    <n v="282"/>
    <x v="4"/>
    <n v="2"/>
    <n v="279.99"/>
    <n v="0.05"/>
    <n v="13.999500000000001"/>
    <n v="3"/>
    <n v="6"/>
  </r>
  <r>
    <n v="1578"/>
    <n v="1"/>
    <n v="204"/>
    <x v="0"/>
    <n v="2"/>
    <n v="3599.99"/>
    <n v="7.0000000000000007E-2"/>
    <n v="251.99930000000001"/>
    <n v="9"/>
    <n v="6"/>
  </r>
  <r>
    <n v="1578"/>
    <n v="2"/>
    <n v="310"/>
    <x v="1"/>
    <n v="1"/>
    <n v="899.99"/>
    <n v="0.05"/>
    <n v="44.999500000000005"/>
    <n v="5"/>
    <n v="6"/>
  </r>
  <r>
    <n v="1578"/>
    <n v="3"/>
    <n v="241"/>
    <x v="2"/>
    <n v="2"/>
    <n v="749.99"/>
    <n v="0.2"/>
    <n v="149.99800000000002"/>
    <n v="8"/>
    <n v="6"/>
  </r>
  <r>
    <n v="1579"/>
    <n v="1"/>
    <n v="49"/>
    <x v="0"/>
    <n v="1"/>
    <n v="3499.99"/>
    <n v="0.05"/>
    <n v="174.99950000000001"/>
    <n v="9"/>
    <n v="6"/>
  </r>
  <r>
    <n v="1579"/>
    <n v="2"/>
    <n v="214"/>
    <x v="1"/>
    <n v="1"/>
    <n v="899.99"/>
    <n v="0.1"/>
    <n v="89.999000000000009"/>
    <n v="5"/>
    <n v="6"/>
  </r>
  <r>
    <n v="1579"/>
    <n v="3"/>
    <n v="286"/>
    <x v="2"/>
    <n v="1"/>
    <n v="279.99"/>
    <n v="7.0000000000000007E-2"/>
    <n v="19.599300000000003"/>
    <n v="8"/>
    <n v="6"/>
  </r>
  <r>
    <n v="1579"/>
    <n v="4"/>
    <n v="65"/>
    <x v="3"/>
    <n v="2"/>
    <n v="346.99"/>
    <n v="0.1"/>
    <n v="34.699000000000005"/>
    <n v="9"/>
    <n v="6"/>
  </r>
  <r>
    <n v="1580"/>
    <n v="1"/>
    <n v="119"/>
    <x v="0"/>
    <n v="2"/>
    <n v="469.99"/>
    <n v="7.0000000000000007E-2"/>
    <n v="32.899300000000004"/>
    <n v="9"/>
    <n v="6"/>
  </r>
  <r>
    <n v="1580"/>
    <n v="2"/>
    <n v="86"/>
    <x v="1"/>
    <n v="2"/>
    <n v="149.99"/>
    <n v="0.2"/>
    <n v="29.998000000000005"/>
    <n v="5"/>
    <n v="6"/>
  </r>
  <r>
    <n v="1581"/>
    <n v="1"/>
    <n v="64"/>
    <x v="0"/>
    <n v="1"/>
    <n v="489.99"/>
    <n v="0.1"/>
    <n v="48.999000000000002"/>
    <n v="9"/>
    <n v="6"/>
  </r>
  <r>
    <n v="1581"/>
    <n v="2"/>
    <n v="272"/>
    <x v="1"/>
    <n v="1"/>
    <n v="289.99"/>
    <n v="0.2"/>
    <n v="57.998000000000005"/>
    <n v="5"/>
    <n v="6"/>
  </r>
  <r>
    <n v="1582"/>
    <n v="1"/>
    <n v="75"/>
    <x v="0"/>
    <n v="1"/>
    <n v="599.99"/>
    <n v="7.0000000000000007E-2"/>
    <n v="41.999300000000005"/>
    <n v="9"/>
    <n v="6"/>
  </r>
  <r>
    <n v="1582"/>
    <n v="2"/>
    <n v="133"/>
    <x v="1"/>
    <n v="2"/>
    <n v="1499.99"/>
    <n v="7.0000000000000007E-2"/>
    <n v="104.99930000000001"/>
    <n v="5"/>
    <n v="6"/>
  </r>
  <r>
    <n v="1583"/>
    <n v="1"/>
    <n v="15"/>
    <x v="0"/>
    <n v="1"/>
    <n v="529.99"/>
    <n v="0.05"/>
    <n v="26.499500000000001"/>
    <n v="9"/>
    <n v="6"/>
  </r>
  <r>
    <n v="1583"/>
    <n v="2"/>
    <n v="265"/>
    <x v="1"/>
    <n v="2"/>
    <n v="289.99"/>
    <n v="0.2"/>
    <n v="57.998000000000005"/>
    <n v="5"/>
    <n v="6"/>
  </r>
  <r>
    <n v="1584"/>
    <n v="1"/>
    <n v="45"/>
    <x v="0"/>
    <n v="2"/>
    <n v="869.99"/>
    <n v="0.1"/>
    <n v="86.999000000000009"/>
    <n v="9"/>
    <n v="6"/>
  </r>
  <r>
    <n v="1584"/>
    <n v="2"/>
    <n v="216"/>
    <x v="1"/>
    <n v="2"/>
    <n v="899.99"/>
    <n v="0.1"/>
    <n v="89.999000000000009"/>
    <n v="5"/>
    <n v="6"/>
  </r>
  <r>
    <n v="1584"/>
    <n v="3"/>
    <n v="43"/>
    <x v="2"/>
    <n v="1"/>
    <n v="5299.99"/>
    <n v="0.2"/>
    <n v="1059.998"/>
    <n v="8"/>
    <n v="6"/>
  </r>
  <r>
    <n v="1584"/>
    <n v="4"/>
    <n v="187"/>
    <x v="3"/>
    <n v="1"/>
    <n v="2799.99"/>
    <n v="0.1"/>
    <n v="279.99899999999997"/>
    <n v="9"/>
    <n v="6"/>
  </r>
  <r>
    <n v="1584"/>
    <n v="5"/>
    <n v="147"/>
    <x v="4"/>
    <n v="2"/>
    <n v="1799.99"/>
    <n v="7.0000000000000007E-2"/>
    <n v="125.99930000000002"/>
    <n v="3"/>
    <n v="6"/>
  </r>
  <r>
    <n v="1585"/>
    <n v="1"/>
    <n v="313"/>
    <x v="0"/>
    <n v="1"/>
    <n v="449.99"/>
    <n v="0.1"/>
    <n v="44.999000000000002"/>
    <n v="9"/>
    <n v="6"/>
  </r>
  <r>
    <n v="1585"/>
    <n v="2"/>
    <n v="106"/>
    <x v="1"/>
    <n v="2"/>
    <n v="449.99"/>
    <n v="0.1"/>
    <n v="44.999000000000002"/>
    <n v="5"/>
    <n v="6"/>
  </r>
  <r>
    <n v="1585"/>
    <n v="3"/>
    <n v="207"/>
    <x v="2"/>
    <n v="2"/>
    <n v="3999.99"/>
    <n v="7.0000000000000007E-2"/>
    <n v="279.99930000000001"/>
    <n v="8"/>
    <n v="6"/>
  </r>
  <r>
    <n v="1585"/>
    <n v="4"/>
    <n v="95"/>
    <x v="3"/>
    <n v="1"/>
    <n v="299.99"/>
    <n v="0.1"/>
    <n v="29.999000000000002"/>
    <n v="9"/>
    <n v="6"/>
  </r>
  <r>
    <n v="1585"/>
    <n v="5"/>
    <n v="191"/>
    <x v="4"/>
    <n v="1"/>
    <n v="2799.99"/>
    <n v="0.1"/>
    <n v="279.99899999999997"/>
    <n v="3"/>
    <n v="6"/>
  </r>
  <r>
    <n v="1586"/>
    <n v="1"/>
    <n v="22"/>
    <x v="0"/>
    <n v="2"/>
    <n v="269.99"/>
    <n v="0.1"/>
    <n v="26.999000000000002"/>
    <n v="9"/>
    <n v="6"/>
  </r>
  <r>
    <n v="1586"/>
    <n v="2"/>
    <n v="277"/>
    <x v="1"/>
    <n v="1"/>
    <n v="369.99"/>
    <n v="7.0000000000000007E-2"/>
    <n v="25.899300000000004"/>
    <n v="5"/>
    <n v="6"/>
  </r>
  <r>
    <n v="1586"/>
    <n v="3"/>
    <n v="295"/>
    <x v="2"/>
    <n v="1"/>
    <n v="319.99"/>
    <n v="0.05"/>
    <n v="15.999500000000001"/>
    <n v="8"/>
    <n v="6"/>
  </r>
  <r>
    <n v="1586"/>
    <n v="4"/>
    <n v="173"/>
    <x v="3"/>
    <n v="1"/>
    <n v="3199.99"/>
    <n v="0.2"/>
    <n v="639.99800000000005"/>
    <n v="9"/>
    <n v="6"/>
  </r>
  <r>
    <n v="1586"/>
    <n v="5"/>
    <n v="36"/>
    <x v="4"/>
    <n v="1"/>
    <n v="832.99"/>
    <n v="0.1"/>
    <n v="83.299000000000007"/>
    <n v="3"/>
    <n v="6"/>
  </r>
  <r>
    <n v="1587"/>
    <n v="1"/>
    <n v="104"/>
    <x v="0"/>
    <n v="1"/>
    <n v="481.99"/>
    <n v="0.1"/>
    <n v="48.199000000000005"/>
    <n v="9"/>
    <n v="6"/>
  </r>
  <r>
    <n v="1587"/>
    <n v="2"/>
    <n v="63"/>
    <x v="1"/>
    <n v="2"/>
    <n v="3499.99"/>
    <n v="0.05"/>
    <n v="174.99950000000001"/>
    <n v="5"/>
    <n v="6"/>
  </r>
  <r>
    <n v="1587"/>
    <n v="3"/>
    <n v="78"/>
    <x v="2"/>
    <n v="2"/>
    <n v="647.99"/>
    <n v="0.05"/>
    <n v="32.399500000000003"/>
    <n v="8"/>
    <n v="6"/>
  </r>
  <r>
    <n v="1587"/>
    <n v="4"/>
    <n v="300"/>
    <x v="3"/>
    <n v="2"/>
    <n v="799.99"/>
    <n v="7.0000000000000007E-2"/>
    <n v="55.999300000000005"/>
    <n v="9"/>
    <n v="6"/>
  </r>
  <r>
    <n v="1588"/>
    <n v="1"/>
    <n v="93"/>
    <x v="0"/>
    <n v="2"/>
    <n v="209.99"/>
    <n v="7.0000000000000007E-2"/>
    <n v="14.699300000000003"/>
    <n v="9"/>
    <n v="6"/>
  </r>
  <r>
    <n v="1589"/>
    <n v="1"/>
    <n v="246"/>
    <x v="0"/>
    <n v="2"/>
    <n v="639.99"/>
    <n v="0.05"/>
    <n v="31.999500000000001"/>
    <n v="9"/>
    <n v="6"/>
  </r>
  <r>
    <n v="1589"/>
    <n v="2"/>
    <n v="260"/>
    <x v="1"/>
    <n v="1"/>
    <n v="799.99"/>
    <n v="0.2"/>
    <n v="159.99800000000002"/>
    <n v="5"/>
    <n v="6"/>
  </r>
  <r>
    <n v="1589"/>
    <n v="3"/>
    <n v="28"/>
    <x v="2"/>
    <n v="2"/>
    <n v="2499.9899999999998"/>
    <n v="0.1"/>
    <n v="249.999"/>
    <n v="8"/>
    <n v="6"/>
  </r>
  <r>
    <n v="1590"/>
    <n v="1"/>
    <n v="175"/>
    <x v="0"/>
    <n v="2"/>
    <n v="3199.99"/>
    <n v="7.0000000000000007E-2"/>
    <n v="223.99930000000001"/>
    <n v="9"/>
    <n v="6"/>
  </r>
  <r>
    <n v="1590"/>
    <n v="2"/>
    <n v="248"/>
    <x v="1"/>
    <n v="1"/>
    <n v="599.99"/>
    <n v="0.2"/>
    <n v="119.998"/>
    <n v="5"/>
    <n v="6"/>
  </r>
  <r>
    <n v="1590"/>
    <n v="3"/>
    <n v="23"/>
    <x v="2"/>
    <n v="1"/>
    <n v="299.99"/>
    <n v="7.0000000000000007E-2"/>
    <n v="20.999300000000002"/>
    <n v="8"/>
    <n v="6"/>
  </r>
  <r>
    <n v="1591"/>
    <n v="1"/>
    <n v="286"/>
    <x v="0"/>
    <n v="2"/>
    <n v="279.99"/>
    <n v="0.2"/>
    <n v="55.998000000000005"/>
    <n v="9"/>
    <n v="6"/>
  </r>
  <r>
    <n v="1591"/>
    <n v="2"/>
    <n v="126"/>
    <x v="1"/>
    <n v="2"/>
    <n v="469.99"/>
    <n v="0.2"/>
    <n v="93.998000000000005"/>
    <n v="5"/>
    <n v="6"/>
  </r>
  <r>
    <n v="1591"/>
    <n v="3"/>
    <n v="97"/>
    <x v="2"/>
    <n v="2"/>
    <n v="349.99"/>
    <n v="7.0000000000000007E-2"/>
    <n v="24.499300000000002"/>
    <n v="8"/>
    <n v="6"/>
  </r>
  <r>
    <n v="1591"/>
    <n v="4"/>
    <n v="138"/>
    <x v="3"/>
    <n v="2"/>
    <n v="2249.9899999999998"/>
    <n v="0.05"/>
    <n v="112.4995"/>
    <n v="9"/>
    <n v="6"/>
  </r>
  <r>
    <n v="1591"/>
    <n v="5"/>
    <n v="265"/>
    <x v="4"/>
    <n v="1"/>
    <n v="289.99"/>
    <n v="0.2"/>
    <n v="57.998000000000005"/>
    <n v="3"/>
    <n v="6"/>
  </r>
  <r>
    <n v="1592"/>
    <n v="1"/>
    <n v="211"/>
    <x v="0"/>
    <n v="2"/>
    <n v="1549"/>
    <n v="0.05"/>
    <n v="77.45"/>
    <n v="9"/>
    <n v="6"/>
  </r>
  <r>
    <n v="1592"/>
    <n v="2"/>
    <n v="159"/>
    <x v="1"/>
    <n v="1"/>
    <n v="2299.9899999999998"/>
    <n v="7.0000000000000007E-2"/>
    <n v="160.99930000000001"/>
    <n v="5"/>
    <n v="6"/>
  </r>
  <r>
    <n v="1592"/>
    <n v="3"/>
    <n v="40"/>
    <x v="2"/>
    <n v="2"/>
    <n v="4999.99"/>
    <n v="7.0000000000000007E-2"/>
    <n v="349.99930000000001"/>
    <n v="8"/>
    <n v="6"/>
  </r>
  <r>
    <n v="1592"/>
    <n v="4"/>
    <n v="9"/>
    <x v="3"/>
    <n v="1"/>
    <n v="2999.99"/>
    <n v="0.2"/>
    <n v="599.99799999999993"/>
    <n v="9"/>
    <n v="6"/>
  </r>
  <r>
    <n v="1592"/>
    <n v="5"/>
    <n v="271"/>
    <x v="4"/>
    <n v="2"/>
    <n v="209.99"/>
    <n v="0.05"/>
    <n v="10.499500000000001"/>
    <n v="3"/>
    <n v="6"/>
  </r>
  <r>
    <n v="1593"/>
    <n v="1"/>
    <n v="97"/>
    <x v="0"/>
    <n v="2"/>
    <n v="349.99"/>
    <n v="0.2"/>
    <n v="69.998000000000005"/>
    <n v="9"/>
    <n v="6"/>
  </r>
  <r>
    <n v="1593"/>
    <n v="2"/>
    <n v="34"/>
    <x v="1"/>
    <n v="1"/>
    <n v="469.99"/>
    <n v="7.0000000000000007E-2"/>
    <n v="32.899300000000004"/>
    <n v="5"/>
    <n v="6"/>
  </r>
  <r>
    <n v="1593"/>
    <n v="3"/>
    <n v="190"/>
    <x v="2"/>
    <n v="2"/>
    <n v="2799.99"/>
    <n v="0.1"/>
    <n v="279.99899999999997"/>
    <n v="8"/>
    <n v="6"/>
  </r>
  <r>
    <n v="1593"/>
    <n v="4"/>
    <n v="107"/>
    <x v="3"/>
    <n v="1"/>
    <n v="416.99"/>
    <n v="0.05"/>
    <n v="20.849500000000003"/>
    <n v="9"/>
    <n v="6"/>
  </r>
  <r>
    <n v="1593"/>
    <n v="5"/>
    <n v="169"/>
    <x v="4"/>
    <n v="2"/>
    <n v="6499.99"/>
    <n v="7.0000000000000007E-2"/>
    <n v="454.99930000000001"/>
    <n v="3"/>
    <n v="6"/>
  </r>
  <r>
    <n v="1594"/>
    <n v="1"/>
    <n v="79"/>
    <x v="0"/>
    <n v="2"/>
    <n v="402.99"/>
    <n v="0.1"/>
    <n v="40.299000000000007"/>
    <n v="9"/>
    <n v="6"/>
  </r>
  <r>
    <n v="1594"/>
    <n v="2"/>
    <n v="105"/>
    <x v="1"/>
    <n v="1"/>
    <n v="533.99"/>
    <n v="0.1"/>
    <n v="53.399000000000001"/>
    <n v="5"/>
    <n v="6"/>
  </r>
  <r>
    <n v="1595"/>
    <n v="1"/>
    <n v="112"/>
    <x v="0"/>
    <n v="1"/>
    <n v="379.99"/>
    <n v="0.2"/>
    <n v="75.998000000000005"/>
    <n v="9"/>
    <n v="6"/>
  </r>
  <r>
    <n v="1596"/>
    <n v="1"/>
    <n v="91"/>
    <x v="0"/>
    <n v="1"/>
    <n v="349.99"/>
    <n v="0.05"/>
    <n v="17.499500000000001"/>
    <n v="9"/>
    <n v="6"/>
  </r>
  <r>
    <n v="1596"/>
    <n v="2"/>
    <n v="18"/>
    <x v="1"/>
    <n v="1"/>
    <n v="449"/>
    <n v="0.1"/>
    <n v="44.900000000000006"/>
    <n v="5"/>
    <n v="6"/>
  </r>
  <r>
    <n v="1597"/>
    <n v="1"/>
    <n v="176"/>
    <x v="0"/>
    <n v="1"/>
    <n v="3199.99"/>
    <n v="7.0000000000000007E-2"/>
    <n v="223.99930000000001"/>
    <n v="9"/>
    <n v="6"/>
  </r>
  <r>
    <n v="1597"/>
    <n v="2"/>
    <n v="59"/>
    <x v="1"/>
    <n v="1"/>
    <n v="2599.9899999999998"/>
    <n v="7.0000000000000007E-2"/>
    <n v="181.99930000000001"/>
    <n v="5"/>
    <n v="6"/>
  </r>
  <r>
    <n v="1598"/>
    <n v="1"/>
    <n v="247"/>
    <x v="0"/>
    <n v="1"/>
    <n v="599.99"/>
    <n v="0.2"/>
    <n v="119.998"/>
    <n v="9"/>
    <n v="6"/>
  </r>
  <r>
    <n v="1598"/>
    <n v="2"/>
    <n v="49"/>
    <x v="1"/>
    <n v="2"/>
    <n v="3499.99"/>
    <n v="7.0000000000000007E-2"/>
    <n v="244.99930000000001"/>
    <n v="5"/>
    <n v="6"/>
  </r>
  <r>
    <n v="1598"/>
    <n v="3"/>
    <n v="88"/>
    <x v="2"/>
    <n v="1"/>
    <n v="189.99"/>
    <n v="0.2"/>
    <n v="37.998000000000005"/>
    <n v="8"/>
    <n v="6"/>
  </r>
  <r>
    <n v="1599"/>
    <n v="1"/>
    <n v="104"/>
    <x v="0"/>
    <n v="2"/>
    <n v="481.99"/>
    <n v="0.2"/>
    <n v="96.39800000000001"/>
    <n v="9"/>
    <n v="6"/>
  </r>
  <r>
    <n v="1600"/>
    <n v="1"/>
    <n v="146"/>
    <x v="0"/>
    <n v="1"/>
    <n v="4999.99"/>
    <n v="0.1"/>
    <n v="499.99900000000002"/>
    <n v="9"/>
    <n v="6"/>
  </r>
  <r>
    <n v="1600"/>
    <n v="2"/>
    <n v="295"/>
    <x v="1"/>
    <n v="1"/>
    <n v="319.99"/>
    <n v="0.05"/>
    <n v="15.999500000000001"/>
    <n v="5"/>
    <n v="6"/>
  </r>
  <r>
    <n v="1600"/>
    <n v="3"/>
    <n v="36"/>
    <x v="2"/>
    <n v="1"/>
    <n v="832.99"/>
    <n v="0.2"/>
    <n v="166.59800000000001"/>
    <n v="8"/>
    <n v="6"/>
  </r>
  <r>
    <n v="1601"/>
    <n v="1"/>
    <n v="114"/>
    <x v="0"/>
    <n v="2"/>
    <n v="579.99"/>
    <n v="0.2"/>
    <n v="115.998"/>
    <n v="9"/>
    <n v="6"/>
  </r>
  <r>
    <n v="1601"/>
    <n v="2"/>
    <n v="10"/>
    <x v="1"/>
    <n v="1"/>
    <n v="1549"/>
    <n v="0.2"/>
    <n v="309.8"/>
    <n v="5"/>
    <n v="6"/>
  </r>
  <r>
    <n v="1601"/>
    <n v="3"/>
    <n v="220"/>
    <x v="2"/>
    <n v="2"/>
    <n v="269.99"/>
    <n v="7.0000000000000007E-2"/>
    <n v="18.899300000000004"/>
    <n v="8"/>
    <n v="6"/>
  </r>
  <r>
    <n v="1601"/>
    <n v="4"/>
    <n v="7"/>
    <x v="3"/>
    <n v="2"/>
    <n v="3999.99"/>
    <n v="7.0000000000000007E-2"/>
    <n v="279.99930000000001"/>
    <n v="9"/>
    <n v="6"/>
  </r>
  <r>
    <n v="1601"/>
    <n v="5"/>
    <n v="180"/>
    <x v="4"/>
    <n v="1"/>
    <n v="919.99"/>
    <n v="0.1"/>
    <n v="91.999000000000009"/>
    <n v="3"/>
    <n v="6"/>
  </r>
  <r>
    <n v="1602"/>
    <n v="1"/>
    <n v="71"/>
    <x v="0"/>
    <n v="2"/>
    <n v="416.99"/>
    <n v="0.05"/>
    <n v="20.849500000000003"/>
    <n v="9"/>
    <n v="6"/>
  </r>
  <r>
    <n v="1602"/>
    <n v="2"/>
    <n v="37"/>
    <x v="1"/>
    <n v="1"/>
    <n v="379.99"/>
    <n v="7.0000000000000007E-2"/>
    <n v="26.599300000000003"/>
    <n v="5"/>
    <n v="6"/>
  </r>
  <r>
    <n v="1602"/>
    <n v="3"/>
    <n v="275"/>
    <x v="2"/>
    <n v="2"/>
    <n v="229.99"/>
    <n v="0.2"/>
    <n v="45.998000000000005"/>
    <n v="8"/>
    <n v="6"/>
  </r>
  <r>
    <n v="1602"/>
    <n v="4"/>
    <n v="257"/>
    <x v="3"/>
    <n v="2"/>
    <n v="899.99"/>
    <n v="0.05"/>
    <n v="44.999500000000005"/>
    <n v="9"/>
    <n v="6"/>
  </r>
  <r>
    <n v="1603"/>
    <n v="1"/>
    <n v="275"/>
    <x v="0"/>
    <n v="2"/>
    <n v="229.99"/>
    <n v="0.05"/>
    <n v="11.499500000000001"/>
    <n v="9"/>
    <n v="6"/>
  </r>
  <r>
    <n v="1604"/>
    <n v="1"/>
    <n v="271"/>
    <x v="0"/>
    <n v="1"/>
    <n v="209.99"/>
    <n v="0.1"/>
    <n v="20.999000000000002"/>
    <n v="9"/>
    <n v="6"/>
  </r>
  <r>
    <n v="1605"/>
    <n v="1"/>
    <n v="72"/>
    <x v="0"/>
    <n v="1"/>
    <n v="619.99"/>
    <n v="0.1"/>
    <n v="61.999000000000002"/>
    <n v="9"/>
    <n v="6"/>
  </r>
  <r>
    <n v="1605"/>
    <n v="2"/>
    <n v="186"/>
    <x v="1"/>
    <n v="1"/>
    <n v="4499.99"/>
    <n v="0.2"/>
    <n v="899.99800000000005"/>
    <n v="5"/>
    <n v="6"/>
  </r>
  <r>
    <n v="1605"/>
    <n v="3"/>
    <n v="132"/>
    <x v="2"/>
    <n v="2"/>
    <n v="1499.99"/>
    <n v="0.1"/>
    <n v="149.999"/>
    <n v="8"/>
    <n v="6"/>
  </r>
  <r>
    <n v="1605"/>
    <n v="4"/>
    <n v="301"/>
    <x v="3"/>
    <n v="1"/>
    <n v="899.99"/>
    <n v="0.1"/>
    <n v="89.999000000000009"/>
    <n v="9"/>
    <n v="6"/>
  </r>
  <r>
    <n v="1605"/>
    <n v="5"/>
    <n v="29"/>
    <x v="4"/>
    <n v="1"/>
    <n v="999.99"/>
    <n v="7.0000000000000007E-2"/>
    <n v="69.999300000000005"/>
    <n v="3"/>
    <n v="6"/>
  </r>
  <r>
    <n v="1606"/>
    <n v="1"/>
    <n v="245"/>
    <x v="0"/>
    <n v="1"/>
    <n v="659.99"/>
    <n v="0.1"/>
    <n v="65.999000000000009"/>
    <n v="9"/>
    <n v="6"/>
  </r>
  <r>
    <n v="1606"/>
    <n v="2"/>
    <n v="271"/>
    <x v="1"/>
    <n v="1"/>
    <n v="209.99"/>
    <n v="0.1"/>
    <n v="20.999000000000002"/>
    <n v="5"/>
    <n v="6"/>
  </r>
  <r>
    <n v="1607"/>
    <n v="1"/>
    <n v="29"/>
    <x v="0"/>
    <n v="1"/>
    <n v="999.99"/>
    <n v="0.05"/>
    <n v="49.999500000000005"/>
    <n v="9"/>
    <n v="6"/>
  </r>
  <r>
    <n v="1608"/>
    <n v="1"/>
    <n v="231"/>
    <x v="0"/>
    <n v="2"/>
    <n v="529.99"/>
    <n v="0.05"/>
    <n v="26.499500000000001"/>
    <n v="9"/>
    <n v="6"/>
  </r>
  <r>
    <n v="1609"/>
    <n v="1"/>
    <n v="96"/>
    <x v="0"/>
    <n v="1"/>
    <n v="349.99"/>
    <n v="0.2"/>
    <n v="69.998000000000005"/>
    <n v="9"/>
    <n v="6"/>
  </r>
  <r>
    <n v="1609"/>
    <n v="2"/>
    <n v="238"/>
    <x v="1"/>
    <n v="2"/>
    <n v="749.99"/>
    <n v="0.2"/>
    <n v="149.99800000000002"/>
    <n v="5"/>
    <n v="6"/>
  </r>
  <r>
    <n v="1609"/>
    <n v="3"/>
    <n v="228"/>
    <x v="2"/>
    <n v="2"/>
    <n v="319.99"/>
    <n v="0.1"/>
    <n v="31.999000000000002"/>
    <n v="8"/>
    <n v="6"/>
  </r>
  <r>
    <n v="1609"/>
    <n v="4"/>
    <n v="105"/>
    <x v="3"/>
    <n v="1"/>
    <n v="533.99"/>
    <n v="0.2"/>
    <n v="106.798"/>
    <n v="9"/>
    <n v="6"/>
  </r>
  <r>
    <n v="1610"/>
    <n v="1"/>
    <n v="36"/>
    <x v="0"/>
    <n v="1"/>
    <n v="832.99"/>
    <n v="7.0000000000000007E-2"/>
    <n v="58.309300000000007"/>
    <n v="9"/>
    <n v="6"/>
  </r>
  <r>
    <n v="1610"/>
    <n v="2"/>
    <n v="173"/>
    <x v="1"/>
    <n v="2"/>
    <n v="3199.99"/>
    <n v="0.2"/>
    <n v="639.99800000000005"/>
    <n v="5"/>
    <n v="6"/>
  </r>
  <r>
    <n v="1611"/>
    <n v="1"/>
    <n v="191"/>
    <x v="0"/>
    <n v="1"/>
    <n v="2799.99"/>
    <n v="7.0000000000000007E-2"/>
    <n v="195.99930000000001"/>
    <n v="9"/>
    <n v="6"/>
  </r>
  <r>
    <n v="1611"/>
    <n v="2"/>
    <n v="171"/>
    <x v="1"/>
    <n v="2"/>
    <n v="3199.99"/>
    <n v="0.1"/>
    <n v="319.99900000000002"/>
    <n v="5"/>
    <n v="6"/>
  </r>
  <r>
    <n v="1611"/>
    <n v="3"/>
    <n v="236"/>
    <x v="2"/>
    <n v="1"/>
    <n v="749.99"/>
    <n v="0.2"/>
    <n v="149.99800000000002"/>
    <n v="8"/>
    <n v="6"/>
  </r>
  <r>
    <n v="1612"/>
    <n v="1"/>
    <n v="242"/>
    <x v="0"/>
    <n v="1"/>
    <n v="699.99"/>
    <n v="0.1"/>
    <n v="69.999000000000009"/>
    <n v="9"/>
    <n v="6"/>
  </r>
  <r>
    <n v="1612"/>
    <n v="2"/>
    <n v="289"/>
    <x v="1"/>
    <n v="2"/>
    <n v="319.99"/>
    <n v="0.05"/>
    <n v="15.999500000000001"/>
    <n v="5"/>
    <n v="6"/>
  </r>
  <r>
    <n v="1612"/>
    <n v="3"/>
    <n v="101"/>
    <x v="2"/>
    <n v="2"/>
    <n v="339.99"/>
    <n v="0.2"/>
    <n v="67.998000000000005"/>
    <n v="8"/>
    <n v="6"/>
  </r>
  <r>
    <n v="1612"/>
    <n v="4"/>
    <n v="293"/>
    <x v="3"/>
    <n v="2"/>
    <n v="319.99"/>
    <n v="7.0000000000000007E-2"/>
    <n v="22.399300000000004"/>
    <n v="9"/>
    <n v="6"/>
  </r>
  <r>
    <n v="1612"/>
    <n v="5"/>
    <n v="60"/>
    <x v="4"/>
    <n v="1"/>
    <n v="1559.99"/>
    <n v="0.1"/>
    <n v="155.99900000000002"/>
    <n v="3"/>
    <n v="6"/>
  </r>
  <r>
    <n v="1613"/>
    <n v="1"/>
    <n v="153"/>
    <x v="0"/>
    <n v="1"/>
    <n v="4999.99"/>
    <n v="7.0000000000000007E-2"/>
    <n v="349.99930000000001"/>
    <n v="9"/>
    <n v="6"/>
  </r>
  <r>
    <n v="1613"/>
    <n v="2"/>
    <n v="283"/>
    <x v="1"/>
    <n v="2"/>
    <n v="319.99"/>
    <n v="0.05"/>
    <n v="15.999500000000001"/>
    <n v="5"/>
    <n v="6"/>
  </r>
  <r>
    <n v="1614"/>
    <n v="1"/>
    <n v="124"/>
    <x v="0"/>
    <n v="1"/>
    <n v="1499"/>
    <n v="7.0000000000000007E-2"/>
    <n v="104.93"/>
    <n v="9"/>
    <n v="6"/>
  </r>
  <r>
    <n v="1614"/>
    <n v="2"/>
    <n v="159"/>
    <x v="1"/>
    <n v="2"/>
    <n v="2299.9899999999998"/>
    <n v="7.0000000000000007E-2"/>
    <n v="160.99930000000001"/>
    <n v="5"/>
    <n v="6"/>
  </r>
  <r>
    <n v="1614"/>
    <n v="3"/>
    <n v="213"/>
    <x v="2"/>
    <n v="2"/>
    <n v="269.99"/>
    <n v="0.2"/>
    <n v="53.998000000000005"/>
    <n v="8"/>
    <n v="6"/>
  </r>
  <r>
    <n v="1615"/>
    <n v="1"/>
    <n v="197"/>
    <x v="0"/>
    <n v="2"/>
    <n v="2299.9899999999998"/>
    <n v="0.2"/>
    <n v="459.99799999999999"/>
    <n v="9"/>
    <n v="6"/>
  </r>
  <r>
    <n v="1615"/>
    <n v="2"/>
    <n v="214"/>
    <x v="1"/>
    <n v="1"/>
    <n v="899.99"/>
    <n v="7.0000000000000007E-2"/>
    <n v="62.999300000000005"/>
    <n v="5"/>
    <n v="6"/>
  </r>
  <r>
    <n v="1615"/>
    <n v="3"/>
    <n v="182"/>
    <x v="2"/>
    <n v="1"/>
    <n v="2499.9899999999998"/>
    <n v="0.2"/>
    <n v="499.99799999999999"/>
    <n v="8"/>
    <n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415F34-1126-4C7A-ACFC-397F52E36F52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B9" firstHeaderRow="1" firstDataRow="1" firstDataCol="1"/>
  <pivotFields count="10">
    <pivotField showAll="0"/>
    <pivotField showAll="0"/>
    <pivotField showAll="0"/>
    <pivotField axis="axisRow" showAll="0">
      <items count="6">
        <item x="4"/>
        <item x="1"/>
        <item x="2"/>
        <item x="0"/>
        <item x="3"/>
        <item t="default"/>
      </items>
    </pivotField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Total_price" fld="7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467F13-63AB-4847-A2AC-033CC7C9E5F7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31:B37" firstHeaderRow="1" firstDataRow="1" firstDataCol="1"/>
  <pivotFields count="10">
    <pivotField showAll="0"/>
    <pivotField showAll="0"/>
    <pivotField showAll="0"/>
    <pivotField axis="axisRow" showAll="0">
      <items count="6">
        <item x="4"/>
        <item x="1"/>
        <item x="2"/>
        <item x="0"/>
        <item x="3"/>
        <item t="default"/>
      </items>
    </pivotField>
    <pivotField dataField="1" showAll="0"/>
    <pivotField showAll="0"/>
    <pivotField showAll="0"/>
    <pivotField showAll="0"/>
    <pivotField showAll="0"/>
    <pivotField showAl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quantity" fld="4" baseField="0" baseItem="0"/>
  </dataFields>
  <chartFormats count="1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3494351-991A-4EFF-B5E0-CFCF31758C00}" autoFormatId="16" applyNumberFormats="0" applyBorderFormats="0" applyFontFormats="0" applyPatternFormats="0" applyAlignmentFormats="0" applyWidthHeightFormats="0">
  <queryTableRefresh nextId="3">
    <queryTableFields count="2">
      <queryTableField id="1" name="brand_id" tableColumnId="3"/>
      <queryTableField id="2" name="brand_name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4F0A7433-A85E-4B67-B9EB-6DA1E10D0E58}" autoFormatId="16" applyNumberFormats="0" applyBorderFormats="0" applyFontFormats="0" applyPatternFormats="0" applyAlignmentFormats="0" applyWidthHeightFormats="0">
  <queryTableRefresh nextId="3">
    <queryTableFields count="2">
      <queryTableField id="1" name="category_id" tableColumnId="3"/>
      <queryTableField id="2" name="category_name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48931FA6-69A4-4657-9B26-4FE5C1AF16B3}" autoFormatId="16" applyNumberFormats="0" applyBorderFormats="0" applyFontFormats="0" applyPatternFormats="0" applyAlignmentFormats="0" applyWidthHeightFormats="0">
  <queryTableRefresh nextId="10">
    <queryTableFields count="9">
      <queryTableField id="1" name="customer_id" tableColumnId="10"/>
      <queryTableField id="2" name="first_name" tableColumnId="2"/>
      <queryTableField id="3" name="last_name" tableColumnId="3"/>
      <queryTableField id="4" name="phone" tableColumnId="4"/>
      <queryTableField id="5" name="email" tableColumnId="5"/>
      <queryTableField id="6" name="street" tableColumnId="6"/>
      <queryTableField id="7" name="city" tableColumnId="7"/>
      <queryTableField id="8" name="state" tableColumnId="8"/>
      <queryTableField id="9" name="zip_code" tableColumnId="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F9C235C5-60AF-421E-8274-CC33CF6465EA}" autoFormatId="16" applyNumberFormats="0" applyBorderFormats="0" applyFontFormats="0" applyPatternFormats="0" applyAlignmentFormats="0" applyWidthHeightFormats="0">
  <queryTableRefresh nextId="13" unboundColumnsRight="3">
    <queryTableFields count="11">
      <queryTableField id="1" name="order_id" tableColumnId="8"/>
      <queryTableField id="2" name="item_id" tableColumnId="2"/>
      <queryTableField id="3" name="product_id" tableColumnId="3"/>
      <queryTableField id="8" dataBound="0" tableColumnId="9"/>
      <queryTableField id="4" name="quantity" tableColumnId="4"/>
      <queryTableField id="5" name="list_price" tableColumnId="5"/>
      <queryTableField id="6" name="discount" tableColumnId="6"/>
      <queryTableField id="7" name="Total_price" tableColumnId="7"/>
      <queryTableField id="12" dataBound="0" tableColumnId="12"/>
      <queryTableField id="9" dataBound="0" tableColumnId="10"/>
      <queryTableField id="10" dataBound="0" tableColumnId="1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251C3740-EF16-446F-92FF-31EFDF28F8B3}" autoFormatId="16" applyNumberFormats="0" applyBorderFormats="0" applyFontFormats="0" applyPatternFormats="0" applyAlignmentFormats="0" applyWidthHeightFormats="0">
  <queryTableRefresh nextId="9">
    <queryTableFields count="8">
      <queryTableField id="1" name="order_id" tableColumnId="9"/>
      <queryTableField id="2" name="customer_id" tableColumnId="2"/>
      <queryTableField id="3" name="order_status" tableColumnId="3"/>
      <queryTableField id="4" name="order_date" tableColumnId="4"/>
      <queryTableField id="5" name="required_date" tableColumnId="5"/>
      <queryTableField id="6" name="shipped_date" tableColumnId="6"/>
      <queryTableField id="7" name="store_id" tableColumnId="7"/>
      <queryTableField id="8" name="staff_id" tableColumnId="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597A54F5-47EA-4EFF-BD80-98ADA89187FD}" autoFormatId="16" applyNumberFormats="0" applyBorderFormats="0" applyFontFormats="0" applyPatternFormats="0" applyAlignmentFormats="0" applyWidthHeightFormats="0">
  <queryTableRefresh nextId="7">
    <queryTableFields count="6">
      <queryTableField id="1" name="product_id" tableColumnId="7"/>
      <queryTableField id="2" name="product_name" tableColumnId="2"/>
      <queryTableField id="3" name="brand_id" tableColumnId="3"/>
      <queryTableField id="4" name="category_id" tableColumnId="4"/>
      <queryTableField id="5" name="model_year" tableColumnId="5"/>
      <queryTableField id="6" name="list_price" tableColumnId="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43BDE908-5E7B-4DD5-A644-A4F7A5008493}" autoFormatId="16" applyNumberFormats="0" applyBorderFormats="0" applyFontFormats="0" applyPatternFormats="0" applyAlignmentFormats="0" applyWidthHeightFormats="0">
  <queryTableRefresh nextId="9">
    <queryTableFields count="8">
      <queryTableField id="1" name="staff_id" tableColumnId="9"/>
      <queryTableField id="2" name="first_name" tableColumnId="2"/>
      <queryTableField id="3" name="last_name" tableColumnId="3"/>
      <queryTableField id="4" name="email" tableColumnId="4"/>
      <queryTableField id="5" name="phone" tableColumnId="5"/>
      <queryTableField id="6" name="active" tableColumnId="6"/>
      <queryTableField id="7" name="store_id" tableColumnId="7"/>
      <queryTableField id="8" name="manager_id" tableColumnId="8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D6351C22-B878-4CCB-974A-DC49E6B49E2A}" autoFormatId="16" applyNumberFormats="0" applyBorderFormats="0" applyFontFormats="0" applyPatternFormats="0" applyAlignmentFormats="0" applyWidthHeightFormats="0">
  <queryTableRefresh nextId="4">
    <queryTableFields count="3">
      <queryTableField id="1" name="store_id" tableColumnId="4"/>
      <queryTableField id="2" name="product_id" tableColumnId="2"/>
      <queryTableField id="3" name="quantity" tableColumnId="3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D58E59D1-91EF-4703-B8B5-4A493938995E}" autoFormatId="16" applyNumberFormats="0" applyBorderFormats="0" applyFontFormats="0" applyPatternFormats="0" applyAlignmentFormats="0" applyWidthHeightFormats="0">
  <queryTableRefresh nextId="9">
    <queryTableFields count="8">
      <queryTableField id="1" name="store_id" tableColumnId="9"/>
      <queryTableField id="2" name="store_name" tableColumnId="2"/>
      <queryTableField id="3" name="phone" tableColumnId="3"/>
      <queryTableField id="4" name="email" tableColumnId="4"/>
      <queryTableField id="5" name="street" tableColumnId="5"/>
      <queryTableField id="6" name="city" tableColumnId="6"/>
      <queryTableField id="7" name="state" tableColumnId="7"/>
      <queryTableField id="8" name="zip_code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DB3FC83-8BC0-4279-AA4B-FA86AD7386D7}" name="brands" displayName="brands" ref="A1:B10" tableType="queryTable" totalsRowShown="0">
  <autoFilter ref="A1:B10" xr:uid="{3DB3FC83-8BC0-4279-AA4B-FA86AD7386D7}"/>
  <tableColumns count="2">
    <tableColumn id="3" xr3:uid="{94F0CAA9-66CD-4324-BD22-FDFD9D6AB92E}" uniqueName="3" name="brand_id" queryTableFieldId="1" dataDxfId="34"/>
    <tableColumn id="2" xr3:uid="{CD9672BB-E118-46CE-AFAC-683EB5DBDF35}" uniqueName="2" name="brand_name" queryTableFieldId="2" dataDxfId="3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A8ED53E-F281-42D0-8528-4962EB122641}" name="categories" displayName="categories" ref="A1:B8" tableType="queryTable" totalsRowShown="0">
  <autoFilter ref="A1:B8" xr:uid="{2A8ED53E-F281-42D0-8528-4962EB122641}"/>
  <tableColumns count="2">
    <tableColumn id="3" xr3:uid="{5689C88F-2903-4067-BE95-4FEE18072EA0}" uniqueName="3" name="category_id" queryTableFieldId="1" dataDxfId="32"/>
    <tableColumn id="2" xr3:uid="{DEB50E7B-D0D9-44C5-BEFE-4CCFC25E1D7A}" uniqueName="2" name="category_name" queryTableFieldId="2" dataDxfId="3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796734E-EDD3-4F40-AA71-BBCCC3139296}" name="customers" displayName="customers" ref="A1:I1446" tableType="queryTable" totalsRowShown="0">
  <autoFilter ref="A1:I1446" xr:uid="{0796734E-EDD3-4F40-AA71-BBCCC3139296}"/>
  <tableColumns count="9">
    <tableColumn id="10" xr3:uid="{E0B48A5D-24D7-469F-99EB-75AC4DAAD301}" uniqueName="10" name="customer_id" queryTableFieldId="1"/>
    <tableColumn id="2" xr3:uid="{09CEC64F-68A0-4A41-A132-86B082FC5187}" uniqueName="2" name="first_name" queryTableFieldId="2" dataDxfId="30"/>
    <tableColumn id="3" xr3:uid="{1AB8825B-62D4-4E65-893B-56D11F4A469A}" uniqueName="3" name="last_name" queryTableFieldId="3" dataDxfId="29"/>
    <tableColumn id="4" xr3:uid="{970CBCA5-5AD9-4758-8F38-DD078C5CE929}" uniqueName="4" name="phone" queryTableFieldId="4" dataDxfId="28"/>
    <tableColumn id="5" xr3:uid="{50F2A29F-BB99-43DC-949E-C00EB04B57B2}" uniqueName="5" name="email" queryTableFieldId="5" dataDxfId="27"/>
    <tableColumn id="6" xr3:uid="{84D072A4-5F40-4C87-A96F-EA4462D9150B}" uniqueName="6" name="street" queryTableFieldId="6" dataDxfId="26"/>
    <tableColumn id="7" xr3:uid="{C8CE8774-427E-4A79-939D-112B56B71E79}" uniqueName="7" name="city" queryTableFieldId="7" dataDxfId="25"/>
    <tableColumn id="8" xr3:uid="{AFFEC97D-2AB8-4F27-98EC-D04F000C0DF1}" uniqueName="8" name="state" queryTableFieldId="8" dataDxfId="24"/>
    <tableColumn id="9" xr3:uid="{FFB90FE5-8EF5-4E46-B635-D41382F0F230}" uniqueName="9" name="zip_code" queryTableField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0AED46-FD39-4F0D-83C9-A99DBA5B90C0}" name="order_items" displayName="order_items" ref="A1:K4723" tableType="queryTable" totalsRowShown="0">
  <autoFilter ref="A1:K4723" xr:uid="{2B0AED46-FD39-4F0D-83C9-A99DBA5B90C0}"/>
  <tableColumns count="11">
    <tableColumn id="8" xr3:uid="{486201B7-70A0-49DD-B982-1C4121BAFA43}" uniqueName="8" name="order_id" queryTableFieldId="1"/>
    <tableColumn id="2" xr3:uid="{30653ED8-C5F2-4DC8-A889-91D85A4716AA}" uniqueName="2" name="item_id" queryTableFieldId="2"/>
    <tableColumn id="3" xr3:uid="{F6611774-73F2-4CD4-945E-AA31EE2CADC2}" uniqueName="3" name="product_id" queryTableFieldId="3"/>
    <tableColumn id="9" xr3:uid="{78F3EBD7-DCE3-4BC3-9C19-28BAF63244EC}" uniqueName="9" name="Product name" queryTableFieldId="8" dataDxfId="23">
      <calculatedColumnFormula>VLOOKUP(B2, Products!$A$2:$C$100, 2, FALSE)</calculatedColumnFormula>
    </tableColumn>
    <tableColumn id="4" xr3:uid="{25D41080-EE67-43E7-B5A7-E2D50BC572A1}" uniqueName="4" name="quantity" queryTableFieldId="4"/>
    <tableColumn id="5" xr3:uid="{45EC43ED-0688-4A77-BF1B-DCDE7D652E44}" uniqueName="5" name="list_price" queryTableFieldId="5"/>
    <tableColumn id="6" xr3:uid="{41BD87F4-9F63-44FA-B0D7-A3B466854052}" uniqueName="6" name="discount" queryTableFieldId="6"/>
    <tableColumn id="7" xr3:uid="{EDB97B0E-7539-4474-98D7-7C58DB78D84F}" uniqueName="7" name="Discounted_price" queryTableFieldId="7"/>
    <tableColumn id="12" xr3:uid="{8F14481D-9B7D-4D9A-B17B-66B5AEA67FC3}" uniqueName="12" name="Total_price" queryTableFieldId="12" dataDxfId="0">
      <calculatedColumnFormula>order_items[[#This Row],[list_price]]-order_items[[#This Row],[Discounted_price]]</calculatedColumnFormula>
    </tableColumn>
    <tableColumn id="10" xr3:uid="{77656CFD-1443-4CA9-BF4B-08BA96C51BD2}" uniqueName="10" name="Category ID" queryTableFieldId="9" dataDxfId="22">
      <calculatedColumnFormula>VLOOKUP(B2, Products!$A$2:$E$100, 3, FALSE)</calculatedColumnFormula>
    </tableColumn>
    <tableColumn id="11" xr3:uid="{E4AFB142-6FF0-4A73-8AC2-407F3E7D3D45}" uniqueName="11" name="Brand ID" queryTableFieldId="10" dataDxfId="21">
      <calculatedColumnFormula>VLOOKUP(B2, Products!$A$2:$F$100, 4, FALSE)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955F85-F51E-4815-A7BD-1A09ADEF316E}" name="orders" displayName="orders" ref="A1:H1616" tableType="queryTable" totalsRowShown="0">
  <autoFilter ref="A1:H1616" xr:uid="{3C955F85-F51E-4815-A7BD-1A09ADEF316E}"/>
  <tableColumns count="8">
    <tableColumn id="9" xr3:uid="{35311C4E-18CD-43FF-819D-3A0BB1E28E18}" uniqueName="9" name="order_id" queryTableFieldId="1"/>
    <tableColumn id="2" xr3:uid="{DFB5FBBF-7BCF-417D-B8DA-7F379F8A6421}" uniqueName="2" name="customer_id" queryTableFieldId="2"/>
    <tableColumn id="3" xr3:uid="{9ADCBD3C-BF9F-470B-9AD8-73D456ACDA09}" uniqueName="3" name="order_status" queryTableFieldId="3"/>
    <tableColumn id="4" xr3:uid="{73AB81E5-73DB-455F-A3FC-7D33BF790B2E}" uniqueName="4" name="order_date" queryTableFieldId="4" dataDxfId="20"/>
    <tableColumn id="5" xr3:uid="{21E5F84B-CDBF-4D14-B1C8-362A7982ABDA}" uniqueName="5" name="required_date" queryTableFieldId="5" dataDxfId="19"/>
    <tableColumn id="6" xr3:uid="{A42EAADC-0797-441D-8476-A50F23B6EEB4}" uniqueName="6" name="shipped_date" queryTableFieldId="6" dataDxfId="18"/>
    <tableColumn id="7" xr3:uid="{5D2D1DDA-4D77-457F-8926-19095A43DD40}" uniqueName="7" name="store_id" queryTableFieldId="7"/>
    <tableColumn id="8" xr3:uid="{C9397251-099A-44AF-AAFB-A7DA4DE86715}" uniqueName="8" name="staff_id" queryTableFieldId="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058E14C-DB12-4C33-AF3E-3050C7125367}" name="products" displayName="products" ref="A1:F322" tableType="queryTable" totalsRowShown="0">
  <autoFilter ref="A1:F322" xr:uid="{E058E14C-DB12-4C33-AF3E-3050C7125367}"/>
  <tableColumns count="6">
    <tableColumn id="7" xr3:uid="{3AAB888C-3467-4BEB-868D-30302FD4064B}" uniqueName="7" name="product_id" queryTableFieldId="1"/>
    <tableColumn id="2" xr3:uid="{D55C923F-838E-49F4-8F5A-BA1BBC63579A}" uniqueName="2" name="product_name" queryTableFieldId="2" dataDxfId="17"/>
    <tableColumn id="3" xr3:uid="{1A262EC8-E8C2-4398-BA04-462B05C7EB12}" uniqueName="3" name="brand_id" queryTableFieldId="3"/>
    <tableColumn id="4" xr3:uid="{8A4904F5-AE8C-4CAC-ADDB-B76E96661F0C}" uniqueName="4" name="category_id" queryTableFieldId="4"/>
    <tableColumn id="5" xr3:uid="{7C991DD9-4D47-48E6-8B3D-68ACB66B967B}" uniqueName="5" name="model_year" queryTableFieldId="5"/>
    <tableColumn id="6" xr3:uid="{364AD04E-D6FC-4B56-9BBF-036BBB8EB348}" uniqueName="6" name="list_price" queryTableFieldId="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4ACD5EC-5377-49BD-86A0-379BED1D5408}" name="staffs" displayName="staffs" ref="A1:H11" tableType="queryTable" totalsRowShown="0">
  <autoFilter ref="A1:H11" xr:uid="{B4ACD5EC-5377-49BD-86A0-379BED1D5408}"/>
  <tableColumns count="8">
    <tableColumn id="9" xr3:uid="{F07BB87A-4B91-4E72-9473-D2FC889ECFA8}" uniqueName="9" name="staff_id" queryTableFieldId="1" dataDxfId="16"/>
    <tableColumn id="2" xr3:uid="{12040183-E927-47DB-851E-22C702579848}" uniqueName="2" name="first_name" queryTableFieldId="2" dataDxfId="15"/>
    <tableColumn id="3" xr3:uid="{D3B0D705-B7D7-4DEB-8CD5-C07F2F26D452}" uniqueName="3" name="last_name" queryTableFieldId="3" dataDxfId="14"/>
    <tableColumn id="4" xr3:uid="{A9E57B28-059D-471E-BBC3-72799B3B6653}" uniqueName="4" name="email" queryTableFieldId="4" dataDxfId="13"/>
    <tableColumn id="5" xr3:uid="{06F15082-3D26-4D7E-A136-518CDFB3AA41}" uniqueName="5" name="phone" queryTableFieldId="5" dataDxfId="12"/>
    <tableColumn id="6" xr3:uid="{6DD1866F-41C5-4E5E-804D-722E2D80A609}" uniqueName="6" name="active" queryTableFieldId="6" dataDxfId="11"/>
    <tableColumn id="7" xr3:uid="{A1B19C93-9B08-4D72-8F94-003E2EDB20AE}" uniqueName="7" name="store_id" queryTableFieldId="7" dataDxfId="10"/>
    <tableColumn id="8" xr3:uid="{9649D59E-ACDC-401E-9FE4-F5C151E75019}" uniqueName="8" name="manager_id" queryTableFieldId="8" dataDxfId="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6BDF9C-7AF3-4156-B117-AC3DE5DFAD34}" name="stocks" displayName="stocks" ref="A1:C940" tableType="queryTable" totalsRowShown="0">
  <autoFilter ref="A1:C940" xr:uid="{0F6BDF9C-7AF3-4156-B117-AC3DE5DFAD34}"/>
  <tableColumns count="3">
    <tableColumn id="4" xr3:uid="{8DDA309D-1A32-49FF-8D66-24DB38D77991}" uniqueName="4" name="store_id" queryTableFieldId="1"/>
    <tableColumn id="2" xr3:uid="{71EB6E81-13CA-4B8E-8459-D18933B07209}" uniqueName="2" name="product_id" queryTableFieldId="2"/>
    <tableColumn id="3" xr3:uid="{6D313A24-6B83-4B2A-9211-38EA792EF0B7}" uniqueName="3" name="quantity" queryTableField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088B7AE-96E2-4EDB-BCD0-8CF466E4ECC8}" name="stores" displayName="stores" ref="A1:H4" tableType="queryTable" totalsRowShown="0">
  <autoFilter ref="A1:H4" xr:uid="{1088B7AE-96E2-4EDB-BCD0-8CF466E4ECC8}"/>
  <tableColumns count="8">
    <tableColumn id="9" xr3:uid="{A657DB40-51C0-4092-B634-32159C72D924}" uniqueName="9" name="store_id" queryTableFieldId="1" dataDxfId="8"/>
    <tableColumn id="2" xr3:uid="{A1777AF7-4202-45E7-BA2D-E4F0D33DE1CF}" uniqueName="2" name="store_name" queryTableFieldId="2" dataDxfId="7"/>
    <tableColumn id="3" xr3:uid="{E4329165-39E0-4859-BD6F-3C9C5D026964}" uniqueName="3" name="phone" queryTableFieldId="3" dataDxfId="6"/>
    <tableColumn id="4" xr3:uid="{16840E8A-DB40-4790-8617-8C49456F057D}" uniqueName="4" name="email" queryTableFieldId="4" dataDxfId="5"/>
    <tableColumn id="5" xr3:uid="{24E5FC41-F6B3-40B1-9616-0444385B9AE8}" uniqueName="5" name="street" queryTableFieldId="5" dataDxfId="4"/>
    <tableColumn id="6" xr3:uid="{D0C97640-395B-468E-B1F5-3A8E5DB25E98}" uniqueName="6" name="city" queryTableFieldId="6" dataDxfId="3"/>
    <tableColumn id="7" xr3:uid="{8E7004D2-A3C8-4A01-9F1A-F73733CC106F}" uniqueName="7" name="state" queryTableFieldId="7" dataDxfId="2"/>
    <tableColumn id="8" xr3:uid="{9261FC89-877C-405C-9838-90821E9A6E81}" uniqueName="8" name="zip_code" queryTableFieldId="8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99269-F17F-487C-93D4-BCFC169F3D49}">
  <sheetPr codeName="Sheet4"/>
  <dimension ref="A3:B37"/>
  <sheetViews>
    <sheetView workbookViewId="0">
      <selection activeCell="D10" sqref="D10"/>
    </sheetView>
  </sheetViews>
  <sheetFormatPr defaultRowHeight="14.4" x14ac:dyDescent="0.3"/>
  <cols>
    <col min="1" max="1" width="30.88671875" bestFit="1" customWidth="1"/>
    <col min="2" max="2" width="16.88671875" bestFit="1" customWidth="1"/>
    <col min="3" max="3" width="14.6640625" bestFit="1" customWidth="1"/>
    <col min="4" max="4" width="16.88671875" bestFit="1" customWidth="1"/>
  </cols>
  <sheetData>
    <row r="3" spans="1:2" x14ac:dyDescent="0.3">
      <c r="A3" s="2" t="s">
        <v>5619</v>
      </c>
      <c r="B3" t="s">
        <v>5621</v>
      </c>
    </row>
    <row r="4" spans="1:2" x14ac:dyDescent="0.3">
      <c r="A4" s="3" t="s">
        <v>5279</v>
      </c>
      <c r="B4">
        <v>33078.639400000022</v>
      </c>
    </row>
    <row r="5" spans="1:2" x14ac:dyDescent="0.3">
      <c r="A5" s="3" t="s">
        <v>5276</v>
      </c>
      <c r="B5">
        <v>181945.26060000068</v>
      </c>
    </row>
    <row r="6" spans="1:2" x14ac:dyDescent="0.3">
      <c r="A6" s="3" t="s">
        <v>5277</v>
      </c>
      <c r="B6">
        <v>121550.04340000039</v>
      </c>
    </row>
    <row r="7" spans="1:2" x14ac:dyDescent="0.3">
      <c r="A7" s="3" t="s">
        <v>5275</v>
      </c>
      <c r="B7">
        <v>191153.69070000103</v>
      </c>
    </row>
    <row r="8" spans="1:2" x14ac:dyDescent="0.3">
      <c r="A8" s="3" t="s">
        <v>5278</v>
      </c>
      <c r="B8">
        <v>70541.027800000098</v>
      </c>
    </row>
    <row r="9" spans="1:2" x14ac:dyDescent="0.3">
      <c r="A9" s="3" t="s">
        <v>5620</v>
      </c>
      <c r="B9">
        <v>598268.66190000228</v>
      </c>
    </row>
    <row r="31" spans="1:2" x14ac:dyDescent="0.3">
      <c r="A31" s="2" t="s">
        <v>5619</v>
      </c>
      <c r="B31" t="s">
        <v>5624</v>
      </c>
    </row>
    <row r="32" spans="1:2" x14ac:dyDescent="0.3">
      <c r="A32" s="3" t="s">
        <v>5279</v>
      </c>
      <c r="B32">
        <v>381</v>
      </c>
    </row>
    <row r="33" spans="1:2" x14ac:dyDescent="0.3">
      <c r="A33" s="3" t="s">
        <v>5276</v>
      </c>
      <c r="B33">
        <v>1962</v>
      </c>
    </row>
    <row r="34" spans="1:2" x14ac:dyDescent="0.3">
      <c r="A34" s="3" t="s">
        <v>5277</v>
      </c>
      <c r="B34">
        <v>1449</v>
      </c>
    </row>
    <row r="35" spans="1:2" x14ac:dyDescent="0.3">
      <c r="A35" s="3" t="s">
        <v>5275</v>
      </c>
      <c r="B35">
        <v>2413</v>
      </c>
    </row>
    <row r="36" spans="1:2" x14ac:dyDescent="0.3">
      <c r="A36" s="3" t="s">
        <v>5278</v>
      </c>
      <c r="B36">
        <v>873</v>
      </c>
    </row>
    <row r="37" spans="1:2" x14ac:dyDescent="0.3">
      <c r="A37" s="3" t="s">
        <v>5620</v>
      </c>
      <c r="B37">
        <v>7078</v>
      </c>
    </row>
  </sheetData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efreshAndExportPivotAsPDF">
                <anchor moveWithCells="1">
                  <from>
                    <xdr:col>1</xdr:col>
                    <xdr:colOff>541020</xdr:colOff>
                    <xdr:row>10</xdr:row>
                    <xdr:rowOff>137160</xdr:rowOff>
                  </from>
                  <to>
                    <xdr:col>1</xdr:col>
                    <xdr:colOff>1059180</xdr:colOff>
                    <xdr:row>11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E1C12-10AA-4FB3-9BB1-7716CC67DBF6}">
  <dimension ref="D6:E10"/>
  <sheetViews>
    <sheetView tabSelected="1" workbookViewId="0">
      <selection activeCell="H11" sqref="H11"/>
    </sheetView>
  </sheetViews>
  <sheetFormatPr defaultRowHeight="14.4" x14ac:dyDescent="0.3"/>
  <cols>
    <col min="4" max="4" width="16.5546875" bestFit="1" customWidth="1"/>
  </cols>
  <sheetData>
    <row r="6" spans="4:5" x14ac:dyDescent="0.3">
      <c r="D6" t="s">
        <v>5630</v>
      </c>
    </row>
    <row r="7" spans="4:5" x14ac:dyDescent="0.3">
      <c r="D7" s="4" t="s">
        <v>5626</v>
      </c>
      <c r="E7" s="4">
        <f>AVERAGE(order_items[Total_price])</f>
        <v>1086.0097221728099</v>
      </c>
    </row>
    <row r="8" spans="4:5" x14ac:dyDescent="0.3">
      <c r="D8" s="4" t="s">
        <v>5627</v>
      </c>
      <c r="E8" s="4">
        <f>MEDIAN(Order_items!I:I)</f>
        <v>522.4905</v>
      </c>
    </row>
    <row r="9" spans="4:5" x14ac:dyDescent="0.3">
      <c r="D9" s="4" t="s">
        <v>5628</v>
      </c>
      <c r="E9" s="4">
        <f>_xlfn.MODE.SNGL(Order_items!I:I)</f>
        <v>242.99100000000001</v>
      </c>
    </row>
    <row r="10" spans="4:5" x14ac:dyDescent="0.3">
      <c r="D10" s="4" t="s">
        <v>5629</v>
      </c>
      <c r="E10" s="4">
        <f>_xlfn.STDEV.S(Order_items!I:I)</f>
        <v>1221.4622774170286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2D8EC-909E-4197-840C-E049893B2689}">
  <sheetPr codeName="Sheet1"/>
  <dimension ref="A1:B10"/>
  <sheetViews>
    <sheetView workbookViewId="0">
      <selection activeCell="B21" sqref="B21"/>
    </sheetView>
  </sheetViews>
  <sheetFormatPr defaultRowHeight="14.4" x14ac:dyDescent="0.3"/>
  <cols>
    <col min="1" max="1" width="10.77734375" bestFit="1" customWidth="1"/>
    <col min="2" max="2" width="14" bestFit="1" customWidth="1"/>
  </cols>
  <sheetData>
    <row r="1" spans="1:2" x14ac:dyDescent="0.3">
      <c r="A1" t="s">
        <v>0</v>
      </c>
      <c r="B1" t="s">
        <v>1</v>
      </c>
    </row>
    <row r="2" spans="1:2" x14ac:dyDescent="0.3">
      <c r="A2">
        <v>1</v>
      </c>
      <c r="B2" t="s">
        <v>2</v>
      </c>
    </row>
    <row r="3" spans="1:2" x14ac:dyDescent="0.3">
      <c r="A3">
        <v>2</v>
      </c>
      <c r="B3" t="s">
        <v>3</v>
      </c>
    </row>
    <row r="4" spans="1:2" x14ac:dyDescent="0.3">
      <c r="A4">
        <v>3</v>
      </c>
      <c r="B4" t="s">
        <v>4</v>
      </c>
    </row>
    <row r="5" spans="1:2" x14ac:dyDescent="0.3">
      <c r="A5">
        <v>4</v>
      </c>
      <c r="B5" t="s">
        <v>5</v>
      </c>
    </row>
    <row r="6" spans="1:2" x14ac:dyDescent="0.3">
      <c r="A6">
        <v>5</v>
      </c>
      <c r="B6" t="s">
        <v>6</v>
      </c>
    </row>
    <row r="7" spans="1:2" x14ac:dyDescent="0.3">
      <c r="A7">
        <v>6</v>
      </c>
      <c r="B7" t="s">
        <v>7</v>
      </c>
    </row>
    <row r="8" spans="1:2" x14ac:dyDescent="0.3">
      <c r="A8">
        <v>7</v>
      </c>
      <c r="B8" t="s">
        <v>8</v>
      </c>
    </row>
    <row r="9" spans="1:2" x14ac:dyDescent="0.3">
      <c r="A9">
        <v>8</v>
      </c>
      <c r="B9" t="s">
        <v>9</v>
      </c>
    </row>
    <row r="10" spans="1:2" x14ac:dyDescent="0.3">
      <c r="A10">
        <v>9</v>
      </c>
      <c r="B10" t="s">
        <v>10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867A7-9CA1-4F03-A3D5-FD488D4BB446}">
  <sheetPr codeName="Sheet2"/>
  <dimension ref="A1:B8"/>
  <sheetViews>
    <sheetView workbookViewId="0">
      <selection activeCell="B25" sqref="B25"/>
    </sheetView>
  </sheetViews>
  <sheetFormatPr defaultRowHeight="14.4" x14ac:dyDescent="0.3"/>
  <cols>
    <col min="1" max="1" width="13.109375" bestFit="1" customWidth="1"/>
    <col min="2" max="2" width="16.6640625" bestFit="1" customWidth="1"/>
  </cols>
  <sheetData>
    <row r="1" spans="1:2" x14ac:dyDescent="0.3">
      <c r="A1" t="s">
        <v>11</v>
      </c>
      <c r="B1" t="s">
        <v>12</v>
      </c>
    </row>
    <row r="2" spans="1:2" x14ac:dyDescent="0.3">
      <c r="A2">
        <v>1</v>
      </c>
      <c r="B2" t="s">
        <v>13</v>
      </c>
    </row>
    <row r="3" spans="1:2" x14ac:dyDescent="0.3">
      <c r="A3">
        <v>2</v>
      </c>
      <c r="B3" t="s">
        <v>14</v>
      </c>
    </row>
    <row r="4" spans="1:2" x14ac:dyDescent="0.3">
      <c r="A4">
        <v>3</v>
      </c>
      <c r="B4" t="s">
        <v>15</v>
      </c>
    </row>
    <row r="5" spans="1:2" x14ac:dyDescent="0.3">
      <c r="A5">
        <v>4</v>
      </c>
      <c r="B5" t="s">
        <v>16</v>
      </c>
    </row>
    <row r="6" spans="1:2" x14ac:dyDescent="0.3">
      <c r="A6">
        <v>5</v>
      </c>
      <c r="B6" t="s">
        <v>17</v>
      </c>
    </row>
    <row r="7" spans="1:2" x14ac:dyDescent="0.3">
      <c r="A7">
        <v>6</v>
      </c>
      <c r="B7" t="s">
        <v>18</v>
      </c>
    </row>
    <row r="8" spans="1:2" x14ac:dyDescent="0.3">
      <c r="A8">
        <v>7</v>
      </c>
      <c r="B8" t="s">
        <v>19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F2536-B0AB-41FC-A64E-CF15A09CAB09}">
  <sheetPr codeName="Sheet3"/>
  <dimension ref="A1:I1446"/>
  <sheetViews>
    <sheetView workbookViewId="0">
      <selection activeCell="J11" sqref="J11"/>
    </sheetView>
  </sheetViews>
  <sheetFormatPr defaultRowHeight="14.4" x14ac:dyDescent="0.3"/>
  <cols>
    <col min="1" max="1" width="13.6640625" bestFit="1" customWidth="1"/>
    <col min="2" max="2" width="12.21875" bestFit="1" customWidth="1"/>
    <col min="3" max="3" width="11.88671875" bestFit="1" customWidth="1"/>
    <col min="4" max="4" width="13.33203125" bestFit="1" customWidth="1"/>
    <col min="5" max="5" width="31.88671875" bestFit="1" customWidth="1"/>
    <col min="6" max="6" width="28.33203125" bestFit="1" customWidth="1"/>
    <col min="7" max="7" width="19.6640625" bestFit="1" customWidth="1"/>
    <col min="8" max="8" width="7.33203125" bestFit="1" customWidth="1"/>
    <col min="9" max="9" width="10.6640625" bestFit="1" customWidth="1"/>
  </cols>
  <sheetData>
    <row r="1" spans="1:9" x14ac:dyDescent="0.3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</row>
    <row r="2" spans="1:9" x14ac:dyDescent="0.3">
      <c r="A2">
        <v>1</v>
      </c>
      <c r="B2" t="s">
        <v>29</v>
      </c>
      <c r="C2" t="s">
        <v>30</v>
      </c>
      <c r="D2" t="s">
        <v>31</v>
      </c>
      <c r="E2" t="s">
        <v>32</v>
      </c>
      <c r="F2" t="s">
        <v>33</v>
      </c>
      <c r="G2" t="s">
        <v>34</v>
      </c>
      <c r="H2" t="s">
        <v>35</v>
      </c>
      <c r="I2">
        <v>14127</v>
      </c>
    </row>
    <row r="3" spans="1:9" x14ac:dyDescent="0.3">
      <c r="A3">
        <v>2</v>
      </c>
      <c r="B3" t="s">
        <v>36</v>
      </c>
      <c r="C3" t="s">
        <v>37</v>
      </c>
      <c r="D3" t="s">
        <v>31</v>
      </c>
      <c r="E3" t="s">
        <v>38</v>
      </c>
      <c r="F3" t="s">
        <v>39</v>
      </c>
      <c r="G3" t="s">
        <v>40</v>
      </c>
      <c r="H3" t="s">
        <v>41</v>
      </c>
      <c r="I3">
        <v>95008</v>
      </c>
    </row>
    <row r="4" spans="1:9" x14ac:dyDescent="0.3">
      <c r="A4">
        <v>3</v>
      </c>
      <c r="B4" t="s">
        <v>42</v>
      </c>
      <c r="C4" t="s">
        <v>43</v>
      </c>
      <c r="D4" t="s">
        <v>31</v>
      </c>
      <c r="E4" t="s">
        <v>44</v>
      </c>
      <c r="F4" t="s">
        <v>45</v>
      </c>
      <c r="G4" t="s">
        <v>46</v>
      </c>
      <c r="H4" t="s">
        <v>41</v>
      </c>
      <c r="I4">
        <v>90278</v>
      </c>
    </row>
    <row r="5" spans="1:9" x14ac:dyDescent="0.3">
      <c r="A5">
        <v>4</v>
      </c>
      <c r="B5" t="s">
        <v>47</v>
      </c>
      <c r="C5" t="s">
        <v>48</v>
      </c>
      <c r="D5" t="s">
        <v>31</v>
      </c>
      <c r="E5" t="s">
        <v>49</v>
      </c>
      <c r="F5" t="s">
        <v>50</v>
      </c>
      <c r="G5" t="s">
        <v>51</v>
      </c>
      <c r="H5" t="s">
        <v>35</v>
      </c>
      <c r="I5">
        <v>11553</v>
      </c>
    </row>
    <row r="6" spans="1:9" x14ac:dyDescent="0.3">
      <c r="A6">
        <v>5</v>
      </c>
      <c r="B6" t="s">
        <v>52</v>
      </c>
      <c r="C6" t="s">
        <v>53</v>
      </c>
      <c r="D6" t="s">
        <v>54</v>
      </c>
      <c r="E6" t="s">
        <v>55</v>
      </c>
      <c r="F6" t="s">
        <v>56</v>
      </c>
      <c r="G6" t="s">
        <v>57</v>
      </c>
      <c r="H6" t="s">
        <v>41</v>
      </c>
      <c r="I6">
        <v>95820</v>
      </c>
    </row>
    <row r="7" spans="1:9" x14ac:dyDescent="0.3">
      <c r="A7">
        <v>6</v>
      </c>
      <c r="B7" t="s">
        <v>58</v>
      </c>
      <c r="C7" t="s">
        <v>59</v>
      </c>
      <c r="D7" t="s">
        <v>31</v>
      </c>
      <c r="E7" t="s">
        <v>60</v>
      </c>
      <c r="F7" t="s">
        <v>61</v>
      </c>
      <c r="G7" t="s">
        <v>62</v>
      </c>
      <c r="H7" t="s">
        <v>35</v>
      </c>
      <c r="I7">
        <v>14450</v>
      </c>
    </row>
    <row r="8" spans="1:9" x14ac:dyDescent="0.3">
      <c r="A8">
        <v>7</v>
      </c>
      <c r="B8" t="s">
        <v>63</v>
      </c>
      <c r="C8" t="s">
        <v>64</v>
      </c>
      <c r="D8" t="s">
        <v>65</v>
      </c>
      <c r="E8" t="s">
        <v>66</v>
      </c>
      <c r="F8" t="s">
        <v>67</v>
      </c>
      <c r="G8" t="s">
        <v>68</v>
      </c>
      <c r="H8" t="s">
        <v>35</v>
      </c>
      <c r="I8">
        <v>14215</v>
      </c>
    </row>
    <row r="9" spans="1:9" x14ac:dyDescent="0.3">
      <c r="A9">
        <v>8</v>
      </c>
      <c r="B9" t="s">
        <v>69</v>
      </c>
      <c r="C9" t="s">
        <v>70</v>
      </c>
      <c r="D9" t="s">
        <v>31</v>
      </c>
      <c r="E9" t="s">
        <v>71</v>
      </c>
      <c r="F9" t="s">
        <v>72</v>
      </c>
      <c r="G9" t="s">
        <v>73</v>
      </c>
      <c r="H9" t="s">
        <v>35</v>
      </c>
      <c r="I9">
        <v>11372</v>
      </c>
    </row>
    <row r="10" spans="1:9" x14ac:dyDescent="0.3">
      <c r="A10">
        <v>9</v>
      </c>
      <c r="B10" t="s">
        <v>74</v>
      </c>
      <c r="C10" t="s">
        <v>75</v>
      </c>
      <c r="D10" t="s">
        <v>31</v>
      </c>
      <c r="E10" t="s">
        <v>76</v>
      </c>
      <c r="F10" t="s">
        <v>77</v>
      </c>
      <c r="G10" t="s">
        <v>78</v>
      </c>
      <c r="H10" t="s">
        <v>35</v>
      </c>
      <c r="I10">
        <v>11050</v>
      </c>
    </row>
    <row r="11" spans="1:9" x14ac:dyDescent="0.3">
      <c r="A11">
        <v>10</v>
      </c>
      <c r="B11" t="s">
        <v>79</v>
      </c>
      <c r="C11" t="s">
        <v>80</v>
      </c>
      <c r="D11" t="s">
        <v>31</v>
      </c>
      <c r="E11" t="s">
        <v>81</v>
      </c>
      <c r="F11" t="s">
        <v>82</v>
      </c>
      <c r="G11" t="s">
        <v>83</v>
      </c>
      <c r="H11" t="s">
        <v>35</v>
      </c>
      <c r="I11">
        <v>10950</v>
      </c>
    </row>
    <row r="12" spans="1:9" x14ac:dyDescent="0.3">
      <c r="A12">
        <v>11</v>
      </c>
      <c r="B12" t="s">
        <v>84</v>
      </c>
      <c r="C12" t="s">
        <v>85</v>
      </c>
      <c r="D12" t="s">
        <v>31</v>
      </c>
      <c r="E12" t="s">
        <v>86</v>
      </c>
      <c r="F12" t="s">
        <v>87</v>
      </c>
      <c r="G12" t="s">
        <v>88</v>
      </c>
      <c r="H12" t="s">
        <v>35</v>
      </c>
      <c r="I12">
        <v>10952</v>
      </c>
    </row>
    <row r="13" spans="1:9" x14ac:dyDescent="0.3">
      <c r="A13">
        <v>12</v>
      </c>
      <c r="B13" t="s">
        <v>89</v>
      </c>
      <c r="C13" t="s">
        <v>90</v>
      </c>
      <c r="D13" t="s">
        <v>91</v>
      </c>
      <c r="E13" t="s">
        <v>92</v>
      </c>
      <c r="F13" t="s">
        <v>93</v>
      </c>
      <c r="G13" t="s">
        <v>94</v>
      </c>
      <c r="H13" t="s">
        <v>35</v>
      </c>
      <c r="I13">
        <v>11550</v>
      </c>
    </row>
    <row r="14" spans="1:9" x14ac:dyDescent="0.3">
      <c r="A14">
        <v>13</v>
      </c>
      <c r="B14" t="s">
        <v>95</v>
      </c>
      <c r="C14" t="s">
        <v>96</v>
      </c>
      <c r="D14" t="s">
        <v>31</v>
      </c>
      <c r="E14" t="s">
        <v>97</v>
      </c>
      <c r="F14" t="s">
        <v>98</v>
      </c>
      <c r="G14" t="s">
        <v>99</v>
      </c>
      <c r="H14" t="s">
        <v>100</v>
      </c>
      <c r="I14">
        <v>75604</v>
      </c>
    </row>
    <row r="15" spans="1:9" x14ac:dyDescent="0.3">
      <c r="A15">
        <v>14</v>
      </c>
      <c r="B15" t="s">
        <v>101</v>
      </c>
      <c r="C15" t="s">
        <v>102</v>
      </c>
      <c r="D15" t="s">
        <v>31</v>
      </c>
      <c r="E15" t="s">
        <v>103</v>
      </c>
      <c r="F15" t="s">
        <v>104</v>
      </c>
      <c r="G15" t="s">
        <v>105</v>
      </c>
      <c r="H15" t="s">
        <v>100</v>
      </c>
      <c r="I15">
        <v>75126</v>
      </c>
    </row>
    <row r="16" spans="1:9" x14ac:dyDescent="0.3">
      <c r="A16">
        <v>15</v>
      </c>
      <c r="B16" t="s">
        <v>106</v>
      </c>
      <c r="C16" t="s">
        <v>107</v>
      </c>
      <c r="D16" t="s">
        <v>31</v>
      </c>
      <c r="E16" t="s">
        <v>108</v>
      </c>
      <c r="F16" t="s">
        <v>109</v>
      </c>
      <c r="G16" t="s">
        <v>110</v>
      </c>
      <c r="H16" t="s">
        <v>35</v>
      </c>
      <c r="I16">
        <v>12901</v>
      </c>
    </row>
    <row r="17" spans="1:9" x14ac:dyDescent="0.3">
      <c r="A17">
        <v>16</v>
      </c>
      <c r="B17" t="s">
        <v>111</v>
      </c>
      <c r="C17" t="s">
        <v>112</v>
      </c>
      <c r="D17" t="s">
        <v>113</v>
      </c>
      <c r="E17" t="s">
        <v>114</v>
      </c>
      <c r="F17" t="s">
        <v>115</v>
      </c>
      <c r="G17" t="s">
        <v>116</v>
      </c>
      <c r="H17" t="s">
        <v>35</v>
      </c>
      <c r="I17">
        <v>10002</v>
      </c>
    </row>
    <row r="18" spans="1:9" x14ac:dyDescent="0.3">
      <c r="A18">
        <v>17</v>
      </c>
      <c r="B18" t="s">
        <v>117</v>
      </c>
      <c r="C18" t="s">
        <v>118</v>
      </c>
      <c r="D18" t="s">
        <v>31</v>
      </c>
      <c r="E18" t="s">
        <v>119</v>
      </c>
      <c r="F18" t="s">
        <v>120</v>
      </c>
      <c r="G18" t="s">
        <v>121</v>
      </c>
      <c r="H18" t="s">
        <v>35</v>
      </c>
      <c r="I18">
        <v>10583</v>
      </c>
    </row>
    <row r="19" spans="1:9" x14ac:dyDescent="0.3">
      <c r="A19">
        <v>18</v>
      </c>
      <c r="B19" t="s">
        <v>122</v>
      </c>
      <c r="C19" t="s">
        <v>123</v>
      </c>
      <c r="D19" t="s">
        <v>31</v>
      </c>
      <c r="E19" t="s">
        <v>124</v>
      </c>
      <c r="F19" t="s">
        <v>125</v>
      </c>
      <c r="G19" t="s">
        <v>126</v>
      </c>
      <c r="H19" t="s">
        <v>35</v>
      </c>
      <c r="I19">
        <v>14424</v>
      </c>
    </row>
    <row r="20" spans="1:9" x14ac:dyDescent="0.3">
      <c r="A20">
        <v>19</v>
      </c>
      <c r="B20" t="s">
        <v>127</v>
      </c>
      <c r="C20" t="s">
        <v>128</v>
      </c>
      <c r="D20" t="s">
        <v>31</v>
      </c>
      <c r="E20" t="s">
        <v>129</v>
      </c>
      <c r="F20" t="s">
        <v>130</v>
      </c>
      <c r="G20" t="s">
        <v>34</v>
      </c>
      <c r="H20" t="s">
        <v>35</v>
      </c>
      <c r="I20">
        <v>14127</v>
      </c>
    </row>
    <row r="21" spans="1:9" x14ac:dyDescent="0.3">
      <c r="A21">
        <v>20</v>
      </c>
      <c r="B21" t="s">
        <v>131</v>
      </c>
      <c r="C21" t="s">
        <v>132</v>
      </c>
      <c r="D21" t="s">
        <v>31</v>
      </c>
      <c r="E21" t="s">
        <v>133</v>
      </c>
      <c r="F21" t="s">
        <v>134</v>
      </c>
      <c r="G21" t="s">
        <v>135</v>
      </c>
      <c r="H21" t="s">
        <v>100</v>
      </c>
      <c r="I21">
        <v>77478</v>
      </c>
    </row>
    <row r="22" spans="1:9" x14ac:dyDescent="0.3">
      <c r="A22">
        <v>21</v>
      </c>
      <c r="B22" t="s">
        <v>136</v>
      </c>
      <c r="C22" t="s">
        <v>137</v>
      </c>
      <c r="D22" t="s">
        <v>31</v>
      </c>
      <c r="E22" t="s">
        <v>138</v>
      </c>
      <c r="F22" t="s">
        <v>139</v>
      </c>
      <c r="G22" t="s">
        <v>140</v>
      </c>
      <c r="H22" t="s">
        <v>100</v>
      </c>
      <c r="I22">
        <v>77904</v>
      </c>
    </row>
    <row r="23" spans="1:9" x14ac:dyDescent="0.3">
      <c r="A23">
        <v>22</v>
      </c>
      <c r="B23" t="s">
        <v>141</v>
      </c>
      <c r="C23" t="s">
        <v>142</v>
      </c>
      <c r="D23" t="s">
        <v>31</v>
      </c>
      <c r="E23" t="s">
        <v>143</v>
      </c>
      <c r="F23" t="s">
        <v>144</v>
      </c>
      <c r="G23" t="s">
        <v>145</v>
      </c>
      <c r="H23" t="s">
        <v>35</v>
      </c>
      <c r="I23">
        <v>11731</v>
      </c>
    </row>
    <row r="24" spans="1:9" x14ac:dyDescent="0.3">
      <c r="A24">
        <v>23</v>
      </c>
      <c r="B24" t="s">
        <v>146</v>
      </c>
      <c r="C24" t="s">
        <v>147</v>
      </c>
      <c r="D24" t="s">
        <v>31</v>
      </c>
      <c r="E24" t="s">
        <v>148</v>
      </c>
      <c r="F24" t="s">
        <v>149</v>
      </c>
      <c r="G24" t="s">
        <v>150</v>
      </c>
      <c r="H24" t="s">
        <v>35</v>
      </c>
      <c r="I24">
        <v>11423</v>
      </c>
    </row>
    <row r="25" spans="1:9" x14ac:dyDescent="0.3">
      <c r="A25">
        <v>24</v>
      </c>
      <c r="B25" t="s">
        <v>151</v>
      </c>
      <c r="C25" t="s">
        <v>152</v>
      </c>
      <c r="D25" t="s">
        <v>31</v>
      </c>
      <c r="E25" t="s">
        <v>153</v>
      </c>
      <c r="F25" t="s">
        <v>154</v>
      </c>
      <c r="G25" t="s">
        <v>155</v>
      </c>
      <c r="H25" t="s">
        <v>41</v>
      </c>
      <c r="I25">
        <v>95301</v>
      </c>
    </row>
    <row r="26" spans="1:9" x14ac:dyDescent="0.3">
      <c r="A26">
        <v>25</v>
      </c>
      <c r="B26" t="s">
        <v>156</v>
      </c>
      <c r="C26" t="s">
        <v>157</v>
      </c>
      <c r="D26" t="s">
        <v>31</v>
      </c>
      <c r="E26" t="s">
        <v>158</v>
      </c>
      <c r="F26" t="s">
        <v>159</v>
      </c>
      <c r="G26" t="s">
        <v>160</v>
      </c>
      <c r="H26" t="s">
        <v>35</v>
      </c>
      <c r="I26">
        <v>10541</v>
      </c>
    </row>
    <row r="27" spans="1:9" x14ac:dyDescent="0.3">
      <c r="A27">
        <v>26</v>
      </c>
      <c r="B27" t="s">
        <v>161</v>
      </c>
      <c r="C27" t="s">
        <v>162</v>
      </c>
      <c r="D27" t="s">
        <v>163</v>
      </c>
      <c r="E27" t="s">
        <v>164</v>
      </c>
      <c r="F27" t="s">
        <v>165</v>
      </c>
      <c r="G27" t="s">
        <v>166</v>
      </c>
      <c r="H27" t="s">
        <v>35</v>
      </c>
      <c r="I27">
        <v>11561</v>
      </c>
    </row>
    <row r="28" spans="1:9" x14ac:dyDescent="0.3">
      <c r="A28">
        <v>27</v>
      </c>
      <c r="B28" t="s">
        <v>167</v>
      </c>
      <c r="C28" t="s">
        <v>168</v>
      </c>
      <c r="D28" t="s">
        <v>31</v>
      </c>
      <c r="E28" t="s">
        <v>169</v>
      </c>
      <c r="F28" t="s">
        <v>170</v>
      </c>
      <c r="G28" t="s">
        <v>171</v>
      </c>
      <c r="H28" t="s">
        <v>35</v>
      </c>
      <c r="I28">
        <v>11104</v>
      </c>
    </row>
    <row r="29" spans="1:9" x14ac:dyDescent="0.3">
      <c r="A29">
        <v>28</v>
      </c>
      <c r="B29" t="s">
        <v>172</v>
      </c>
      <c r="C29" t="s">
        <v>173</v>
      </c>
      <c r="D29" t="s">
        <v>31</v>
      </c>
      <c r="E29" t="s">
        <v>174</v>
      </c>
      <c r="F29" t="s">
        <v>175</v>
      </c>
      <c r="G29" t="s">
        <v>176</v>
      </c>
      <c r="H29" t="s">
        <v>35</v>
      </c>
      <c r="I29">
        <v>10562</v>
      </c>
    </row>
    <row r="30" spans="1:9" x14ac:dyDescent="0.3">
      <c r="A30">
        <v>29</v>
      </c>
      <c r="B30" t="s">
        <v>177</v>
      </c>
      <c r="C30" t="s">
        <v>178</v>
      </c>
      <c r="D30" t="s">
        <v>31</v>
      </c>
      <c r="E30" t="s">
        <v>179</v>
      </c>
      <c r="F30" t="s">
        <v>180</v>
      </c>
      <c r="G30" t="s">
        <v>160</v>
      </c>
      <c r="H30" t="s">
        <v>35</v>
      </c>
      <c r="I30">
        <v>10541</v>
      </c>
    </row>
    <row r="31" spans="1:9" x14ac:dyDescent="0.3">
      <c r="A31">
        <v>30</v>
      </c>
      <c r="B31" t="s">
        <v>181</v>
      </c>
      <c r="C31" t="s">
        <v>182</v>
      </c>
      <c r="D31" t="s">
        <v>31</v>
      </c>
      <c r="E31" t="s">
        <v>183</v>
      </c>
      <c r="F31" t="s">
        <v>184</v>
      </c>
      <c r="G31" t="s">
        <v>185</v>
      </c>
      <c r="H31" t="s">
        <v>41</v>
      </c>
      <c r="I31">
        <v>90505</v>
      </c>
    </row>
    <row r="32" spans="1:9" x14ac:dyDescent="0.3">
      <c r="A32">
        <v>31</v>
      </c>
      <c r="B32" t="s">
        <v>186</v>
      </c>
      <c r="C32" t="s">
        <v>187</v>
      </c>
      <c r="D32" t="s">
        <v>188</v>
      </c>
      <c r="E32" t="s">
        <v>189</v>
      </c>
      <c r="F32" t="s">
        <v>190</v>
      </c>
      <c r="G32" t="s">
        <v>191</v>
      </c>
      <c r="H32" t="s">
        <v>41</v>
      </c>
      <c r="I32">
        <v>94603</v>
      </c>
    </row>
    <row r="33" spans="1:9" x14ac:dyDescent="0.3">
      <c r="A33">
        <v>32</v>
      </c>
      <c r="B33" t="s">
        <v>192</v>
      </c>
      <c r="C33" t="s">
        <v>193</v>
      </c>
      <c r="D33" t="s">
        <v>31</v>
      </c>
      <c r="E33" t="s">
        <v>194</v>
      </c>
      <c r="F33" t="s">
        <v>195</v>
      </c>
      <c r="G33" t="s">
        <v>196</v>
      </c>
      <c r="H33" t="s">
        <v>41</v>
      </c>
      <c r="I33">
        <v>92831</v>
      </c>
    </row>
    <row r="34" spans="1:9" x14ac:dyDescent="0.3">
      <c r="A34">
        <v>33</v>
      </c>
      <c r="B34" t="s">
        <v>197</v>
      </c>
      <c r="C34" t="s">
        <v>198</v>
      </c>
      <c r="D34" t="s">
        <v>31</v>
      </c>
      <c r="E34" t="s">
        <v>199</v>
      </c>
      <c r="F34" t="s">
        <v>200</v>
      </c>
      <c r="G34" t="s">
        <v>201</v>
      </c>
      <c r="H34" t="s">
        <v>41</v>
      </c>
      <c r="I34">
        <v>90274</v>
      </c>
    </row>
    <row r="35" spans="1:9" x14ac:dyDescent="0.3">
      <c r="A35">
        <v>34</v>
      </c>
      <c r="B35" t="s">
        <v>202</v>
      </c>
      <c r="C35" t="s">
        <v>203</v>
      </c>
      <c r="D35" t="s">
        <v>31</v>
      </c>
      <c r="E35" t="s">
        <v>204</v>
      </c>
      <c r="F35" t="s">
        <v>205</v>
      </c>
      <c r="G35" t="s">
        <v>145</v>
      </c>
      <c r="H35" t="s">
        <v>35</v>
      </c>
      <c r="I35">
        <v>11731</v>
      </c>
    </row>
    <row r="36" spans="1:9" x14ac:dyDescent="0.3">
      <c r="A36">
        <v>35</v>
      </c>
      <c r="B36" t="s">
        <v>206</v>
      </c>
      <c r="C36" t="s">
        <v>207</v>
      </c>
      <c r="D36" t="s">
        <v>31</v>
      </c>
      <c r="E36" t="s">
        <v>208</v>
      </c>
      <c r="F36" t="s">
        <v>209</v>
      </c>
      <c r="G36" t="s">
        <v>210</v>
      </c>
      <c r="H36" t="s">
        <v>35</v>
      </c>
      <c r="I36">
        <v>13027</v>
      </c>
    </row>
    <row r="37" spans="1:9" x14ac:dyDescent="0.3">
      <c r="A37">
        <v>36</v>
      </c>
      <c r="B37" t="s">
        <v>211</v>
      </c>
      <c r="C37" t="s">
        <v>212</v>
      </c>
      <c r="D37" t="s">
        <v>31</v>
      </c>
      <c r="E37" t="s">
        <v>213</v>
      </c>
      <c r="F37" t="s">
        <v>214</v>
      </c>
      <c r="G37" t="s">
        <v>215</v>
      </c>
      <c r="H37" t="s">
        <v>35</v>
      </c>
      <c r="I37">
        <v>13090</v>
      </c>
    </row>
    <row r="38" spans="1:9" x14ac:dyDescent="0.3">
      <c r="A38">
        <v>37</v>
      </c>
      <c r="B38" t="s">
        <v>216</v>
      </c>
      <c r="C38" t="s">
        <v>217</v>
      </c>
      <c r="D38" t="s">
        <v>31</v>
      </c>
      <c r="E38" t="s">
        <v>218</v>
      </c>
      <c r="F38" t="s">
        <v>219</v>
      </c>
      <c r="G38" t="s">
        <v>220</v>
      </c>
      <c r="H38" t="s">
        <v>35</v>
      </c>
      <c r="I38">
        <v>11378</v>
      </c>
    </row>
    <row r="39" spans="1:9" x14ac:dyDescent="0.3">
      <c r="A39">
        <v>38</v>
      </c>
      <c r="B39" t="s">
        <v>221</v>
      </c>
      <c r="C39" t="s">
        <v>222</v>
      </c>
      <c r="D39" t="s">
        <v>31</v>
      </c>
      <c r="E39" t="s">
        <v>223</v>
      </c>
      <c r="F39" t="s">
        <v>224</v>
      </c>
      <c r="G39" t="s">
        <v>225</v>
      </c>
      <c r="H39" t="s">
        <v>35</v>
      </c>
      <c r="I39">
        <v>11102</v>
      </c>
    </row>
    <row r="40" spans="1:9" x14ac:dyDescent="0.3">
      <c r="A40">
        <v>39</v>
      </c>
      <c r="B40" t="s">
        <v>226</v>
      </c>
      <c r="C40" t="s">
        <v>227</v>
      </c>
      <c r="D40" t="s">
        <v>228</v>
      </c>
      <c r="E40" t="s">
        <v>229</v>
      </c>
      <c r="F40" t="s">
        <v>230</v>
      </c>
      <c r="G40" t="s">
        <v>231</v>
      </c>
      <c r="H40" t="s">
        <v>35</v>
      </c>
      <c r="I40">
        <v>14086</v>
      </c>
    </row>
    <row r="41" spans="1:9" x14ac:dyDescent="0.3">
      <c r="A41">
        <v>40</v>
      </c>
      <c r="B41" t="s">
        <v>232</v>
      </c>
      <c r="C41" t="s">
        <v>233</v>
      </c>
      <c r="D41" t="s">
        <v>31</v>
      </c>
      <c r="E41" t="s">
        <v>234</v>
      </c>
      <c r="F41" t="s">
        <v>235</v>
      </c>
      <c r="G41" t="s">
        <v>236</v>
      </c>
      <c r="H41" t="s">
        <v>41</v>
      </c>
      <c r="I41">
        <v>91316</v>
      </c>
    </row>
    <row r="42" spans="1:9" x14ac:dyDescent="0.3">
      <c r="A42">
        <v>41</v>
      </c>
      <c r="B42" t="s">
        <v>237</v>
      </c>
      <c r="C42" t="s">
        <v>238</v>
      </c>
      <c r="D42" t="s">
        <v>31</v>
      </c>
      <c r="E42" t="s">
        <v>239</v>
      </c>
      <c r="F42" t="s">
        <v>240</v>
      </c>
      <c r="G42" t="s">
        <v>241</v>
      </c>
      <c r="H42" t="s">
        <v>35</v>
      </c>
      <c r="I42">
        <v>12804</v>
      </c>
    </row>
    <row r="43" spans="1:9" x14ac:dyDescent="0.3">
      <c r="A43">
        <v>42</v>
      </c>
      <c r="B43" t="s">
        <v>242</v>
      </c>
      <c r="C43" t="s">
        <v>243</v>
      </c>
      <c r="D43" t="s">
        <v>31</v>
      </c>
      <c r="E43" t="s">
        <v>244</v>
      </c>
      <c r="F43" t="s">
        <v>245</v>
      </c>
      <c r="G43" t="s">
        <v>246</v>
      </c>
      <c r="H43" t="s">
        <v>35</v>
      </c>
      <c r="I43">
        <v>11418</v>
      </c>
    </row>
    <row r="44" spans="1:9" x14ac:dyDescent="0.3">
      <c r="A44">
        <v>43</v>
      </c>
      <c r="B44" t="s">
        <v>247</v>
      </c>
      <c r="C44" t="s">
        <v>248</v>
      </c>
      <c r="D44" t="s">
        <v>249</v>
      </c>
      <c r="E44" t="s">
        <v>250</v>
      </c>
      <c r="F44" t="s">
        <v>251</v>
      </c>
      <c r="G44" t="s">
        <v>252</v>
      </c>
      <c r="H44" t="s">
        <v>100</v>
      </c>
      <c r="I44">
        <v>77016</v>
      </c>
    </row>
    <row r="45" spans="1:9" x14ac:dyDescent="0.3">
      <c r="A45">
        <v>44</v>
      </c>
      <c r="B45" t="s">
        <v>253</v>
      </c>
      <c r="C45" t="s">
        <v>254</v>
      </c>
      <c r="D45" t="s">
        <v>31</v>
      </c>
      <c r="E45" t="s">
        <v>255</v>
      </c>
      <c r="F45" t="s">
        <v>256</v>
      </c>
      <c r="G45" t="s">
        <v>257</v>
      </c>
      <c r="H45" t="s">
        <v>35</v>
      </c>
      <c r="I45">
        <v>11003</v>
      </c>
    </row>
    <row r="46" spans="1:9" x14ac:dyDescent="0.3">
      <c r="A46">
        <v>45</v>
      </c>
      <c r="B46" t="s">
        <v>258</v>
      </c>
      <c r="C46" t="s">
        <v>259</v>
      </c>
      <c r="D46" t="s">
        <v>31</v>
      </c>
      <c r="E46" t="s">
        <v>260</v>
      </c>
      <c r="F46" t="s">
        <v>261</v>
      </c>
      <c r="G46" t="s">
        <v>262</v>
      </c>
      <c r="H46" t="s">
        <v>35</v>
      </c>
      <c r="I46">
        <v>11714</v>
      </c>
    </row>
    <row r="47" spans="1:9" x14ac:dyDescent="0.3">
      <c r="A47">
        <v>46</v>
      </c>
      <c r="B47" t="s">
        <v>263</v>
      </c>
      <c r="C47" t="s">
        <v>264</v>
      </c>
      <c r="D47" t="s">
        <v>31</v>
      </c>
      <c r="E47" t="s">
        <v>265</v>
      </c>
      <c r="F47" t="s">
        <v>266</v>
      </c>
      <c r="G47" t="s">
        <v>236</v>
      </c>
      <c r="H47" t="s">
        <v>41</v>
      </c>
      <c r="I47">
        <v>91316</v>
      </c>
    </row>
    <row r="48" spans="1:9" x14ac:dyDescent="0.3">
      <c r="A48">
        <v>47</v>
      </c>
      <c r="B48" t="s">
        <v>267</v>
      </c>
      <c r="C48" t="s">
        <v>268</v>
      </c>
      <c r="D48" t="s">
        <v>31</v>
      </c>
      <c r="E48" t="s">
        <v>269</v>
      </c>
      <c r="F48" t="s">
        <v>270</v>
      </c>
      <c r="G48" t="s">
        <v>271</v>
      </c>
      <c r="H48" t="s">
        <v>41</v>
      </c>
      <c r="I48">
        <v>94580</v>
      </c>
    </row>
    <row r="49" spans="1:9" x14ac:dyDescent="0.3">
      <c r="A49">
        <v>48</v>
      </c>
      <c r="B49" t="s">
        <v>272</v>
      </c>
      <c r="C49" t="s">
        <v>273</v>
      </c>
      <c r="D49" t="s">
        <v>31</v>
      </c>
      <c r="E49" t="s">
        <v>274</v>
      </c>
      <c r="F49" t="s">
        <v>275</v>
      </c>
      <c r="G49" t="s">
        <v>215</v>
      </c>
      <c r="H49" t="s">
        <v>35</v>
      </c>
      <c r="I49">
        <v>13090</v>
      </c>
    </row>
    <row r="50" spans="1:9" x14ac:dyDescent="0.3">
      <c r="A50">
        <v>49</v>
      </c>
      <c r="B50" t="s">
        <v>276</v>
      </c>
      <c r="C50" t="s">
        <v>64</v>
      </c>
      <c r="D50" t="s">
        <v>31</v>
      </c>
      <c r="E50" t="s">
        <v>277</v>
      </c>
      <c r="F50" t="s">
        <v>278</v>
      </c>
      <c r="G50" t="s">
        <v>62</v>
      </c>
      <c r="H50" t="s">
        <v>35</v>
      </c>
      <c r="I50">
        <v>14450</v>
      </c>
    </row>
    <row r="51" spans="1:9" x14ac:dyDescent="0.3">
      <c r="A51">
        <v>50</v>
      </c>
      <c r="B51" t="s">
        <v>279</v>
      </c>
      <c r="C51" t="s">
        <v>280</v>
      </c>
      <c r="D51" t="s">
        <v>31</v>
      </c>
      <c r="E51" t="s">
        <v>281</v>
      </c>
      <c r="F51" t="s">
        <v>282</v>
      </c>
      <c r="G51" t="s">
        <v>135</v>
      </c>
      <c r="H51" t="s">
        <v>100</v>
      </c>
      <c r="I51">
        <v>77478</v>
      </c>
    </row>
    <row r="52" spans="1:9" x14ac:dyDescent="0.3">
      <c r="A52">
        <v>51</v>
      </c>
      <c r="B52" t="s">
        <v>283</v>
      </c>
      <c r="C52" t="s">
        <v>284</v>
      </c>
      <c r="D52" t="s">
        <v>31</v>
      </c>
      <c r="E52" t="s">
        <v>285</v>
      </c>
      <c r="F52" t="s">
        <v>286</v>
      </c>
      <c r="G52" t="s">
        <v>287</v>
      </c>
      <c r="H52" t="s">
        <v>35</v>
      </c>
      <c r="I52">
        <v>11566</v>
      </c>
    </row>
    <row r="53" spans="1:9" x14ac:dyDescent="0.3">
      <c r="A53">
        <v>52</v>
      </c>
      <c r="B53" t="s">
        <v>288</v>
      </c>
      <c r="C53" t="s">
        <v>289</v>
      </c>
      <c r="D53" t="s">
        <v>31</v>
      </c>
      <c r="E53" t="s">
        <v>290</v>
      </c>
      <c r="F53" t="s">
        <v>291</v>
      </c>
      <c r="G53" t="s">
        <v>292</v>
      </c>
      <c r="H53" t="s">
        <v>35</v>
      </c>
      <c r="I53">
        <v>11369</v>
      </c>
    </row>
    <row r="54" spans="1:9" x14ac:dyDescent="0.3">
      <c r="A54">
        <v>53</v>
      </c>
      <c r="B54" t="s">
        <v>293</v>
      </c>
      <c r="C54" t="s">
        <v>294</v>
      </c>
      <c r="D54" t="s">
        <v>31</v>
      </c>
      <c r="E54" t="s">
        <v>295</v>
      </c>
      <c r="F54" t="s">
        <v>296</v>
      </c>
      <c r="G54" t="s">
        <v>297</v>
      </c>
      <c r="H54" t="s">
        <v>41</v>
      </c>
      <c r="I54">
        <v>91740</v>
      </c>
    </row>
    <row r="55" spans="1:9" x14ac:dyDescent="0.3">
      <c r="A55">
        <v>54</v>
      </c>
      <c r="B55" t="s">
        <v>298</v>
      </c>
      <c r="C55" t="s">
        <v>299</v>
      </c>
      <c r="D55" t="s">
        <v>31</v>
      </c>
      <c r="E55" t="s">
        <v>300</v>
      </c>
      <c r="F55" t="s">
        <v>301</v>
      </c>
      <c r="G55" t="s">
        <v>302</v>
      </c>
      <c r="H55" t="s">
        <v>35</v>
      </c>
      <c r="I55">
        <v>13501</v>
      </c>
    </row>
    <row r="56" spans="1:9" x14ac:dyDescent="0.3">
      <c r="A56">
        <v>55</v>
      </c>
      <c r="B56" t="s">
        <v>303</v>
      </c>
      <c r="C56" t="s">
        <v>268</v>
      </c>
      <c r="D56" t="s">
        <v>31</v>
      </c>
      <c r="E56" t="s">
        <v>304</v>
      </c>
      <c r="F56" t="s">
        <v>305</v>
      </c>
      <c r="G56" t="s">
        <v>287</v>
      </c>
      <c r="H56" t="s">
        <v>35</v>
      </c>
      <c r="I56">
        <v>11566</v>
      </c>
    </row>
    <row r="57" spans="1:9" x14ac:dyDescent="0.3">
      <c r="A57">
        <v>56</v>
      </c>
      <c r="B57" t="s">
        <v>306</v>
      </c>
      <c r="C57" t="s">
        <v>307</v>
      </c>
      <c r="D57" t="s">
        <v>308</v>
      </c>
      <c r="E57" t="s">
        <v>309</v>
      </c>
      <c r="F57" t="s">
        <v>310</v>
      </c>
      <c r="G57" t="s">
        <v>252</v>
      </c>
      <c r="H57" t="s">
        <v>100</v>
      </c>
      <c r="I57">
        <v>77016</v>
      </c>
    </row>
    <row r="58" spans="1:9" x14ac:dyDescent="0.3">
      <c r="A58">
        <v>57</v>
      </c>
      <c r="B58" t="s">
        <v>311</v>
      </c>
      <c r="C58" t="s">
        <v>312</v>
      </c>
      <c r="D58" t="s">
        <v>31</v>
      </c>
      <c r="E58" t="s">
        <v>313</v>
      </c>
      <c r="F58" t="s">
        <v>314</v>
      </c>
      <c r="G58" t="s">
        <v>315</v>
      </c>
      <c r="H58" t="s">
        <v>35</v>
      </c>
      <c r="I58">
        <v>10451</v>
      </c>
    </row>
    <row r="59" spans="1:9" x14ac:dyDescent="0.3">
      <c r="A59">
        <v>58</v>
      </c>
      <c r="B59" t="s">
        <v>316</v>
      </c>
      <c r="C59" t="s">
        <v>317</v>
      </c>
      <c r="D59" t="s">
        <v>31</v>
      </c>
      <c r="E59" t="s">
        <v>318</v>
      </c>
      <c r="F59" t="s">
        <v>319</v>
      </c>
      <c r="G59" t="s">
        <v>320</v>
      </c>
      <c r="H59" t="s">
        <v>35</v>
      </c>
      <c r="I59">
        <v>11722</v>
      </c>
    </row>
    <row r="60" spans="1:9" x14ac:dyDescent="0.3">
      <c r="A60">
        <v>59</v>
      </c>
      <c r="B60" t="s">
        <v>63</v>
      </c>
      <c r="C60" t="s">
        <v>321</v>
      </c>
      <c r="D60" t="s">
        <v>31</v>
      </c>
      <c r="E60" t="s">
        <v>322</v>
      </c>
      <c r="F60" t="s">
        <v>323</v>
      </c>
      <c r="G60" t="s">
        <v>324</v>
      </c>
      <c r="H60" t="s">
        <v>35</v>
      </c>
      <c r="I60">
        <v>11570</v>
      </c>
    </row>
    <row r="61" spans="1:9" x14ac:dyDescent="0.3">
      <c r="A61">
        <v>60</v>
      </c>
      <c r="B61" t="s">
        <v>325</v>
      </c>
      <c r="C61" t="s">
        <v>326</v>
      </c>
      <c r="D61" t="s">
        <v>31</v>
      </c>
      <c r="E61" t="s">
        <v>327</v>
      </c>
      <c r="F61" t="s">
        <v>328</v>
      </c>
      <c r="G61" t="s">
        <v>329</v>
      </c>
      <c r="H61" t="s">
        <v>41</v>
      </c>
      <c r="I61">
        <v>94070</v>
      </c>
    </row>
    <row r="62" spans="1:9" x14ac:dyDescent="0.3">
      <c r="A62">
        <v>61</v>
      </c>
      <c r="B62" t="s">
        <v>330</v>
      </c>
      <c r="C62" t="s">
        <v>331</v>
      </c>
      <c r="D62" t="s">
        <v>31</v>
      </c>
      <c r="E62" t="s">
        <v>332</v>
      </c>
      <c r="F62" t="s">
        <v>333</v>
      </c>
      <c r="G62" t="s">
        <v>334</v>
      </c>
      <c r="H62" t="s">
        <v>100</v>
      </c>
      <c r="I62">
        <v>76901</v>
      </c>
    </row>
    <row r="63" spans="1:9" x14ac:dyDescent="0.3">
      <c r="A63">
        <v>62</v>
      </c>
      <c r="B63" t="s">
        <v>335</v>
      </c>
      <c r="C63" t="s">
        <v>336</v>
      </c>
      <c r="D63" t="s">
        <v>31</v>
      </c>
      <c r="E63" t="s">
        <v>337</v>
      </c>
      <c r="F63" t="s">
        <v>338</v>
      </c>
      <c r="G63" t="s">
        <v>292</v>
      </c>
      <c r="H63" t="s">
        <v>35</v>
      </c>
      <c r="I63">
        <v>11369</v>
      </c>
    </row>
    <row r="64" spans="1:9" x14ac:dyDescent="0.3">
      <c r="A64">
        <v>63</v>
      </c>
      <c r="B64" t="s">
        <v>339</v>
      </c>
      <c r="C64" t="s">
        <v>340</v>
      </c>
      <c r="D64" t="s">
        <v>31</v>
      </c>
      <c r="E64" t="s">
        <v>341</v>
      </c>
      <c r="F64" t="s">
        <v>342</v>
      </c>
      <c r="G64" t="s">
        <v>343</v>
      </c>
      <c r="H64" t="s">
        <v>35</v>
      </c>
      <c r="I64">
        <v>11701</v>
      </c>
    </row>
    <row r="65" spans="1:9" x14ac:dyDescent="0.3">
      <c r="A65">
        <v>64</v>
      </c>
      <c r="B65" t="s">
        <v>344</v>
      </c>
      <c r="C65" t="s">
        <v>345</v>
      </c>
      <c r="D65" t="s">
        <v>31</v>
      </c>
      <c r="E65" t="s">
        <v>346</v>
      </c>
      <c r="F65" t="s">
        <v>347</v>
      </c>
      <c r="G65" t="s">
        <v>348</v>
      </c>
      <c r="H65" t="s">
        <v>100</v>
      </c>
      <c r="I65">
        <v>75115</v>
      </c>
    </row>
    <row r="66" spans="1:9" x14ac:dyDescent="0.3">
      <c r="A66">
        <v>65</v>
      </c>
      <c r="B66" t="s">
        <v>349</v>
      </c>
      <c r="C66" t="s">
        <v>350</v>
      </c>
      <c r="D66" t="s">
        <v>31</v>
      </c>
      <c r="E66" t="s">
        <v>351</v>
      </c>
      <c r="F66" t="s">
        <v>352</v>
      </c>
      <c r="G66" t="s">
        <v>353</v>
      </c>
      <c r="H66" t="s">
        <v>35</v>
      </c>
      <c r="I66">
        <v>13440</v>
      </c>
    </row>
    <row r="67" spans="1:9" x14ac:dyDescent="0.3">
      <c r="A67">
        <v>66</v>
      </c>
      <c r="B67" t="s">
        <v>354</v>
      </c>
      <c r="C67" t="s">
        <v>355</v>
      </c>
      <c r="D67" t="s">
        <v>31</v>
      </c>
      <c r="E67" t="s">
        <v>356</v>
      </c>
      <c r="F67" t="s">
        <v>357</v>
      </c>
      <c r="G67" t="s">
        <v>358</v>
      </c>
      <c r="H67" t="s">
        <v>100</v>
      </c>
      <c r="I67">
        <v>75043</v>
      </c>
    </row>
    <row r="68" spans="1:9" x14ac:dyDescent="0.3">
      <c r="A68">
        <v>67</v>
      </c>
      <c r="B68" t="s">
        <v>359</v>
      </c>
      <c r="C68" t="s">
        <v>360</v>
      </c>
      <c r="D68" t="s">
        <v>361</v>
      </c>
      <c r="E68" t="s">
        <v>362</v>
      </c>
      <c r="F68" t="s">
        <v>363</v>
      </c>
      <c r="G68" t="s">
        <v>57</v>
      </c>
      <c r="H68" t="s">
        <v>41</v>
      </c>
      <c r="I68">
        <v>95820</v>
      </c>
    </row>
    <row r="69" spans="1:9" x14ac:dyDescent="0.3">
      <c r="A69">
        <v>68</v>
      </c>
      <c r="B69" t="s">
        <v>364</v>
      </c>
      <c r="C69" t="s">
        <v>365</v>
      </c>
      <c r="D69" t="s">
        <v>31</v>
      </c>
      <c r="E69" t="s">
        <v>366</v>
      </c>
      <c r="F69" t="s">
        <v>367</v>
      </c>
      <c r="G69" t="s">
        <v>368</v>
      </c>
      <c r="H69" t="s">
        <v>100</v>
      </c>
      <c r="I69">
        <v>75088</v>
      </c>
    </row>
    <row r="70" spans="1:9" x14ac:dyDescent="0.3">
      <c r="A70">
        <v>69</v>
      </c>
      <c r="B70" t="s">
        <v>369</v>
      </c>
      <c r="C70" t="s">
        <v>370</v>
      </c>
      <c r="D70" t="s">
        <v>31</v>
      </c>
      <c r="E70" t="s">
        <v>371</v>
      </c>
      <c r="F70" t="s">
        <v>372</v>
      </c>
      <c r="G70" t="s">
        <v>373</v>
      </c>
      <c r="H70" t="s">
        <v>41</v>
      </c>
      <c r="I70">
        <v>95677</v>
      </c>
    </row>
    <row r="71" spans="1:9" x14ac:dyDescent="0.3">
      <c r="A71">
        <v>70</v>
      </c>
      <c r="B71" t="s">
        <v>374</v>
      </c>
      <c r="C71" t="s">
        <v>375</v>
      </c>
      <c r="D71" t="s">
        <v>31</v>
      </c>
      <c r="E71" t="s">
        <v>376</v>
      </c>
      <c r="F71" t="s">
        <v>377</v>
      </c>
      <c r="G71" t="s">
        <v>292</v>
      </c>
      <c r="H71" t="s">
        <v>35</v>
      </c>
      <c r="I71">
        <v>11369</v>
      </c>
    </row>
    <row r="72" spans="1:9" x14ac:dyDescent="0.3">
      <c r="A72">
        <v>71</v>
      </c>
      <c r="B72" t="s">
        <v>378</v>
      </c>
      <c r="C72" t="s">
        <v>379</v>
      </c>
      <c r="D72" t="s">
        <v>31</v>
      </c>
      <c r="E72" t="s">
        <v>380</v>
      </c>
      <c r="F72" t="s">
        <v>381</v>
      </c>
      <c r="G72" t="s">
        <v>315</v>
      </c>
      <c r="H72" t="s">
        <v>35</v>
      </c>
      <c r="I72">
        <v>10451</v>
      </c>
    </row>
    <row r="73" spans="1:9" x14ac:dyDescent="0.3">
      <c r="A73">
        <v>72</v>
      </c>
      <c r="B73" t="s">
        <v>382</v>
      </c>
      <c r="C73" t="s">
        <v>383</v>
      </c>
      <c r="D73" t="s">
        <v>31</v>
      </c>
      <c r="E73" t="s">
        <v>384</v>
      </c>
      <c r="F73" t="s">
        <v>385</v>
      </c>
      <c r="G73" t="s">
        <v>386</v>
      </c>
      <c r="H73" t="s">
        <v>41</v>
      </c>
      <c r="I73">
        <v>91733</v>
      </c>
    </row>
    <row r="74" spans="1:9" x14ac:dyDescent="0.3">
      <c r="A74">
        <v>73</v>
      </c>
      <c r="B74" t="s">
        <v>387</v>
      </c>
      <c r="C74" t="s">
        <v>388</v>
      </c>
      <c r="D74" t="s">
        <v>31</v>
      </c>
      <c r="E74" t="s">
        <v>389</v>
      </c>
      <c r="F74" t="s">
        <v>390</v>
      </c>
      <c r="G74" t="s">
        <v>215</v>
      </c>
      <c r="H74" t="s">
        <v>35</v>
      </c>
      <c r="I74">
        <v>13090</v>
      </c>
    </row>
    <row r="75" spans="1:9" x14ac:dyDescent="0.3">
      <c r="A75">
        <v>74</v>
      </c>
      <c r="B75" t="s">
        <v>391</v>
      </c>
      <c r="C75" t="s">
        <v>392</v>
      </c>
      <c r="D75" t="s">
        <v>31</v>
      </c>
      <c r="E75" t="s">
        <v>393</v>
      </c>
      <c r="F75" t="s">
        <v>394</v>
      </c>
      <c r="G75" t="s">
        <v>395</v>
      </c>
      <c r="H75" t="s">
        <v>35</v>
      </c>
      <c r="I75">
        <v>14120</v>
      </c>
    </row>
    <row r="76" spans="1:9" x14ac:dyDescent="0.3">
      <c r="A76">
        <v>75</v>
      </c>
      <c r="B76" t="s">
        <v>396</v>
      </c>
      <c r="C76" t="s">
        <v>397</v>
      </c>
      <c r="D76" t="s">
        <v>31</v>
      </c>
      <c r="E76" t="s">
        <v>398</v>
      </c>
      <c r="F76" t="s">
        <v>399</v>
      </c>
      <c r="G76" t="s">
        <v>343</v>
      </c>
      <c r="H76" t="s">
        <v>35</v>
      </c>
      <c r="I76">
        <v>11701</v>
      </c>
    </row>
    <row r="77" spans="1:9" x14ac:dyDescent="0.3">
      <c r="A77">
        <v>76</v>
      </c>
      <c r="B77" t="s">
        <v>400</v>
      </c>
      <c r="C77" t="s">
        <v>401</v>
      </c>
      <c r="D77" t="s">
        <v>31</v>
      </c>
      <c r="E77" t="s">
        <v>402</v>
      </c>
      <c r="F77" t="s">
        <v>403</v>
      </c>
      <c r="G77" t="s">
        <v>404</v>
      </c>
      <c r="H77" t="s">
        <v>35</v>
      </c>
      <c r="I77">
        <v>11776</v>
      </c>
    </row>
    <row r="78" spans="1:9" x14ac:dyDescent="0.3">
      <c r="A78">
        <v>77</v>
      </c>
      <c r="B78" t="s">
        <v>405</v>
      </c>
      <c r="C78" t="s">
        <v>406</v>
      </c>
      <c r="D78" t="s">
        <v>31</v>
      </c>
      <c r="E78" t="s">
        <v>407</v>
      </c>
      <c r="F78" t="s">
        <v>408</v>
      </c>
      <c r="G78" t="s">
        <v>409</v>
      </c>
      <c r="H78" t="s">
        <v>100</v>
      </c>
      <c r="I78">
        <v>75080</v>
      </c>
    </row>
    <row r="79" spans="1:9" x14ac:dyDescent="0.3">
      <c r="A79">
        <v>78</v>
      </c>
      <c r="B79" t="s">
        <v>410</v>
      </c>
      <c r="C79" t="s">
        <v>411</v>
      </c>
      <c r="D79" t="s">
        <v>31</v>
      </c>
      <c r="E79" t="s">
        <v>412</v>
      </c>
      <c r="F79" t="s">
        <v>413</v>
      </c>
      <c r="G79" t="s">
        <v>201</v>
      </c>
      <c r="H79" t="s">
        <v>41</v>
      </c>
      <c r="I79">
        <v>90274</v>
      </c>
    </row>
    <row r="80" spans="1:9" x14ac:dyDescent="0.3">
      <c r="A80">
        <v>79</v>
      </c>
      <c r="B80" t="s">
        <v>414</v>
      </c>
      <c r="C80" t="s">
        <v>415</v>
      </c>
      <c r="D80" t="s">
        <v>31</v>
      </c>
      <c r="E80" t="s">
        <v>416</v>
      </c>
      <c r="F80" t="s">
        <v>417</v>
      </c>
      <c r="G80" t="s">
        <v>75</v>
      </c>
      <c r="H80" t="s">
        <v>35</v>
      </c>
      <c r="I80">
        <v>11510</v>
      </c>
    </row>
    <row r="81" spans="1:9" x14ac:dyDescent="0.3">
      <c r="A81">
        <v>80</v>
      </c>
      <c r="B81" t="s">
        <v>418</v>
      </c>
      <c r="C81" t="s">
        <v>419</v>
      </c>
      <c r="D81" t="s">
        <v>420</v>
      </c>
      <c r="E81" t="s">
        <v>421</v>
      </c>
      <c r="F81" t="s">
        <v>422</v>
      </c>
      <c r="G81" t="s">
        <v>68</v>
      </c>
      <c r="H81" t="s">
        <v>35</v>
      </c>
      <c r="I81">
        <v>14215</v>
      </c>
    </row>
    <row r="82" spans="1:9" x14ac:dyDescent="0.3">
      <c r="A82">
        <v>81</v>
      </c>
      <c r="B82" t="s">
        <v>423</v>
      </c>
      <c r="C82" t="s">
        <v>424</v>
      </c>
      <c r="D82" t="s">
        <v>31</v>
      </c>
      <c r="E82" t="s">
        <v>425</v>
      </c>
      <c r="F82" t="s">
        <v>426</v>
      </c>
      <c r="G82" t="s">
        <v>271</v>
      </c>
      <c r="H82" t="s">
        <v>41</v>
      </c>
      <c r="I82">
        <v>94580</v>
      </c>
    </row>
    <row r="83" spans="1:9" x14ac:dyDescent="0.3">
      <c r="A83">
        <v>82</v>
      </c>
      <c r="B83" t="s">
        <v>427</v>
      </c>
      <c r="C83" t="s">
        <v>428</v>
      </c>
      <c r="D83" t="s">
        <v>31</v>
      </c>
      <c r="E83" t="s">
        <v>429</v>
      </c>
      <c r="F83" t="s">
        <v>430</v>
      </c>
      <c r="G83" t="s">
        <v>431</v>
      </c>
      <c r="H83" t="s">
        <v>41</v>
      </c>
      <c r="I83">
        <v>92236</v>
      </c>
    </row>
    <row r="84" spans="1:9" x14ac:dyDescent="0.3">
      <c r="A84">
        <v>83</v>
      </c>
      <c r="B84" t="s">
        <v>432</v>
      </c>
      <c r="C84" t="s">
        <v>433</v>
      </c>
      <c r="D84" t="s">
        <v>31</v>
      </c>
      <c r="E84" t="s">
        <v>434</v>
      </c>
      <c r="F84" t="s">
        <v>435</v>
      </c>
      <c r="G84" t="s">
        <v>121</v>
      </c>
      <c r="H84" t="s">
        <v>35</v>
      </c>
      <c r="I84">
        <v>10583</v>
      </c>
    </row>
    <row r="85" spans="1:9" x14ac:dyDescent="0.3">
      <c r="A85">
        <v>84</v>
      </c>
      <c r="B85" t="s">
        <v>436</v>
      </c>
      <c r="C85" t="s">
        <v>437</v>
      </c>
      <c r="D85" t="s">
        <v>31</v>
      </c>
      <c r="E85" t="s">
        <v>438</v>
      </c>
      <c r="F85" t="s">
        <v>439</v>
      </c>
      <c r="G85" t="s">
        <v>440</v>
      </c>
      <c r="H85" t="s">
        <v>35</v>
      </c>
      <c r="I85">
        <v>11757</v>
      </c>
    </row>
    <row r="86" spans="1:9" x14ac:dyDescent="0.3">
      <c r="A86">
        <v>85</v>
      </c>
      <c r="B86" t="s">
        <v>441</v>
      </c>
      <c r="C86" t="s">
        <v>442</v>
      </c>
      <c r="D86" t="s">
        <v>31</v>
      </c>
      <c r="E86" t="s">
        <v>443</v>
      </c>
      <c r="F86" t="s">
        <v>444</v>
      </c>
      <c r="G86" t="s">
        <v>445</v>
      </c>
      <c r="H86" t="s">
        <v>35</v>
      </c>
      <c r="I86">
        <v>11746</v>
      </c>
    </row>
    <row r="87" spans="1:9" x14ac:dyDescent="0.3">
      <c r="A87">
        <v>86</v>
      </c>
      <c r="B87" t="s">
        <v>446</v>
      </c>
      <c r="C87" t="s">
        <v>447</v>
      </c>
      <c r="D87" t="s">
        <v>31</v>
      </c>
      <c r="E87" t="s">
        <v>448</v>
      </c>
      <c r="F87" t="s">
        <v>449</v>
      </c>
      <c r="G87" t="s">
        <v>450</v>
      </c>
      <c r="H87" t="s">
        <v>35</v>
      </c>
      <c r="I87">
        <v>13126</v>
      </c>
    </row>
    <row r="88" spans="1:9" x14ac:dyDescent="0.3">
      <c r="A88">
        <v>87</v>
      </c>
      <c r="B88" t="s">
        <v>451</v>
      </c>
      <c r="C88" t="s">
        <v>452</v>
      </c>
      <c r="D88" t="s">
        <v>31</v>
      </c>
      <c r="E88" t="s">
        <v>453</v>
      </c>
      <c r="F88" t="s">
        <v>454</v>
      </c>
      <c r="G88" t="s">
        <v>455</v>
      </c>
      <c r="H88" t="s">
        <v>41</v>
      </c>
      <c r="I88">
        <v>91010</v>
      </c>
    </row>
    <row r="89" spans="1:9" x14ac:dyDescent="0.3">
      <c r="A89">
        <v>88</v>
      </c>
      <c r="B89" t="s">
        <v>456</v>
      </c>
      <c r="C89" t="s">
        <v>457</v>
      </c>
      <c r="D89" t="s">
        <v>31</v>
      </c>
      <c r="E89" t="s">
        <v>458</v>
      </c>
      <c r="F89" t="s">
        <v>459</v>
      </c>
      <c r="G89" t="s">
        <v>150</v>
      </c>
      <c r="H89" t="s">
        <v>35</v>
      </c>
      <c r="I89">
        <v>11423</v>
      </c>
    </row>
    <row r="90" spans="1:9" x14ac:dyDescent="0.3">
      <c r="A90">
        <v>89</v>
      </c>
      <c r="B90" t="s">
        <v>460</v>
      </c>
      <c r="C90" t="s">
        <v>461</v>
      </c>
      <c r="D90" t="s">
        <v>31</v>
      </c>
      <c r="E90" t="s">
        <v>462</v>
      </c>
      <c r="F90" t="s">
        <v>463</v>
      </c>
      <c r="G90" t="s">
        <v>464</v>
      </c>
      <c r="H90" t="s">
        <v>41</v>
      </c>
      <c r="I90">
        <v>91784</v>
      </c>
    </row>
    <row r="91" spans="1:9" x14ac:dyDescent="0.3">
      <c r="A91">
        <v>90</v>
      </c>
      <c r="B91" t="s">
        <v>465</v>
      </c>
      <c r="C91" t="s">
        <v>466</v>
      </c>
      <c r="D91" t="s">
        <v>31</v>
      </c>
      <c r="E91" t="s">
        <v>467</v>
      </c>
      <c r="F91" t="s">
        <v>468</v>
      </c>
      <c r="G91" t="s">
        <v>469</v>
      </c>
      <c r="H91" t="s">
        <v>35</v>
      </c>
      <c r="I91">
        <v>11010</v>
      </c>
    </row>
    <row r="92" spans="1:9" x14ac:dyDescent="0.3">
      <c r="A92">
        <v>91</v>
      </c>
      <c r="B92" t="s">
        <v>470</v>
      </c>
      <c r="C92" t="s">
        <v>471</v>
      </c>
      <c r="D92" t="s">
        <v>472</v>
      </c>
      <c r="E92" t="s">
        <v>473</v>
      </c>
      <c r="F92" t="s">
        <v>474</v>
      </c>
      <c r="G92" t="s">
        <v>475</v>
      </c>
      <c r="H92" t="s">
        <v>41</v>
      </c>
      <c r="I92">
        <v>92111</v>
      </c>
    </row>
    <row r="93" spans="1:9" x14ac:dyDescent="0.3">
      <c r="A93">
        <v>92</v>
      </c>
      <c r="B93" t="s">
        <v>476</v>
      </c>
      <c r="C93" t="s">
        <v>477</v>
      </c>
      <c r="D93" t="s">
        <v>31</v>
      </c>
      <c r="E93" t="s">
        <v>478</v>
      </c>
      <c r="F93" t="s">
        <v>479</v>
      </c>
      <c r="G93" t="s">
        <v>480</v>
      </c>
      <c r="H93" t="s">
        <v>35</v>
      </c>
      <c r="I93">
        <v>11735</v>
      </c>
    </row>
    <row r="94" spans="1:9" x14ac:dyDescent="0.3">
      <c r="A94">
        <v>93</v>
      </c>
      <c r="B94" t="s">
        <v>481</v>
      </c>
      <c r="C94" t="s">
        <v>482</v>
      </c>
      <c r="D94" t="s">
        <v>483</v>
      </c>
      <c r="E94" t="s">
        <v>484</v>
      </c>
      <c r="F94" t="s">
        <v>485</v>
      </c>
      <c r="G94" t="s">
        <v>486</v>
      </c>
      <c r="H94" t="s">
        <v>35</v>
      </c>
      <c r="I94">
        <v>12180</v>
      </c>
    </row>
    <row r="95" spans="1:9" x14ac:dyDescent="0.3">
      <c r="A95">
        <v>94</v>
      </c>
      <c r="B95" t="s">
        <v>487</v>
      </c>
      <c r="C95" t="s">
        <v>488</v>
      </c>
      <c r="D95" t="s">
        <v>31</v>
      </c>
      <c r="E95" t="s">
        <v>489</v>
      </c>
      <c r="F95" t="s">
        <v>490</v>
      </c>
      <c r="G95" t="s">
        <v>210</v>
      </c>
      <c r="H95" t="s">
        <v>35</v>
      </c>
      <c r="I95">
        <v>13027</v>
      </c>
    </row>
    <row r="96" spans="1:9" x14ac:dyDescent="0.3">
      <c r="A96">
        <v>95</v>
      </c>
      <c r="B96" t="s">
        <v>491</v>
      </c>
      <c r="C96" t="s">
        <v>492</v>
      </c>
      <c r="D96" t="s">
        <v>31</v>
      </c>
      <c r="E96" t="s">
        <v>493</v>
      </c>
      <c r="F96" t="s">
        <v>494</v>
      </c>
      <c r="G96" t="s">
        <v>495</v>
      </c>
      <c r="H96" t="s">
        <v>35</v>
      </c>
      <c r="I96">
        <v>12866</v>
      </c>
    </row>
    <row r="97" spans="1:9" x14ac:dyDescent="0.3">
      <c r="A97">
        <v>96</v>
      </c>
      <c r="B97" t="s">
        <v>496</v>
      </c>
      <c r="C97" t="s">
        <v>497</v>
      </c>
      <c r="D97" t="s">
        <v>31</v>
      </c>
      <c r="E97" t="s">
        <v>498</v>
      </c>
      <c r="F97" t="s">
        <v>499</v>
      </c>
      <c r="G97" t="s">
        <v>500</v>
      </c>
      <c r="H97" t="s">
        <v>35</v>
      </c>
      <c r="I97">
        <v>11361</v>
      </c>
    </row>
    <row r="98" spans="1:9" x14ac:dyDescent="0.3">
      <c r="A98">
        <v>97</v>
      </c>
      <c r="B98" t="s">
        <v>501</v>
      </c>
      <c r="C98" t="s">
        <v>502</v>
      </c>
      <c r="D98" t="s">
        <v>31</v>
      </c>
      <c r="E98" t="s">
        <v>503</v>
      </c>
      <c r="F98" t="s">
        <v>504</v>
      </c>
      <c r="G98" t="s">
        <v>505</v>
      </c>
      <c r="H98" t="s">
        <v>41</v>
      </c>
      <c r="I98">
        <v>95993</v>
      </c>
    </row>
    <row r="99" spans="1:9" x14ac:dyDescent="0.3">
      <c r="A99">
        <v>98</v>
      </c>
      <c r="B99" t="s">
        <v>506</v>
      </c>
      <c r="C99" t="s">
        <v>507</v>
      </c>
      <c r="D99" t="s">
        <v>31</v>
      </c>
      <c r="E99" t="s">
        <v>508</v>
      </c>
      <c r="F99" t="s">
        <v>509</v>
      </c>
      <c r="G99" t="s">
        <v>110</v>
      </c>
      <c r="H99" t="s">
        <v>35</v>
      </c>
      <c r="I99">
        <v>12901</v>
      </c>
    </row>
    <row r="100" spans="1:9" x14ac:dyDescent="0.3">
      <c r="A100">
        <v>99</v>
      </c>
      <c r="B100" t="s">
        <v>510</v>
      </c>
      <c r="C100" t="s">
        <v>511</v>
      </c>
      <c r="D100" t="s">
        <v>31</v>
      </c>
      <c r="E100" t="s">
        <v>512</v>
      </c>
      <c r="F100" t="s">
        <v>513</v>
      </c>
      <c r="G100" t="s">
        <v>83</v>
      </c>
      <c r="H100" t="s">
        <v>35</v>
      </c>
      <c r="I100">
        <v>10950</v>
      </c>
    </row>
    <row r="101" spans="1:9" x14ac:dyDescent="0.3">
      <c r="A101">
        <v>100</v>
      </c>
      <c r="B101" t="s">
        <v>514</v>
      </c>
      <c r="C101" t="s">
        <v>492</v>
      </c>
      <c r="D101" t="s">
        <v>31</v>
      </c>
      <c r="E101" t="s">
        <v>515</v>
      </c>
      <c r="F101" t="s">
        <v>516</v>
      </c>
      <c r="G101" t="s">
        <v>517</v>
      </c>
      <c r="H101" t="s">
        <v>35</v>
      </c>
      <c r="I101">
        <v>11725</v>
      </c>
    </row>
    <row r="102" spans="1:9" x14ac:dyDescent="0.3">
      <c r="A102">
        <v>101</v>
      </c>
      <c r="B102" t="s">
        <v>518</v>
      </c>
      <c r="C102" t="s">
        <v>519</v>
      </c>
      <c r="D102" t="s">
        <v>31</v>
      </c>
      <c r="E102" t="s">
        <v>520</v>
      </c>
      <c r="F102" t="s">
        <v>521</v>
      </c>
      <c r="G102" t="s">
        <v>121</v>
      </c>
      <c r="H102" t="s">
        <v>35</v>
      </c>
      <c r="I102">
        <v>10583</v>
      </c>
    </row>
    <row r="103" spans="1:9" x14ac:dyDescent="0.3">
      <c r="A103">
        <v>102</v>
      </c>
      <c r="B103" t="s">
        <v>522</v>
      </c>
      <c r="C103" t="s">
        <v>523</v>
      </c>
      <c r="D103" t="s">
        <v>31</v>
      </c>
      <c r="E103" t="s">
        <v>524</v>
      </c>
      <c r="F103" t="s">
        <v>525</v>
      </c>
      <c r="G103" t="s">
        <v>126</v>
      </c>
      <c r="H103" t="s">
        <v>35</v>
      </c>
      <c r="I103">
        <v>14424</v>
      </c>
    </row>
    <row r="104" spans="1:9" x14ac:dyDescent="0.3">
      <c r="A104">
        <v>103</v>
      </c>
      <c r="B104" t="s">
        <v>526</v>
      </c>
      <c r="C104" t="s">
        <v>527</v>
      </c>
      <c r="D104" t="s">
        <v>31</v>
      </c>
      <c r="E104" t="s">
        <v>528</v>
      </c>
      <c r="F104" t="s">
        <v>529</v>
      </c>
      <c r="G104" t="s">
        <v>530</v>
      </c>
      <c r="H104" t="s">
        <v>35</v>
      </c>
      <c r="I104">
        <v>11791</v>
      </c>
    </row>
    <row r="105" spans="1:9" x14ac:dyDescent="0.3">
      <c r="A105">
        <v>104</v>
      </c>
      <c r="B105" t="s">
        <v>531</v>
      </c>
      <c r="C105" t="s">
        <v>532</v>
      </c>
      <c r="D105" t="s">
        <v>31</v>
      </c>
      <c r="E105" t="s">
        <v>533</v>
      </c>
      <c r="F105" t="s">
        <v>534</v>
      </c>
      <c r="G105" t="s">
        <v>40</v>
      </c>
      <c r="H105" t="s">
        <v>41</v>
      </c>
      <c r="I105">
        <v>95008</v>
      </c>
    </row>
    <row r="106" spans="1:9" x14ac:dyDescent="0.3">
      <c r="A106">
        <v>105</v>
      </c>
      <c r="B106" t="s">
        <v>535</v>
      </c>
      <c r="C106" t="s">
        <v>536</v>
      </c>
      <c r="D106" t="s">
        <v>31</v>
      </c>
      <c r="E106" t="s">
        <v>537</v>
      </c>
      <c r="F106" t="s">
        <v>538</v>
      </c>
      <c r="G106" t="s">
        <v>539</v>
      </c>
      <c r="H106" t="s">
        <v>35</v>
      </c>
      <c r="I106">
        <v>11421</v>
      </c>
    </row>
    <row r="107" spans="1:9" x14ac:dyDescent="0.3">
      <c r="A107">
        <v>106</v>
      </c>
      <c r="B107" t="s">
        <v>540</v>
      </c>
      <c r="C107" t="s">
        <v>541</v>
      </c>
      <c r="D107" t="s">
        <v>31</v>
      </c>
      <c r="E107" t="s">
        <v>542</v>
      </c>
      <c r="F107" t="s">
        <v>543</v>
      </c>
      <c r="G107" t="s">
        <v>544</v>
      </c>
      <c r="H107" t="s">
        <v>35</v>
      </c>
      <c r="I107">
        <v>11373</v>
      </c>
    </row>
    <row r="108" spans="1:9" x14ac:dyDescent="0.3">
      <c r="A108">
        <v>107</v>
      </c>
      <c r="B108" t="s">
        <v>545</v>
      </c>
      <c r="C108" t="s">
        <v>546</v>
      </c>
      <c r="D108" t="s">
        <v>31</v>
      </c>
      <c r="E108" t="s">
        <v>547</v>
      </c>
      <c r="F108" t="s">
        <v>548</v>
      </c>
      <c r="G108" t="s">
        <v>320</v>
      </c>
      <c r="H108" t="s">
        <v>35</v>
      </c>
      <c r="I108">
        <v>11722</v>
      </c>
    </row>
    <row r="109" spans="1:9" x14ac:dyDescent="0.3">
      <c r="A109">
        <v>108</v>
      </c>
      <c r="B109" t="s">
        <v>549</v>
      </c>
      <c r="C109" t="s">
        <v>550</v>
      </c>
      <c r="D109" t="s">
        <v>31</v>
      </c>
      <c r="E109" t="s">
        <v>551</v>
      </c>
      <c r="F109" t="s">
        <v>552</v>
      </c>
      <c r="G109" t="s">
        <v>553</v>
      </c>
      <c r="H109" t="s">
        <v>35</v>
      </c>
      <c r="I109">
        <v>11001</v>
      </c>
    </row>
    <row r="110" spans="1:9" x14ac:dyDescent="0.3">
      <c r="A110">
        <v>109</v>
      </c>
      <c r="B110" t="s">
        <v>554</v>
      </c>
      <c r="C110" t="s">
        <v>555</v>
      </c>
      <c r="D110" t="s">
        <v>556</v>
      </c>
      <c r="E110" t="s">
        <v>557</v>
      </c>
      <c r="F110" t="s">
        <v>558</v>
      </c>
      <c r="G110" t="s">
        <v>559</v>
      </c>
      <c r="H110" t="s">
        <v>41</v>
      </c>
      <c r="I110">
        <v>95127</v>
      </c>
    </row>
    <row r="111" spans="1:9" x14ac:dyDescent="0.3">
      <c r="A111">
        <v>110</v>
      </c>
      <c r="B111" t="s">
        <v>560</v>
      </c>
      <c r="C111" t="s">
        <v>561</v>
      </c>
      <c r="D111" t="s">
        <v>562</v>
      </c>
      <c r="E111" t="s">
        <v>563</v>
      </c>
      <c r="F111" t="s">
        <v>564</v>
      </c>
      <c r="G111" t="s">
        <v>565</v>
      </c>
      <c r="H111" t="s">
        <v>41</v>
      </c>
      <c r="I111">
        <v>92806</v>
      </c>
    </row>
    <row r="112" spans="1:9" x14ac:dyDescent="0.3">
      <c r="A112">
        <v>111</v>
      </c>
      <c r="B112" t="s">
        <v>566</v>
      </c>
      <c r="C112" t="s">
        <v>567</v>
      </c>
      <c r="D112" t="s">
        <v>31</v>
      </c>
      <c r="E112" t="s">
        <v>568</v>
      </c>
      <c r="F112" t="s">
        <v>569</v>
      </c>
      <c r="G112" t="s">
        <v>34</v>
      </c>
      <c r="H112" t="s">
        <v>35</v>
      </c>
      <c r="I112">
        <v>14127</v>
      </c>
    </row>
    <row r="113" spans="1:9" x14ac:dyDescent="0.3">
      <c r="A113">
        <v>112</v>
      </c>
      <c r="B113" t="s">
        <v>570</v>
      </c>
      <c r="C113" t="s">
        <v>350</v>
      </c>
      <c r="D113" t="s">
        <v>31</v>
      </c>
      <c r="E113" t="s">
        <v>571</v>
      </c>
      <c r="F113" t="s">
        <v>572</v>
      </c>
      <c r="G113" t="s">
        <v>573</v>
      </c>
      <c r="H113" t="s">
        <v>35</v>
      </c>
      <c r="I113">
        <v>11552</v>
      </c>
    </row>
    <row r="114" spans="1:9" x14ac:dyDescent="0.3">
      <c r="A114">
        <v>113</v>
      </c>
      <c r="B114" t="s">
        <v>574</v>
      </c>
      <c r="C114" t="s">
        <v>575</v>
      </c>
      <c r="D114" t="s">
        <v>31</v>
      </c>
      <c r="E114" t="s">
        <v>576</v>
      </c>
      <c r="F114" t="s">
        <v>577</v>
      </c>
      <c r="G114" t="s">
        <v>480</v>
      </c>
      <c r="H114" t="s">
        <v>35</v>
      </c>
      <c r="I114">
        <v>11735</v>
      </c>
    </row>
    <row r="115" spans="1:9" x14ac:dyDescent="0.3">
      <c r="A115">
        <v>114</v>
      </c>
      <c r="B115" t="s">
        <v>578</v>
      </c>
      <c r="C115" t="s">
        <v>579</v>
      </c>
      <c r="D115" t="s">
        <v>31</v>
      </c>
      <c r="E115" t="s">
        <v>580</v>
      </c>
      <c r="F115" t="s">
        <v>581</v>
      </c>
      <c r="G115" t="s">
        <v>343</v>
      </c>
      <c r="H115" t="s">
        <v>35</v>
      </c>
      <c r="I115">
        <v>11701</v>
      </c>
    </row>
    <row r="116" spans="1:9" x14ac:dyDescent="0.3">
      <c r="A116">
        <v>115</v>
      </c>
      <c r="B116" t="s">
        <v>582</v>
      </c>
      <c r="C116" t="s">
        <v>583</v>
      </c>
      <c r="D116" t="s">
        <v>31</v>
      </c>
      <c r="E116" t="s">
        <v>584</v>
      </c>
      <c r="F116" t="s">
        <v>585</v>
      </c>
      <c r="G116" t="s">
        <v>83</v>
      </c>
      <c r="H116" t="s">
        <v>35</v>
      </c>
      <c r="I116">
        <v>10950</v>
      </c>
    </row>
    <row r="117" spans="1:9" x14ac:dyDescent="0.3">
      <c r="A117">
        <v>116</v>
      </c>
      <c r="B117" t="s">
        <v>586</v>
      </c>
      <c r="C117" t="s">
        <v>587</v>
      </c>
      <c r="D117" t="s">
        <v>31</v>
      </c>
      <c r="E117" t="s">
        <v>588</v>
      </c>
      <c r="F117" t="s">
        <v>589</v>
      </c>
      <c r="G117" t="s">
        <v>590</v>
      </c>
      <c r="H117" t="s">
        <v>100</v>
      </c>
      <c r="I117">
        <v>76039</v>
      </c>
    </row>
    <row r="118" spans="1:9" x14ac:dyDescent="0.3">
      <c r="A118">
        <v>117</v>
      </c>
      <c r="B118" t="s">
        <v>591</v>
      </c>
      <c r="C118" t="s">
        <v>592</v>
      </c>
      <c r="D118" t="s">
        <v>31</v>
      </c>
      <c r="E118" t="s">
        <v>593</v>
      </c>
      <c r="F118" t="s">
        <v>594</v>
      </c>
      <c r="G118" t="s">
        <v>135</v>
      </c>
      <c r="H118" t="s">
        <v>100</v>
      </c>
      <c r="I118">
        <v>77478</v>
      </c>
    </row>
    <row r="119" spans="1:9" x14ac:dyDescent="0.3">
      <c r="A119">
        <v>118</v>
      </c>
      <c r="B119" t="s">
        <v>595</v>
      </c>
      <c r="C119" t="s">
        <v>596</v>
      </c>
      <c r="D119" t="s">
        <v>31</v>
      </c>
      <c r="E119" t="s">
        <v>597</v>
      </c>
      <c r="F119" t="s">
        <v>598</v>
      </c>
      <c r="G119" t="s">
        <v>599</v>
      </c>
      <c r="H119" t="s">
        <v>35</v>
      </c>
      <c r="I119">
        <v>14534</v>
      </c>
    </row>
    <row r="120" spans="1:9" x14ac:dyDescent="0.3">
      <c r="A120">
        <v>119</v>
      </c>
      <c r="B120" t="s">
        <v>578</v>
      </c>
      <c r="C120" t="s">
        <v>600</v>
      </c>
      <c r="D120" t="s">
        <v>31</v>
      </c>
      <c r="E120" t="s">
        <v>601</v>
      </c>
      <c r="F120" t="s">
        <v>602</v>
      </c>
      <c r="G120" t="s">
        <v>334</v>
      </c>
      <c r="H120" t="s">
        <v>100</v>
      </c>
      <c r="I120">
        <v>76901</v>
      </c>
    </row>
    <row r="121" spans="1:9" x14ac:dyDescent="0.3">
      <c r="A121">
        <v>120</v>
      </c>
      <c r="B121" t="s">
        <v>603</v>
      </c>
      <c r="C121" t="s">
        <v>604</v>
      </c>
      <c r="D121" t="s">
        <v>605</v>
      </c>
      <c r="E121" t="s">
        <v>606</v>
      </c>
      <c r="F121" t="s">
        <v>607</v>
      </c>
      <c r="G121" t="s">
        <v>608</v>
      </c>
      <c r="H121" t="s">
        <v>41</v>
      </c>
      <c r="I121">
        <v>93706</v>
      </c>
    </row>
    <row r="122" spans="1:9" x14ac:dyDescent="0.3">
      <c r="A122">
        <v>121</v>
      </c>
      <c r="B122" t="s">
        <v>609</v>
      </c>
      <c r="C122" t="s">
        <v>610</v>
      </c>
      <c r="D122" t="s">
        <v>31</v>
      </c>
      <c r="E122" t="s">
        <v>611</v>
      </c>
      <c r="F122" t="s">
        <v>612</v>
      </c>
      <c r="G122" t="s">
        <v>201</v>
      </c>
      <c r="H122" t="s">
        <v>41</v>
      </c>
      <c r="I122">
        <v>90274</v>
      </c>
    </row>
    <row r="123" spans="1:9" x14ac:dyDescent="0.3">
      <c r="A123">
        <v>122</v>
      </c>
      <c r="B123" t="s">
        <v>613</v>
      </c>
      <c r="C123" t="s">
        <v>248</v>
      </c>
      <c r="D123" t="s">
        <v>31</v>
      </c>
      <c r="E123" t="s">
        <v>614</v>
      </c>
      <c r="F123" t="s">
        <v>615</v>
      </c>
      <c r="G123" t="s">
        <v>616</v>
      </c>
      <c r="H123" t="s">
        <v>35</v>
      </c>
      <c r="I123">
        <v>11414</v>
      </c>
    </row>
    <row r="124" spans="1:9" x14ac:dyDescent="0.3">
      <c r="A124">
        <v>123</v>
      </c>
      <c r="B124" t="s">
        <v>617</v>
      </c>
      <c r="C124" t="s">
        <v>618</v>
      </c>
      <c r="D124" t="s">
        <v>619</v>
      </c>
      <c r="E124" t="s">
        <v>620</v>
      </c>
      <c r="F124" t="s">
        <v>621</v>
      </c>
      <c r="G124" t="s">
        <v>622</v>
      </c>
      <c r="H124" t="s">
        <v>100</v>
      </c>
      <c r="I124">
        <v>78418</v>
      </c>
    </row>
    <row r="125" spans="1:9" x14ac:dyDescent="0.3">
      <c r="A125">
        <v>124</v>
      </c>
      <c r="B125" t="s">
        <v>623</v>
      </c>
      <c r="C125" t="s">
        <v>624</v>
      </c>
      <c r="D125" t="s">
        <v>31</v>
      </c>
      <c r="E125" t="s">
        <v>625</v>
      </c>
      <c r="F125" t="s">
        <v>626</v>
      </c>
      <c r="G125" t="s">
        <v>386</v>
      </c>
      <c r="H125" t="s">
        <v>41</v>
      </c>
      <c r="I125">
        <v>91733</v>
      </c>
    </row>
    <row r="126" spans="1:9" x14ac:dyDescent="0.3">
      <c r="A126">
        <v>125</v>
      </c>
      <c r="B126" t="s">
        <v>627</v>
      </c>
      <c r="C126" t="s">
        <v>628</v>
      </c>
      <c r="D126" t="s">
        <v>31</v>
      </c>
      <c r="E126" t="s">
        <v>629</v>
      </c>
      <c r="F126" t="s">
        <v>630</v>
      </c>
      <c r="G126" t="s">
        <v>126</v>
      </c>
      <c r="H126" t="s">
        <v>35</v>
      </c>
      <c r="I126">
        <v>14424</v>
      </c>
    </row>
    <row r="127" spans="1:9" x14ac:dyDescent="0.3">
      <c r="A127">
        <v>126</v>
      </c>
      <c r="B127" t="s">
        <v>631</v>
      </c>
      <c r="C127" t="s">
        <v>632</v>
      </c>
      <c r="D127" t="s">
        <v>31</v>
      </c>
      <c r="E127" t="s">
        <v>633</v>
      </c>
      <c r="F127" t="s">
        <v>634</v>
      </c>
      <c r="G127" t="s">
        <v>635</v>
      </c>
      <c r="H127" t="s">
        <v>35</v>
      </c>
      <c r="I127">
        <v>12550</v>
      </c>
    </row>
    <row r="128" spans="1:9" x14ac:dyDescent="0.3">
      <c r="A128">
        <v>127</v>
      </c>
      <c r="B128" t="s">
        <v>636</v>
      </c>
      <c r="C128" t="s">
        <v>637</v>
      </c>
      <c r="D128" t="s">
        <v>31</v>
      </c>
      <c r="E128" t="s">
        <v>638</v>
      </c>
      <c r="F128" t="s">
        <v>639</v>
      </c>
      <c r="G128" t="s">
        <v>220</v>
      </c>
      <c r="H128" t="s">
        <v>35</v>
      </c>
      <c r="I128">
        <v>11378</v>
      </c>
    </row>
    <row r="129" spans="1:9" x14ac:dyDescent="0.3">
      <c r="A129">
        <v>128</v>
      </c>
      <c r="B129" t="s">
        <v>640</v>
      </c>
      <c r="C129" t="s">
        <v>641</v>
      </c>
      <c r="D129" t="s">
        <v>31</v>
      </c>
      <c r="E129" t="s">
        <v>642</v>
      </c>
      <c r="F129" t="s">
        <v>643</v>
      </c>
      <c r="G129" t="s">
        <v>110</v>
      </c>
      <c r="H129" t="s">
        <v>35</v>
      </c>
      <c r="I129">
        <v>12901</v>
      </c>
    </row>
    <row r="130" spans="1:9" x14ac:dyDescent="0.3">
      <c r="A130">
        <v>129</v>
      </c>
      <c r="B130" t="s">
        <v>644</v>
      </c>
      <c r="C130" t="s">
        <v>632</v>
      </c>
      <c r="D130" t="s">
        <v>31</v>
      </c>
      <c r="E130" t="s">
        <v>645</v>
      </c>
      <c r="F130" t="s">
        <v>646</v>
      </c>
      <c r="G130" t="s">
        <v>647</v>
      </c>
      <c r="H130" t="s">
        <v>35</v>
      </c>
      <c r="I130">
        <v>14094</v>
      </c>
    </row>
    <row r="131" spans="1:9" x14ac:dyDescent="0.3">
      <c r="A131">
        <v>130</v>
      </c>
      <c r="B131" t="s">
        <v>648</v>
      </c>
      <c r="C131" t="s">
        <v>649</v>
      </c>
      <c r="D131" t="s">
        <v>650</v>
      </c>
      <c r="E131" t="s">
        <v>651</v>
      </c>
      <c r="F131" t="s">
        <v>652</v>
      </c>
      <c r="G131" t="s">
        <v>486</v>
      </c>
      <c r="H131" t="s">
        <v>35</v>
      </c>
      <c r="I131">
        <v>12180</v>
      </c>
    </row>
    <row r="132" spans="1:9" x14ac:dyDescent="0.3">
      <c r="A132">
        <v>131</v>
      </c>
      <c r="B132" t="s">
        <v>653</v>
      </c>
      <c r="C132" t="s">
        <v>654</v>
      </c>
      <c r="D132" t="s">
        <v>31</v>
      </c>
      <c r="E132" t="s">
        <v>655</v>
      </c>
      <c r="F132" t="s">
        <v>656</v>
      </c>
      <c r="G132" t="s">
        <v>530</v>
      </c>
      <c r="H132" t="s">
        <v>35</v>
      </c>
      <c r="I132">
        <v>11791</v>
      </c>
    </row>
    <row r="133" spans="1:9" x14ac:dyDescent="0.3">
      <c r="A133">
        <v>132</v>
      </c>
      <c r="B133" t="s">
        <v>657</v>
      </c>
      <c r="C133" t="s">
        <v>658</v>
      </c>
      <c r="D133" t="s">
        <v>31</v>
      </c>
      <c r="E133" t="s">
        <v>659</v>
      </c>
      <c r="F133" t="s">
        <v>660</v>
      </c>
      <c r="G133" t="s">
        <v>661</v>
      </c>
      <c r="H133" t="s">
        <v>35</v>
      </c>
      <c r="I133">
        <v>14075</v>
      </c>
    </row>
    <row r="134" spans="1:9" x14ac:dyDescent="0.3">
      <c r="A134">
        <v>133</v>
      </c>
      <c r="B134" t="s">
        <v>662</v>
      </c>
      <c r="C134" t="s">
        <v>663</v>
      </c>
      <c r="D134" t="s">
        <v>31</v>
      </c>
      <c r="E134" t="s">
        <v>664</v>
      </c>
      <c r="F134" t="s">
        <v>665</v>
      </c>
      <c r="G134" t="s">
        <v>666</v>
      </c>
      <c r="H134" t="s">
        <v>35</v>
      </c>
      <c r="I134">
        <v>11727</v>
      </c>
    </row>
    <row r="135" spans="1:9" x14ac:dyDescent="0.3">
      <c r="A135">
        <v>134</v>
      </c>
      <c r="B135" t="s">
        <v>667</v>
      </c>
      <c r="C135" t="s">
        <v>668</v>
      </c>
      <c r="D135" t="s">
        <v>669</v>
      </c>
      <c r="E135" t="s">
        <v>670</v>
      </c>
      <c r="F135" t="s">
        <v>671</v>
      </c>
      <c r="G135" t="s">
        <v>94</v>
      </c>
      <c r="H135" t="s">
        <v>35</v>
      </c>
      <c r="I135">
        <v>11550</v>
      </c>
    </row>
    <row r="136" spans="1:9" x14ac:dyDescent="0.3">
      <c r="A136">
        <v>135</v>
      </c>
      <c r="B136" t="s">
        <v>672</v>
      </c>
      <c r="C136" t="s">
        <v>273</v>
      </c>
      <c r="D136" t="s">
        <v>673</v>
      </c>
      <c r="E136" t="s">
        <v>674</v>
      </c>
      <c r="F136" t="s">
        <v>675</v>
      </c>
      <c r="G136" t="s">
        <v>252</v>
      </c>
      <c r="H136" t="s">
        <v>100</v>
      </c>
      <c r="I136">
        <v>77016</v>
      </c>
    </row>
    <row r="137" spans="1:9" x14ac:dyDescent="0.3">
      <c r="A137">
        <v>136</v>
      </c>
      <c r="B137" t="s">
        <v>676</v>
      </c>
      <c r="C137" t="s">
        <v>415</v>
      </c>
      <c r="D137" t="s">
        <v>31</v>
      </c>
      <c r="E137" t="s">
        <v>677</v>
      </c>
      <c r="F137" t="s">
        <v>678</v>
      </c>
      <c r="G137" t="s">
        <v>105</v>
      </c>
      <c r="H137" t="s">
        <v>100</v>
      </c>
      <c r="I137">
        <v>75126</v>
      </c>
    </row>
    <row r="138" spans="1:9" x14ac:dyDescent="0.3">
      <c r="A138">
        <v>137</v>
      </c>
      <c r="B138" t="s">
        <v>679</v>
      </c>
      <c r="C138" t="s">
        <v>680</v>
      </c>
      <c r="D138" t="s">
        <v>31</v>
      </c>
      <c r="E138" t="s">
        <v>681</v>
      </c>
      <c r="F138" t="s">
        <v>682</v>
      </c>
      <c r="G138" t="s">
        <v>683</v>
      </c>
      <c r="H138" t="s">
        <v>35</v>
      </c>
      <c r="I138">
        <v>11758</v>
      </c>
    </row>
    <row r="139" spans="1:9" x14ac:dyDescent="0.3">
      <c r="A139">
        <v>138</v>
      </c>
      <c r="B139" t="s">
        <v>684</v>
      </c>
      <c r="C139" t="s">
        <v>685</v>
      </c>
      <c r="D139" t="s">
        <v>686</v>
      </c>
      <c r="E139" t="s">
        <v>687</v>
      </c>
      <c r="F139" t="s">
        <v>688</v>
      </c>
      <c r="G139" t="s">
        <v>565</v>
      </c>
      <c r="H139" t="s">
        <v>41</v>
      </c>
      <c r="I139">
        <v>92806</v>
      </c>
    </row>
    <row r="140" spans="1:9" x14ac:dyDescent="0.3">
      <c r="A140">
        <v>139</v>
      </c>
      <c r="B140" t="s">
        <v>689</v>
      </c>
      <c r="C140" t="s">
        <v>690</v>
      </c>
      <c r="D140" t="s">
        <v>31</v>
      </c>
      <c r="E140" t="s">
        <v>691</v>
      </c>
      <c r="F140" t="s">
        <v>692</v>
      </c>
      <c r="G140" t="s">
        <v>693</v>
      </c>
      <c r="H140" t="s">
        <v>35</v>
      </c>
      <c r="I140">
        <v>10977</v>
      </c>
    </row>
    <row r="141" spans="1:9" x14ac:dyDescent="0.3">
      <c r="A141">
        <v>140</v>
      </c>
      <c r="B141" t="s">
        <v>694</v>
      </c>
      <c r="C141" t="s">
        <v>695</v>
      </c>
      <c r="D141" t="s">
        <v>31</v>
      </c>
      <c r="E141" t="s">
        <v>696</v>
      </c>
      <c r="F141" t="s">
        <v>697</v>
      </c>
      <c r="G141" t="s">
        <v>292</v>
      </c>
      <c r="H141" t="s">
        <v>35</v>
      </c>
      <c r="I141">
        <v>11369</v>
      </c>
    </row>
    <row r="142" spans="1:9" x14ac:dyDescent="0.3">
      <c r="A142">
        <v>141</v>
      </c>
      <c r="B142" t="s">
        <v>698</v>
      </c>
      <c r="C142" t="s">
        <v>699</v>
      </c>
      <c r="D142" t="s">
        <v>31</v>
      </c>
      <c r="E142" t="s">
        <v>700</v>
      </c>
      <c r="F142" t="s">
        <v>701</v>
      </c>
      <c r="G142" t="s">
        <v>702</v>
      </c>
      <c r="H142" t="s">
        <v>35</v>
      </c>
      <c r="I142">
        <v>11412</v>
      </c>
    </row>
    <row r="143" spans="1:9" x14ac:dyDescent="0.3">
      <c r="A143">
        <v>142</v>
      </c>
      <c r="B143" t="s">
        <v>703</v>
      </c>
      <c r="C143" t="s">
        <v>704</v>
      </c>
      <c r="D143" t="s">
        <v>31</v>
      </c>
      <c r="E143" t="s">
        <v>705</v>
      </c>
      <c r="F143" t="s">
        <v>706</v>
      </c>
      <c r="G143" t="s">
        <v>573</v>
      </c>
      <c r="H143" t="s">
        <v>35</v>
      </c>
      <c r="I143">
        <v>11552</v>
      </c>
    </row>
    <row r="144" spans="1:9" x14ac:dyDescent="0.3">
      <c r="A144">
        <v>143</v>
      </c>
      <c r="B144" t="s">
        <v>707</v>
      </c>
      <c r="C144" t="s">
        <v>708</v>
      </c>
      <c r="D144" t="s">
        <v>31</v>
      </c>
      <c r="E144" t="s">
        <v>709</v>
      </c>
      <c r="F144" t="s">
        <v>710</v>
      </c>
      <c r="G144" t="s">
        <v>73</v>
      </c>
      <c r="H144" t="s">
        <v>35</v>
      </c>
      <c r="I144">
        <v>11372</v>
      </c>
    </row>
    <row r="145" spans="1:9" x14ac:dyDescent="0.3">
      <c r="A145">
        <v>144</v>
      </c>
      <c r="B145" t="s">
        <v>711</v>
      </c>
      <c r="C145" t="s">
        <v>712</v>
      </c>
      <c r="D145" t="s">
        <v>31</v>
      </c>
      <c r="E145" t="s">
        <v>713</v>
      </c>
      <c r="F145" t="s">
        <v>714</v>
      </c>
      <c r="G145" t="s">
        <v>715</v>
      </c>
      <c r="H145" t="s">
        <v>35</v>
      </c>
      <c r="I145">
        <v>10573</v>
      </c>
    </row>
    <row r="146" spans="1:9" x14ac:dyDescent="0.3">
      <c r="A146">
        <v>145</v>
      </c>
      <c r="B146" t="s">
        <v>716</v>
      </c>
      <c r="C146" t="s">
        <v>717</v>
      </c>
      <c r="D146" t="s">
        <v>31</v>
      </c>
      <c r="E146" t="s">
        <v>718</v>
      </c>
      <c r="F146" t="s">
        <v>719</v>
      </c>
      <c r="G146" t="s">
        <v>720</v>
      </c>
      <c r="H146" t="s">
        <v>35</v>
      </c>
      <c r="I146">
        <v>10301</v>
      </c>
    </row>
    <row r="147" spans="1:9" x14ac:dyDescent="0.3">
      <c r="A147">
        <v>146</v>
      </c>
      <c r="B147" t="s">
        <v>721</v>
      </c>
      <c r="C147" t="s">
        <v>722</v>
      </c>
      <c r="D147" t="s">
        <v>31</v>
      </c>
      <c r="E147" t="s">
        <v>723</v>
      </c>
      <c r="F147" t="s">
        <v>724</v>
      </c>
      <c r="G147" t="s">
        <v>495</v>
      </c>
      <c r="H147" t="s">
        <v>35</v>
      </c>
      <c r="I147">
        <v>12866</v>
      </c>
    </row>
    <row r="148" spans="1:9" x14ac:dyDescent="0.3">
      <c r="A148">
        <v>147</v>
      </c>
      <c r="B148" t="s">
        <v>725</v>
      </c>
      <c r="C148" t="s">
        <v>726</v>
      </c>
      <c r="D148" t="s">
        <v>31</v>
      </c>
      <c r="E148" t="s">
        <v>727</v>
      </c>
      <c r="F148" t="s">
        <v>728</v>
      </c>
      <c r="G148" t="s">
        <v>729</v>
      </c>
      <c r="H148" t="s">
        <v>35</v>
      </c>
      <c r="I148">
        <v>11787</v>
      </c>
    </row>
    <row r="149" spans="1:9" x14ac:dyDescent="0.3">
      <c r="A149">
        <v>148</v>
      </c>
      <c r="B149" t="s">
        <v>730</v>
      </c>
      <c r="C149" t="s">
        <v>731</v>
      </c>
      <c r="D149" t="s">
        <v>31</v>
      </c>
      <c r="E149" t="s">
        <v>732</v>
      </c>
      <c r="F149" t="s">
        <v>733</v>
      </c>
      <c r="G149" t="s">
        <v>246</v>
      </c>
      <c r="H149" t="s">
        <v>35</v>
      </c>
      <c r="I149">
        <v>11418</v>
      </c>
    </row>
    <row r="150" spans="1:9" x14ac:dyDescent="0.3">
      <c r="A150">
        <v>149</v>
      </c>
      <c r="B150" t="s">
        <v>734</v>
      </c>
      <c r="C150" t="s">
        <v>735</v>
      </c>
      <c r="D150" t="s">
        <v>31</v>
      </c>
      <c r="E150" t="s">
        <v>736</v>
      </c>
      <c r="F150" t="s">
        <v>737</v>
      </c>
      <c r="G150" t="s">
        <v>693</v>
      </c>
      <c r="H150" t="s">
        <v>35</v>
      </c>
      <c r="I150">
        <v>10977</v>
      </c>
    </row>
    <row r="151" spans="1:9" x14ac:dyDescent="0.3">
      <c r="A151">
        <v>150</v>
      </c>
      <c r="B151" t="s">
        <v>738</v>
      </c>
      <c r="C151" t="s">
        <v>739</v>
      </c>
      <c r="D151" t="s">
        <v>31</v>
      </c>
      <c r="E151" t="s">
        <v>740</v>
      </c>
      <c r="F151" t="s">
        <v>741</v>
      </c>
      <c r="G151" t="s">
        <v>742</v>
      </c>
      <c r="H151" t="s">
        <v>35</v>
      </c>
      <c r="I151">
        <v>11743</v>
      </c>
    </row>
    <row r="152" spans="1:9" x14ac:dyDescent="0.3">
      <c r="A152">
        <v>151</v>
      </c>
      <c r="B152" t="s">
        <v>743</v>
      </c>
      <c r="C152" t="s">
        <v>744</v>
      </c>
      <c r="D152" t="s">
        <v>31</v>
      </c>
      <c r="E152" t="s">
        <v>745</v>
      </c>
      <c r="F152" t="s">
        <v>746</v>
      </c>
      <c r="G152" t="s">
        <v>155</v>
      </c>
      <c r="H152" t="s">
        <v>41</v>
      </c>
      <c r="I152">
        <v>95301</v>
      </c>
    </row>
    <row r="153" spans="1:9" x14ac:dyDescent="0.3">
      <c r="A153">
        <v>152</v>
      </c>
      <c r="B153" t="s">
        <v>747</v>
      </c>
      <c r="C153" t="s">
        <v>748</v>
      </c>
      <c r="D153" t="s">
        <v>31</v>
      </c>
      <c r="E153" t="s">
        <v>749</v>
      </c>
      <c r="F153" t="s">
        <v>750</v>
      </c>
      <c r="G153" t="s">
        <v>751</v>
      </c>
      <c r="H153" t="s">
        <v>35</v>
      </c>
      <c r="I153">
        <v>11803</v>
      </c>
    </row>
    <row r="154" spans="1:9" x14ac:dyDescent="0.3">
      <c r="A154">
        <v>153</v>
      </c>
      <c r="B154" t="s">
        <v>752</v>
      </c>
      <c r="C154" t="s">
        <v>753</v>
      </c>
      <c r="D154" t="s">
        <v>31</v>
      </c>
      <c r="E154" t="s">
        <v>754</v>
      </c>
      <c r="F154" t="s">
        <v>755</v>
      </c>
      <c r="G154" t="s">
        <v>334</v>
      </c>
      <c r="H154" t="s">
        <v>100</v>
      </c>
      <c r="I154">
        <v>76901</v>
      </c>
    </row>
    <row r="155" spans="1:9" x14ac:dyDescent="0.3">
      <c r="A155">
        <v>154</v>
      </c>
      <c r="B155" t="s">
        <v>756</v>
      </c>
      <c r="C155" t="s">
        <v>757</v>
      </c>
      <c r="D155" t="s">
        <v>31</v>
      </c>
      <c r="E155" t="s">
        <v>758</v>
      </c>
      <c r="F155" t="s">
        <v>759</v>
      </c>
      <c r="G155" t="s">
        <v>760</v>
      </c>
      <c r="H155" t="s">
        <v>100</v>
      </c>
      <c r="I155">
        <v>78023</v>
      </c>
    </row>
    <row r="156" spans="1:9" x14ac:dyDescent="0.3">
      <c r="A156">
        <v>155</v>
      </c>
      <c r="B156" t="s">
        <v>761</v>
      </c>
      <c r="C156" t="s">
        <v>762</v>
      </c>
      <c r="D156" t="s">
        <v>31</v>
      </c>
      <c r="E156" t="s">
        <v>763</v>
      </c>
      <c r="F156" t="s">
        <v>764</v>
      </c>
      <c r="G156" t="s">
        <v>765</v>
      </c>
      <c r="H156" t="s">
        <v>35</v>
      </c>
      <c r="I156">
        <v>11706</v>
      </c>
    </row>
    <row r="157" spans="1:9" x14ac:dyDescent="0.3">
      <c r="A157">
        <v>156</v>
      </c>
      <c r="B157" t="s">
        <v>766</v>
      </c>
      <c r="C157" t="s">
        <v>767</v>
      </c>
      <c r="D157" t="s">
        <v>31</v>
      </c>
      <c r="E157" t="s">
        <v>768</v>
      </c>
      <c r="F157" t="s">
        <v>769</v>
      </c>
      <c r="G157" t="s">
        <v>770</v>
      </c>
      <c r="H157" t="s">
        <v>35</v>
      </c>
      <c r="I157">
        <v>11795</v>
      </c>
    </row>
    <row r="158" spans="1:9" x14ac:dyDescent="0.3">
      <c r="A158">
        <v>157</v>
      </c>
      <c r="B158" t="s">
        <v>771</v>
      </c>
      <c r="C158" t="s">
        <v>772</v>
      </c>
      <c r="D158" t="s">
        <v>31</v>
      </c>
      <c r="E158" t="s">
        <v>773</v>
      </c>
      <c r="F158" t="s">
        <v>774</v>
      </c>
      <c r="G158" t="s">
        <v>775</v>
      </c>
      <c r="H158" t="s">
        <v>41</v>
      </c>
      <c r="I158">
        <v>92220</v>
      </c>
    </row>
    <row r="159" spans="1:9" x14ac:dyDescent="0.3">
      <c r="A159">
        <v>158</v>
      </c>
      <c r="B159" t="s">
        <v>776</v>
      </c>
      <c r="C159" t="s">
        <v>370</v>
      </c>
      <c r="D159" t="s">
        <v>31</v>
      </c>
      <c r="E159" t="s">
        <v>777</v>
      </c>
      <c r="F159" t="s">
        <v>778</v>
      </c>
      <c r="G159" t="s">
        <v>693</v>
      </c>
      <c r="H159" t="s">
        <v>35</v>
      </c>
      <c r="I159">
        <v>10977</v>
      </c>
    </row>
    <row r="160" spans="1:9" x14ac:dyDescent="0.3">
      <c r="A160">
        <v>159</v>
      </c>
      <c r="B160" t="s">
        <v>779</v>
      </c>
      <c r="C160" t="s">
        <v>780</v>
      </c>
      <c r="D160" t="s">
        <v>31</v>
      </c>
      <c r="E160" t="s">
        <v>781</v>
      </c>
      <c r="F160" t="s">
        <v>782</v>
      </c>
      <c r="G160" t="s">
        <v>358</v>
      </c>
      <c r="H160" t="s">
        <v>100</v>
      </c>
      <c r="I160">
        <v>75043</v>
      </c>
    </row>
    <row r="161" spans="1:9" x14ac:dyDescent="0.3">
      <c r="A161">
        <v>160</v>
      </c>
      <c r="B161" t="s">
        <v>783</v>
      </c>
      <c r="C161" t="s">
        <v>784</v>
      </c>
      <c r="D161" t="s">
        <v>31</v>
      </c>
      <c r="E161" t="s">
        <v>785</v>
      </c>
      <c r="F161" t="s">
        <v>786</v>
      </c>
      <c r="G161" t="s">
        <v>368</v>
      </c>
      <c r="H161" t="s">
        <v>100</v>
      </c>
      <c r="I161">
        <v>75088</v>
      </c>
    </row>
    <row r="162" spans="1:9" x14ac:dyDescent="0.3">
      <c r="A162">
        <v>161</v>
      </c>
      <c r="B162" t="s">
        <v>787</v>
      </c>
      <c r="C162" t="s">
        <v>788</v>
      </c>
      <c r="D162" t="s">
        <v>31</v>
      </c>
      <c r="E162" t="s">
        <v>789</v>
      </c>
      <c r="F162" t="s">
        <v>790</v>
      </c>
      <c r="G162" t="s">
        <v>729</v>
      </c>
      <c r="H162" t="s">
        <v>35</v>
      </c>
      <c r="I162">
        <v>11787</v>
      </c>
    </row>
    <row r="163" spans="1:9" x14ac:dyDescent="0.3">
      <c r="A163">
        <v>162</v>
      </c>
      <c r="B163" t="s">
        <v>791</v>
      </c>
      <c r="C163" t="s">
        <v>792</v>
      </c>
      <c r="D163" t="s">
        <v>31</v>
      </c>
      <c r="E163" t="s">
        <v>793</v>
      </c>
      <c r="F163" t="s">
        <v>794</v>
      </c>
      <c r="G163" t="s">
        <v>635</v>
      </c>
      <c r="H163" t="s">
        <v>35</v>
      </c>
      <c r="I163">
        <v>12550</v>
      </c>
    </row>
    <row r="164" spans="1:9" x14ac:dyDescent="0.3">
      <c r="A164">
        <v>163</v>
      </c>
      <c r="B164" t="s">
        <v>795</v>
      </c>
      <c r="C164" t="s">
        <v>796</v>
      </c>
      <c r="D164" t="s">
        <v>31</v>
      </c>
      <c r="E164" t="s">
        <v>797</v>
      </c>
      <c r="F164" t="s">
        <v>798</v>
      </c>
      <c r="G164" t="s">
        <v>353</v>
      </c>
      <c r="H164" t="s">
        <v>35</v>
      </c>
      <c r="I164">
        <v>13440</v>
      </c>
    </row>
    <row r="165" spans="1:9" x14ac:dyDescent="0.3">
      <c r="A165">
        <v>164</v>
      </c>
      <c r="B165" t="s">
        <v>799</v>
      </c>
      <c r="C165" t="s">
        <v>800</v>
      </c>
      <c r="D165" t="s">
        <v>31</v>
      </c>
      <c r="E165" t="s">
        <v>801</v>
      </c>
      <c r="F165" t="s">
        <v>802</v>
      </c>
      <c r="G165" t="s">
        <v>803</v>
      </c>
      <c r="H165" t="s">
        <v>35</v>
      </c>
      <c r="I165">
        <v>11377</v>
      </c>
    </row>
    <row r="166" spans="1:9" x14ac:dyDescent="0.3">
      <c r="A166">
        <v>165</v>
      </c>
      <c r="B166" t="s">
        <v>804</v>
      </c>
      <c r="C166" t="s">
        <v>805</v>
      </c>
      <c r="D166" t="s">
        <v>806</v>
      </c>
      <c r="E166" t="s">
        <v>807</v>
      </c>
      <c r="F166" t="s">
        <v>808</v>
      </c>
      <c r="G166" t="s">
        <v>559</v>
      </c>
      <c r="H166" t="s">
        <v>41</v>
      </c>
      <c r="I166">
        <v>95127</v>
      </c>
    </row>
    <row r="167" spans="1:9" x14ac:dyDescent="0.3">
      <c r="A167">
        <v>166</v>
      </c>
      <c r="B167" t="s">
        <v>809</v>
      </c>
      <c r="C167" t="s">
        <v>810</v>
      </c>
      <c r="D167" t="s">
        <v>31</v>
      </c>
      <c r="E167" t="s">
        <v>811</v>
      </c>
      <c r="F167" t="s">
        <v>812</v>
      </c>
      <c r="G167" t="s">
        <v>539</v>
      </c>
      <c r="H167" t="s">
        <v>35</v>
      </c>
      <c r="I167">
        <v>11421</v>
      </c>
    </row>
    <row r="168" spans="1:9" x14ac:dyDescent="0.3">
      <c r="A168">
        <v>167</v>
      </c>
      <c r="B168" t="s">
        <v>813</v>
      </c>
      <c r="C168" t="s">
        <v>814</v>
      </c>
      <c r="D168" t="s">
        <v>31</v>
      </c>
      <c r="E168" t="s">
        <v>815</v>
      </c>
      <c r="F168" t="s">
        <v>816</v>
      </c>
      <c r="G168" t="s">
        <v>693</v>
      </c>
      <c r="H168" t="s">
        <v>35</v>
      </c>
      <c r="I168">
        <v>10977</v>
      </c>
    </row>
    <row r="169" spans="1:9" x14ac:dyDescent="0.3">
      <c r="A169">
        <v>168</v>
      </c>
      <c r="B169" t="s">
        <v>817</v>
      </c>
      <c r="C169" t="s">
        <v>212</v>
      </c>
      <c r="D169" t="s">
        <v>31</v>
      </c>
      <c r="E169" t="s">
        <v>818</v>
      </c>
      <c r="F169" t="s">
        <v>819</v>
      </c>
      <c r="G169" t="s">
        <v>820</v>
      </c>
      <c r="H169" t="s">
        <v>35</v>
      </c>
      <c r="I169">
        <v>11420</v>
      </c>
    </row>
    <row r="170" spans="1:9" x14ac:dyDescent="0.3">
      <c r="A170">
        <v>169</v>
      </c>
      <c r="B170" t="s">
        <v>821</v>
      </c>
      <c r="C170" t="s">
        <v>822</v>
      </c>
      <c r="D170" t="s">
        <v>31</v>
      </c>
      <c r="E170" t="s">
        <v>823</v>
      </c>
      <c r="F170" t="s">
        <v>824</v>
      </c>
      <c r="G170" t="s">
        <v>201</v>
      </c>
      <c r="H170" t="s">
        <v>41</v>
      </c>
      <c r="I170">
        <v>90274</v>
      </c>
    </row>
    <row r="171" spans="1:9" x14ac:dyDescent="0.3">
      <c r="A171">
        <v>170</v>
      </c>
      <c r="B171" t="s">
        <v>825</v>
      </c>
      <c r="C171" t="s">
        <v>826</v>
      </c>
      <c r="D171" t="s">
        <v>827</v>
      </c>
      <c r="E171" t="s">
        <v>828</v>
      </c>
      <c r="F171" t="s">
        <v>829</v>
      </c>
      <c r="G171" t="s">
        <v>830</v>
      </c>
      <c r="H171" t="s">
        <v>41</v>
      </c>
      <c r="I171">
        <v>93035</v>
      </c>
    </row>
    <row r="172" spans="1:9" x14ac:dyDescent="0.3">
      <c r="A172">
        <v>171</v>
      </c>
      <c r="B172" t="s">
        <v>831</v>
      </c>
      <c r="C172" t="s">
        <v>832</v>
      </c>
      <c r="D172" t="s">
        <v>31</v>
      </c>
      <c r="E172" t="s">
        <v>833</v>
      </c>
      <c r="F172" t="s">
        <v>834</v>
      </c>
      <c r="G172" t="s">
        <v>51</v>
      </c>
      <c r="H172" t="s">
        <v>35</v>
      </c>
      <c r="I172">
        <v>11553</v>
      </c>
    </row>
    <row r="173" spans="1:9" x14ac:dyDescent="0.3">
      <c r="A173">
        <v>172</v>
      </c>
      <c r="B173" t="s">
        <v>835</v>
      </c>
      <c r="C173" t="s">
        <v>365</v>
      </c>
      <c r="D173" t="s">
        <v>31</v>
      </c>
      <c r="E173" t="s">
        <v>836</v>
      </c>
      <c r="F173" t="s">
        <v>837</v>
      </c>
      <c r="G173" t="s">
        <v>838</v>
      </c>
      <c r="H173" t="s">
        <v>41</v>
      </c>
      <c r="I173">
        <v>95050</v>
      </c>
    </row>
    <row r="174" spans="1:9" x14ac:dyDescent="0.3">
      <c r="A174">
        <v>173</v>
      </c>
      <c r="B174" t="s">
        <v>839</v>
      </c>
      <c r="C174" t="s">
        <v>840</v>
      </c>
      <c r="D174" t="s">
        <v>31</v>
      </c>
      <c r="E174" t="s">
        <v>841</v>
      </c>
      <c r="F174" t="s">
        <v>842</v>
      </c>
      <c r="G174" t="s">
        <v>358</v>
      </c>
      <c r="H174" t="s">
        <v>100</v>
      </c>
      <c r="I174">
        <v>75043</v>
      </c>
    </row>
    <row r="175" spans="1:9" x14ac:dyDescent="0.3">
      <c r="A175">
        <v>174</v>
      </c>
      <c r="B175" t="s">
        <v>843</v>
      </c>
      <c r="C175" t="s">
        <v>844</v>
      </c>
      <c r="D175" t="s">
        <v>31</v>
      </c>
      <c r="E175" t="s">
        <v>845</v>
      </c>
      <c r="F175" t="s">
        <v>846</v>
      </c>
      <c r="G175" t="s">
        <v>121</v>
      </c>
      <c r="H175" t="s">
        <v>35</v>
      </c>
      <c r="I175">
        <v>10583</v>
      </c>
    </row>
    <row r="176" spans="1:9" x14ac:dyDescent="0.3">
      <c r="A176">
        <v>175</v>
      </c>
      <c r="B176" t="s">
        <v>847</v>
      </c>
      <c r="C176" t="s">
        <v>848</v>
      </c>
      <c r="D176" t="s">
        <v>31</v>
      </c>
      <c r="E176" t="s">
        <v>849</v>
      </c>
      <c r="F176" t="s">
        <v>850</v>
      </c>
      <c r="G176" t="s">
        <v>455</v>
      </c>
      <c r="H176" t="s">
        <v>41</v>
      </c>
      <c r="I176">
        <v>91010</v>
      </c>
    </row>
    <row r="177" spans="1:9" x14ac:dyDescent="0.3">
      <c r="A177">
        <v>176</v>
      </c>
      <c r="B177" t="s">
        <v>851</v>
      </c>
      <c r="C177" t="s">
        <v>852</v>
      </c>
      <c r="D177" t="s">
        <v>31</v>
      </c>
      <c r="E177" t="s">
        <v>853</v>
      </c>
      <c r="F177" t="s">
        <v>854</v>
      </c>
      <c r="G177" t="s">
        <v>386</v>
      </c>
      <c r="H177" t="s">
        <v>41</v>
      </c>
      <c r="I177">
        <v>91733</v>
      </c>
    </row>
    <row r="178" spans="1:9" x14ac:dyDescent="0.3">
      <c r="A178">
        <v>177</v>
      </c>
      <c r="B178" t="s">
        <v>855</v>
      </c>
      <c r="C178" t="s">
        <v>856</v>
      </c>
      <c r="D178" t="s">
        <v>31</v>
      </c>
      <c r="E178" t="s">
        <v>857</v>
      </c>
      <c r="F178" t="s">
        <v>858</v>
      </c>
      <c r="G178" t="s">
        <v>220</v>
      </c>
      <c r="H178" t="s">
        <v>35</v>
      </c>
      <c r="I178">
        <v>11378</v>
      </c>
    </row>
    <row r="179" spans="1:9" x14ac:dyDescent="0.3">
      <c r="A179">
        <v>178</v>
      </c>
      <c r="B179" t="s">
        <v>74</v>
      </c>
      <c r="C179" t="s">
        <v>859</v>
      </c>
      <c r="D179" t="s">
        <v>860</v>
      </c>
      <c r="E179" t="s">
        <v>861</v>
      </c>
      <c r="F179" t="s">
        <v>862</v>
      </c>
      <c r="G179" t="s">
        <v>116</v>
      </c>
      <c r="H179" t="s">
        <v>35</v>
      </c>
      <c r="I179">
        <v>10002</v>
      </c>
    </row>
    <row r="180" spans="1:9" x14ac:dyDescent="0.3">
      <c r="A180">
        <v>179</v>
      </c>
      <c r="B180" t="s">
        <v>863</v>
      </c>
      <c r="C180" t="s">
        <v>555</v>
      </c>
      <c r="D180" t="s">
        <v>31</v>
      </c>
      <c r="E180" t="s">
        <v>864</v>
      </c>
      <c r="F180" t="s">
        <v>865</v>
      </c>
      <c r="G180" t="s">
        <v>599</v>
      </c>
      <c r="H180" t="s">
        <v>35</v>
      </c>
      <c r="I180">
        <v>14534</v>
      </c>
    </row>
    <row r="181" spans="1:9" x14ac:dyDescent="0.3">
      <c r="A181">
        <v>180</v>
      </c>
      <c r="B181" t="s">
        <v>866</v>
      </c>
      <c r="C181" t="s">
        <v>867</v>
      </c>
      <c r="D181" t="s">
        <v>31</v>
      </c>
      <c r="E181" t="s">
        <v>868</v>
      </c>
      <c r="F181" t="s">
        <v>869</v>
      </c>
      <c r="G181" t="s">
        <v>480</v>
      </c>
      <c r="H181" t="s">
        <v>35</v>
      </c>
      <c r="I181">
        <v>11735</v>
      </c>
    </row>
    <row r="182" spans="1:9" x14ac:dyDescent="0.3">
      <c r="A182">
        <v>181</v>
      </c>
      <c r="B182" t="s">
        <v>870</v>
      </c>
      <c r="C182" t="s">
        <v>871</v>
      </c>
      <c r="D182" t="s">
        <v>31</v>
      </c>
      <c r="E182" t="s">
        <v>872</v>
      </c>
      <c r="F182" t="s">
        <v>873</v>
      </c>
      <c r="G182" t="s">
        <v>46</v>
      </c>
      <c r="H182" t="s">
        <v>41</v>
      </c>
      <c r="I182">
        <v>90278</v>
      </c>
    </row>
    <row r="183" spans="1:9" x14ac:dyDescent="0.3">
      <c r="A183">
        <v>182</v>
      </c>
      <c r="B183" t="s">
        <v>874</v>
      </c>
      <c r="C183" t="s">
        <v>457</v>
      </c>
      <c r="D183" t="s">
        <v>31</v>
      </c>
      <c r="E183" t="s">
        <v>875</v>
      </c>
      <c r="F183" t="s">
        <v>876</v>
      </c>
      <c r="G183" t="s">
        <v>765</v>
      </c>
      <c r="H183" t="s">
        <v>35</v>
      </c>
      <c r="I183">
        <v>11706</v>
      </c>
    </row>
    <row r="184" spans="1:9" x14ac:dyDescent="0.3">
      <c r="A184">
        <v>183</v>
      </c>
      <c r="B184" t="s">
        <v>877</v>
      </c>
      <c r="C184" t="s">
        <v>878</v>
      </c>
      <c r="D184" t="s">
        <v>31</v>
      </c>
      <c r="E184" t="s">
        <v>879</v>
      </c>
      <c r="F184" t="s">
        <v>880</v>
      </c>
      <c r="G184" t="s">
        <v>553</v>
      </c>
      <c r="H184" t="s">
        <v>35</v>
      </c>
      <c r="I184">
        <v>11001</v>
      </c>
    </row>
    <row r="185" spans="1:9" x14ac:dyDescent="0.3">
      <c r="A185">
        <v>184</v>
      </c>
      <c r="B185" t="s">
        <v>881</v>
      </c>
      <c r="C185" t="s">
        <v>321</v>
      </c>
      <c r="D185" t="s">
        <v>31</v>
      </c>
      <c r="E185" t="s">
        <v>882</v>
      </c>
      <c r="F185" t="s">
        <v>883</v>
      </c>
      <c r="G185" t="s">
        <v>884</v>
      </c>
      <c r="H185" t="s">
        <v>35</v>
      </c>
      <c r="I185">
        <v>14580</v>
      </c>
    </row>
    <row r="186" spans="1:9" x14ac:dyDescent="0.3">
      <c r="A186">
        <v>185</v>
      </c>
      <c r="B186" t="s">
        <v>885</v>
      </c>
      <c r="C186" t="s">
        <v>886</v>
      </c>
      <c r="D186" t="s">
        <v>31</v>
      </c>
      <c r="E186" t="s">
        <v>887</v>
      </c>
      <c r="F186" t="s">
        <v>888</v>
      </c>
      <c r="G186" t="s">
        <v>334</v>
      </c>
      <c r="H186" t="s">
        <v>100</v>
      </c>
      <c r="I186">
        <v>76901</v>
      </c>
    </row>
    <row r="187" spans="1:9" x14ac:dyDescent="0.3">
      <c r="A187">
        <v>186</v>
      </c>
      <c r="B187" t="s">
        <v>889</v>
      </c>
      <c r="C187" t="s">
        <v>890</v>
      </c>
      <c r="D187" t="s">
        <v>31</v>
      </c>
      <c r="E187" t="s">
        <v>891</v>
      </c>
      <c r="F187" t="s">
        <v>892</v>
      </c>
      <c r="G187" t="s">
        <v>88</v>
      </c>
      <c r="H187" t="s">
        <v>35</v>
      </c>
      <c r="I187">
        <v>10952</v>
      </c>
    </row>
    <row r="188" spans="1:9" x14ac:dyDescent="0.3">
      <c r="A188">
        <v>187</v>
      </c>
      <c r="B188" t="s">
        <v>893</v>
      </c>
      <c r="C188" t="s">
        <v>894</v>
      </c>
      <c r="D188" t="s">
        <v>31</v>
      </c>
      <c r="E188" t="s">
        <v>895</v>
      </c>
      <c r="F188" t="s">
        <v>896</v>
      </c>
      <c r="G188" t="s">
        <v>897</v>
      </c>
      <c r="H188" t="s">
        <v>41</v>
      </c>
      <c r="I188">
        <v>92307</v>
      </c>
    </row>
    <row r="189" spans="1:9" x14ac:dyDescent="0.3">
      <c r="A189">
        <v>188</v>
      </c>
      <c r="B189" t="s">
        <v>898</v>
      </c>
      <c r="C189" t="s">
        <v>899</v>
      </c>
      <c r="D189" t="s">
        <v>900</v>
      </c>
      <c r="E189" t="s">
        <v>901</v>
      </c>
      <c r="F189" t="s">
        <v>902</v>
      </c>
      <c r="G189" t="s">
        <v>830</v>
      </c>
      <c r="H189" t="s">
        <v>41</v>
      </c>
      <c r="I189">
        <v>93035</v>
      </c>
    </row>
    <row r="190" spans="1:9" x14ac:dyDescent="0.3">
      <c r="A190">
        <v>189</v>
      </c>
      <c r="B190" t="s">
        <v>903</v>
      </c>
      <c r="C190" t="s">
        <v>840</v>
      </c>
      <c r="D190" t="s">
        <v>31</v>
      </c>
      <c r="E190" t="s">
        <v>904</v>
      </c>
      <c r="F190" t="s">
        <v>905</v>
      </c>
      <c r="G190" t="s">
        <v>215</v>
      </c>
      <c r="H190" t="s">
        <v>35</v>
      </c>
      <c r="I190">
        <v>13090</v>
      </c>
    </row>
    <row r="191" spans="1:9" x14ac:dyDescent="0.3">
      <c r="A191">
        <v>190</v>
      </c>
      <c r="B191" t="s">
        <v>906</v>
      </c>
      <c r="C191" t="s">
        <v>907</v>
      </c>
      <c r="D191" t="s">
        <v>908</v>
      </c>
      <c r="E191" t="s">
        <v>909</v>
      </c>
      <c r="F191" t="s">
        <v>910</v>
      </c>
      <c r="G191" t="s">
        <v>166</v>
      </c>
      <c r="H191" t="s">
        <v>35</v>
      </c>
      <c r="I191">
        <v>11561</v>
      </c>
    </row>
    <row r="192" spans="1:9" x14ac:dyDescent="0.3">
      <c r="A192">
        <v>191</v>
      </c>
      <c r="B192" t="s">
        <v>911</v>
      </c>
      <c r="C192" t="s">
        <v>912</v>
      </c>
      <c r="D192" t="s">
        <v>913</v>
      </c>
      <c r="E192" t="s">
        <v>914</v>
      </c>
      <c r="F192" t="s">
        <v>915</v>
      </c>
      <c r="G192" t="s">
        <v>830</v>
      </c>
      <c r="H192" t="s">
        <v>41</v>
      </c>
      <c r="I192">
        <v>93035</v>
      </c>
    </row>
    <row r="193" spans="1:9" x14ac:dyDescent="0.3">
      <c r="A193">
        <v>192</v>
      </c>
      <c r="B193" t="s">
        <v>916</v>
      </c>
      <c r="C193" t="s">
        <v>917</v>
      </c>
      <c r="D193" t="s">
        <v>31</v>
      </c>
      <c r="E193" t="s">
        <v>918</v>
      </c>
      <c r="F193" t="s">
        <v>919</v>
      </c>
      <c r="G193" t="s">
        <v>185</v>
      </c>
      <c r="H193" t="s">
        <v>41</v>
      </c>
      <c r="I193">
        <v>90505</v>
      </c>
    </row>
    <row r="194" spans="1:9" x14ac:dyDescent="0.3">
      <c r="A194">
        <v>193</v>
      </c>
      <c r="B194" t="s">
        <v>920</v>
      </c>
      <c r="C194" t="s">
        <v>284</v>
      </c>
      <c r="D194" t="s">
        <v>31</v>
      </c>
      <c r="E194" t="s">
        <v>921</v>
      </c>
      <c r="F194" t="s">
        <v>922</v>
      </c>
      <c r="G194" t="s">
        <v>923</v>
      </c>
      <c r="H194" t="s">
        <v>35</v>
      </c>
      <c r="I194">
        <v>11801</v>
      </c>
    </row>
    <row r="195" spans="1:9" x14ac:dyDescent="0.3">
      <c r="A195">
        <v>194</v>
      </c>
      <c r="B195" t="s">
        <v>924</v>
      </c>
      <c r="C195" t="s">
        <v>925</v>
      </c>
      <c r="D195" t="s">
        <v>31</v>
      </c>
      <c r="E195" t="s">
        <v>926</v>
      </c>
      <c r="F195" t="s">
        <v>927</v>
      </c>
      <c r="G195" t="s">
        <v>928</v>
      </c>
      <c r="H195" t="s">
        <v>41</v>
      </c>
      <c r="I195">
        <v>95060</v>
      </c>
    </row>
    <row r="196" spans="1:9" x14ac:dyDescent="0.3">
      <c r="A196">
        <v>195</v>
      </c>
      <c r="B196" t="s">
        <v>929</v>
      </c>
      <c r="C196" t="s">
        <v>930</v>
      </c>
      <c r="D196" t="s">
        <v>31</v>
      </c>
      <c r="E196" t="s">
        <v>931</v>
      </c>
      <c r="F196" t="s">
        <v>932</v>
      </c>
      <c r="G196" t="s">
        <v>469</v>
      </c>
      <c r="H196" t="s">
        <v>35</v>
      </c>
      <c r="I196">
        <v>11010</v>
      </c>
    </row>
    <row r="197" spans="1:9" x14ac:dyDescent="0.3">
      <c r="A197">
        <v>196</v>
      </c>
      <c r="B197" t="s">
        <v>933</v>
      </c>
      <c r="C197" t="s">
        <v>168</v>
      </c>
      <c r="D197" t="s">
        <v>31</v>
      </c>
      <c r="E197" t="s">
        <v>934</v>
      </c>
      <c r="F197" t="s">
        <v>935</v>
      </c>
      <c r="G197" t="s">
        <v>395</v>
      </c>
      <c r="H197" t="s">
        <v>35</v>
      </c>
      <c r="I197">
        <v>14120</v>
      </c>
    </row>
    <row r="198" spans="1:9" x14ac:dyDescent="0.3">
      <c r="A198">
        <v>197</v>
      </c>
      <c r="B198" t="s">
        <v>936</v>
      </c>
      <c r="C198" t="s">
        <v>937</v>
      </c>
      <c r="D198" t="s">
        <v>31</v>
      </c>
      <c r="E198" t="s">
        <v>938</v>
      </c>
      <c r="F198" t="s">
        <v>939</v>
      </c>
      <c r="G198" t="s">
        <v>940</v>
      </c>
      <c r="H198" t="s">
        <v>35</v>
      </c>
      <c r="I198">
        <v>11374</v>
      </c>
    </row>
    <row r="199" spans="1:9" x14ac:dyDescent="0.3">
      <c r="A199">
        <v>198</v>
      </c>
      <c r="B199" t="s">
        <v>941</v>
      </c>
      <c r="C199" t="s">
        <v>859</v>
      </c>
      <c r="D199" t="s">
        <v>31</v>
      </c>
      <c r="E199" t="s">
        <v>942</v>
      </c>
      <c r="F199" t="s">
        <v>943</v>
      </c>
      <c r="G199" t="s">
        <v>944</v>
      </c>
      <c r="H199" t="s">
        <v>100</v>
      </c>
      <c r="I199">
        <v>79106</v>
      </c>
    </row>
    <row r="200" spans="1:9" x14ac:dyDescent="0.3">
      <c r="A200">
        <v>199</v>
      </c>
      <c r="B200" t="s">
        <v>945</v>
      </c>
      <c r="C200" t="s">
        <v>946</v>
      </c>
      <c r="D200" t="s">
        <v>31</v>
      </c>
      <c r="E200" t="s">
        <v>947</v>
      </c>
      <c r="F200" t="s">
        <v>948</v>
      </c>
      <c r="G200" t="s">
        <v>949</v>
      </c>
      <c r="H200" t="s">
        <v>35</v>
      </c>
      <c r="I200">
        <v>12553</v>
      </c>
    </row>
    <row r="201" spans="1:9" x14ac:dyDescent="0.3">
      <c r="A201">
        <v>200</v>
      </c>
      <c r="B201" t="s">
        <v>950</v>
      </c>
      <c r="C201" t="s">
        <v>951</v>
      </c>
      <c r="D201" t="s">
        <v>31</v>
      </c>
      <c r="E201" t="s">
        <v>952</v>
      </c>
      <c r="F201" t="s">
        <v>953</v>
      </c>
      <c r="G201" t="s">
        <v>480</v>
      </c>
      <c r="H201" t="s">
        <v>35</v>
      </c>
      <c r="I201">
        <v>11735</v>
      </c>
    </row>
    <row r="202" spans="1:9" x14ac:dyDescent="0.3">
      <c r="A202">
        <v>201</v>
      </c>
      <c r="B202" t="s">
        <v>954</v>
      </c>
      <c r="C202" t="s">
        <v>955</v>
      </c>
      <c r="D202" t="s">
        <v>31</v>
      </c>
      <c r="E202" t="s">
        <v>956</v>
      </c>
      <c r="F202" t="s">
        <v>957</v>
      </c>
      <c r="G202" t="s">
        <v>958</v>
      </c>
      <c r="H202" t="s">
        <v>35</v>
      </c>
      <c r="I202">
        <v>12020</v>
      </c>
    </row>
    <row r="203" spans="1:9" x14ac:dyDescent="0.3">
      <c r="A203">
        <v>202</v>
      </c>
      <c r="B203" t="s">
        <v>959</v>
      </c>
      <c r="C203" t="s">
        <v>960</v>
      </c>
      <c r="D203" t="s">
        <v>961</v>
      </c>
      <c r="E203" t="s">
        <v>962</v>
      </c>
      <c r="F203" t="s">
        <v>963</v>
      </c>
      <c r="G203" t="s">
        <v>231</v>
      </c>
      <c r="H203" t="s">
        <v>35</v>
      </c>
      <c r="I203">
        <v>14086</v>
      </c>
    </row>
    <row r="204" spans="1:9" x14ac:dyDescent="0.3">
      <c r="A204">
        <v>203</v>
      </c>
      <c r="B204" t="s">
        <v>964</v>
      </c>
      <c r="C204" t="s">
        <v>965</v>
      </c>
      <c r="D204" t="s">
        <v>966</v>
      </c>
      <c r="E204" t="s">
        <v>967</v>
      </c>
      <c r="F204" t="s">
        <v>968</v>
      </c>
      <c r="G204" t="s">
        <v>252</v>
      </c>
      <c r="H204" t="s">
        <v>100</v>
      </c>
      <c r="I204">
        <v>77016</v>
      </c>
    </row>
    <row r="205" spans="1:9" x14ac:dyDescent="0.3">
      <c r="A205">
        <v>204</v>
      </c>
      <c r="B205" t="s">
        <v>969</v>
      </c>
      <c r="C205" t="s">
        <v>970</v>
      </c>
      <c r="D205" t="s">
        <v>31</v>
      </c>
      <c r="E205" t="s">
        <v>971</v>
      </c>
      <c r="F205" t="s">
        <v>972</v>
      </c>
      <c r="G205" t="s">
        <v>324</v>
      </c>
      <c r="H205" t="s">
        <v>35</v>
      </c>
      <c r="I205">
        <v>11570</v>
      </c>
    </row>
    <row r="206" spans="1:9" x14ac:dyDescent="0.3">
      <c r="A206">
        <v>205</v>
      </c>
      <c r="B206" t="s">
        <v>973</v>
      </c>
      <c r="C206" t="s">
        <v>974</v>
      </c>
      <c r="D206" t="s">
        <v>31</v>
      </c>
      <c r="E206" t="s">
        <v>975</v>
      </c>
      <c r="F206" t="s">
        <v>976</v>
      </c>
      <c r="G206" t="s">
        <v>977</v>
      </c>
      <c r="H206" t="s">
        <v>35</v>
      </c>
      <c r="I206">
        <v>11432</v>
      </c>
    </row>
    <row r="207" spans="1:9" x14ac:dyDescent="0.3">
      <c r="A207">
        <v>206</v>
      </c>
      <c r="B207" t="s">
        <v>978</v>
      </c>
      <c r="C207" t="s">
        <v>979</v>
      </c>
      <c r="D207" t="s">
        <v>31</v>
      </c>
      <c r="E207" t="s">
        <v>980</v>
      </c>
      <c r="F207" t="s">
        <v>981</v>
      </c>
      <c r="G207" t="s">
        <v>982</v>
      </c>
      <c r="H207" t="s">
        <v>35</v>
      </c>
      <c r="I207">
        <v>11201</v>
      </c>
    </row>
    <row r="208" spans="1:9" x14ac:dyDescent="0.3">
      <c r="A208">
        <v>207</v>
      </c>
      <c r="B208" t="s">
        <v>983</v>
      </c>
      <c r="C208" t="s">
        <v>984</v>
      </c>
      <c r="D208" t="s">
        <v>31</v>
      </c>
      <c r="E208" t="s">
        <v>985</v>
      </c>
      <c r="F208" t="s">
        <v>986</v>
      </c>
      <c r="G208" t="s">
        <v>105</v>
      </c>
      <c r="H208" t="s">
        <v>100</v>
      </c>
      <c r="I208">
        <v>75126</v>
      </c>
    </row>
    <row r="209" spans="1:9" x14ac:dyDescent="0.3">
      <c r="A209">
        <v>208</v>
      </c>
      <c r="B209" t="s">
        <v>987</v>
      </c>
      <c r="C209" t="s">
        <v>466</v>
      </c>
      <c r="D209" t="s">
        <v>31</v>
      </c>
      <c r="E209" t="s">
        <v>988</v>
      </c>
      <c r="F209" t="s">
        <v>989</v>
      </c>
      <c r="G209" t="s">
        <v>990</v>
      </c>
      <c r="H209" t="s">
        <v>41</v>
      </c>
      <c r="I209">
        <v>93555</v>
      </c>
    </row>
    <row r="210" spans="1:9" x14ac:dyDescent="0.3">
      <c r="A210">
        <v>209</v>
      </c>
      <c r="B210" t="s">
        <v>991</v>
      </c>
      <c r="C210" t="s">
        <v>992</v>
      </c>
      <c r="D210" t="s">
        <v>31</v>
      </c>
      <c r="E210" t="s">
        <v>993</v>
      </c>
      <c r="F210" t="s">
        <v>994</v>
      </c>
      <c r="G210" t="s">
        <v>995</v>
      </c>
      <c r="H210" t="s">
        <v>35</v>
      </c>
      <c r="I210">
        <v>11784</v>
      </c>
    </row>
    <row r="211" spans="1:9" x14ac:dyDescent="0.3">
      <c r="A211">
        <v>210</v>
      </c>
      <c r="B211" t="s">
        <v>996</v>
      </c>
      <c r="C211" t="s">
        <v>663</v>
      </c>
      <c r="D211" t="s">
        <v>997</v>
      </c>
      <c r="E211" t="s">
        <v>998</v>
      </c>
      <c r="F211" t="s">
        <v>999</v>
      </c>
      <c r="G211" t="s">
        <v>1000</v>
      </c>
      <c r="H211" t="s">
        <v>35</v>
      </c>
      <c r="I211">
        <v>12203</v>
      </c>
    </row>
    <row r="212" spans="1:9" x14ac:dyDescent="0.3">
      <c r="A212">
        <v>211</v>
      </c>
      <c r="B212" t="s">
        <v>1001</v>
      </c>
      <c r="C212" t="s">
        <v>632</v>
      </c>
      <c r="D212" t="s">
        <v>31</v>
      </c>
      <c r="E212" t="s">
        <v>1002</v>
      </c>
      <c r="F212" t="s">
        <v>1003</v>
      </c>
      <c r="G212" t="s">
        <v>121</v>
      </c>
      <c r="H212" t="s">
        <v>35</v>
      </c>
      <c r="I212">
        <v>10583</v>
      </c>
    </row>
    <row r="213" spans="1:9" x14ac:dyDescent="0.3">
      <c r="A213">
        <v>212</v>
      </c>
      <c r="B213" t="s">
        <v>1004</v>
      </c>
      <c r="C213" t="s">
        <v>406</v>
      </c>
      <c r="D213" t="s">
        <v>1005</v>
      </c>
      <c r="E213" t="s">
        <v>1006</v>
      </c>
      <c r="F213" t="s">
        <v>1007</v>
      </c>
      <c r="G213" t="s">
        <v>486</v>
      </c>
      <c r="H213" t="s">
        <v>35</v>
      </c>
      <c r="I213">
        <v>12180</v>
      </c>
    </row>
    <row r="214" spans="1:9" x14ac:dyDescent="0.3">
      <c r="A214">
        <v>213</v>
      </c>
      <c r="B214" t="s">
        <v>1008</v>
      </c>
      <c r="C214" t="s">
        <v>1009</v>
      </c>
      <c r="D214" t="s">
        <v>31</v>
      </c>
      <c r="E214" t="s">
        <v>1010</v>
      </c>
      <c r="F214" t="s">
        <v>1011</v>
      </c>
      <c r="G214" t="s">
        <v>661</v>
      </c>
      <c r="H214" t="s">
        <v>35</v>
      </c>
      <c r="I214">
        <v>14075</v>
      </c>
    </row>
    <row r="215" spans="1:9" x14ac:dyDescent="0.3">
      <c r="A215">
        <v>214</v>
      </c>
      <c r="B215" t="s">
        <v>1012</v>
      </c>
      <c r="C215" t="s">
        <v>1013</v>
      </c>
      <c r="D215" t="s">
        <v>31</v>
      </c>
      <c r="E215" t="s">
        <v>1014</v>
      </c>
      <c r="F215" t="s">
        <v>1015</v>
      </c>
      <c r="G215" t="s">
        <v>395</v>
      </c>
      <c r="H215" t="s">
        <v>35</v>
      </c>
      <c r="I215">
        <v>14120</v>
      </c>
    </row>
    <row r="216" spans="1:9" x14ac:dyDescent="0.3">
      <c r="A216">
        <v>215</v>
      </c>
      <c r="B216" t="s">
        <v>1016</v>
      </c>
      <c r="C216" t="s">
        <v>1017</v>
      </c>
      <c r="D216" t="s">
        <v>31</v>
      </c>
      <c r="E216" t="s">
        <v>1018</v>
      </c>
      <c r="F216" t="s">
        <v>1019</v>
      </c>
      <c r="G216" t="s">
        <v>1020</v>
      </c>
      <c r="H216" t="s">
        <v>35</v>
      </c>
      <c r="I216">
        <v>11357</v>
      </c>
    </row>
    <row r="217" spans="1:9" x14ac:dyDescent="0.3">
      <c r="A217">
        <v>216</v>
      </c>
      <c r="B217" t="s">
        <v>1021</v>
      </c>
      <c r="C217" t="s">
        <v>1022</v>
      </c>
      <c r="D217" t="s">
        <v>31</v>
      </c>
      <c r="E217" t="s">
        <v>1023</v>
      </c>
      <c r="F217" t="s">
        <v>1024</v>
      </c>
      <c r="G217" t="s">
        <v>262</v>
      </c>
      <c r="H217" t="s">
        <v>35</v>
      </c>
      <c r="I217">
        <v>11714</v>
      </c>
    </row>
    <row r="218" spans="1:9" x14ac:dyDescent="0.3">
      <c r="A218">
        <v>217</v>
      </c>
      <c r="B218" t="s">
        <v>1025</v>
      </c>
      <c r="C218" t="s">
        <v>1026</v>
      </c>
      <c r="D218" t="s">
        <v>1027</v>
      </c>
      <c r="E218" t="s">
        <v>1028</v>
      </c>
      <c r="F218" t="s">
        <v>1029</v>
      </c>
      <c r="G218" t="s">
        <v>608</v>
      </c>
      <c r="H218" t="s">
        <v>41</v>
      </c>
      <c r="I218">
        <v>93706</v>
      </c>
    </row>
    <row r="219" spans="1:9" x14ac:dyDescent="0.3">
      <c r="A219">
        <v>218</v>
      </c>
      <c r="B219" t="s">
        <v>379</v>
      </c>
      <c r="C219" t="s">
        <v>1030</v>
      </c>
      <c r="D219" t="s">
        <v>31</v>
      </c>
      <c r="E219" t="s">
        <v>1031</v>
      </c>
      <c r="F219" t="s">
        <v>1032</v>
      </c>
      <c r="G219" t="s">
        <v>78</v>
      </c>
      <c r="H219" t="s">
        <v>35</v>
      </c>
      <c r="I219">
        <v>11050</v>
      </c>
    </row>
    <row r="220" spans="1:9" x14ac:dyDescent="0.3">
      <c r="A220">
        <v>219</v>
      </c>
      <c r="B220" t="s">
        <v>1033</v>
      </c>
      <c r="C220" t="s">
        <v>1034</v>
      </c>
      <c r="D220" t="s">
        <v>1035</v>
      </c>
      <c r="E220" t="s">
        <v>1036</v>
      </c>
      <c r="F220" t="s">
        <v>1037</v>
      </c>
      <c r="G220" t="s">
        <v>1038</v>
      </c>
      <c r="H220" t="s">
        <v>35</v>
      </c>
      <c r="I220">
        <v>11572</v>
      </c>
    </row>
    <row r="221" spans="1:9" x14ac:dyDescent="0.3">
      <c r="A221">
        <v>220</v>
      </c>
      <c r="B221" t="s">
        <v>1039</v>
      </c>
      <c r="C221" t="s">
        <v>1040</v>
      </c>
      <c r="D221" t="s">
        <v>31</v>
      </c>
      <c r="E221" t="s">
        <v>1041</v>
      </c>
      <c r="F221" t="s">
        <v>1042</v>
      </c>
      <c r="G221" t="s">
        <v>729</v>
      </c>
      <c r="H221" t="s">
        <v>35</v>
      </c>
      <c r="I221">
        <v>11787</v>
      </c>
    </row>
    <row r="222" spans="1:9" x14ac:dyDescent="0.3">
      <c r="A222">
        <v>221</v>
      </c>
      <c r="B222" t="s">
        <v>1043</v>
      </c>
      <c r="C222" t="s">
        <v>1044</v>
      </c>
      <c r="D222" t="s">
        <v>31</v>
      </c>
      <c r="E222" t="s">
        <v>1045</v>
      </c>
      <c r="F222" t="s">
        <v>1046</v>
      </c>
      <c r="G222" t="s">
        <v>1047</v>
      </c>
      <c r="H222" t="s">
        <v>100</v>
      </c>
      <c r="I222">
        <v>78501</v>
      </c>
    </row>
    <row r="223" spans="1:9" x14ac:dyDescent="0.3">
      <c r="A223">
        <v>222</v>
      </c>
      <c r="B223" t="s">
        <v>1048</v>
      </c>
      <c r="C223" t="s">
        <v>1049</v>
      </c>
      <c r="D223" t="s">
        <v>31</v>
      </c>
      <c r="E223" t="s">
        <v>1050</v>
      </c>
      <c r="F223" t="s">
        <v>1051</v>
      </c>
      <c r="G223" t="s">
        <v>145</v>
      </c>
      <c r="H223" t="s">
        <v>35</v>
      </c>
      <c r="I223">
        <v>11731</v>
      </c>
    </row>
    <row r="224" spans="1:9" x14ac:dyDescent="0.3">
      <c r="A224">
        <v>223</v>
      </c>
      <c r="B224" t="s">
        <v>1052</v>
      </c>
      <c r="C224" t="s">
        <v>1053</v>
      </c>
      <c r="D224" t="s">
        <v>31</v>
      </c>
      <c r="E224" t="s">
        <v>1054</v>
      </c>
      <c r="F224" t="s">
        <v>1055</v>
      </c>
      <c r="G224" t="s">
        <v>1056</v>
      </c>
      <c r="H224" t="s">
        <v>35</v>
      </c>
      <c r="I224">
        <v>11772</v>
      </c>
    </row>
    <row r="225" spans="1:9" x14ac:dyDescent="0.3">
      <c r="A225">
        <v>224</v>
      </c>
      <c r="B225" t="s">
        <v>1057</v>
      </c>
      <c r="C225" t="s">
        <v>1058</v>
      </c>
      <c r="D225" t="s">
        <v>31</v>
      </c>
      <c r="E225" t="s">
        <v>1059</v>
      </c>
      <c r="F225" t="s">
        <v>1060</v>
      </c>
      <c r="G225" t="s">
        <v>1061</v>
      </c>
      <c r="H225" t="s">
        <v>41</v>
      </c>
      <c r="I225">
        <v>90260</v>
      </c>
    </row>
    <row r="226" spans="1:9" x14ac:dyDescent="0.3">
      <c r="A226">
        <v>225</v>
      </c>
      <c r="B226" t="s">
        <v>1062</v>
      </c>
      <c r="C226" t="s">
        <v>1063</v>
      </c>
      <c r="D226" t="s">
        <v>31</v>
      </c>
      <c r="E226" t="s">
        <v>1064</v>
      </c>
      <c r="F226" t="s">
        <v>1065</v>
      </c>
      <c r="G226" t="s">
        <v>751</v>
      </c>
      <c r="H226" t="s">
        <v>35</v>
      </c>
      <c r="I226">
        <v>11803</v>
      </c>
    </row>
    <row r="227" spans="1:9" x14ac:dyDescent="0.3">
      <c r="A227">
        <v>226</v>
      </c>
      <c r="B227" t="s">
        <v>1066</v>
      </c>
      <c r="C227" t="s">
        <v>1067</v>
      </c>
      <c r="D227" t="s">
        <v>31</v>
      </c>
      <c r="E227" t="s">
        <v>1068</v>
      </c>
      <c r="F227" t="s">
        <v>1069</v>
      </c>
      <c r="G227" t="s">
        <v>246</v>
      </c>
      <c r="H227" t="s">
        <v>35</v>
      </c>
      <c r="I227">
        <v>11418</v>
      </c>
    </row>
    <row r="228" spans="1:9" x14ac:dyDescent="0.3">
      <c r="A228">
        <v>227</v>
      </c>
      <c r="B228" t="s">
        <v>1070</v>
      </c>
      <c r="C228" t="s">
        <v>1071</v>
      </c>
      <c r="D228" t="s">
        <v>31</v>
      </c>
      <c r="E228" t="s">
        <v>1072</v>
      </c>
      <c r="F228" t="s">
        <v>1073</v>
      </c>
      <c r="G228" t="s">
        <v>1056</v>
      </c>
      <c r="H228" t="s">
        <v>35</v>
      </c>
      <c r="I228">
        <v>11772</v>
      </c>
    </row>
    <row r="229" spans="1:9" x14ac:dyDescent="0.3">
      <c r="A229">
        <v>228</v>
      </c>
      <c r="B229" t="s">
        <v>1074</v>
      </c>
      <c r="C229" t="s">
        <v>1075</v>
      </c>
      <c r="D229" t="s">
        <v>1076</v>
      </c>
      <c r="E229" t="s">
        <v>1077</v>
      </c>
      <c r="F229" t="s">
        <v>1078</v>
      </c>
      <c r="G229" t="s">
        <v>1079</v>
      </c>
      <c r="H229" t="s">
        <v>35</v>
      </c>
      <c r="I229">
        <v>11717</v>
      </c>
    </row>
    <row r="230" spans="1:9" x14ac:dyDescent="0.3">
      <c r="A230">
        <v>229</v>
      </c>
      <c r="B230" t="s">
        <v>1080</v>
      </c>
      <c r="C230" t="s">
        <v>1081</v>
      </c>
      <c r="D230" t="s">
        <v>31</v>
      </c>
      <c r="E230" t="s">
        <v>1082</v>
      </c>
      <c r="F230" t="s">
        <v>1083</v>
      </c>
      <c r="G230" t="s">
        <v>1084</v>
      </c>
      <c r="H230" t="s">
        <v>35</v>
      </c>
      <c r="I230">
        <v>11741</v>
      </c>
    </row>
    <row r="231" spans="1:9" x14ac:dyDescent="0.3">
      <c r="A231">
        <v>230</v>
      </c>
      <c r="B231" t="s">
        <v>1085</v>
      </c>
      <c r="C231" t="s">
        <v>123</v>
      </c>
      <c r="D231" t="s">
        <v>31</v>
      </c>
      <c r="E231" t="s">
        <v>1086</v>
      </c>
      <c r="F231" t="s">
        <v>1087</v>
      </c>
      <c r="G231" t="s">
        <v>1088</v>
      </c>
      <c r="H231" t="s">
        <v>35</v>
      </c>
      <c r="I231">
        <v>11729</v>
      </c>
    </row>
    <row r="232" spans="1:9" x14ac:dyDescent="0.3">
      <c r="A232">
        <v>231</v>
      </c>
      <c r="B232" t="s">
        <v>1089</v>
      </c>
      <c r="C232" t="s">
        <v>1090</v>
      </c>
      <c r="D232" t="s">
        <v>1091</v>
      </c>
      <c r="E232" t="s">
        <v>1092</v>
      </c>
      <c r="F232" t="s">
        <v>1093</v>
      </c>
      <c r="G232" t="s">
        <v>57</v>
      </c>
      <c r="H232" t="s">
        <v>41</v>
      </c>
      <c r="I232">
        <v>95820</v>
      </c>
    </row>
    <row r="233" spans="1:9" x14ac:dyDescent="0.3">
      <c r="A233">
        <v>232</v>
      </c>
      <c r="B233" t="s">
        <v>1094</v>
      </c>
      <c r="C233" t="s">
        <v>1095</v>
      </c>
      <c r="D233" t="s">
        <v>31</v>
      </c>
      <c r="E233" t="s">
        <v>1096</v>
      </c>
      <c r="F233" t="s">
        <v>1097</v>
      </c>
      <c r="G233" t="s">
        <v>590</v>
      </c>
      <c r="H233" t="s">
        <v>100</v>
      </c>
      <c r="I233">
        <v>76039</v>
      </c>
    </row>
    <row r="234" spans="1:9" x14ac:dyDescent="0.3">
      <c r="A234">
        <v>233</v>
      </c>
      <c r="B234" t="s">
        <v>1098</v>
      </c>
      <c r="C234" t="s">
        <v>1099</v>
      </c>
      <c r="D234" t="s">
        <v>31</v>
      </c>
      <c r="E234" t="s">
        <v>1100</v>
      </c>
      <c r="F234" t="s">
        <v>1101</v>
      </c>
      <c r="G234" t="s">
        <v>838</v>
      </c>
      <c r="H234" t="s">
        <v>41</v>
      </c>
      <c r="I234">
        <v>95050</v>
      </c>
    </row>
    <row r="235" spans="1:9" x14ac:dyDescent="0.3">
      <c r="A235">
        <v>234</v>
      </c>
      <c r="B235" t="s">
        <v>1102</v>
      </c>
      <c r="C235" t="s">
        <v>973</v>
      </c>
      <c r="D235" t="s">
        <v>31</v>
      </c>
      <c r="E235" t="s">
        <v>1103</v>
      </c>
      <c r="F235" t="s">
        <v>1104</v>
      </c>
      <c r="G235" t="s">
        <v>1105</v>
      </c>
      <c r="H235" t="s">
        <v>35</v>
      </c>
      <c r="I235">
        <v>11554</v>
      </c>
    </row>
    <row r="236" spans="1:9" x14ac:dyDescent="0.3">
      <c r="A236">
        <v>235</v>
      </c>
      <c r="B236" t="s">
        <v>804</v>
      </c>
      <c r="C236" t="s">
        <v>1106</v>
      </c>
      <c r="D236" t="s">
        <v>31</v>
      </c>
      <c r="E236" t="s">
        <v>1107</v>
      </c>
      <c r="F236" t="s">
        <v>1108</v>
      </c>
      <c r="G236" t="s">
        <v>765</v>
      </c>
      <c r="H236" t="s">
        <v>35</v>
      </c>
      <c r="I236">
        <v>11706</v>
      </c>
    </row>
    <row r="237" spans="1:9" x14ac:dyDescent="0.3">
      <c r="A237">
        <v>236</v>
      </c>
      <c r="B237" t="s">
        <v>1109</v>
      </c>
      <c r="C237" t="s">
        <v>937</v>
      </c>
      <c r="D237" t="s">
        <v>31</v>
      </c>
      <c r="E237" t="s">
        <v>1110</v>
      </c>
      <c r="F237" t="s">
        <v>1111</v>
      </c>
      <c r="G237" t="s">
        <v>995</v>
      </c>
      <c r="H237" t="s">
        <v>35</v>
      </c>
      <c r="I237">
        <v>11784</v>
      </c>
    </row>
    <row r="238" spans="1:9" x14ac:dyDescent="0.3">
      <c r="A238">
        <v>237</v>
      </c>
      <c r="B238" t="s">
        <v>1112</v>
      </c>
      <c r="C238" t="s">
        <v>1113</v>
      </c>
      <c r="D238" t="s">
        <v>31</v>
      </c>
      <c r="E238" t="s">
        <v>1114</v>
      </c>
      <c r="F238" t="s">
        <v>1115</v>
      </c>
      <c r="G238" t="s">
        <v>775</v>
      </c>
      <c r="H238" t="s">
        <v>41</v>
      </c>
      <c r="I238">
        <v>92220</v>
      </c>
    </row>
    <row r="239" spans="1:9" x14ac:dyDescent="0.3">
      <c r="A239">
        <v>238</v>
      </c>
      <c r="B239" t="s">
        <v>1116</v>
      </c>
      <c r="C239" t="s">
        <v>800</v>
      </c>
      <c r="D239" t="s">
        <v>31</v>
      </c>
      <c r="E239" t="s">
        <v>1117</v>
      </c>
      <c r="F239" t="s">
        <v>1118</v>
      </c>
      <c r="G239" t="s">
        <v>616</v>
      </c>
      <c r="H239" t="s">
        <v>35</v>
      </c>
      <c r="I239">
        <v>11414</v>
      </c>
    </row>
    <row r="240" spans="1:9" x14ac:dyDescent="0.3">
      <c r="A240">
        <v>239</v>
      </c>
      <c r="B240" t="s">
        <v>1119</v>
      </c>
      <c r="C240" t="s">
        <v>1120</v>
      </c>
      <c r="D240" t="s">
        <v>31</v>
      </c>
      <c r="E240" t="s">
        <v>1121</v>
      </c>
      <c r="F240" t="s">
        <v>1122</v>
      </c>
      <c r="G240" t="s">
        <v>1123</v>
      </c>
      <c r="H240" t="s">
        <v>41</v>
      </c>
      <c r="I240">
        <v>91387</v>
      </c>
    </row>
    <row r="241" spans="1:9" x14ac:dyDescent="0.3">
      <c r="A241">
        <v>240</v>
      </c>
      <c r="B241" t="s">
        <v>595</v>
      </c>
      <c r="C241" t="s">
        <v>1124</v>
      </c>
      <c r="D241" t="s">
        <v>31</v>
      </c>
      <c r="E241" t="s">
        <v>1125</v>
      </c>
      <c r="F241" t="s">
        <v>1126</v>
      </c>
      <c r="G241" t="s">
        <v>775</v>
      </c>
      <c r="H241" t="s">
        <v>41</v>
      </c>
      <c r="I241">
        <v>92220</v>
      </c>
    </row>
    <row r="242" spans="1:9" x14ac:dyDescent="0.3">
      <c r="A242">
        <v>241</v>
      </c>
      <c r="B242" t="s">
        <v>1127</v>
      </c>
      <c r="C242" t="s">
        <v>112</v>
      </c>
      <c r="D242" t="s">
        <v>31</v>
      </c>
      <c r="E242" t="s">
        <v>1128</v>
      </c>
      <c r="F242" t="s">
        <v>1129</v>
      </c>
      <c r="G242" t="s">
        <v>241</v>
      </c>
      <c r="H242" t="s">
        <v>35</v>
      </c>
      <c r="I242">
        <v>12804</v>
      </c>
    </row>
    <row r="243" spans="1:9" x14ac:dyDescent="0.3">
      <c r="A243">
        <v>242</v>
      </c>
      <c r="B243" t="s">
        <v>1130</v>
      </c>
      <c r="C243" t="s">
        <v>519</v>
      </c>
      <c r="D243" t="s">
        <v>31</v>
      </c>
      <c r="E243" t="s">
        <v>1131</v>
      </c>
      <c r="F243" t="s">
        <v>1132</v>
      </c>
      <c r="G243" t="s">
        <v>1123</v>
      </c>
      <c r="H243" t="s">
        <v>41</v>
      </c>
      <c r="I243">
        <v>91387</v>
      </c>
    </row>
    <row r="244" spans="1:9" x14ac:dyDescent="0.3">
      <c r="A244">
        <v>243</v>
      </c>
      <c r="B244" t="s">
        <v>1133</v>
      </c>
      <c r="C244" t="s">
        <v>1134</v>
      </c>
      <c r="D244" t="s">
        <v>31</v>
      </c>
      <c r="E244" t="s">
        <v>1135</v>
      </c>
      <c r="F244" t="s">
        <v>1136</v>
      </c>
      <c r="G244" t="s">
        <v>958</v>
      </c>
      <c r="H244" t="s">
        <v>35</v>
      </c>
      <c r="I244">
        <v>12020</v>
      </c>
    </row>
    <row r="245" spans="1:9" x14ac:dyDescent="0.3">
      <c r="A245">
        <v>244</v>
      </c>
      <c r="B245" t="s">
        <v>1137</v>
      </c>
      <c r="C245" t="s">
        <v>1138</v>
      </c>
      <c r="D245" t="s">
        <v>31</v>
      </c>
      <c r="E245" t="s">
        <v>1139</v>
      </c>
      <c r="F245" t="s">
        <v>1140</v>
      </c>
      <c r="G245" t="s">
        <v>1141</v>
      </c>
      <c r="H245" t="s">
        <v>41</v>
      </c>
      <c r="I245">
        <v>94806</v>
      </c>
    </row>
    <row r="246" spans="1:9" x14ac:dyDescent="0.3">
      <c r="A246">
        <v>245</v>
      </c>
      <c r="B246" t="s">
        <v>1142</v>
      </c>
      <c r="C246" t="s">
        <v>1143</v>
      </c>
      <c r="D246" t="s">
        <v>31</v>
      </c>
      <c r="E246" t="s">
        <v>1144</v>
      </c>
      <c r="F246" t="s">
        <v>1145</v>
      </c>
      <c r="G246" t="s">
        <v>201</v>
      </c>
      <c r="H246" t="s">
        <v>41</v>
      </c>
      <c r="I246">
        <v>90274</v>
      </c>
    </row>
    <row r="247" spans="1:9" x14ac:dyDescent="0.3">
      <c r="A247">
        <v>246</v>
      </c>
      <c r="B247" t="s">
        <v>1146</v>
      </c>
      <c r="C247" t="s">
        <v>383</v>
      </c>
      <c r="D247" t="s">
        <v>31</v>
      </c>
      <c r="E247" t="s">
        <v>1147</v>
      </c>
      <c r="F247" t="s">
        <v>1148</v>
      </c>
      <c r="G247" t="s">
        <v>1149</v>
      </c>
      <c r="H247" t="s">
        <v>35</v>
      </c>
      <c r="I247">
        <v>14304</v>
      </c>
    </row>
    <row r="248" spans="1:9" x14ac:dyDescent="0.3">
      <c r="A248">
        <v>247</v>
      </c>
      <c r="B248" t="s">
        <v>1150</v>
      </c>
      <c r="C248" t="s">
        <v>1151</v>
      </c>
      <c r="D248" t="s">
        <v>31</v>
      </c>
      <c r="E248" t="s">
        <v>1152</v>
      </c>
      <c r="F248" t="s">
        <v>1153</v>
      </c>
      <c r="G248" t="s">
        <v>201</v>
      </c>
      <c r="H248" t="s">
        <v>41</v>
      </c>
      <c r="I248">
        <v>90274</v>
      </c>
    </row>
    <row r="249" spans="1:9" x14ac:dyDescent="0.3">
      <c r="A249">
        <v>248</v>
      </c>
      <c r="B249" t="s">
        <v>1154</v>
      </c>
      <c r="C249" t="s">
        <v>1030</v>
      </c>
      <c r="D249" t="s">
        <v>31</v>
      </c>
      <c r="E249" t="s">
        <v>1155</v>
      </c>
      <c r="F249" t="s">
        <v>1156</v>
      </c>
      <c r="G249" t="s">
        <v>1047</v>
      </c>
      <c r="H249" t="s">
        <v>100</v>
      </c>
      <c r="I249">
        <v>78501</v>
      </c>
    </row>
    <row r="250" spans="1:9" x14ac:dyDescent="0.3">
      <c r="A250">
        <v>249</v>
      </c>
      <c r="B250" t="s">
        <v>1157</v>
      </c>
      <c r="C250" t="s">
        <v>1158</v>
      </c>
      <c r="D250" t="s">
        <v>31</v>
      </c>
      <c r="E250" t="s">
        <v>1159</v>
      </c>
      <c r="F250" t="s">
        <v>1160</v>
      </c>
      <c r="G250" t="s">
        <v>176</v>
      </c>
      <c r="H250" t="s">
        <v>35</v>
      </c>
      <c r="I250">
        <v>10562</v>
      </c>
    </row>
    <row r="251" spans="1:9" x14ac:dyDescent="0.3">
      <c r="A251">
        <v>250</v>
      </c>
      <c r="B251" t="s">
        <v>1161</v>
      </c>
      <c r="C251" t="s">
        <v>299</v>
      </c>
      <c r="D251" t="s">
        <v>1162</v>
      </c>
      <c r="E251" t="s">
        <v>1163</v>
      </c>
      <c r="F251" t="s">
        <v>1164</v>
      </c>
      <c r="G251" t="s">
        <v>1165</v>
      </c>
      <c r="H251" t="s">
        <v>100</v>
      </c>
      <c r="I251">
        <v>79930</v>
      </c>
    </row>
    <row r="252" spans="1:9" x14ac:dyDescent="0.3">
      <c r="A252">
        <v>251</v>
      </c>
      <c r="B252" t="s">
        <v>1166</v>
      </c>
      <c r="C252" t="s">
        <v>772</v>
      </c>
      <c r="D252" t="s">
        <v>31</v>
      </c>
      <c r="E252" t="s">
        <v>1167</v>
      </c>
      <c r="F252" t="s">
        <v>1168</v>
      </c>
      <c r="G252" t="s">
        <v>958</v>
      </c>
      <c r="H252" t="s">
        <v>35</v>
      </c>
      <c r="I252">
        <v>12020</v>
      </c>
    </row>
    <row r="253" spans="1:9" x14ac:dyDescent="0.3">
      <c r="A253">
        <v>252</v>
      </c>
      <c r="B253" t="s">
        <v>1169</v>
      </c>
      <c r="C253" t="s">
        <v>1170</v>
      </c>
      <c r="D253" t="s">
        <v>31</v>
      </c>
      <c r="E253" t="s">
        <v>1171</v>
      </c>
      <c r="F253" t="s">
        <v>1172</v>
      </c>
      <c r="G253" t="s">
        <v>246</v>
      </c>
      <c r="H253" t="s">
        <v>35</v>
      </c>
      <c r="I253">
        <v>11418</v>
      </c>
    </row>
    <row r="254" spans="1:9" x14ac:dyDescent="0.3">
      <c r="A254">
        <v>253</v>
      </c>
      <c r="B254" t="s">
        <v>1173</v>
      </c>
      <c r="C254" t="s">
        <v>1174</v>
      </c>
      <c r="D254" t="s">
        <v>31</v>
      </c>
      <c r="E254" t="s">
        <v>1175</v>
      </c>
      <c r="F254" t="s">
        <v>1176</v>
      </c>
      <c r="G254" t="s">
        <v>155</v>
      </c>
      <c r="H254" t="s">
        <v>41</v>
      </c>
      <c r="I254">
        <v>95301</v>
      </c>
    </row>
    <row r="255" spans="1:9" x14ac:dyDescent="0.3">
      <c r="A255">
        <v>254</v>
      </c>
      <c r="B255" t="s">
        <v>1177</v>
      </c>
      <c r="C255" t="s">
        <v>1178</v>
      </c>
      <c r="D255" t="s">
        <v>31</v>
      </c>
      <c r="E255" t="s">
        <v>1179</v>
      </c>
      <c r="F255" t="s">
        <v>1180</v>
      </c>
      <c r="G255" t="s">
        <v>1061</v>
      </c>
      <c r="H255" t="s">
        <v>41</v>
      </c>
      <c r="I255">
        <v>90260</v>
      </c>
    </row>
    <row r="256" spans="1:9" x14ac:dyDescent="0.3">
      <c r="A256">
        <v>255</v>
      </c>
      <c r="B256" t="s">
        <v>1181</v>
      </c>
      <c r="C256" t="s">
        <v>1182</v>
      </c>
      <c r="D256" t="s">
        <v>31</v>
      </c>
      <c r="E256" t="s">
        <v>1183</v>
      </c>
      <c r="F256" t="s">
        <v>1184</v>
      </c>
      <c r="G256" t="s">
        <v>1185</v>
      </c>
      <c r="H256" t="s">
        <v>35</v>
      </c>
      <c r="I256">
        <v>11762</v>
      </c>
    </row>
    <row r="257" spans="1:9" x14ac:dyDescent="0.3">
      <c r="A257">
        <v>256</v>
      </c>
      <c r="B257" t="s">
        <v>1186</v>
      </c>
      <c r="C257" t="s">
        <v>1187</v>
      </c>
      <c r="D257" t="s">
        <v>31</v>
      </c>
      <c r="E257" t="s">
        <v>1188</v>
      </c>
      <c r="F257" t="s">
        <v>1189</v>
      </c>
      <c r="G257" t="s">
        <v>287</v>
      </c>
      <c r="H257" t="s">
        <v>35</v>
      </c>
      <c r="I257">
        <v>11566</v>
      </c>
    </row>
    <row r="258" spans="1:9" x14ac:dyDescent="0.3">
      <c r="A258">
        <v>257</v>
      </c>
      <c r="B258" t="s">
        <v>1190</v>
      </c>
      <c r="C258" t="s">
        <v>321</v>
      </c>
      <c r="D258" t="s">
        <v>31</v>
      </c>
      <c r="E258" t="s">
        <v>1191</v>
      </c>
      <c r="F258" t="s">
        <v>1192</v>
      </c>
      <c r="G258" t="s">
        <v>544</v>
      </c>
      <c r="H258" t="s">
        <v>35</v>
      </c>
      <c r="I258">
        <v>11373</v>
      </c>
    </row>
    <row r="259" spans="1:9" x14ac:dyDescent="0.3">
      <c r="A259">
        <v>258</v>
      </c>
      <c r="B259" t="s">
        <v>1193</v>
      </c>
      <c r="C259" t="s">
        <v>592</v>
      </c>
      <c r="D259" t="s">
        <v>31</v>
      </c>
      <c r="E259" t="s">
        <v>1194</v>
      </c>
      <c r="F259" t="s">
        <v>1195</v>
      </c>
      <c r="G259" t="s">
        <v>185</v>
      </c>
      <c r="H259" t="s">
        <v>41</v>
      </c>
      <c r="I259">
        <v>90505</v>
      </c>
    </row>
    <row r="260" spans="1:9" x14ac:dyDescent="0.3">
      <c r="A260">
        <v>259</v>
      </c>
      <c r="B260" t="s">
        <v>1196</v>
      </c>
      <c r="C260" t="s">
        <v>1197</v>
      </c>
      <c r="D260" t="s">
        <v>31</v>
      </c>
      <c r="E260" t="s">
        <v>1198</v>
      </c>
      <c r="F260" t="s">
        <v>1199</v>
      </c>
      <c r="G260" t="s">
        <v>1200</v>
      </c>
      <c r="H260" t="s">
        <v>41</v>
      </c>
      <c r="I260">
        <v>94566</v>
      </c>
    </row>
    <row r="261" spans="1:9" x14ac:dyDescent="0.3">
      <c r="A261">
        <v>260</v>
      </c>
      <c r="B261" t="s">
        <v>1201</v>
      </c>
      <c r="C261" t="s">
        <v>1202</v>
      </c>
      <c r="D261" t="s">
        <v>31</v>
      </c>
      <c r="E261" t="s">
        <v>1203</v>
      </c>
      <c r="F261" t="s">
        <v>1204</v>
      </c>
      <c r="G261" t="s">
        <v>1123</v>
      </c>
      <c r="H261" t="s">
        <v>41</v>
      </c>
      <c r="I261">
        <v>91387</v>
      </c>
    </row>
    <row r="262" spans="1:9" x14ac:dyDescent="0.3">
      <c r="A262">
        <v>261</v>
      </c>
      <c r="B262" t="s">
        <v>1205</v>
      </c>
      <c r="C262" t="s">
        <v>1206</v>
      </c>
      <c r="D262" t="s">
        <v>31</v>
      </c>
      <c r="E262" t="s">
        <v>1207</v>
      </c>
      <c r="F262" t="s">
        <v>1208</v>
      </c>
      <c r="G262" t="s">
        <v>196</v>
      </c>
      <c r="H262" t="s">
        <v>41</v>
      </c>
      <c r="I262">
        <v>92831</v>
      </c>
    </row>
    <row r="263" spans="1:9" x14ac:dyDescent="0.3">
      <c r="A263">
        <v>262</v>
      </c>
      <c r="B263" t="s">
        <v>1209</v>
      </c>
      <c r="C263" t="s">
        <v>965</v>
      </c>
      <c r="D263" t="s">
        <v>1210</v>
      </c>
      <c r="E263" t="s">
        <v>1211</v>
      </c>
      <c r="F263" t="s">
        <v>1212</v>
      </c>
      <c r="G263" t="s">
        <v>68</v>
      </c>
      <c r="H263" t="s">
        <v>35</v>
      </c>
      <c r="I263">
        <v>14215</v>
      </c>
    </row>
    <row r="264" spans="1:9" x14ac:dyDescent="0.3">
      <c r="A264">
        <v>263</v>
      </c>
      <c r="B264" t="s">
        <v>1213</v>
      </c>
      <c r="C264" t="s">
        <v>1214</v>
      </c>
      <c r="D264" t="s">
        <v>1215</v>
      </c>
      <c r="E264" t="s">
        <v>1216</v>
      </c>
      <c r="F264" t="s">
        <v>1217</v>
      </c>
      <c r="G264" t="s">
        <v>1038</v>
      </c>
      <c r="H264" t="s">
        <v>35</v>
      </c>
      <c r="I264">
        <v>11572</v>
      </c>
    </row>
    <row r="265" spans="1:9" x14ac:dyDescent="0.3">
      <c r="A265">
        <v>264</v>
      </c>
      <c r="B265" t="s">
        <v>1218</v>
      </c>
      <c r="C265" t="s">
        <v>1219</v>
      </c>
      <c r="D265" t="s">
        <v>31</v>
      </c>
      <c r="E265" t="s">
        <v>1220</v>
      </c>
      <c r="F265" t="s">
        <v>1221</v>
      </c>
      <c r="G265" t="s">
        <v>1222</v>
      </c>
      <c r="H265" t="s">
        <v>35</v>
      </c>
      <c r="I265">
        <v>11530</v>
      </c>
    </row>
    <row r="266" spans="1:9" x14ac:dyDescent="0.3">
      <c r="A266">
        <v>265</v>
      </c>
      <c r="B266" t="s">
        <v>1223</v>
      </c>
      <c r="C266" t="s">
        <v>1224</v>
      </c>
      <c r="D266" t="s">
        <v>31</v>
      </c>
      <c r="E266" t="s">
        <v>1225</v>
      </c>
      <c r="F266" t="s">
        <v>1226</v>
      </c>
      <c r="G266" t="s">
        <v>320</v>
      </c>
      <c r="H266" t="s">
        <v>35</v>
      </c>
      <c r="I266">
        <v>11722</v>
      </c>
    </row>
    <row r="267" spans="1:9" x14ac:dyDescent="0.3">
      <c r="A267">
        <v>266</v>
      </c>
      <c r="B267" t="s">
        <v>1227</v>
      </c>
      <c r="C267" t="s">
        <v>1228</v>
      </c>
      <c r="D267" t="s">
        <v>31</v>
      </c>
      <c r="E267" t="s">
        <v>1229</v>
      </c>
      <c r="F267" t="s">
        <v>1230</v>
      </c>
      <c r="G267" t="s">
        <v>257</v>
      </c>
      <c r="H267" t="s">
        <v>35</v>
      </c>
      <c r="I267">
        <v>11003</v>
      </c>
    </row>
    <row r="268" spans="1:9" x14ac:dyDescent="0.3">
      <c r="A268">
        <v>267</v>
      </c>
      <c r="B268" t="s">
        <v>1231</v>
      </c>
      <c r="C268" t="s">
        <v>1232</v>
      </c>
      <c r="D268" t="s">
        <v>31</v>
      </c>
      <c r="E268" t="s">
        <v>1233</v>
      </c>
      <c r="F268" t="s">
        <v>1234</v>
      </c>
      <c r="G268" t="s">
        <v>897</v>
      </c>
      <c r="H268" t="s">
        <v>41</v>
      </c>
      <c r="I268">
        <v>92307</v>
      </c>
    </row>
    <row r="269" spans="1:9" x14ac:dyDescent="0.3">
      <c r="A269">
        <v>268</v>
      </c>
      <c r="B269" t="s">
        <v>1235</v>
      </c>
      <c r="C269" t="s">
        <v>979</v>
      </c>
      <c r="D269" t="s">
        <v>31</v>
      </c>
      <c r="E269" t="s">
        <v>1236</v>
      </c>
      <c r="F269" t="s">
        <v>1237</v>
      </c>
      <c r="G269" t="s">
        <v>958</v>
      </c>
      <c r="H269" t="s">
        <v>35</v>
      </c>
      <c r="I269">
        <v>12020</v>
      </c>
    </row>
    <row r="270" spans="1:9" x14ac:dyDescent="0.3">
      <c r="A270">
        <v>269</v>
      </c>
      <c r="B270" t="s">
        <v>1238</v>
      </c>
      <c r="C270" t="s">
        <v>1239</v>
      </c>
      <c r="D270" t="s">
        <v>31</v>
      </c>
      <c r="E270" t="s">
        <v>1240</v>
      </c>
      <c r="F270" t="s">
        <v>1241</v>
      </c>
      <c r="G270" t="s">
        <v>1242</v>
      </c>
      <c r="H270" t="s">
        <v>35</v>
      </c>
      <c r="I270">
        <v>11710</v>
      </c>
    </row>
    <row r="271" spans="1:9" x14ac:dyDescent="0.3">
      <c r="A271">
        <v>270</v>
      </c>
      <c r="B271" t="s">
        <v>1243</v>
      </c>
      <c r="C271" t="s">
        <v>1244</v>
      </c>
      <c r="D271" t="s">
        <v>31</v>
      </c>
      <c r="E271" t="s">
        <v>1245</v>
      </c>
      <c r="F271" t="s">
        <v>1246</v>
      </c>
      <c r="G271" t="s">
        <v>1247</v>
      </c>
      <c r="H271" t="s">
        <v>35</v>
      </c>
      <c r="I271">
        <v>12401</v>
      </c>
    </row>
    <row r="272" spans="1:9" x14ac:dyDescent="0.3">
      <c r="A272">
        <v>271</v>
      </c>
      <c r="B272" t="s">
        <v>1248</v>
      </c>
      <c r="C272" t="s">
        <v>1249</v>
      </c>
      <c r="D272" t="s">
        <v>31</v>
      </c>
      <c r="E272" t="s">
        <v>1250</v>
      </c>
      <c r="F272" t="s">
        <v>1251</v>
      </c>
      <c r="G272" t="s">
        <v>99</v>
      </c>
      <c r="H272" t="s">
        <v>100</v>
      </c>
      <c r="I272">
        <v>75604</v>
      </c>
    </row>
    <row r="273" spans="1:9" x14ac:dyDescent="0.3">
      <c r="A273">
        <v>272</v>
      </c>
      <c r="B273" t="s">
        <v>1252</v>
      </c>
      <c r="C273" t="s">
        <v>1253</v>
      </c>
      <c r="D273" t="s">
        <v>31</v>
      </c>
      <c r="E273" t="s">
        <v>1254</v>
      </c>
      <c r="F273" t="s">
        <v>1255</v>
      </c>
      <c r="G273" t="s">
        <v>977</v>
      </c>
      <c r="H273" t="s">
        <v>35</v>
      </c>
      <c r="I273">
        <v>11432</v>
      </c>
    </row>
    <row r="274" spans="1:9" x14ac:dyDescent="0.3">
      <c r="A274">
        <v>273</v>
      </c>
      <c r="B274" t="s">
        <v>1256</v>
      </c>
      <c r="C274" t="s">
        <v>1257</v>
      </c>
      <c r="D274" t="s">
        <v>31</v>
      </c>
      <c r="E274" t="s">
        <v>1258</v>
      </c>
      <c r="F274" t="s">
        <v>1259</v>
      </c>
      <c r="G274" t="s">
        <v>1260</v>
      </c>
      <c r="H274" t="s">
        <v>35</v>
      </c>
      <c r="I274">
        <v>11417</v>
      </c>
    </row>
    <row r="275" spans="1:9" x14ac:dyDescent="0.3">
      <c r="A275">
        <v>274</v>
      </c>
      <c r="B275" t="s">
        <v>1261</v>
      </c>
      <c r="C275" t="s">
        <v>1262</v>
      </c>
      <c r="D275" t="s">
        <v>31</v>
      </c>
      <c r="E275" t="s">
        <v>1263</v>
      </c>
      <c r="F275" t="s">
        <v>1264</v>
      </c>
      <c r="G275" t="s">
        <v>1265</v>
      </c>
      <c r="H275" t="s">
        <v>35</v>
      </c>
      <c r="I275">
        <v>12533</v>
      </c>
    </row>
    <row r="276" spans="1:9" x14ac:dyDescent="0.3">
      <c r="A276">
        <v>275</v>
      </c>
      <c r="B276" t="s">
        <v>1266</v>
      </c>
      <c r="C276" t="s">
        <v>365</v>
      </c>
      <c r="D276" t="s">
        <v>31</v>
      </c>
      <c r="E276" t="s">
        <v>1267</v>
      </c>
      <c r="F276" t="s">
        <v>1268</v>
      </c>
      <c r="G276" t="s">
        <v>334</v>
      </c>
      <c r="H276" t="s">
        <v>100</v>
      </c>
      <c r="I276">
        <v>76901</v>
      </c>
    </row>
    <row r="277" spans="1:9" x14ac:dyDescent="0.3">
      <c r="A277">
        <v>276</v>
      </c>
      <c r="B277" t="s">
        <v>1269</v>
      </c>
      <c r="C277" t="s">
        <v>1270</v>
      </c>
      <c r="D277" t="s">
        <v>31</v>
      </c>
      <c r="E277" t="s">
        <v>1271</v>
      </c>
      <c r="F277" t="s">
        <v>1272</v>
      </c>
      <c r="G277" t="s">
        <v>1273</v>
      </c>
      <c r="H277" t="s">
        <v>35</v>
      </c>
      <c r="I277">
        <v>11779</v>
      </c>
    </row>
    <row r="278" spans="1:9" x14ac:dyDescent="0.3">
      <c r="A278">
        <v>277</v>
      </c>
      <c r="B278" t="s">
        <v>1274</v>
      </c>
      <c r="C278" t="s">
        <v>1275</v>
      </c>
      <c r="D278" t="s">
        <v>31</v>
      </c>
      <c r="E278" t="s">
        <v>1276</v>
      </c>
      <c r="F278" t="s">
        <v>1277</v>
      </c>
      <c r="G278" t="s">
        <v>83</v>
      </c>
      <c r="H278" t="s">
        <v>35</v>
      </c>
      <c r="I278">
        <v>10950</v>
      </c>
    </row>
    <row r="279" spans="1:9" x14ac:dyDescent="0.3">
      <c r="A279">
        <v>278</v>
      </c>
      <c r="B279" t="s">
        <v>1278</v>
      </c>
      <c r="C279" t="s">
        <v>1279</v>
      </c>
      <c r="D279" t="s">
        <v>31</v>
      </c>
      <c r="E279" t="s">
        <v>1280</v>
      </c>
      <c r="F279" t="s">
        <v>1281</v>
      </c>
      <c r="G279" t="s">
        <v>40</v>
      </c>
      <c r="H279" t="s">
        <v>41</v>
      </c>
      <c r="I279">
        <v>95008</v>
      </c>
    </row>
    <row r="280" spans="1:9" x14ac:dyDescent="0.3">
      <c r="A280">
        <v>279</v>
      </c>
      <c r="B280" t="s">
        <v>1282</v>
      </c>
      <c r="C280" t="s">
        <v>1283</v>
      </c>
      <c r="D280" t="s">
        <v>31</v>
      </c>
      <c r="E280" t="s">
        <v>1284</v>
      </c>
      <c r="F280" t="s">
        <v>1285</v>
      </c>
      <c r="G280" t="s">
        <v>386</v>
      </c>
      <c r="H280" t="s">
        <v>41</v>
      </c>
      <c r="I280">
        <v>91733</v>
      </c>
    </row>
    <row r="281" spans="1:9" x14ac:dyDescent="0.3">
      <c r="A281">
        <v>280</v>
      </c>
      <c r="B281" t="s">
        <v>1286</v>
      </c>
      <c r="C281" t="s">
        <v>695</v>
      </c>
      <c r="D281" t="s">
        <v>31</v>
      </c>
      <c r="E281" t="s">
        <v>1287</v>
      </c>
      <c r="F281" t="s">
        <v>1288</v>
      </c>
      <c r="G281" t="s">
        <v>334</v>
      </c>
      <c r="H281" t="s">
        <v>100</v>
      </c>
      <c r="I281">
        <v>76901</v>
      </c>
    </row>
    <row r="282" spans="1:9" x14ac:dyDescent="0.3">
      <c r="A282">
        <v>281</v>
      </c>
      <c r="B282" t="s">
        <v>1289</v>
      </c>
      <c r="C282" t="s">
        <v>1290</v>
      </c>
      <c r="D282" t="s">
        <v>31</v>
      </c>
      <c r="E282" t="s">
        <v>1291</v>
      </c>
      <c r="F282" t="s">
        <v>1292</v>
      </c>
      <c r="G282" t="s">
        <v>1260</v>
      </c>
      <c r="H282" t="s">
        <v>35</v>
      </c>
      <c r="I282">
        <v>11417</v>
      </c>
    </row>
    <row r="283" spans="1:9" x14ac:dyDescent="0.3">
      <c r="A283">
        <v>282</v>
      </c>
      <c r="B283" t="s">
        <v>1293</v>
      </c>
      <c r="C283" t="s">
        <v>1294</v>
      </c>
      <c r="D283" t="s">
        <v>31</v>
      </c>
      <c r="E283" t="s">
        <v>1295</v>
      </c>
      <c r="F283" t="s">
        <v>1296</v>
      </c>
      <c r="G283" t="s">
        <v>271</v>
      </c>
      <c r="H283" t="s">
        <v>41</v>
      </c>
      <c r="I283">
        <v>94580</v>
      </c>
    </row>
    <row r="284" spans="1:9" x14ac:dyDescent="0.3">
      <c r="A284">
        <v>283</v>
      </c>
      <c r="B284" t="s">
        <v>1297</v>
      </c>
      <c r="C284" t="s">
        <v>1298</v>
      </c>
      <c r="D284" t="s">
        <v>31</v>
      </c>
      <c r="E284" t="s">
        <v>1299</v>
      </c>
      <c r="F284" t="s">
        <v>1300</v>
      </c>
      <c r="G284" t="s">
        <v>1301</v>
      </c>
      <c r="H284" t="s">
        <v>35</v>
      </c>
      <c r="I284">
        <v>12601</v>
      </c>
    </row>
    <row r="285" spans="1:9" x14ac:dyDescent="0.3">
      <c r="A285">
        <v>284</v>
      </c>
      <c r="B285" t="s">
        <v>1302</v>
      </c>
      <c r="C285" t="s">
        <v>1303</v>
      </c>
      <c r="D285" t="s">
        <v>31</v>
      </c>
      <c r="E285" t="s">
        <v>1304</v>
      </c>
      <c r="F285" t="s">
        <v>1305</v>
      </c>
      <c r="G285" t="s">
        <v>517</v>
      </c>
      <c r="H285" t="s">
        <v>35</v>
      </c>
      <c r="I285">
        <v>11725</v>
      </c>
    </row>
    <row r="286" spans="1:9" x14ac:dyDescent="0.3">
      <c r="A286">
        <v>285</v>
      </c>
      <c r="B286" t="s">
        <v>1306</v>
      </c>
      <c r="C286" t="s">
        <v>1307</v>
      </c>
      <c r="D286" t="s">
        <v>31</v>
      </c>
      <c r="E286" t="s">
        <v>1308</v>
      </c>
      <c r="F286" t="s">
        <v>1309</v>
      </c>
      <c r="G286" t="s">
        <v>225</v>
      </c>
      <c r="H286" t="s">
        <v>35</v>
      </c>
      <c r="I286">
        <v>11102</v>
      </c>
    </row>
    <row r="287" spans="1:9" x14ac:dyDescent="0.3">
      <c r="A287">
        <v>286</v>
      </c>
      <c r="B287" t="s">
        <v>1310</v>
      </c>
      <c r="C287" t="s">
        <v>173</v>
      </c>
      <c r="D287" t="s">
        <v>31</v>
      </c>
      <c r="E287" t="s">
        <v>1311</v>
      </c>
      <c r="F287" t="s">
        <v>1312</v>
      </c>
      <c r="G287" t="s">
        <v>1313</v>
      </c>
      <c r="H287" t="s">
        <v>35</v>
      </c>
      <c r="I287">
        <v>11756</v>
      </c>
    </row>
    <row r="288" spans="1:9" x14ac:dyDescent="0.3">
      <c r="A288">
        <v>287</v>
      </c>
      <c r="B288" t="s">
        <v>1314</v>
      </c>
      <c r="C288" t="s">
        <v>1315</v>
      </c>
      <c r="D288" t="s">
        <v>1316</v>
      </c>
      <c r="E288" t="s">
        <v>1317</v>
      </c>
      <c r="F288" t="s">
        <v>1318</v>
      </c>
      <c r="G288" t="s">
        <v>830</v>
      </c>
      <c r="H288" t="s">
        <v>41</v>
      </c>
      <c r="I288">
        <v>93035</v>
      </c>
    </row>
    <row r="289" spans="1:9" x14ac:dyDescent="0.3">
      <c r="A289">
        <v>288</v>
      </c>
      <c r="B289" t="s">
        <v>1319</v>
      </c>
      <c r="C289" t="s">
        <v>1320</v>
      </c>
      <c r="D289" t="s">
        <v>31</v>
      </c>
      <c r="E289" t="s">
        <v>1321</v>
      </c>
      <c r="F289" t="s">
        <v>1322</v>
      </c>
      <c r="G289" t="s">
        <v>775</v>
      </c>
      <c r="H289" t="s">
        <v>41</v>
      </c>
      <c r="I289">
        <v>92220</v>
      </c>
    </row>
    <row r="290" spans="1:9" x14ac:dyDescent="0.3">
      <c r="A290">
        <v>289</v>
      </c>
      <c r="B290" t="s">
        <v>1323</v>
      </c>
      <c r="C290" t="s">
        <v>884</v>
      </c>
      <c r="D290" t="s">
        <v>31</v>
      </c>
      <c r="E290" t="s">
        <v>1324</v>
      </c>
      <c r="F290" t="s">
        <v>1325</v>
      </c>
      <c r="G290" t="s">
        <v>409</v>
      </c>
      <c r="H290" t="s">
        <v>100</v>
      </c>
      <c r="I290">
        <v>75080</v>
      </c>
    </row>
    <row r="291" spans="1:9" x14ac:dyDescent="0.3">
      <c r="A291">
        <v>290</v>
      </c>
      <c r="B291" t="s">
        <v>1326</v>
      </c>
      <c r="C291" t="s">
        <v>1327</v>
      </c>
      <c r="D291" t="s">
        <v>31</v>
      </c>
      <c r="E291" t="s">
        <v>1328</v>
      </c>
      <c r="F291" t="s">
        <v>1329</v>
      </c>
      <c r="G291" t="s">
        <v>1330</v>
      </c>
      <c r="H291" t="s">
        <v>35</v>
      </c>
      <c r="I291">
        <v>11720</v>
      </c>
    </row>
    <row r="292" spans="1:9" x14ac:dyDescent="0.3">
      <c r="A292">
        <v>291</v>
      </c>
      <c r="B292" t="s">
        <v>1331</v>
      </c>
      <c r="C292" t="s">
        <v>30</v>
      </c>
      <c r="D292" t="s">
        <v>31</v>
      </c>
      <c r="E292" t="s">
        <v>1332</v>
      </c>
      <c r="F292" t="s">
        <v>1333</v>
      </c>
      <c r="G292" t="s">
        <v>171</v>
      </c>
      <c r="H292" t="s">
        <v>35</v>
      </c>
      <c r="I292">
        <v>11104</v>
      </c>
    </row>
    <row r="293" spans="1:9" x14ac:dyDescent="0.3">
      <c r="A293">
        <v>292</v>
      </c>
      <c r="B293" t="s">
        <v>1334</v>
      </c>
      <c r="C293" t="s">
        <v>173</v>
      </c>
      <c r="D293" t="s">
        <v>1335</v>
      </c>
      <c r="E293" t="s">
        <v>1336</v>
      </c>
      <c r="F293" t="s">
        <v>1337</v>
      </c>
      <c r="G293" t="s">
        <v>94</v>
      </c>
      <c r="H293" t="s">
        <v>35</v>
      </c>
      <c r="I293">
        <v>11550</v>
      </c>
    </row>
    <row r="294" spans="1:9" x14ac:dyDescent="0.3">
      <c r="A294">
        <v>293</v>
      </c>
      <c r="B294" t="s">
        <v>1338</v>
      </c>
      <c r="C294" t="s">
        <v>1339</v>
      </c>
      <c r="D294" t="s">
        <v>31</v>
      </c>
      <c r="E294" t="s">
        <v>1340</v>
      </c>
      <c r="F294" t="s">
        <v>1341</v>
      </c>
      <c r="G294" t="s">
        <v>751</v>
      </c>
      <c r="H294" t="s">
        <v>35</v>
      </c>
      <c r="I294">
        <v>11803</v>
      </c>
    </row>
    <row r="295" spans="1:9" x14ac:dyDescent="0.3">
      <c r="A295">
        <v>294</v>
      </c>
      <c r="B295" t="s">
        <v>1342</v>
      </c>
      <c r="C295" t="s">
        <v>1343</v>
      </c>
      <c r="D295" t="s">
        <v>31</v>
      </c>
      <c r="E295" t="s">
        <v>1344</v>
      </c>
      <c r="F295" t="s">
        <v>1345</v>
      </c>
      <c r="G295" t="s">
        <v>353</v>
      </c>
      <c r="H295" t="s">
        <v>35</v>
      </c>
      <c r="I295">
        <v>13440</v>
      </c>
    </row>
    <row r="296" spans="1:9" x14ac:dyDescent="0.3">
      <c r="A296">
        <v>295</v>
      </c>
      <c r="B296" t="s">
        <v>1346</v>
      </c>
      <c r="C296" t="s">
        <v>1347</v>
      </c>
      <c r="D296" t="s">
        <v>31</v>
      </c>
      <c r="E296" t="s">
        <v>1348</v>
      </c>
      <c r="F296" t="s">
        <v>1349</v>
      </c>
      <c r="G296" t="s">
        <v>820</v>
      </c>
      <c r="H296" t="s">
        <v>35</v>
      </c>
      <c r="I296">
        <v>11420</v>
      </c>
    </row>
    <row r="297" spans="1:9" x14ac:dyDescent="0.3">
      <c r="A297">
        <v>296</v>
      </c>
      <c r="B297" t="s">
        <v>1350</v>
      </c>
      <c r="C297" t="s">
        <v>1351</v>
      </c>
      <c r="D297" t="s">
        <v>31</v>
      </c>
      <c r="E297" t="s">
        <v>1352</v>
      </c>
      <c r="F297" t="s">
        <v>1353</v>
      </c>
      <c r="G297" t="s">
        <v>51</v>
      </c>
      <c r="H297" t="s">
        <v>35</v>
      </c>
      <c r="I297">
        <v>11553</v>
      </c>
    </row>
    <row r="298" spans="1:9" x14ac:dyDescent="0.3">
      <c r="A298">
        <v>297</v>
      </c>
      <c r="B298" t="s">
        <v>1354</v>
      </c>
      <c r="C298" t="s">
        <v>375</v>
      </c>
      <c r="D298" t="s">
        <v>31</v>
      </c>
      <c r="E298" t="s">
        <v>1355</v>
      </c>
      <c r="F298" t="s">
        <v>1356</v>
      </c>
      <c r="G298" t="s">
        <v>760</v>
      </c>
      <c r="H298" t="s">
        <v>100</v>
      </c>
      <c r="I298">
        <v>78023</v>
      </c>
    </row>
    <row r="299" spans="1:9" x14ac:dyDescent="0.3">
      <c r="A299">
        <v>298</v>
      </c>
      <c r="B299" t="s">
        <v>1357</v>
      </c>
      <c r="C299" t="s">
        <v>1358</v>
      </c>
      <c r="D299" t="s">
        <v>31</v>
      </c>
      <c r="E299" t="s">
        <v>1359</v>
      </c>
      <c r="F299" t="s">
        <v>1360</v>
      </c>
      <c r="G299" t="s">
        <v>464</v>
      </c>
      <c r="H299" t="s">
        <v>41</v>
      </c>
      <c r="I299">
        <v>91784</v>
      </c>
    </row>
    <row r="300" spans="1:9" x14ac:dyDescent="0.3">
      <c r="A300">
        <v>299</v>
      </c>
      <c r="B300" t="s">
        <v>1361</v>
      </c>
      <c r="C300" t="s">
        <v>1063</v>
      </c>
      <c r="D300" t="s">
        <v>31</v>
      </c>
      <c r="E300" t="s">
        <v>1362</v>
      </c>
      <c r="F300" t="s">
        <v>1363</v>
      </c>
      <c r="G300" t="s">
        <v>765</v>
      </c>
      <c r="H300" t="s">
        <v>35</v>
      </c>
      <c r="I300">
        <v>11706</v>
      </c>
    </row>
    <row r="301" spans="1:9" x14ac:dyDescent="0.3">
      <c r="A301">
        <v>300</v>
      </c>
      <c r="B301" t="s">
        <v>1364</v>
      </c>
      <c r="C301" t="s">
        <v>1365</v>
      </c>
      <c r="D301" t="s">
        <v>31</v>
      </c>
      <c r="E301" t="s">
        <v>1366</v>
      </c>
      <c r="F301" t="s">
        <v>1367</v>
      </c>
      <c r="G301" t="s">
        <v>1368</v>
      </c>
      <c r="H301" t="s">
        <v>41</v>
      </c>
      <c r="I301">
        <v>94043</v>
      </c>
    </row>
    <row r="302" spans="1:9" x14ac:dyDescent="0.3">
      <c r="A302">
        <v>301</v>
      </c>
      <c r="B302" t="s">
        <v>1369</v>
      </c>
      <c r="C302" t="s">
        <v>1275</v>
      </c>
      <c r="D302" t="s">
        <v>31</v>
      </c>
      <c r="E302" t="s">
        <v>1370</v>
      </c>
      <c r="F302" t="s">
        <v>1371</v>
      </c>
      <c r="G302" t="s">
        <v>121</v>
      </c>
      <c r="H302" t="s">
        <v>35</v>
      </c>
      <c r="I302">
        <v>10583</v>
      </c>
    </row>
    <row r="303" spans="1:9" x14ac:dyDescent="0.3">
      <c r="A303">
        <v>302</v>
      </c>
      <c r="B303" t="s">
        <v>1372</v>
      </c>
      <c r="C303" t="s">
        <v>1373</v>
      </c>
      <c r="D303" t="s">
        <v>31</v>
      </c>
      <c r="E303" t="s">
        <v>1374</v>
      </c>
      <c r="F303" t="s">
        <v>1375</v>
      </c>
      <c r="G303" t="s">
        <v>897</v>
      </c>
      <c r="H303" t="s">
        <v>41</v>
      </c>
      <c r="I303">
        <v>92307</v>
      </c>
    </row>
    <row r="304" spans="1:9" x14ac:dyDescent="0.3">
      <c r="A304">
        <v>303</v>
      </c>
      <c r="B304" t="s">
        <v>1376</v>
      </c>
      <c r="C304" t="s">
        <v>142</v>
      </c>
      <c r="D304" t="s">
        <v>31</v>
      </c>
      <c r="E304" t="s">
        <v>1377</v>
      </c>
      <c r="F304" t="s">
        <v>1378</v>
      </c>
      <c r="G304" t="s">
        <v>539</v>
      </c>
      <c r="H304" t="s">
        <v>35</v>
      </c>
      <c r="I304">
        <v>11421</v>
      </c>
    </row>
    <row r="305" spans="1:9" x14ac:dyDescent="0.3">
      <c r="A305">
        <v>304</v>
      </c>
      <c r="B305" t="s">
        <v>1379</v>
      </c>
      <c r="C305" t="s">
        <v>1380</v>
      </c>
      <c r="D305" t="s">
        <v>31</v>
      </c>
      <c r="E305" t="s">
        <v>1381</v>
      </c>
      <c r="F305" t="s">
        <v>1382</v>
      </c>
      <c r="G305" t="s">
        <v>1383</v>
      </c>
      <c r="H305" t="s">
        <v>35</v>
      </c>
      <c r="I305">
        <v>11413</v>
      </c>
    </row>
    <row r="306" spans="1:9" x14ac:dyDescent="0.3">
      <c r="A306">
        <v>305</v>
      </c>
      <c r="B306" t="s">
        <v>1384</v>
      </c>
      <c r="C306" t="s">
        <v>1385</v>
      </c>
      <c r="D306" t="s">
        <v>31</v>
      </c>
      <c r="E306" t="s">
        <v>1386</v>
      </c>
      <c r="F306" t="s">
        <v>1387</v>
      </c>
      <c r="G306" t="s">
        <v>46</v>
      </c>
      <c r="H306" t="s">
        <v>41</v>
      </c>
      <c r="I306">
        <v>90278</v>
      </c>
    </row>
    <row r="307" spans="1:9" x14ac:dyDescent="0.3">
      <c r="A307">
        <v>306</v>
      </c>
      <c r="B307" t="s">
        <v>1388</v>
      </c>
      <c r="C307" t="s">
        <v>1389</v>
      </c>
      <c r="D307" t="s">
        <v>31</v>
      </c>
      <c r="E307" t="s">
        <v>1390</v>
      </c>
      <c r="F307" t="s">
        <v>1391</v>
      </c>
      <c r="G307" t="s">
        <v>1247</v>
      </c>
      <c r="H307" t="s">
        <v>35</v>
      </c>
      <c r="I307">
        <v>12401</v>
      </c>
    </row>
    <row r="308" spans="1:9" x14ac:dyDescent="0.3">
      <c r="A308">
        <v>307</v>
      </c>
      <c r="B308" t="s">
        <v>1392</v>
      </c>
      <c r="C308" t="s">
        <v>1393</v>
      </c>
      <c r="D308" t="s">
        <v>31</v>
      </c>
      <c r="E308" t="s">
        <v>1394</v>
      </c>
      <c r="F308" t="s">
        <v>1395</v>
      </c>
      <c r="G308" t="s">
        <v>297</v>
      </c>
      <c r="H308" t="s">
        <v>41</v>
      </c>
      <c r="I308">
        <v>91740</v>
      </c>
    </row>
    <row r="309" spans="1:9" x14ac:dyDescent="0.3">
      <c r="A309">
        <v>308</v>
      </c>
      <c r="B309" t="s">
        <v>1396</v>
      </c>
      <c r="C309" t="s">
        <v>1397</v>
      </c>
      <c r="D309" t="s">
        <v>31</v>
      </c>
      <c r="E309" t="s">
        <v>1398</v>
      </c>
      <c r="F309" t="s">
        <v>1399</v>
      </c>
      <c r="G309" t="s">
        <v>884</v>
      </c>
      <c r="H309" t="s">
        <v>35</v>
      </c>
      <c r="I309">
        <v>14580</v>
      </c>
    </row>
    <row r="310" spans="1:9" x14ac:dyDescent="0.3">
      <c r="A310">
        <v>309</v>
      </c>
      <c r="B310" t="s">
        <v>1400</v>
      </c>
      <c r="C310" t="s">
        <v>502</v>
      </c>
      <c r="D310" t="s">
        <v>31</v>
      </c>
      <c r="E310" t="s">
        <v>1401</v>
      </c>
      <c r="F310" t="s">
        <v>1402</v>
      </c>
      <c r="G310" t="s">
        <v>126</v>
      </c>
      <c r="H310" t="s">
        <v>35</v>
      </c>
      <c r="I310">
        <v>14424</v>
      </c>
    </row>
    <row r="311" spans="1:9" x14ac:dyDescent="0.3">
      <c r="A311">
        <v>310</v>
      </c>
      <c r="B311" t="s">
        <v>1403</v>
      </c>
      <c r="C311" t="s">
        <v>1404</v>
      </c>
      <c r="D311" t="s">
        <v>31</v>
      </c>
      <c r="E311" t="s">
        <v>1405</v>
      </c>
      <c r="F311" t="s">
        <v>1406</v>
      </c>
      <c r="G311" t="s">
        <v>1407</v>
      </c>
      <c r="H311" t="s">
        <v>35</v>
      </c>
      <c r="I311">
        <v>11379</v>
      </c>
    </row>
    <row r="312" spans="1:9" x14ac:dyDescent="0.3">
      <c r="A312">
        <v>311</v>
      </c>
      <c r="B312" t="s">
        <v>1408</v>
      </c>
      <c r="C312" t="s">
        <v>1409</v>
      </c>
      <c r="D312" t="s">
        <v>1410</v>
      </c>
      <c r="E312" t="s">
        <v>1411</v>
      </c>
      <c r="F312" t="s">
        <v>1412</v>
      </c>
      <c r="G312" t="s">
        <v>608</v>
      </c>
      <c r="H312" t="s">
        <v>41</v>
      </c>
      <c r="I312">
        <v>93706</v>
      </c>
    </row>
    <row r="313" spans="1:9" x14ac:dyDescent="0.3">
      <c r="A313">
        <v>312</v>
      </c>
      <c r="B313" t="s">
        <v>1413</v>
      </c>
      <c r="C313" t="s">
        <v>1414</v>
      </c>
      <c r="D313" t="s">
        <v>31</v>
      </c>
      <c r="E313" t="s">
        <v>1415</v>
      </c>
      <c r="F313" t="s">
        <v>1416</v>
      </c>
      <c r="G313" t="s">
        <v>99</v>
      </c>
      <c r="H313" t="s">
        <v>100</v>
      </c>
      <c r="I313">
        <v>75604</v>
      </c>
    </row>
    <row r="314" spans="1:9" x14ac:dyDescent="0.3">
      <c r="A314">
        <v>313</v>
      </c>
      <c r="B314" t="s">
        <v>1417</v>
      </c>
      <c r="C314" t="s">
        <v>1214</v>
      </c>
      <c r="D314" t="s">
        <v>31</v>
      </c>
      <c r="E314" t="s">
        <v>1418</v>
      </c>
      <c r="F314" t="s">
        <v>1419</v>
      </c>
      <c r="G314" t="s">
        <v>220</v>
      </c>
      <c r="H314" t="s">
        <v>35</v>
      </c>
      <c r="I314">
        <v>11378</v>
      </c>
    </row>
    <row r="315" spans="1:9" x14ac:dyDescent="0.3">
      <c r="A315">
        <v>314</v>
      </c>
      <c r="B315" t="s">
        <v>1420</v>
      </c>
      <c r="C315" t="s">
        <v>1421</v>
      </c>
      <c r="D315" t="s">
        <v>31</v>
      </c>
      <c r="E315" t="s">
        <v>1422</v>
      </c>
      <c r="F315" t="s">
        <v>1423</v>
      </c>
      <c r="G315" t="s">
        <v>368</v>
      </c>
      <c r="H315" t="s">
        <v>100</v>
      </c>
      <c r="I315">
        <v>75088</v>
      </c>
    </row>
    <row r="316" spans="1:9" x14ac:dyDescent="0.3">
      <c r="A316">
        <v>315</v>
      </c>
      <c r="B316" t="s">
        <v>1282</v>
      </c>
      <c r="C316" t="s">
        <v>1424</v>
      </c>
      <c r="D316" t="s">
        <v>31</v>
      </c>
      <c r="E316" t="s">
        <v>1425</v>
      </c>
      <c r="F316" t="s">
        <v>1426</v>
      </c>
      <c r="G316" t="s">
        <v>75</v>
      </c>
      <c r="H316" t="s">
        <v>35</v>
      </c>
      <c r="I316">
        <v>11510</v>
      </c>
    </row>
    <row r="317" spans="1:9" x14ac:dyDescent="0.3">
      <c r="A317">
        <v>316</v>
      </c>
      <c r="B317" t="s">
        <v>1427</v>
      </c>
      <c r="C317" t="s">
        <v>1428</v>
      </c>
      <c r="D317" t="s">
        <v>31</v>
      </c>
      <c r="E317" t="s">
        <v>1429</v>
      </c>
      <c r="F317" t="s">
        <v>1430</v>
      </c>
      <c r="G317" t="s">
        <v>590</v>
      </c>
      <c r="H317" t="s">
        <v>100</v>
      </c>
      <c r="I317">
        <v>76039</v>
      </c>
    </row>
    <row r="318" spans="1:9" x14ac:dyDescent="0.3">
      <c r="A318">
        <v>317</v>
      </c>
      <c r="B318" t="s">
        <v>1354</v>
      </c>
      <c r="C318" t="s">
        <v>663</v>
      </c>
      <c r="D318" t="s">
        <v>31</v>
      </c>
      <c r="E318" t="s">
        <v>1431</v>
      </c>
      <c r="F318" t="s">
        <v>1432</v>
      </c>
      <c r="G318" t="s">
        <v>803</v>
      </c>
      <c r="H318" t="s">
        <v>35</v>
      </c>
      <c r="I318">
        <v>11377</v>
      </c>
    </row>
    <row r="319" spans="1:9" x14ac:dyDescent="0.3">
      <c r="A319">
        <v>318</v>
      </c>
      <c r="B319" t="s">
        <v>1433</v>
      </c>
      <c r="C319" t="s">
        <v>1074</v>
      </c>
      <c r="D319" t="s">
        <v>31</v>
      </c>
      <c r="E319" t="s">
        <v>1434</v>
      </c>
      <c r="F319" t="s">
        <v>1435</v>
      </c>
      <c r="G319" t="s">
        <v>196</v>
      </c>
      <c r="H319" t="s">
        <v>41</v>
      </c>
      <c r="I319">
        <v>92831</v>
      </c>
    </row>
    <row r="320" spans="1:9" x14ac:dyDescent="0.3">
      <c r="A320">
        <v>319</v>
      </c>
      <c r="B320" t="s">
        <v>1436</v>
      </c>
      <c r="C320" t="s">
        <v>1437</v>
      </c>
      <c r="D320" t="s">
        <v>31</v>
      </c>
      <c r="E320" t="s">
        <v>1438</v>
      </c>
      <c r="F320" t="s">
        <v>1439</v>
      </c>
      <c r="G320" t="s">
        <v>897</v>
      </c>
      <c r="H320" t="s">
        <v>41</v>
      </c>
      <c r="I320">
        <v>92307</v>
      </c>
    </row>
    <row r="321" spans="1:9" x14ac:dyDescent="0.3">
      <c r="A321">
        <v>320</v>
      </c>
      <c r="B321" t="s">
        <v>1440</v>
      </c>
      <c r="C321" t="s">
        <v>1441</v>
      </c>
      <c r="D321" t="s">
        <v>1442</v>
      </c>
      <c r="E321" t="s">
        <v>1443</v>
      </c>
      <c r="F321" t="s">
        <v>1444</v>
      </c>
      <c r="G321" t="s">
        <v>1038</v>
      </c>
      <c r="H321" t="s">
        <v>35</v>
      </c>
      <c r="I321">
        <v>11572</v>
      </c>
    </row>
    <row r="322" spans="1:9" x14ac:dyDescent="0.3">
      <c r="A322">
        <v>321</v>
      </c>
      <c r="B322" t="s">
        <v>1445</v>
      </c>
      <c r="C322" t="s">
        <v>123</v>
      </c>
      <c r="D322" t="s">
        <v>31</v>
      </c>
      <c r="E322" t="s">
        <v>1446</v>
      </c>
      <c r="F322" t="s">
        <v>1447</v>
      </c>
      <c r="G322" t="s">
        <v>982</v>
      </c>
      <c r="H322" t="s">
        <v>35</v>
      </c>
      <c r="I322">
        <v>11201</v>
      </c>
    </row>
    <row r="323" spans="1:9" x14ac:dyDescent="0.3">
      <c r="A323">
        <v>322</v>
      </c>
      <c r="B323" t="s">
        <v>1448</v>
      </c>
      <c r="C323" t="s">
        <v>757</v>
      </c>
      <c r="D323" t="s">
        <v>31</v>
      </c>
      <c r="E323" t="s">
        <v>1449</v>
      </c>
      <c r="F323" t="s">
        <v>1450</v>
      </c>
      <c r="G323" t="s">
        <v>1301</v>
      </c>
      <c r="H323" t="s">
        <v>35</v>
      </c>
      <c r="I323">
        <v>12601</v>
      </c>
    </row>
    <row r="324" spans="1:9" x14ac:dyDescent="0.3">
      <c r="A324">
        <v>323</v>
      </c>
      <c r="B324" t="s">
        <v>877</v>
      </c>
      <c r="C324" t="s">
        <v>1451</v>
      </c>
      <c r="D324" t="s">
        <v>31</v>
      </c>
      <c r="E324" t="s">
        <v>1452</v>
      </c>
      <c r="F324" t="s">
        <v>1453</v>
      </c>
      <c r="G324" t="s">
        <v>1454</v>
      </c>
      <c r="H324" t="s">
        <v>35</v>
      </c>
      <c r="I324">
        <v>12302</v>
      </c>
    </row>
    <row r="325" spans="1:9" x14ac:dyDescent="0.3">
      <c r="A325">
        <v>324</v>
      </c>
      <c r="B325" t="s">
        <v>1455</v>
      </c>
      <c r="C325" t="s">
        <v>894</v>
      </c>
      <c r="D325" t="s">
        <v>31</v>
      </c>
      <c r="E325" t="s">
        <v>1456</v>
      </c>
      <c r="F325" t="s">
        <v>1457</v>
      </c>
      <c r="G325" t="s">
        <v>1242</v>
      </c>
      <c r="H325" t="s">
        <v>35</v>
      </c>
      <c r="I325">
        <v>11710</v>
      </c>
    </row>
    <row r="326" spans="1:9" x14ac:dyDescent="0.3">
      <c r="A326">
        <v>325</v>
      </c>
      <c r="B326" t="s">
        <v>1458</v>
      </c>
      <c r="C326" t="s">
        <v>1459</v>
      </c>
      <c r="D326" t="s">
        <v>31</v>
      </c>
      <c r="E326" t="s">
        <v>1460</v>
      </c>
      <c r="F326" t="s">
        <v>1461</v>
      </c>
      <c r="G326" t="s">
        <v>315</v>
      </c>
      <c r="H326" t="s">
        <v>35</v>
      </c>
      <c r="I326">
        <v>10451</v>
      </c>
    </row>
    <row r="327" spans="1:9" x14ac:dyDescent="0.3">
      <c r="A327">
        <v>326</v>
      </c>
      <c r="B327" t="s">
        <v>1462</v>
      </c>
      <c r="C327" t="s">
        <v>1463</v>
      </c>
      <c r="D327" t="s">
        <v>31</v>
      </c>
      <c r="E327" t="s">
        <v>1464</v>
      </c>
      <c r="F327" t="s">
        <v>1465</v>
      </c>
      <c r="G327" t="s">
        <v>373</v>
      </c>
      <c r="H327" t="s">
        <v>41</v>
      </c>
      <c r="I327">
        <v>95677</v>
      </c>
    </row>
    <row r="328" spans="1:9" x14ac:dyDescent="0.3">
      <c r="A328">
        <v>327</v>
      </c>
      <c r="B328" t="s">
        <v>1466</v>
      </c>
      <c r="C328" t="s">
        <v>1467</v>
      </c>
      <c r="D328" t="s">
        <v>1468</v>
      </c>
      <c r="E328" t="s">
        <v>1469</v>
      </c>
      <c r="F328" t="s">
        <v>1470</v>
      </c>
      <c r="G328" t="s">
        <v>116</v>
      </c>
      <c r="H328" t="s">
        <v>35</v>
      </c>
      <c r="I328">
        <v>10002</v>
      </c>
    </row>
    <row r="329" spans="1:9" x14ac:dyDescent="0.3">
      <c r="A329">
        <v>328</v>
      </c>
      <c r="B329" t="s">
        <v>1471</v>
      </c>
      <c r="C329" t="s">
        <v>1472</v>
      </c>
      <c r="D329" t="s">
        <v>31</v>
      </c>
      <c r="E329" t="s">
        <v>1473</v>
      </c>
      <c r="F329" t="s">
        <v>1474</v>
      </c>
      <c r="G329" t="s">
        <v>590</v>
      </c>
      <c r="H329" t="s">
        <v>100</v>
      </c>
      <c r="I329">
        <v>76039</v>
      </c>
    </row>
    <row r="330" spans="1:9" x14ac:dyDescent="0.3">
      <c r="A330">
        <v>329</v>
      </c>
      <c r="B330" t="s">
        <v>1475</v>
      </c>
      <c r="C330" t="s">
        <v>1476</v>
      </c>
      <c r="D330" t="s">
        <v>31</v>
      </c>
      <c r="E330" t="s">
        <v>1477</v>
      </c>
      <c r="F330" t="s">
        <v>1478</v>
      </c>
      <c r="G330" t="s">
        <v>715</v>
      </c>
      <c r="H330" t="s">
        <v>35</v>
      </c>
      <c r="I330">
        <v>10573</v>
      </c>
    </row>
    <row r="331" spans="1:9" x14ac:dyDescent="0.3">
      <c r="A331">
        <v>330</v>
      </c>
      <c r="B331" t="s">
        <v>1479</v>
      </c>
      <c r="C331" t="s">
        <v>1480</v>
      </c>
      <c r="D331" t="s">
        <v>31</v>
      </c>
      <c r="E331" t="s">
        <v>1481</v>
      </c>
      <c r="F331" t="s">
        <v>1482</v>
      </c>
      <c r="G331" t="s">
        <v>803</v>
      </c>
      <c r="H331" t="s">
        <v>35</v>
      </c>
      <c r="I331">
        <v>11377</v>
      </c>
    </row>
    <row r="332" spans="1:9" x14ac:dyDescent="0.3">
      <c r="A332">
        <v>331</v>
      </c>
      <c r="B332" t="s">
        <v>131</v>
      </c>
      <c r="C332" t="s">
        <v>1483</v>
      </c>
      <c r="D332" t="s">
        <v>31</v>
      </c>
      <c r="E332" t="s">
        <v>1484</v>
      </c>
      <c r="F332" t="s">
        <v>1485</v>
      </c>
      <c r="G332" t="s">
        <v>765</v>
      </c>
      <c r="H332" t="s">
        <v>35</v>
      </c>
      <c r="I332">
        <v>11706</v>
      </c>
    </row>
    <row r="333" spans="1:9" x14ac:dyDescent="0.3">
      <c r="A333">
        <v>332</v>
      </c>
      <c r="B333" t="s">
        <v>1486</v>
      </c>
      <c r="C333" t="s">
        <v>497</v>
      </c>
      <c r="D333" t="s">
        <v>31</v>
      </c>
      <c r="E333" t="s">
        <v>1487</v>
      </c>
      <c r="F333" t="s">
        <v>1488</v>
      </c>
      <c r="G333" t="s">
        <v>1123</v>
      </c>
      <c r="H333" t="s">
        <v>41</v>
      </c>
      <c r="I333">
        <v>91387</v>
      </c>
    </row>
    <row r="334" spans="1:9" x14ac:dyDescent="0.3">
      <c r="A334">
        <v>333</v>
      </c>
      <c r="B334" t="s">
        <v>1489</v>
      </c>
      <c r="C334" t="s">
        <v>1490</v>
      </c>
      <c r="D334" t="s">
        <v>31</v>
      </c>
      <c r="E334" t="s">
        <v>1491</v>
      </c>
      <c r="F334" t="s">
        <v>1492</v>
      </c>
      <c r="G334" t="s">
        <v>171</v>
      </c>
      <c r="H334" t="s">
        <v>35</v>
      </c>
      <c r="I334">
        <v>11104</v>
      </c>
    </row>
    <row r="335" spans="1:9" x14ac:dyDescent="0.3">
      <c r="A335">
        <v>334</v>
      </c>
      <c r="B335" t="s">
        <v>1493</v>
      </c>
      <c r="C335" t="s">
        <v>1494</v>
      </c>
      <c r="D335" t="s">
        <v>31</v>
      </c>
      <c r="E335" t="s">
        <v>1495</v>
      </c>
      <c r="F335" t="s">
        <v>1496</v>
      </c>
      <c r="G335" t="s">
        <v>445</v>
      </c>
      <c r="H335" t="s">
        <v>35</v>
      </c>
      <c r="I335">
        <v>11746</v>
      </c>
    </row>
    <row r="336" spans="1:9" x14ac:dyDescent="0.3">
      <c r="A336">
        <v>335</v>
      </c>
      <c r="B336" t="s">
        <v>1052</v>
      </c>
      <c r="C336" t="s">
        <v>1497</v>
      </c>
      <c r="D336" t="s">
        <v>31</v>
      </c>
      <c r="E336" t="s">
        <v>1498</v>
      </c>
      <c r="F336" t="s">
        <v>1499</v>
      </c>
      <c r="G336" t="s">
        <v>315</v>
      </c>
      <c r="H336" t="s">
        <v>35</v>
      </c>
      <c r="I336">
        <v>10451</v>
      </c>
    </row>
    <row r="337" spans="1:9" x14ac:dyDescent="0.3">
      <c r="A337">
        <v>336</v>
      </c>
      <c r="B337" t="s">
        <v>1500</v>
      </c>
      <c r="C337" t="s">
        <v>1501</v>
      </c>
      <c r="D337" t="s">
        <v>1502</v>
      </c>
      <c r="E337" t="s">
        <v>1503</v>
      </c>
      <c r="F337" t="s">
        <v>1504</v>
      </c>
      <c r="G337" t="s">
        <v>231</v>
      </c>
      <c r="H337" t="s">
        <v>35</v>
      </c>
      <c r="I337">
        <v>14086</v>
      </c>
    </row>
    <row r="338" spans="1:9" x14ac:dyDescent="0.3">
      <c r="A338">
        <v>337</v>
      </c>
      <c r="B338" t="s">
        <v>1505</v>
      </c>
      <c r="C338" t="s">
        <v>1506</v>
      </c>
      <c r="D338" t="s">
        <v>31</v>
      </c>
      <c r="E338" t="s">
        <v>1507</v>
      </c>
      <c r="F338" t="s">
        <v>1508</v>
      </c>
      <c r="G338" t="s">
        <v>820</v>
      </c>
      <c r="H338" t="s">
        <v>35</v>
      </c>
      <c r="I338">
        <v>11420</v>
      </c>
    </row>
    <row r="339" spans="1:9" x14ac:dyDescent="0.3">
      <c r="A339">
        <v>338</v>
      </c>
      <c r="B339" t="s">
        <v>1509</v>
      </c>
      <c r="C339" t="s">
        <v>1013</v>
      </c>
      <c r="D339" t="s">
        <v>31</v>
      </c>
      <c r="E339" t="s">
        <v>1510</v>
      </c>
      <c r="F339" t="s">
        <v>1511</v>
      </c>
      <c r="G339" t="s">
        <v>1512</v>
      </c>
      <c r="H339" t="s">
        <v>35</v>
      </c>
      <c r="I339">
        <v>11375</v>
      </c>
    </row>
    <row r="340" spans="1:9" x14ac:dyDescent="0.3">
      <c r="A340">
        <v>339</v>
      </c>
      <c r="B340" t="s">
        <v>1513</v>
      </c>
      <c r="C340" t="s">
        <v>1514</v>
      </c>
      <c r="D340" t="s">
        <v>31</v>
      </c>
      <c r="E340" t="s">
        <v>1515</v>
      </c>
      <c r="F340" t="s">
        <v>1516</v>
      </c>
      <c r="G340" t="s">
        <v>320</v>
      </c>
      <c r="H340" t="s">
        <v>35</v>
      </c>
      <c r="I340">
        <v>11722</v>
      </c>
    </row>
    <row r="341" spans="1:9" x14ac:dyDescent="0.3">
      <c r="A341">
        <v>340</v>
      </c>
      <c r="B341" t="s">
        <v>1517</v>
      </c>
      <c r="C341" t="s">
        <v>1518</v>
      </c>
      <c r="D341" t="s">
        <v>31</v>
      </c>
      <c r="E341" t="s">
        <v>1519</v>
      </c>
      <c r="F341" t="s">
        <v>1520</v>
      </c>
      <c r="G341" t="s">
        <v>729</v>
      </c>
      <c r="H341" t="s">
        <v>35</v>
      </c>
      <c r="I341">
        <v>11787</v>
      </c>
    </row>
    <row r="342" spans="1:9" x14ac:dyDescent="0.3">
      <c r="A342">
        <v>341</v>
      </c>
      <c r="B342" t="s">
        <v>1521</v>
      </c>
      <c r="C342" t="s">
        <v>1522</v>
      </c>
      <c r="D342" t="s">
        <v>31</v>
      </c>
      <c r="E342" t="s">
        <v>1523</v>
      </c>
      <c r="F342" t="s">
        <v>1524</v>
      </c>
      <c r="G342" t="s">
        <v>1525</v>
      </c>
      <c r="H342" t="s">
        <v>35</v>
      </c>
      <c r="I342">
        <v>10550</v>
      </c>
    </row>
    <row r="343" spans="1:9" x14ac:dyDescent="0.3">
      <c r="A343">
        <v>342</v>
      </c>
      <c r="B343" t="s">
        <v>1526</v>
      </c>
      <c r="C343" t="s">
        <v>1527</v>
      </c>
      <c r="D343" t="s">
        <v>31</v>
      </c>
      <c r="E343" t="s">
        <v>1528</v>
      </c>
      <c r="F343" t="s">
        <v>1529</v>
      </c>
      <c r="G343" t="s">
        <v>287</v>
      </c>
      <c r="H343" t="s">
        <v>35</v>
      </c>
      <c r="I343">
        <v>11566</v>
      </c>
    </row>
    <row r="344" spans="1:9" x14ac:dyDescent="0.3">
      <c r="A344">
        <v>343</v>
      </c>
      <c r="B344" t="s">
        <v>1530</v>
      </c>
      <c r="C344" t="s">
        <v>1531</v>
      </c>
      <c r="D344" t="s">
        <v>31</v>
      </c>
      <c r="E344" t="s">
        <v>1532</v>
      </c>
      <c r="F344" t="s">
        <v>1533</v>
      </c>
      <c r="G344" t="s">
        <v>517</v>
      </c>
      <c r="H344" t="s">
        <v>35</v>
      </c>
      <c r="I344">
        <v>11725</v>
      </c>
    </row>
    <row r="345" spans="1:9" x14ac:dyDescent="0.3">
      <c r="A345">
        <v>344</v>
      </c>
      <c r="B345" t="s">
        <v>1534</v>
      </c>
      <c r="C345" t="s">
        <v>1535</v>
      </c>
      <c r="D345" t="s">
        <v>31</v>
      </c>
      <c r="E345" t="s">
        <v>1536</v>
      </c>
      <c r="F345" t="s">
        <v>1537</v>
      </c>
      <c r="G345" t="s">
        <v>1368</v>
      </c>
      <c r="H345" t="s">
        <v>41</v>
      </c>
      <c r="I345">
        <v>94043</v>
      </c>
    </row>
    <row r="346" spans="1:9" x14ac:dyDescent="0.3">
      <c r="A346">
        <v>345</v>
      </c>
      <c r="B346" t="s">
        <v>1538</v>
      </c>
      <c r="C346" t="s">
        <v>1539</v>
      </c>
      <c r="D346" t="s">
        <v>1540</v>
      </c>
      <c r="E346" t="s">
        <v>1541</v>
      </c>
      <c r="F346" t="s">
        <v>1542</v>
      </c>
      <c r="G346" t="s">
        <v>1000</v>
      </c>
      <c r="H346" t="s">
        <v>35</v>
      </c>
      <c r="I346">
        <v>12203</v>
      </c>
    </row>
    <row r="347" spans="1:9" x14ac:dyDescent="0.3">
      <c r="A347">
        <v>346</v>
      </c>
      <c r="B347" t="s">
        <v>1543</v>
      </c>
      <c r="C347" t="s">
        <v>1544</v>
      </c>
      <c r="D347" t="s">
        <v>31</v>
      </c>
      <c r="E347" t="s">
        <v>1545</v>
      </c>
      <c r="F347" t="s">
        <v>1546</v>
      </c>
      <c r="G347" t="s">
        <v>220</v>
      </c>
      <c r="H347" t="s">
        <v>35</v>
      </c>
      <c r="I347">
        <v>11378</v>
      </c>
    </row>
    <row r="348" spans="1:9" x14ac:dyDescent="0.3">
      <c r="A348">
        <v>347</v>
      </c>
      <c r="B348" t="s">
        <v>349</v>
      </c>
      <c r="C348" t="s">
        <v>1547</v>
      </c>
      <c r="D348" t="s">
        <v>1548</v>
      </c>
      <c r="E348" t="s">
        <v>1549</v>
      </c>
      <c r="F348" t="s">
        <v>1550</v>
      </c>
      <c r="G348" t="s">
        <v>191</v>
      </c>
      <c r="H348" t="s">
        <v>41</v>
      </c>
      <c r="I348">
        <v>94603</v>
      </c>
    </row>
    <row r="349" spans="1:9" x14ac:dyDescent="0.3">
      <c r="A349">
        <v>348</v>
      </c>
      <c r="B349" t="s">
        <v>1551</v>
      </c>
      <c r="C349" t="s">
        <v>1552</v>
      </c>
      <c r="D349" t="s">
        <v>31</v>
      </c>
      <c r="E349" t="s">
        <v>1553</v>
      </c>
      <c r="F349" t="s">
        <v>1554</v>
      </c>
      <c r="G349" t="s">
        <v>431</v>
      </c>
      <c r="H349" t="s">
        <v>41</v>
      </c>
      <c r="I349">
        <v>92236</v>
      </c>
    </row>
    <row r="350" spans="1:9" x14ac:dyDescent="0.3">
      <c r="A350">
        <v>349</v>
      </c>
      <c r="B350" t="s">
        <v>1555</v>
      </c>
      <c r="C350" t="s">
        <v>907</v>
      </c>
      <c r="D350" t="s">
        <v>31</v>
      </c>
      <c r="E350" t="s">
        <v>1556</v>
      </c>
      <c r="F350" t="s">
        <v>1557</v>
      </c>
      <c r="G350" t="s">
        <v>431</v>
      </c>
      <c r="H350" t="s">
        <v>41</v>
      </c>
      <c r="I350">
        <v>92236</v>
      </c>
    </row>
    <row r="351" spans="1:9" x14ac:dyDescent="0.3">
      <c r="A351">
        <v>350</v>
      </c>
      <c r="B351" t="s">
        <v>1558</v>
      </c>
      <c r="C351" t="s">
        <v>326</v>
      </c>
      <c r="D351" t="s">
        <v>31</v>
      </c>
      <c r="E351" t="s">
        <v>1559</v>
      </c>
      <c r="F351" t="s">
        <v>1560</v>
      </c>
      <c r="G351" t="s">
        <v>765</v>
      </c>
      <c r="H351" t="s">
        <v>35</v>
      </c>
      <c r="I351">
        <v>11706</v>
      </c>
    </row>
    <row r="352" spans="1:9" x14ac:dyDescent="0.3">
      <c r="A352">
        <v>351</v>
      </c>
      <c r="B352" t="s">
        <v>1561</v>
      </c>
      <c r="C352" t="s">
        <v>1562</v>
      </c>
      <c r="D352" t="s">
        <v>31</v>
      </c>
      <c r="E352" t="s">
        <v>1563</v>
      </c>
      <c r="F352" t="s">
        <v>1564</v>
      </c>
      <c r="G352" t="s">
        <v>88</v>
      </c>
      <c r="H352" t="s">
        <v>35</v>
      </c>
      <c r="I352">
        <v>10952</v>
      </c>
    </row>
    <row r="353" spans="1:9" x14ac:dyDescent="0.3">
      <c r="A353">
        <v>352</v>
      </c>
      <c r="B353" t="s">
        <v>1565</v>
      </c>
      <c r="C353" t="s">
        <v>1566</v>
      </c>
      <c r="D353" t="s">
        <v>31</v>
      </c>
      <c r="E353" t="s">
        <v>1567</v>
      </c>
      <c r="F353" t="s">
        <v>1568</v>
      </c>
      <c r="G353" t="s">
        <v>977</v>
      </c>
      <c r="H353" t="s">
        <v>35</v>
      </c>
      <c r="I353">
        <v>11432</v>
      </c>
    </row>
    <row r="354" spans="1:9" x14ac:dyDescent="0.3">
      <c r="A354">
        <v>353</v>
      </c>
      <c r="B354" t="s">
        <v>1569</v>
      </c>
      <c r="C354" t="s">
        <v>1074</v>
      </c>
      <c r="D354" t="s">
        <v>31</v>
      </c>
      <c r="E354" t="s">
        <v>1570</v>
      </c>
      <c r="F354" t="s">
        <v>1571</v>
      </c>
      <c r="G354" t="s">
        <v>88</v>
      </c>
      <c r="H354" t="s">
        <v>35</v>
      </c>
      <c r="I354">
        <v>10952</v>
      </c>
    </row>
    <row r="355" spans="1:9" x14ac:dyDescent="0.3">
      <c r="A355">
        <v>354</v>
      </c>
      <c r="B355" t="s">
        <v>1572</v>
      </c>
      <c r="C355" t="s">
        <v>259</v>
      </c>
      <c r="D355" t="s">
        <v>31</v>
      </c>
      <c r="E355" t="s">
        <v>1573</v>
      </c>
      <c r="F355" t="s">
        <v>1574</v>
      </c>
      <c r="G355" t="s">
        <v>171</v>
      </c>
      <c r="H355" t="s">
        <v>35</v>
      </c>
      <c r="I355">
        <v>11104</v>
      </c>
    </row>
    <row r="356" spans="1:9" x14ac:dyDescent="0.3">
      <c r="A356">
        <v>355</v>
      </c>
      <c r="B356" t="s">
        <v>460</v>
      </c>
      <c r="C356" t="s">
        <v>1575</v>
      </c>
      <c r="D356" t="s">
        <v>31</v>
      </c>
      <c r="E356" t="s">
        <v>1576</v>
      </c>
      <c r="F356" t="s">
        <v>1577</v>
      </c>
      <c r="G356" t="s">
        <v>765</v>
      </c>
      <c r="H356" t="s">
        <v>35</v>
      </c>
      <c r="I356">
        <v>11706</v>
      </c>
    </row>
    <row r="357" spans="1:9" x14ac:dyDescent="0.3">
      <c r="A357">
        <v>356</v>
      </c>
      <c r="B357" t="s">
        <v>1578</v>
      </c>
      <c r="C357" t="s">
        <v>1579</v>
      </c>
      <c r="D357" t="s">
        <v>31</v>
      </c>
      <c r="E357" t="s">
        <v>1580</v>
      </c>
      <c r="F357" t="s">
        <v>1581</v>
      </c>
      <c r="G357" t="s">
        <v>315</v>
      </c>
      <c r="H357" t="s">
        <v>35</v>
      </c>
      <c r="I357">
        <v>10451</v>
      </c>
    </row>
    <row r="358" spans="1:9" x14ac:dyDescent="0.3">
      <c r="A358">
        <v>357</v>
      </c>
      <c r="B358" t="s">
        <v>1582</v>
      </c>
      <c r="C358" t="s">
        <v>1583</v>
      </c>
      <c r="D358" t="s">
        <v>1584</v>
      </c>
      <c r="E358" t="s">
        <v>1585</v>
      </c>
      <c r="F358" t="s">
        <v>1586</v>
      </c>
      <c r="G358" t="s">
        <v>559</v>
      </c>
      <c r="H358" t="s">
        <v>41</v>
      </c>
      <c r="I358">
        <v>95127</v>
      </c>
    </row>
    <row r="359" spans="1:9" x14ac:dyDescent="0.3">
      <c r="A359">
        <v>358</v>
      </c>
      <c r="B359" t="s">
        <v>1587</v>
      </c>
      <c r="C359" t="s">
        <v>1588</v>
      </c>
      <c r="D359" t="s">
        <v>31</v>
      </c>
      <c r="E359" t="s">
        <v>1589</v>
      </c>
      <c r="F359" t="s">
        <v>1590</v>
      </c>
      <c r="G359" t="s">
        <v>1591</v>
      </c>
      <c r="H359" t="s">
        <v>35</v>
      </c>
      <c r="I359">
        <v>11793</v>
      </c>
    </row>
    <row r="360" spans="1:9" x14ac:dyDescent="0.3">
      <c r="A360">
        <v>359</v>
      </c>
      <c r="B360" t="s">
        <v>1592</v>
      </c>
      <c r="C360" t="s">
        <v>1593</v>
      </c>
      <c r="D360" t="s">
        <v>31</v>
      </c>
      <c r="E360" t="s">
        <v>1594</v>
      </c>
      <c r="F360" t="s">
        <v>1595</v>
      </c>
      <c r="G360" t="s">
        <v>1596</v>
      </c>
      <c r="H360" t="s">
        <v>41</v>
      </c>
      <c r="I360">
        <v>91768</v>
      </c>
    </row>
    <row r="361" spans="1:9" x14ac:dyDescent="0.3">
      <c r="A361">
        <v>360</v>
      </c>
      <c r="B361" t="s">
        <v>1597</v>
      </c>
      <c r="C361" t="s">
        <v>1598</v>
      </c>
      <c r="D361" t="s">
        <v>1599</v>
      </c>
      <c r="E361" t="s">
        <v>1600</v>
      </c>
      <c r="F361" t="s">
        <v>1601</v>
      </c>
      <c r="G361" t="s">
        <v>252</v>
      </c>
      <c r="H361" t="s">
        <v>100</v>
      </c>
      <c r="I361">
        <v>77016</v>
      </c>
    </row>
    <row r="362" spans="1:9" x14ac:dyDescent="0.3">
      <c r="A362">
        <v>361</v>
      </c>
      <c r="B362" t="s">
        <v>1602</v>
      </c>
      <c r="C362" t="s">
        <v>264</v>
      </c>
      <c r="D362" t="s">
        <v>31</v>
      </c>
      <c r="E362" t="s">
        <v>1603</v>
      </c>
      <c r="F362" t="s">
        <v>1604</v>
      </c>
      <c r="G362" t="s">
        <v>1605</v>
      </c>
      <c r="H362" t="s">
        <v>35</v>
      </c>
      <c r="I362">
        <v>11580</v>
      </c>
    </row>
    <row r="363" spans="1:9" x14ac:dyDescent="0.3">
      <c r="A363">
        <v>362</v>
      </c>
      <c r="B363" t="s">
        <v>870</v>
      </c>
      <c r="C363" t="s">
        <v>1606</v>
      </c>
      <c r="D363" t="s">
        <v>31</v>
      </c>
      <c r="E363" t="s">
        <v>1607</v>
      </c>
      <c r="F363" t="s">
        <v>1608</v>
      </c>
      <c r="G363" t="s">
        <v>1247</v>
      </c>
      <c r="H363" t="s">
        <v>35</v>
      </c>
      <c r="I363">
        <v>12401</v>
      </c>
    </row>
    <row r="364" spans="1:9" x14ac:dyDescent="0.3">
      <c r="A364">
        <v>363</v>
      </c>
      <c r="B364" t="s">
        <v>1609</v>
      </c>
      <c r="C364" t="s">
        <v>1610</v>
      </c>
      <c r="D364" t="s">
        <v>31</v>
      </c>
      <c r="E364" t="s">
        <v>1611</v>
      </c>
      <c r="F364" t="s">
        <v>1612</v>
      </c>
      <c r="G364" t="s">
        <v>958</v>
      </c>
      <c r="H364" t="s">
        <v>35</v>
      </c>
      <c r="I364">
        <v>12020</v>
      </c>
    </row>
    <row r="365" spans="1:9" x14ac:dyDescent="0.3">
      <c r="A365">
        <v>364</v>
      </c>
      <c r="B365" t="s">
        <v>1613</v>
      </c>
      <c r="C365" t="s">
        <v>1614</v>
      </c>
      <c r="D365" t="s">
        <v>31</v>
      </c>
      <c r="E365" t="s">
        <v>1615</v>
      </c>
      <c r="F365" t="s">
        <v>1616</v>
      </c>
      <c r="G365" t="s">
        <v>1617</v>
      </c>
      <c r="H365" t="s">
        <v>35</v>
      </c>
      <c r="I365">
        <v>14850</v>
      </c>
    </row>
    <row r="366" spans="1:9" x14ac:dyDescent="0.3">
      <c r="A366">
        <v>365</v>
      </c>
      <c r="B366" t="s">
        <v>1618</v>
      </c>
      <c r="C366" t="s">
        <v>1619</v>
      </c>
      <c r="D366" t="s">
        <v>31</v>
      </c>
      <c r="E366" t="s">
        <v>1620</v>
      </c>
      <c r="F366" t="s">
        <v>1621</v>
      </c>
      <c r="G366" t="s">
        <v>500</v>
      </c>
      <c r="H366" t="s">
        <v>35</v>
      </c>
      <c r="I366">
        <v>11361</v>
      </c>
    </row>
    <row r="367" spans="1:9" x14ac:dyDescent="0.3">
      <c r="A367">
        <v>366</v>
      </c>
      <c r="B367" t="s">
        <v>1622</v>
      </c>
      <c r="C367" t="s">
        <v>1400</v>
      </c>
      <c r="D367" t="s">
        <v>31</v>
      </c>
      <c r="E367" t="s">
        <v>1623</v>
      </c>
      <c r="F367" t="s">
        <v>1624</v>
      </c>
      <c r="G367" t="s">
        <v>553</v>
      </c>
      <c r="H367" t="s">
        <v>35</v>
      </c>
      <c r="I367">
        <v>11001</v>
      </c>
    </row>
    <row r="368" spans="1:9" x14ac:dyDescent="0.3">
      <c r="A368">
        <v>367</v>
      </c>
      <c r="B368" t="s">
        <v>1625</v>
      </c>
      <c r="C368" t="s">
        <v>1228</v>
      </c>
      <c r="D368" t="s">
        <v>31</v>
      </c>
      <c r="E368" t="s">
        <v>1626</v>
      </c>
      <c r="F368" t="s">
        <v>1627</v>
      </c>
      <c r="G368" t="s">
        <v>1260</v>
      </c>
      <c r="H368" t="s">
        <v>35</v>
      </c>
      <c r="I368">
        <v>11417</v>
      </c>
    </row>
    <row r="369" spans="1:9" x14ac:dyDescent="0.3">
      <c r="A369">
        <v>368</v>
      </c>
      <c r="B369" t="s">
        <v>1628</v>
      </c>
      <c r="C369" t="s">
        <v>1593</v>
      </c>
      <c r="D369" t="s">
        <v>31</v>
      </c>
      <c r="E369" t="s">
        <v>1629</v>
      </c>
      <c r="F369" t="s">
        <v>1630</v>
      </c>
      <c r="G369" t="s">
        <v>1512</v>
      </c>
      <c r="H369" t="s">
        <v>35</v>
      </c>
      <c r="I369">
        <v>11375</v>
      </c>
    </row>
    <row r="370" spans="1:9" x14ac:dyDescent="0.3">
      <c r="A370">
        <v>369</v>
      </c>
      <c r="B370" t="s">
        <v>1631</v>
      </c>
      <c r="C370" t="s">
        <v>1632</v>
      </c>
      <c r="D370" t="s">
        <v>31</v>
      </c>
      <c r="E370" t="s">
        <v>1633</v>
      </c>
      <c r="F370" t="s">
        <v>1634</v>
      </c>
      <c r="G370" t="s">
        <v>803</v>
      </c>
      <c r="H370" t="s">
        <v>35</v>
      </c>
      <c r="I370">
        <v>11377</v>
      </c>
    </row>
    <row r="371" spans="1:9" x14ac:dyDescent="0.3">
      <c r="A371">
        <v>370</v>
      </c>
      <c r="B371" t="s">
        <v>1635</v>
      </c>
      <c r="C371" t="s">
        <v>1636</v>
      </c>
      <c r="D371" t="s">
        <v>31</v>
      </c>
      <c r="E371" t="s">
        <v>1637</v>
      </c>
      <c r="F371" t="s">
        <v>1638</v>
      </c>
      <c r="G371" t="s">
        <v>616</v>
      </c>
      <c r="H371" t="s">
        <v>35</v>
      </c>
      <c r="I371">
        <v>11414</v>
      </c>
    </row>
    <row r="372" spans="1:9" x14ac:dyDescent="0.3">
      <c r="A372">
        <v>371</v>
      </c>
      <c r="B372" t="s">
        <v>1639</v>
      </c>
      <c r="C372" t="s">
        <v>70</v>
      </c>
      <c r="D372" t="s">
        <v>31</v>
      </c>
      <c r="E372" t="s">
        <v>1640</v>
      </c>
      <c r="F372" t="s">
        <v>1641</v>
      </c>
      <c r="G372" t="s">
        <v>1642</v>
      </c>
      <c r="H372" t="s">
        <v>35</v>
      </c>
      <c r="I372">
        <v>11422</v>
      </c>
    </row>
    <row r="373" spans="1:9" x14ac:dyDescent="0.3">
      <c r="A373">
        <v>372</v>
      </c>
      <c r="B373" t="s">
        <v>1643</v>
      </c>
      <c r="C373" t="s">
        <v>1644</v>
      </c>
      <c r="D373" t="s">
        <v>31</v>
      </c>
      <c r="E373" t="s">
        <v>1645</v>
      </c>
      <c r="F373" t="s">
        <v>1646</v>
      </c>
      <c r="G373" t="s">
        <v>1647</v>
      </c>
      <c r="H373" t="s">
        <v>35</v>
      </c>
      <c r="I373">
        <v>12590</v>
      </c>
    </row>
    <row r="374" spans="1:9" x14ac:dyDescent="0.3">
      <c r="A374">
        <v>373</v>
      </c>
      <c r="B374" t="s">
        <v>1648</v>
      </c>
      <c r="C374" t="s">
        <v>1649</v>
      </c>
      <c r="D374" t="s">
        <v>31</v>
      </c>
      <c r="E374" t="s">
        <v>1650</v>
      </c>
      <c r="F374" t="s">
        <v>1651</v>
      </c>
      <c r="G374" t="s">
        <v>302</v>
      </c>
      <c r="H374" t="s">
        <v>35</v>
      </c>
      <c r="I374">
        <v>13501</v>
      </c>
    </row>
    <row r="375" spans="1:9" x14ac:dyDescent="0.3">
      <c r="A375">
        <v>374</v>
      </c>
      <c r="B375" t="s">
        <v>1652</v>
      </c>
      <c r="C375" t="s">
        <v>1653</v>
      </c>
      <c r="D375" t="s">
        <v>31</v>
      </c>
      <c r="E375" t="s">
        <v>1654</v>
      </c>
      <c r="F375" t="s">
        <v>1655</v>
      </c>
      <c r="G375" t="s">
        <v>287</v>
      </c>
      <c r="H375" t="s">
        <v>35</v>
      </c>
      <c r="I375">
        <v>11566</v>
      </c>
    </row>
    <row r="376" spans="1:9" x14ac:dyDescent="0.3">
      <c r="A376">
        <v>375</v>
      </c>
      <c r="B376" t="s">
        <v>451</v>
      </c>
      <c r="C376" t="s">
        <v>1649</v>
      </c>
      <c r="D376" t="s">
        <v>31</v>
      </c>
      <c r="E376" t="s">
        <v>1656</v>
      </c>
      <c r="F376" t="s">
        <v>1657</v>
      </c>
      <c r="G376" t="s">
        <v>51</v>
      </c>
      <c r="H376" t="s">
        <v>35</v>
      </c>
      <c r="I376">
        <v>11553</v>
      </c>
    </row>
    <row r="377" spans="1:9" x14ac:dyDescent="0.3">
      <c r="A377">
        <v>376</v>
      </c>
      <c r="B377" t="s">
        <v>1658</v>
      </c>
      <c r="C377" t="s">
        <v>1659</v>
      </c>
      <c r="D377" t="s">
        <v>31</v>
      </c>
      <c r="E377" t="s">
        <v>1660</v>
      </c>
      <c r="F377" t="s">
        <v>1661</v>
      </c>
      <c r="G377" t="s">
        <v>140</v>
      </c>
      <c r="H377" t="s">
        <v>100</v>
      </c>
      <c r="I377">
        <v>77904</v>
      </c>
    </row>
    <row r="378" spans="1:9" x14ac:dyDescent="0.3">
      <c r="A378">
        <v>377</v>
      </c>
      <c r="B378" t="s">
        <v>881</v>
      </c>
      <c r="C378" t="s">
        <v>307</v>
      </c>
      <c r="D378" t="s">
        <v>31</v>
      </c>
      <c r="E378" t="s">
        <v>1662</v>
      </c>
      <c r="F378" t="s">
        <v>1663</v>
      </c>
      <c r="G378" t="s">
        <v>715</v>
      </c>
      <c r="H378" t="s">
        <v>35</v>
      </c>
      <c r="I378">
        <v>10573</v>
      </c>
    </row>
    <row r="379" spans="1:9" x14ac:dyDescent="0.3">
      <c r="A379">
        <v>378</v>
      </c>
      <c r="B379" t="s">
        <v>1664</v>
      </c>
      <c r="C379" t="s">
        <v>1665</v>
      </c>
      <c r="D379" t="s">
        <v>31</v>
      </c>
      <c r="E379" t="s">
        <v>1666</v>
      </c>
      <c r="F379" t="s">
        <v>1667</v>
      </c>
      <c r="G379" t="s">
        <v>1525</v>
      </c>
      <c r="H379" t="s">
        <v>35</v>
      </c>
      <c r="I379">
        <v>10550</v>
      </c>
    </row>
    <row r="380" spans="1:9" x14ac:dyDescent="0.3">
      <c r="A380">
        <v>379</v>
      </c>
      <c r="B380" t="s">
        <v>1668</v>
      </c>
      <c r="C380" t="s">
        <v>1669</v>
      </c>
      <c r="D380" t="s">
        <v>31</v>
      </c>
      <c r="E380" t="s">
        <v>1670</v>
      </c>
      <c r="F380" t="s">
        <v>1671</v>
      </c>
      <c r="G380" t="s">
        <v>51</v>
      </c>
      <c r="H380" t="s">
        <v>35</v>
      </c>
      <c r="I380">
        <v>11553</v>
      </c>
    </row>
    <row r="381" spans="1:9" x14ac:dyDescent="0.3">
      <c r="A381">
        <v>380</v>
      </c>
      <c r="B381" t="s">
        <v>1672</v>
      </c>
      <c r="C381" t="s">
        <v>579</v>
      </c>
      <c r="D381" t="s">
        <v>31</v>
      </c>
      <c r="E381" t="s">
        <v>1673</v>
      </c>
      <c r="F381" t="s">
        <v>1674</v>
      </c>
      <c r="G381" t="s">
        <v>995</v>
      </c>
      <c r="H381" t="s">
        <v>35</v>
      </c>
      <c r="I381">
        <v>11784</v>
      </c>
    </row>
    <row r="382" spans="1:9" x14ac:dyDescent="0.3">
      <c r="A382">
        <v>381</v>
      </c>
      <c r="B382" t="s">
        <v>1675</v>
      </c>
      <c r="C382" t="s">
        <v>1467</v>
      </c>
      <c r="D382" t="s">
        <v>31</v>
      </c>
      <c r="E382" t="s">
        <v>1676</v>
      </c>
      <c r="F382" t="s">
        <v>1677</v>
      </c>
      <c r="G382" t="s">
        <v>315</v>
      </c>
      <c r="H382" t="s">
        <v>35</v>
      </c>
      <c r="I382">
        <v>10451</v>
      </c>
    </row>
    <row r="383" spans="1:9" x14ac:dyDescent="0.3">
      <c r="A383">
        <v>382</v>
      </c>
      <c r="B383" t="s">
        <v>1678</v>
      </c>
      <c r="C383" t="s">
        <v>884</v>
      </c>
      <c r="D383" t="s">
        <v>31</v>
      </c>
      <c r="E383" t="s">
        <v>1679</v>
      </c>
      <c r="F383" t="s">
        <v>1680</v>
      </c>
      <c r="G383" t="s">
        <v>616</v>
      </c>
      <c r="H383" t="s">
        <v>35</v>
      </c>
      <c r="I383">
        <v>11414</v>
      </c>
    </row>
    <row r="384" spans="1:9" x14ac:dyDescent="0.3">
      <c r="A384">
        <v>383</v>
      </c>
      <c r="B384" t="s">
        <v>1681</v>
      </c>
      <c r="C384" t="s">
        <v>1682</v>
      </c>
      <c r="D384" t="s">
        <v>31</v>
      </c>
      <c r="E384" t="s">
        <v>1683</v>
      </c>
      <c r="F384" t="s">
        <v>1684</v>
      </c>
      <c r="G384" t="s">
        <v>1020</v>
      </c>
      <c r="H384" t="s">
        <v>35</v>
      </c>
      <c r="I384">
        <v>11357</v>
      </c>
    </row>
    <row r="385" spans="1:9" x14ac:dyDescent="0.3">
      <c r="A385">
        <v>384</v>
      </c>
      <c r="B385" t="s">
        <v>1685</v>
      </c>
      <c r="C385" t="s">
        <v>1686</v>
      </c>
      <c r="D385" t="s">
        <v>31</v>
      </c>
      <c r="E385" t="s">
        <v>1687</v>
      </c>
      <c r="F385" t="s">
        <v>1688</v>
      </c>
      <c r="G385" t="s">
        <v>1689</v>
      </c>
      <c r="H385" t="s">
        <v>35</v>
      </c>
      <c r="I385">
        <v>11354</v>
      </c>
    </row>
    <row r="386" spans="1:9" x14ac:dyDescent="0.3">
      <c r="A386">
        <v>385</v>
      </c>
      <c r="B386" t="s">
        <v>1690</v>
      </c>
      <c r="C386" t="s">
        <v>1691</v>
      </c>
      <c r="D386" t="s">
        <v>31</v>
      </c>
      <c r="E386" t="s">
        <v>1692</v>
      </c>
      <c r="F386" t="s">
        <v>1693</v>
      </c>
      <c r="G386" t="s">
        <v>297</v>
      </c>
      <c r="H386" t="s">
        <v>41</v>
      </c>
      <c r="I386">
        <v>91740</v>
      </c>
    </row>
    <row r="387" spans="1:9" x14ac:dyDescent="0.3">
      <c r="A387">
        <v>386</v>
      </c>
      <c r="B387" t="s">
        <v>1694</v>
      </c>
      <c r="C387" t="s">
        <v>1695</v>
      </c>
      <c r="D387" t="s">
        <v>31</v>
      </c>
      <c r="E387" t="s">
        <v>1696</v>
      </c>
      <c r="F387" t="s">
        <v>1697</v>
      </c>
      <c r="G387" t="s">
        <v>464</v>
      </c>
      <c r="H387" t="s">
        <v>41</v>
      </c>
      <c r="I387">
        <v>91784</v>
      </c>
    </row>
    <row r="388" spans="1:9" x14ac:dyDescent="0.3">
      <c r="A388">
        <v>387</v>
      </c>
      <c r="B388" t="s">
        <v>1698</v>
      </c>
      <c r="C388" t="s">
        <v>1699</v>
      </c>
      <c r="D388" t="s">
        <v>31</v>
      </c>
      <c r="E388" t="s">
        <v>1700</v>
      </c>
      <c r="F388" t="s">
        <v>1701</v>
      </c>
      <c r="G388" t="s">
        <v>544</v>
      </c>
      <c r="H388" t="s">
        <v>35</v>
      </c>
      <c r="I388">
        <v>11373</v>
      </c>
    </row>
    <row r="389" spans="1:9" x14ac:dyDescent="0.3">
      <c r="A389">
        <v>388</v>
      </c>
      <c r="B389" t="s">
        <v>131</v>
      </c>
      <c r="C389" t="s">
        <v>628</v>
      </c>
      <c r="D389" t="s">
        <v>31</v>
      </c>
      <c r="E389" t="s">
        <v>1702</v>
      </c>
      <c r="F389" t="s">
        <v>1703</v>
      </c>
      <c r="G389" t="s">
        <v>1020</v>
      </c>
      <c r="H389" t="s">
        <v>35</v>
      </c>
      <c r="I389">
        <v>11357</v>
      </c>
    </row>
    <row r="390" spans="1:9" x14ac:dyDescent="0.3">
      <c r="A390">
        <v>389</v>
      </c>
      <c r="B390" t="s">
        <v>1704</v>
      </c>
      <c r="C390" t="s">
        <v>1705</v>
      </c>
      <c r="D390" t="s">
        <v>31</v>
      </c>
      <c r="E390" t="s">
        <v>1706</v>
      </c>
      <c r="F390" t="s">
        <v>1707</v>
      </c>
      <c r="G390" t="s">
        <v>334</v>
      </c>
      <c r="H390" t="s">
        <v>100</v>
      </c>
      <c r="I390">
        <v>76901</v>
      </c>
    </row>
    <row r="391" spans="1:9" x14ac:dyDescent="0.3">
      <c r="A391">
        <v>390</v>
      </c>
      <c r="B391" t="s">
        <v>354</v>
      </c>
      <c r="C391" t="s">
        <v>1708</v>
      </c>
      <c r="D391" t="s">
        <v>31</v>
      </c>
      <c r="E391" t="s">
        <v>1709</v>
      </c>
      <c r="F391" t="s">
        <v>1710</v>
      </c>
      <c r="G391" t="s">
        <v>1273</v>
      </c>
      <c r="H391" t="s">
        <v>35</v>
      </c>
      <c r="I391">
        <v>11779</v>
      </c>
    </row>
    <row r="392" spans="1:9" x14ac:dyDescent="0.3">
      <c r="A392">
        <v>391</v>
      </c>
      <c r="B392" t="s">
        <v>1711</v>
      </c>
      <c r="C392" t="s">
        <v>1712</v>
      </c>
      <c r="D392" t="s">
        <v>31</v>
      </c>
      <c r="E392" t="s">
        <v>1713</v>
      </c>
      <c r="F392" t="s">
        <v>1714</v>
      </c>
      <c r="G392" t="s">
        <v>1715</v>
      </c>
      <c r="H392" t="s">
        <v>41</v>
      </c>
      <c r="I392">
        <v>93635</v>
      </c>
    </row>
    <row r="393" spans="1:9" x14ac:dyDescent="0.3">
      <c r="A393">
        <v>392</v>
      </c>
      <c r="B393" t="s">
        <v>1716</v>
      </c>
      <c r="C393" t="s">
        <v>1717</v>
      </c>
      <c r="D393" t="s">
        <v>31</v>
      </c>
      <c r="E393" t="s">
        <v>1718</v>
      </c>
      <c r="F393" t="s">
        <v>1719</v>
      </c>
      <c r="G393" t="s">
        <v>544</v>
      </c>
      <c r="H393" t="s">
        <v>35</v>
      </c>
      <c r="I393">
        <v>11373</v>
      </c>
    </row>
    <row r="394" spans="1:9" x14ac:dyDescent="0.3">
      <c r="A394">
        <v>393</v>
      </c>
      <c r="B394" t="s">
        <v>1720</v>
      </c>
      <c r="C394" t="s">
        <v>1721</v>
      </c>
      <c r="D394" t="s">
        <v>31</v>
      </c>
      <c r="E394" t="s">
        <v>1722</v>
      </c>
      <c r="F394" t="s">
        <v>1723</v>
      </c>
      <c r="G394" t="s">
        <v>464</v>
      </c>
      <c r="H394" t="s">
        <v>41</v>
      </c>
      <c r="I394">
        <v>91784</v>
      </c>
    </row>
    <row r="395" spans="1:9" x14ac:dyDescent="0.3">
      <c r="A395">
        <v>394</v>
      </c>
      <c r="B395" t="s">
        <v>1724</v>
      </c>
      <c r="C395" t="s">
        <v>1725</v>
      </c>
      <c r="D395" t="s">
        <v>31</v>
      </c>
      <c r="E395" t="s">
        <v>1726</v>
      </c>
      <c r="F395" t="s">
        <v>1727</v>
      </c>
      <c r="G395" t="s">
        <v>386</v>
      </c>
      <c r="H395" t="s">
        <v>41</v>
      </c>
      <c r="I395">
        <v>91733</v>
      </c>
    </row>
    <row r="396" spans="1:9" x14ac:dyDescent="0.3">
      <c r="A396">
        <v>395</v>
      </c>
      <c r="B396" t="s">
        <v>1728</v>
      </c>
      <c r="C396" t="s">
        <v>1729</v>
      </c>
      <c r="D396" t="s">
        <v>31</v>
      </c>
      <c r="E396" t="s">
        <v>1730</v>
      </c>
      <c r="F396" t="s">
        <v>1731</v>
      </c>
      <c r="G396" t="s">
        <v>215</v>
      </c>
      <c r="H396" t="s">
        <v>35</v>
      </c>
      <c r="I396">
        <v>13090</v>
      </c>
    </row>
    <row r="397" spans="1:9" x14ac:dyDescent="0.3">
      <c r="A397">
        <v>396</v>
      </c>
      <c r="B397" t="s">
        <v>1732</v>
      </c>
      <c r="C397" t="s">
        <v>1733</v>
      </c>
      <c r="D397" t="s">
        <v>31</v>
      </c>
      <c r="E397" t="s">
        <v>1734</v>
      </c>
      <c r="F397" t="s">
        <v>1735</v>
      </c>
      <c r="G397" t="s">
        <v>1149</v>
      </c>
      <c r="H397" t="s">
        <v>35</v>
      </c>
      <c r="I397">
        <v>14304</v>
      </c>
    </row>
    <row r="398" spans="1:9" x14ac:dyDescent="0.3">
      <c r="A398">
        <v>397</v>
      </c>
      <c r="B398" t="s">
        <v>1736</v>
      </c>
      <c r="C398" t="s">
        <v>1737</v>
      </c>
      <c r="D398" t="s">
        <v>31</v>
      </c>
      <c r="E398" t="s">
        <v>1738</v>
      </c>
      <c r="F398" t="s">
        <v>1739</v>
      </c>
      <c r="G398" t="s">
        <v>469</v>
      </c>
      <c r="H398" t="s">
        <v>35</v>
      </c>
      <c r="I398">
        <v>11010</v>
      </c>
    </row>
    <row r="399" spans="1:9" x14ac:dyDescent="0.3">
      <c r="A399">
        <v>398</v>
      </c>
      <c r="B399" t="s">
        <v>1740</v>
      </c>
      <c r="C399" t="s">
        <v>1741</v>
      </c>
      <c r="D399" t="s">
        <v>31</v>
      </c>
      <c r="E399" t="s">
        <v>1742</v>
      </c>
      <c r="F399" t="s">
        <v>1743</v>
      </c>
      <c r="G399" t="s">
        <v>171</v>
      </c>
      <c r="H399" t="s">
        <v>35</v>
      </c>
      <c r="I399">
        <v>11104</v>
      </c>
    </row>
    <row r="400" spans="1:9" x14ac:dyDescent="0.3">
      <c r="A400">
        <v>399</v>
      </c>
      <c r="B400" t="s">
        <v>1744</v>
      </c>
      <c r="C400" t="s">
        <v>848</v>
      </c>
      <c r="D400" t="s">
        <v>31</v>
      </c>
      <c r="E400" t="s">
        <v>1745</v>
      </c>
      <c r="F400" t="s">
        <v>1746</v>
      </c>
      <c r="G400" t="s">
        <v>1247</v>
      </c>
      <c r="H400" t="s">
        <v>35</v>
      </c>
      <c r="I400">
        <v>12401</v>
      </c>
    </row>
    <row r="401" spans="1:9" x14ac:dyDescent="0.3">
      <c r="A401">
        <v>400</v>
      </c>
      <c r="B401" t="s">
        <v>1747</v>
      </c>
      <c r="C401" t="s">
        <v>1748</v>
      </c>
      <c r="D401" t="s">
        <v>31</v>
      </c>
      <c r="E401" t="s">
        <v>1749</v>
      </c>
      <c r="F401" t="s">
        <v>1750</v>
      </c>
      <c r="G401" t="s">
        <v>1751</v>
      </c>
      <c r="H401" t="s">
        <v>35</v>
      </c>
      <c r="I401">
        <v>14043</v>
      </c>
    </row>
    <row r="402" spans="1:9" x14ac:dyDescent="0.3">
      <c r="A402">
        <v>401</v>
      </c>
      <c r="B402" t="s">
        <v>1752</v>
      </c>
      <c r="C402" t="s">
        <v>1544</v>
      </c>
      <c r="D402" t="s">
        <v>31</v>
      </c>
      <c r="E402" t="s">
        <v>1753</v>
      </c>
      <c r="F402" t="s">
        <v>1754</v>
      </c>
      <c r="G402" t="s">
        <v>99</v>
      </c>
      <c r="H402" t="s">
        <v>100</v>
      </c>
      <c r="I402">
        <v>75604</v>
      </c>
    </row>
    <row r="403" spans="1:9" x14ac:dyDescent="0.3">
      <c r="A403">
        <v>402</v>
      </c>
      <c r="B403" t="s">
        <v>1755</v>
      </c>
      <c r="C403" t="s">
        <v>885</v>
      </c>
      <c r="D403" t="s">
        <v>31</v>
      </c>
      <c r="E403" t="s">
        <v>1756</v>
      </c>
      <c r="F403" t="s">
        <v>1757</v>
      </c>
      <c r="G403" t="s">
        <v>599</v>
      </c>
      <c r="H403" t="s">
        <v>35</v>
      </c>
      <c r="I403">
        <v>14534</v>
      </c>
    </row>
    <row r="404" spans="1:9" x14ac:dyDescent="0.3">
      <c r="A404">
        <v>403</v>
      </c>
      <c r="B404" t="s">
        <v>1758</v>
      </c>
      <c r="C404" t="s">
        <v>1759</v>
      </c>
      <c r="D404" t="s">
        <v>31</v>
      </c>
      <c r="E404" t="s">
        <v>1760</v>
      </c>
      <c r="F404" t="s">
        <v>1761</v>
      </c>
      <c r="G404" t="s">
        <v>1123</v>
      </c>
      <c r="H404" t="s">
        <v>41</v>
      </c>
      <c r="I404">
        <v>91387</v>
      </c>
    </row>
    <row r="405" spans="1:9" x14ac:dyDescent="0.3">
      <c r="A405">
        <v>404</v>
      </c>
      <c r="B405" t="s">
        <v>1762</v>
      </c>
      <c r="C405" t="s">
        <v>867</v>
      </c>
      <c r="D405" t="s">
        <v>31</v>
      </c>
      <c r="E405" t="s">
        <v>1763</v>
      </c>
      <c r="F405" t="s">
        <v>1764</v>
      </c>
      <c r="G405" t="s">
        <v>958</v>
      </c>
      <c r="H405" t="s">
        <v>35</v>
      </c>
      <c r="I405">
        <v>12020</v>
      </c>
    </row>
    <row r="406" spans="1:9" x14ac:dyDescent="0.3">
      <c r="A406">
        <v>405</v>
      </c>
      <c r="B406" t="s">
        <v>1765</v>
      </c>
      <c r="C406" t="s">
        <v>762</v>
      </c>
      <c r="D406" t="s">
        <v>31</v>
      </c>
      <c r="E406" t="s">
        <v>1766</v>
      </c>
      <c r="F406" t="s">
        <v>1767</v>
      </c>
      <c r="G406" t="s">
        <v>517</v>
      </c>
      <c r="H406" t="s">
        <v>35</v>
      </c>
      <c r="I406">
        <v>11725</v>
      </c>
    </row>
    <row r="407" spans="1:9" x14ac:dyDescent="0.3">
      <c r="A407">
        <v>406</v>
      </c>
      <c r="B407" t="s">
        <v>1755</v>
      </c>
      <c r="C407" t="s">
        <v>937</v>
      </c>
      <c r="D407" t="s">
        <v>31</v>
      </c>
      <c r="E407" t="s">
        <v>1768</v>
      </c>
      <c r="F407" t="s">
        <v>1769</v>
      </c>
      <c r="G407" t="s">
        <v>1770</v>
      </c>
      <c r="H407" t="s">
        <v>35</v>
      </c>
      <c r="I407">
        <v>11967</v>
      </c>
    </row>
    <row r="408" spans="1:9" x14ac:dyDescent="0.3">
      <c r="A408">
        <v>407</v>
      </c>
      <c r="B408" t="s">
        <v>1771</v>
      </c>
      <c r="C408" t="s">
        <v>1772</v>
      </c>
      <c r="D408" t="s">
        <v>31</v>
      </c>
      <c r="E408" t="s">
        <v>1773</v>
      </c>
      <c r="F408" t="s">
        <v>1774</v>
      </c>
      <c r="G408" t="s">
        <v>1141</v>
      </c>
      <c r="H408" t="s">
        <v>41</v>
      </c>
      <c r="I408">
        <v>94806</v>
      </c>
    </row>
    <row r="409" spans="1:9" x14ac:dyDescent="0.3">
      <c r="A409">
        <v>408</v>
      </c>
      <c r="B409" t="s">
        <v>1775</v>
      </c>
      <c r="C409" t="s">
        <v>1776</v>
      </c>
      <c r="D409" t="s">
        <v>31</v>
      </c>
      <c r="E409" t="s">
        <v>1777</v>
      </c>
      <c r="F409" t="s">
        <v>1778</v>
      </c>
      <c r="G409" t="s">
        <v>320</v>
      </c>
      <c r="H409" t="s">
        <v>35</v>
      </c>
      <c r="I409">
        <v>11722</v>
      </c>
    </row>
    <row r="410" spans="1:9" x14ac:dyDescent="0.3">
      <c r="A410">
        <v>409</v>
      </c>
      <c r="B410" t="s">
        <v>1779</v>
      </c>
      <c r="C410" t="s">
        <v>960</v>
      </c>
      <c r="D410" t="s">
        <v>31</v>
      </c>
      <c r="E410" t="s">
        <v>1780</v>
      </c>
      <c r="F410" t="s">
        <v>1781</v>
      </c>
      <c r="G410" t="s">
        <v>1782</v>
      </c>
      <c r="H410" t="s">
        <v>35</v>
      </c>
      <c r="I410">
        <v>10512</v>
      </c>
    </row>
    <row r="411" spans="1:9" x14ac:dyDescent="0.3">
      <c r="A411">
        <v>410</v>
      </c>
      <c r="B411" t="s">
        <v>1783</v>
      </c>
      <c r="C411" t="s">
        <v>1451</v>
      </c>
      <c r="D411" t="s">
        <v>31</v>
      </c>
      <c r="E411" t="s">
        <v>1784</v>
      </c>
      <c r="F411" t="s">
        <v>1785</v>
      </c>
      <c r="G411" t="s">
        <v>1242</v>
      </c>
      <c r="H411" t="s">
        <v>35</v>
      </c>
      <c r="I411">
        <v>11710</v>
      </c>
    </row>
    <row r="412" spans="1:9" x14ac:dyDescent="0.3">
      <c r="A412">
        <v>411</v>
      </c>
      <c r="B412" t="s">
        <v>1786</v>
      </c>
      <c r="C412" t="s">
        <v>1787</v>
      </c>
      <c r="D412" t="s">
        <v>1788</v>
      </c>
      <c r="E412" t="s">
        <v>1789</v>
      </c>
      <c r="F412" t="s">
        <v>1790</v>
      </c>
      <c r="G412" t="s">
        <v>116</v>
      </c>
      <c r="H412" t="s">
        <v>35</v>
      </c>
      <c r="I412">
        <v>10002</v>
      </c>
    </row>
    <row r="413" spans="1:9" x14ac:dyDescent="0.3">
      <c r="A413">
        <v>412</v>
      </c>
      <c r="B413" t="s">
        <v>1791</v>
      </c>
      <c r="C413" t="s">
        <v>1792</v>
      </c>
      <c r="D413" t="s">
        <v>31</v>
      </c>
      <c r="E413" t="s">
        <v>1793</v>
      </c>
      <c r="F413" t="s">
        <v>1794</v>
      </c>
      <c r="G413" t="s">
        <v>171</v>
      </c>
      <c r="H413" t="s">
        <v>35</v>
      </c>
      <c r="I413">
        <v>11104</v>
      </c>
    </row>
    <row r="414" spans="1:9" x14ac:dyDescent="0.3">
      <c r="A414">
        <v>413</v>
      </c>
      <c r="B414" t="s">
        <v>1795</v>
      </c>
      <c r="C414" t="s">
        <v>1796</v>
      </c>
      <c r="D414" t="s">
        <v>31</v>
      </c>
      <c r="E414" t="s">
        <v>1797</v>
      </c>
      <c r="F414" t="s">
        <v>1798</v>
      </c>
      <c r="G414" t="s">
        <v>75</v>
      </c>
      <c r="H414" t="s">
        <v>35</v>
      </c>
      <c r="I414">
        <v>11510</v>
      </c>
    </row>
    <row r="415" spans="1:9" x14ac:dyDescent="0.3">
      <c r="A415">
        <v>414</v>
      </c>
      <c r="B415" t="s">
        <v>1799</v>
      </c>
      <c r="C415" t="s">
        <v>1800</v>
      </c>
      <c r="D415" t="s">
        <v>31</v>
      </c>
      <c r="E415" t="s">
        <v>1801</v>
      </c>
      <c r="F415" t="s">
        <v>1802</v>
      </c>
      <c r="G415" t="s">
        <v>1617</v>
      </c>
      <c r="H415" t="s">
        <v>35</v>
      </c>
      <c r="I415">
        <v>14850</v>
      </c>
    </row>
    <row r="416" spans="1:9" x14ac:dyDescent="0.3">
      <c r="A416">
        <v>415</v>
      </c>
      <c r="B416" t="s">
        <v>1803</v>
      </c>
      <c r="C416" t="s">
        <v>1804</v>
      </c>
      <c r="D416" t="s">
        <v>31</v>
      </c>
      <c r="E416" t="s">
        <v>1805</v>
      </c>
      <c r="F416" t="s">
        <v>1806</v>
      </c>
      <c r="G416" t="s">
        <v>1807</v>
      </c>
      <c r="H416" t="s">
        <v>100</v>
      </c>
      <c r="I416">
        <v>78552</v>
      </c>
    </row>
    <row r="417" spans="1:9" x14ac:dyDescent="0.3">
      <c r="A417">
        <v>416</v>
      </c>
      <c r="B417" t="s">
        <v>1808</v>
      </c>
      <c r="C417" t="s">
        <v>1809</v>
      </c>
      <c r="D417" t="s">
        <v>1810</v>
      </c>
      <c r="E417" t="s">
        <v>1811</v>
      </c>
      <c r="F417" t="s">
        <v>1812</v>
      </c>
      <c r="G417" t="s">
        <v>94</v>
      </c>
      <c r="H417" t="s">
        <v>35</v>
      </c>
      <c r="I417">
        <v>11550</v>
      </c>
    </row>
    <row r="418" spans="1:9" x14ac:dyDescent="0.3">
      <c r="A418">
        <v>417</v>
      </c>
      <c r="B418" t="s">
        <v>1813</v>
      </c>
      <c r="C418" t="s">
        <v>1814</v>
      </c>
      <c r="D418" t="s">
        <v>31</v>
      </c>
      <c r="E418" t="s">
        <v>1815</v>
      </c>
      <c r="F418" t="s">
        <v>1816</v>
      </c>
      <c r="G418" t="s">
        <v>445</v>
      </c>
      <c r="H418" t="s">
        <v>35</v>
      </c>
      <c r="I418">
        <v>11746</v>
      </c>
    </row>
    <row r="419" spans="1:9" x14ac:dyDescent="0.3">
      <c r="A419">
        <v>418</v>
      </c>
      <c r="B419" t="s">
        <v>1817</v>
      </c>
      <c r="C419" t="s">
        <v>884</v>
      </c>
      <c r="D419" t="s">
        <v>1818</v>
      </c>
      <c r="E419" t="s">
        <v>1819</v>
      </c>
      <c r="F419" t="s">
        <v>1820</v>
      </c>
      <c r="G419" t="s">
        <v>830</v>
      </c>
      <c r="H419" t="s">
        <v>41</v>
      </c>
      <c r="I419">
        <v>93035</v>
      </c>
    </row>
    <row r="420" spans="1:9" x14ac:dyDescent="0.3">
      <c r="A420">
        <v>419</v>
      </c>
      <c r="B420" t="s">
        <v>1821</v>
      </c>
      <c r="C420" t="s">
        <v>1822</v>
      </c>
      <c r="D420" t="s">
        <v>31</v>
      </c>
      <c r="E420" t="s">
        <v>1823</v>
      </c>
      <c r="F420" t="s">
        <v>1824</v>
      </c>
      <c r="G420" t="s">
        <v>1301</v>
      </c>
      <c r="H420" t="s">
        <v>35</v>
      </c>
      <c r="I420">
        <v>12601</v>
      </c>
    </row>
    <row r="421" spans="1:9" x14ac:dyDescent="0.3">
      <c r="A421">
        <v>420</v>
      </c>
      <c r="B421" t="s">
        <v>1825</v>
      </c>
      <c r="C421" t="s">
        <v>1826</v>
      </c>
      <c r="D421" t="s">
        <v>31</v>
      </c>
      <c r="E421" t="s">
        <v>1827</v>
      </c>
      <c r="F421" t="s">
        <v>1828</v>
      </c>
      <c r="G421" t="s">
        <v>287</v>
      </c>
      <c r="H421" t="s">
        <v>35</v>
      </c>
      <c r="I421">
        <v>11566</v>
      </c>
    </row>
    <row r="422" spans="1:9" x14ac:dyDescent="0.3">
      <c r="A422">
        <v>421</v>
      </c>
      <c r="B422" t="s">
        <v>1829</v>
      </c>
      <c r="C422" t="s">
        <v>1090</v>
      </c>
      <c r="D422" t="s">
        <v>31</v>
      </c>
      <c r="E422" t="s">
        <v>1830</v>
      </c>
      <c r="F422" t="s">
        <v>1831</v>
      </c>
      <c r="G422" t="s">
        <v>83</v>
      </c>
      <c r="H422" t="s">
        <v>35</v>
      </c>
      <c r="I422">
        <v>10950</v>
      </c>
    </row>
    <row r="423" spans="1:9" x14ac:dyDescent="0.3">
      <c r="A423">
        <v>422</v>
      </c>
      <c r="B423" t="s">
        <v>1832</v>
      </c>
      <c r="C423" t="s">
        <v>1833</v>
      </c>
      <c r="D423" t="s">
        <v>31</v>
      </c>
      <c r="E423" t="s">
        <v>1834</v>
      </c>
      <c r="F423" t="s">
        <v>1835</v>
      </c>
      <c r="G423" t="s">
        <v>140</v>
      </c>
      <c r="H423" t="s">
        <v>100</v>
      </c>
      <c r="I423">
        <v>77904</v>
      </c>
    </row>
    <row r="424" spans="1:9" x14ac:dyDescent="0.3">
      <c r="A424">
        <v>423</v>
      </c>
      <c r="B424" t="s">
        <v>1836</v>
      </c>
      <c r="C424" t="s">
        <v>1593</v>
      </c>
      <c r="D424" t="s">
        <v>31</v>
      </c>
      <c r="E424" t="s">
        <v>1837</v>
      </c>
      <c r="F424" t="s">
        <v>1838</v>
      </c>
      <c r="G424" t="s">
        <v>1088</v>
      </c>
      <c r="H424" t="s">
        <v>35</v>
      </c>
      <c r="I424">
        <v>11729</v>
      </c>
    </row>
    <row r="425" spans="1:9" x14ac:dyDescent="0.3">
      <c r="A425">
        <v>424</v>
      </c>
      <c r="B425" t="s">
        <v>1839</v>
      </c>
      <c r="C425" t="s">
        <v>1840</v>
      </c>
      <c r="D425" t="s">
        <v>31</v>
      </c>
      <c r="E425" t="s">
        <v>1841</v>
      </c>
      <c r="F425" t="s">
        <v>1842</v>
      </c>
      <c r="G425" t="s">
        <v>302</v>
      </c>
      <c r="H425" t="s">
        <v>35</v>
      </c>
      <c r="I425">
        <v>13501</v>
      </c>
    </row>
    <row r="426" spans="1:9" x14ac:dyDescent="0.3">
      <c r="A426">
        <v>425</v>
      </c>
      <c r="B426" t="s">
        <v>1843</v>
      </c>
      <c r="C426" t="s">
        <v>428</v>
      </c>
      <c r="D426" t="s">
        <v>31</v>
      </c>
      <c r="E426" t="s">
        <v>1844</v>
      </c>
      <c r="F426" t="s">
        <v>1845</v>
      </c>
      <c r="G426" t="s">
        <v>1525</v>
      </c>
      <c r="H426" t="s">
        <v>35</v>
      </c>
      <c r="I426">
        <v>10550</v>
      </c>
    </row>
    <row r="427" spans="1:9" x14ac:dyDescent="0.3">
      <c r="A427">
        <v>426</v>
      </c>
      <c r="B427" t="s">
        <v>1846</v>
      </c>
      <c r="C427" t="s">
        <v>1691</v>
      </c>
      <c r="D427" t="s">
        <v>31</v>
      </c>
      <c r="E427" t="s">
        <v>1847</v>
      </c>
      <c r="F427" t="s">
        <v>1848</v>
      </c>
      <c r="G427" t="s">
        <v>1596</v>
      </c>
      <c r="H427" t="s">
        <v>41</v>
      </c>
      <c r="I427">
        <v>91768</v>
      </c>
    </row>
    <row r="428" spans="1:9" x14ac:dyDescent="0.3">
      <c r="A428">
        <v>427</v>
      </c>
      <c r="B428" t="s">
        <v>1849</v>
      </c>
      <c r="C428" t="s">
        <v>1850</v>
      </c>
      <c r="D428" t="s">
        <v>31</v>
      </c>
      <c r="E428" t="s">
        <v>1851</v>
      </c>
      <c r="F428" t="s">
        <v>1852</v>
      </c>
      <c r="G428" t="s">
        <v>358</v>
      </c>
      <c r="H428" t="s">
        <v>100</v>
      </c>
      <c r="I428">
        <v>75043</v>
      </c>
    </row>
    <row r="429" spans="1:9" x14ac:dyDescent="0.3">
      <c r="A429">
        <v>428</v>
      </c>
      <c r="B429" t="s">
        <v>1853</v>
      </c>
      <c r="C429" t="s">
        <v>1854</v>
      </c>
      <c r="D429" t="s">
        <v>31</v>
      </c>
      <c r="E429" t="s">
        <v>1855</v>
      </c>
      <c r="F429" t="s">
        <v>1856</v>
      </c>
      <c r="G429" t="s">
        <v>1857</v>
      </c>
      <c r="H429" t="s">
        <v>35</v>
      </c>
      <c r="I429">
        <v>10801</v>
      </c>
    </row>
    <row r="430" spans="1:9" x14ac:dyDescent="0.3">
      <c r="A430">
        <v>429</v>
      </c>
      <c r="B430" t="s">
        <v>1858</v>
      </c>
      <c r="C430" t="s">
        <v>379</v>
      </c>
      <c r="D430" t="s">
        <v>31</v>
      </c>
      <c r="E430" t="s">
        <v>1859</v>
      </c>
      <c r="F430" t="s">
        <v>1860</v>
      </c>
      <c r="G430" t="s">
        <v>1605</v>
      </c>
      <c r="H430" t="s">
        <v>35</v>
      </c>
      <c r="I430">
        <v>11580</v>
      </c>
    </row>
    <row r="431" spans="1:9" x14ac:dyDescent="0.3">
      <c r="A431">
        <v>430</v>
      </c>
      <c r="B431" t="s">
        <v>1861</v>
      </c>
      <c r="C431" t="s">
        <v>1862</v>
      </c>
      <c r="D431" t="s">
        <v>31</v>
      </c>
      <c r="E431" t="s">
        <v>1863</v>
      </c>
      <c r="F431" t="s">
        <v>1864</v>
      </c>
      <c r="G431" t="s">
        <v>1185</v>
      </c>
      <c r="H431" t="s">
        <v>35</v>
      </c>
      <c r="I431">
        <v>11762</v>
      </c>
    </row>
    <row r="432" spans="1:9" x14ac:dyDescent="0.3">
      <c r="A432">
        <v>431</v>
      </c>
      <c r="B432" t="s">
        <v>1865</v>
      </c>
      <c r="C432" t="s">
        <v>1866</v>
      </c>
      <c r="D432" t="s">
        <v>31</v>
      </c>
      <c r="E432" t="s">
        <v>1867</v>
      </c>
      <c r="F432" t="s">
        <v>1868</v>
      </c>
      <c r="G432" t="s">
        <v>1242</v>
      </c>
      <c r="H432" t="s">
        <v>35</v>
      </c>
      <c r="I432">
        <v>11710</v>
      </c>
    </row>
    <row r="433" spans="1:9" x14ac:dyDescent="0.3">
      <c r="A433">
        <v>432</v>
      </c>
      <c r="B433" t="s">
        <v>1869</v>
      </c>
      <c r="C433" t="s">
        <v>1870</v>
      </c>
      <c r="D433" t="s">
        <v>31</v>
      </c>
      <c r="E433" t="s">
        <v>1871</v>
      </c>
      <c r="F433" t="s">
        <v>1872</v>
      </c>
      <c r="G433" t="s">
        <v>1105</v>
      </c>
      <c r="H433" t="s">
        <v>35</v>
      </c>
      <c r="I433">
        <v>11554</v>
      </c>
    </row>
    <row r="434" spans="1:9" x14ac:dyDescent="0.3">
      <c r="A434">
        <v>433</v>
      </c>
      <c r="B434" t="s">
        <v>1873</v>
      </c>
      <c r="C434" t="s">
        <v>1874</v>
      </c>
      <c r="D434" t="s">
        <v>31</v>
      </c>
      <c r="E434" t="s">
        <v>1875</v>
      </c>
      <c r="F434" t="s">
        <v>1876</v>
      </c>
      <c r="G434" t="s">
        <v>99</v>
      </c>
      <c r="H434" t="s">
        <v>100</v>
      </c>
      <c r="I434">
        <v>75604</v>
      </c>
    </row>
    <row r="435" spans="1:9" x14ac:dyDescent="0.3">
      <c r="A435">
        <v>434</v>
      </c>
      <c r="B435" t="s">
        <v>1877</v>
      </c>
      <c r="C435" t="s">
        <v>137</v>
      </c>
      <c r="D435" t="s">
        <v>31</v>
      </c>
      <c r="E435" t="s">
        <v>1878</v>
      </c>
      <c r="F435" t="s">
        <v>1879</v>
      </c>
      <c r="G435" t="s">
        <v>455</v>
      </c>
      <c r="H435" t="s">
        <v>41</v>
      </c>
      <c r="I435">
        <v>91010</v>
      </c>
    </row>
    <row r="436" spans="1:9" x14ac:dyDescent="0.3">
      <c r="A436">
        <v>435</v>
      </c>
      <c r="B436" t="s">
        <v>1880</v>
      </c>
      <c r="C436" t="s">
        <v>1881</v>
      </c>
      <c r="D436" t="s">
        <v>31</v>
      </c>
      <c r="E436" t="s">
        <v>1882</v>
      </c>
      <c r="F436" t="s">
        <v>1883</v>
      </c>
      <c r="G436" t="s">
        <v>539</v>
      </c>
      <c r="H436" t="s">
        <v>35</v>
      </c>
      <c r="I436">
        <v>11421</v>
      </c>
    </row>
    <row r="437" spans="1:9" x14ac:dyDescent="0.3">
      <c r="A437">
        <v>436</v>
      </c>
      <c r="B437" t="s">
        <v>1884</v>
      </c>
      <c r="C437" t="s">
        <v>1885</v>
      </c>
      <c r="D437" t="s">
        <v>31</v>
      </c>
      <c r="E437" t="s">
        <v>1886</v>
      </c>
      <c r="F437" t="s">
        <v>1887</v>
      </c>
      <c r="G437" t="s">
        <v>500</v>
      </c>
      <c r="H437" t="s">
        <v>35</v>
      </c>
      <c r="I437">
        <v>11361</v>
      </c>
    </row>
    <row r="438" spans="1:9" x14ac:dyDescent="0.3">
      <c r="A438">
        <v>437</v>
      </c>
      <c r="B438" t="s">
        <v>1455</v>
      </c>
      <c r="C438" t="s">
        <v>1326</v>
      </c>
      <c r="D438" t="s">
        <v>31</v>
      </c>
      <c r="E438" t="s">
        <v>1888</v>
      </c>
      <c r="F438" t="s">
        <v>1889</v>
      </c>
      <c r="G438" t="s">
        <v>34</v>
      </c>
      <c r="H438" t="s">
        <v>35</v>
      </c>
      <c r="I438">
        <v>14127</v>
      </c>
    </row>
    <row r="439" spans="1:9" x14ac:dyDescent="0.3">
      <c r="A439">
        <v>438</v>
      </c>
      <c r="B439" t="s">
        <v>1890</v>
      </c>
      <c r="C439" t="s">
        <v>1891</v>
      </c>
      <c r="D439" t="s">
        <v>31</v>
      </c>
      <c r="E439" t="s">
        <v>1892</v>
      </c>
      <c r="F439" t="s">
        <v>1893</v>
      </c>
      <c r="G439" t="s">
        <v>241</v>
      </c>
      <c r="H439" t="s">
        <v>35</v>
      </c>
      <c r="I439">
        <v>12804</v>
      </c>
    </row>
    <row r="440" spans="1:9" x14ac:dyDescent="0.3">
      <c r="A440">
        <v>439</v>
      </c>
      <c r="B440" t="s">
        <v>1894</v>
      </c>
      <c r="C440" t="s">
        <v>1579</v>
      </c>
      <c r="D440" t="s">
        <v>31</v>
      </c>
      <c r="E440" t="s">
        <v>1895</v>
      </c>
      <c r="F440" t="s">
        <v>1896</v>
      </c>
      <c r="G440" t="s">
        <v>977</v>
      </c>
      <c r="H440" t="s">
        <v>35</v>
      </c>
      <c r="I440">
        <v>11432</v>
      </c>
    </row>
    <row r="441" spans="1:9" x14ac:dyDescent="0.3">
      <c r="A441">
        <v>440</v>
      </c>
      <c r="B441" t="s">
        <v>1897</v>
      </c>
      <c r="C441" t="s">
        <v>37</v>
      </c>
      <c r="D441" t="s">
        <v>31</v>
      </c>
      <c r="E441" t="s">
        <v>1898</v>
      </c>
      <c r="F441" t="s">
        <v>1899</v>
      </c>
      <c r="G441" t="s">
        <v>958</v>
      </c>
      <c r="H441" t="s">
        <v>35</v>
      </c>
      <c r="I441">
        <v>12020</v>
      </c>
    </row>
    <row r="442" spans="1:9" x14ac:dyDescent="0.3">
      <c r="A442">
        <v>441</v>
      </c>
      <c r="B442" t="s">
        <v>1900</v>
      </c>
      <c r="C442" t="s">
        <v>1901</v>
      </c>
      <c r="D442" t="s">
        <v>31</v>
      </c>
      <c r="E442" t="s">
        <v>1902</v>
      </c>
      <c r="F442" t="s">
        <v>1903</v>
      </c>
      <c r="G442" t="s">
        <v>78</v>
      </c>
      <c r="H442" t="s">
        <v>35</v>
      </c>
      <c r="I442">
        <v>11050</v>
      </c>
    </row>
    <row r="443" spans="1:9" x14ac:dyDescent="0.3">
      <c r="A443">
        <v>442</v>
      </c>
      <c r="B443" t="s">
        <v>776</v>
      </c>
      <c r="C443" t="s">
        <v>1904</v>
      </c>
      <c r="D443" t="s">
        <v>1905</v>
      </c>
      <c r="E443" t="s">
        <v>1906</v>
      </c>
      <c r="F443" t="s">
        <v>1907</v>
      </c>
      <c r="G443" t="s">
        <v>1908</v>
      </c>
      <c r="H443" t="s">
        <v>35</v>
      </c>
      <c r="I443">
        <v>10701</v>
      </c>
    </row>
    <row r="444" spans="1:9" x14ac:dyDescent="0.3">
      <c r="A444">
        <v>443</v>
      </c>
      <c r="B444" t="s">
        <v>1909</v>
      </c>
      <c r="C444" t="s">
        <v>1910</v>
      </c>
      <c r="D444" t="s">
        <v>1911</v>
      </c>
      <c r="E444" t="s">
        <v>1912</v>
      </c>
      <c r="F444" t="s">
        <v>1913</v>
      </c>
      <c r="G444" t="s">
        <v>830</v>
      </c>
      <c r="H444" t="s">
        <v>41</v>
      </c>
      <c r="I444">
        <v>93035</v>
      </c>
    </row>
    <row r="445" spans="1:9" x14ac:dyDescent="0.3">
      <c r="A445">
        <v>444</v>
      </c>
      <c r="B445" t="s">
        <v>1914</v>
      </c>
      <c r="C445" t="s">
        <v>1915</v>
      </c>
      <c r="D445" t="s">
        <v>31</v>
      </c>
      <c r="E445" t="s">
        <v>1916</v>
      </c>
      <c r="F445" t="s">
        <v>1917</v>
      </c>
      <c r="G445" t="s">
        <v>271</v>
      </c>
      <c r="H445" t="s">
        <v>41</v>
      </c>
      <c r="I445">
        <v>94580</v>
      </c>
    </row>
    <row r="446" spans="1:9" x14ac:dyDescent="0.3">
      <c r="A446">
        <v>445</v>
      </c>
      <c r="B446" t="s">
        <v>1918</v>
      </c>
      <c r="C446" t="s">
        <v>1919</v>
      </c>
      <c r="D446" t="s">
        <v>31</v>
      </c>
      <c r="E446" t="s">
        <v>1920</v>
      </c>
      <c r="F446" t="s">
        <v>1921</v>
      </c>
      <c r="G446" t="s">
        <v>1525</v>
      </c>
      <c r="H446" t="s">
        <v>35</v>
      </c>
      <c r="I446">
        <v>10550</v>
      </c>
    </row>
    <row r="447" spans="1:9" x14ac:dyDescent="0.3">
      <c r="A447">
        <v>446</v>
      </c>
      <c r="B447" t="s">
        <v>1922</v>
      </c>
      <c r="C447" t="s">
        <v>1923</v>
      </c>
      <c r="D447" t="s">
        <v>31</v>
      </c>
      <c r="E447" t="s">
        <v>1924</v>
      </c>
      <c r="F447" t="s">
        <v>1925</v>
      </c>
      <c r="G447" t="s">
        <v>1926</v>
      </c>
      <c r="H447" t="s">
        <v>35</v>
      </c>
      <c r="I447">
        <v>12010</v>
      </c>
    </row>
    <row r="448" spans="1:9" x14ac:dyDescent="0.3">
      <c r="A448">
        <v>447</v>
      </c>
      <c r="B448" t="s">
        <v>1927</v>
      </c>
      <c r="C448" t="s">
        <v>1928</v>
      </c>
      <c r="D448" t="s">
        <v>31</v>
      </c>
      <c r="E448" t="s">
        <v>1929</v>
      </c>
      <c r="F448" t="s">
        <v>1930</v>
      </c>
      <c r="G448" t="s">
        <v>1931</v>
      </c>
      <c r="H448" t="s">
        <v>41</v>
      </c>
      <c r="I448">
        <v>92083</v>
      </c>
    </row>
    <row r="449" spans="1:9" x14ac:dyDescent="0.3">
      <c r="A449">
        <v>448</v>
      </c>
      <c r="B449" t="s">
        <v>1932</v>
      </c>
      <c r="C449" t="s">
        <v>1933</v>
      </c>
      <c r="D449" t="s">
        <v>1934</v>
      </c>
      <c r="E449" t="s">
        <v>1935</v>
      </c>
      <c r="F449" t="s">
        <v>1936</v>
      </c>
      <c r="G449" t="s">
        <v>1937</v>
      </c>
      <c r="H449" t="s">
        <v>35</v>
      </c>
      <c r="I449">
        <v>14606</v>
      </c>
    </row>
    <row r="450" spans="1:9" x14ac:dyDescent="0.3">
      <c r="A450">
        <v>449</v>
      </c>
      <c r="B450" t="s">
        <v>1938</v>
      </c>
      <c r="C450" t="s">
        <v>1939</v>
      </c>
      <c r="D450" t="s">
        <v>31</v>
      </c>
      <c r="E450" t="s">
        <v>1940</v>
      </c>
      <c r="F450" t="s">
        <v>1941</v>
      </c>
      <c r="G450" t="s">
        <v>1123</v>
      </c>
      <c r="H450" t="s">
        <v>41</v>
      </c>
      <c r="I450">
        <v>91387</v>
      </c>
    </row>
    <row r="451" spans="1:9" x14ac:dyDescent="0.3">
      <c r="A451">
        <v>450</v>
      </c>
      <c r="B451" t="s">
        <v>1942</v>
      </c>
      <c r="C451" t="s">
        <v>739</v>
      </c>
      <c r="D451" t="s">
        <v>31</v>
      </c>
      <c r="E451" t="s">
        <v>1943</v>
      </c>
      <c r="F451" t="s">
        <v>1944</v>
      </c>
      <c r="G451" t="s">
        <v>1782</v>
      </c>
      <c r="H451" t="s">
        <v>35</v>
      </c>
      <c r="I451">
        <v>10512</v>
      </c>
    </row>
    <row r="452" spans="1:9" x14ac:dyDescent="0.3">
      <c r="A452">
        <v>451</v>
      </c>
      <c r="B452" t="s">
        <v>1945</v>
      </c>
      <c r="C452" t="s">
        <v>1946</v>
      </c>
      <c r="D452" t="s">
        <v>31</v>
      </c>
      <c r="E452" t="s">
        <v>1947</v>
      </c>
      <c r="F452" t="s">
        <v>1948</v>
      </c>
      <c r="G452" t="s">
        <v>368</v>
      </c>
      <c r="H452" t="s">
        <v>100</v>
      </c>
      <c r="I452">
        <v>75088</v>
      </c>
    </row>
    <row r="453" spans="1:9" x14ac:dyDescent="0.3">
      <c r="A453">
        <v>452</v>
      </c>
      <c r="B453" t="s">
        <v>1949</v>
      </c>
      <c r="C453" t="s">
        <v>1421</v>
      </c>
      <c r="D453" t="s">
        <v>31</v>
      </c>
      <c r="E453" t="s">
        <v>1950</v>
      </c>
      <c r="F453" t="s">
        <v>1951</v>
      </c>
      <c r="G453" t="s">
        <v>923</v>
      </c>
      <c r="H453" t="s">
        <v>35</v>
      </c>
      <c r="I453">
        <v>11801</v>
      </c>
    </row>
    <row r="454" spans="1:9" x14ac:dyDescent="0.3">
      <c r="A454">
        <v>453</v>
      </c>
      <c r="B454" t="s">
        <v>1952</v>
      </c>
      <c r="C454" t="s">
        <v>1506</v>
      </c>
      <c r="D454" t="s">
        <v>31</v>
      </c>
      <c r="E454" t="s">
        <v>1953</v>
      </c>
      <c r="F454" t="s">
        <v>1954</v>
      </c>
      <c r="G454" t="s">
        <v>1222</v>
      </c>
      <c r="H454" t="s">
        <v>35</v>
      </c>
      <c r="I454">
        <v>11530</v>
      </c>
    </row>
    <row r="455" spans="1:9" x14ac:dyDescent="0.3">
      <c r="A455">
        <v>454</v>
      </c>
      <c r="B455" t="s">
        <v>1955</v>
      </c>
      <c r="C455" t="s">
        <v>1956</v>
      </c>
      <c r="D455" t="s">
        <v>31</v>
      </c>
      <c r="E455" t="s">
        <v>1957</v>
      </c>
      <c r="F455" t="s">
        <v>1958</v>
      </c>
      <c r="G455" t="s">
        <v>765</v>
      </c>
      <c r="H455" t="s">
        <v>35</v>
      </c>
      <c r="I455">
        <v>11706</v>
      </c>
    </row>
    <row r="456" spans="1:9" x14ac:dyDescent="0.3">
      <c r="A456">
        <v>455</v>
      </c>
      <c r="B456" t="s">
        <v>1959</v>
      </c>
      <c r="C456" t="s">
        <v>1960</v>
      </c>
      <c r="D456" t="s">
        <v>31</v>
      </c>
      <c r="E456" t="s">
        <v>1961</v>
      </c>
      <c r="F456" t="s">
        <v>1962</v>
      </c>
      <c r="G456" t="s">
        <v>215</v>
      </c>
      <c r="H456" t="s">
        <v>35</v>
      </c>
      <c r="I456">
        <v>13090</v>
      </c>
    </row>
    <row r="457" spans="1:9" x14ac:dyDescent="0.3">
      <c r="A457">
        <v>456</v>
      </c>
      <c r="B457" t="s">
        <v>1963</v>
      </c>
      <c r="C457" t="s">
        <v>1009</v>
      </c>
      <c r="D457" t="s">
        <v>31</v>
      </c>
      <c r="E457" t="s">
        <v>1964</v>
      </c>
      <c r="F457" t="s">
        <v>1965</v>
      </c>
      <c r="G457" t="s">
        <v>977</v>
      </c>
      <c r="H457" t="s">
        <v>35</v>
      </c>
      <c r="I457">
        <v>11432</v>
      </c>
    </row>
    <row r="458" spans="1:9" x14ac:dyDescent="0.3">
      <c r="A458">
        <v>457</v>
      </c>
      <c r="B458" t="s">
        <v>623</v>
      </c>
      <c r="C458" t="s">
        <v>1224</v>
      </c>
      <c r="D458" t="s">
        <v>31</v>
      </c>
      <c r="E458" t="s">
        <v>1966</v>
      </c>
      <c r="F458" t="s">
        <v>1967</v>
      </c>
      <c r="G458" t="s">
        <v>246</v>
      </c>
      <c r="H458" t="s">
        <v>35</v>
      </c>
      <c r="I458">
        <v>11418</v>
      </c>
    </row>
    <row r="459" spans="1:9" x14ac:dyDescent="0.3">
      <c r="A459">
        <v>458</v>
      </c>
      <c r="B459" t="s">
        <v>992</v>
      </c>
      <c r="C459" t="s">
        <v>350</v>
      </c>
      <c r="D459" t="s">
        <v>31</v>
      </c>
      <c r="E459" t="s">
        <v>1968</v>
      </c>
      <c r="F459" t="s">
        <v>1969</v>
      </c>
      <c r="G459" t="s">
        <v>1084</v>
      </c>
      <c r="H459" t="s">
        <v>35</v>
      </c>
      <c r="I459">
        <v>11741</v>
      </c>
    </row>
    <row r="460" spans="1:9" x14ac:dyDescent="0.3">
      <c r="A460">
        <v>459</v>
      </c>
      <c r="B460" t="s">
        <v>1970</v>
      </c>
      <c r="C460" t="s">
        <v>1971</v>
      </c>
      <c r="D460" t="s">
        <v>1972</v>
      </c>
      <c r="E460" t="s">
        <v>1973</v>
      </c>
      <c r="F460" t="s">
        <v>1974</v>
      </c>
      <c r="G460" t="s">
        <v>1975</v>
      </c>
      <c r="H460" t="s">
        <v>41</v>
      </c>
      <c r="I460">
        <v>93306</v>
      </c>
    </row>
    <row r="461" spans="1:9" x14ac:dyDescent="0.3">
      <c r="A461">
        <v>460</v>
      </c>
      <c r="B461" t="s">
        <v>1976</v>
      </c>
      <c r="C461" t="s">
        <v>1977</v>
      </c>
      <c r="D461" t="s">
        <v>31</v>
      </c>
      <c r="E461" t="s">
        <v>1978</v>
      </c>
      <c r="F461" t="s">
        <v>1979</v>
      </c>
      <c r="G461" t="s">
        <v>1222</v>
      </c>
      <c r="H461" t="s">
        <v>35</v>
      </c>
      <c r="I461">
        <v>11530</v>
      </c>
    </row>
    <row r="462" spans="1:9" x14ac:dyDescent="0.3">
      <c r="A462">
        <v>461</v>
      </c>
      <c r="B462" t="s">
        <v>1980</v>
      </c>
      <c r="C462" t="s">
        <v>1424</v>
      </c>
      <c r="D462" t="s">
        <v>1981</v>
      </c>
      <c r="E462" t="s">
        <v>1982</v>
      </c>
      <c r="F462" t="s">
        <v>1983</v>
      </c>
      <c r="G462" t="s">
        <v>1079</v>
      </c>
      <c r="H462" t="s">
        <v>35</v>
      </c>
      <c r="I462">
        <v>11717</v>
      </c>
    </row>
    <row r="463" spans="1:9" x14ac:dyDescent="0.3">
      <c r="A463">
        <v>462</v>
      </c>
      <c r="B463" t="s">
        <v>1984</v>
      </c>
      <c r="C463" t="s">
        <v>1985</v>
      </c>
      <c r="D463" t="s">
        <v>31</v>
      </c>
      <c r="E463" t="s">
        <v>1986</v>
      </c>
      <c r="F463" t="s">
        <v>1987</v>
      </c>
      <c r="G463" t="s">
        <v>1988</v>
      </c>
      <c r="H463" t="s">
        <v>35</v>
      </c>
      <c r="I463">
        <v>10954</v>
      </c>
    </row>
    <row r="464" spans="1:9" x14ac:dyDescent="0.3">
      <c r="A464">
        <v>463</v>
      </c>
      <c r="B464" t="s">
        <v>1989</v>
      </c>
      <c r="C464" t="s">
        <v>1990</v>
      </c>
      <c r="D464" t="s">
        <v>31</v>
      </c>
      <c r="E464" t="s">
        <v>1991</v>
      </c>
      <c r="F464" t="s">
        <v>1992</v>
      </c>
      <c r="G464" t="s">
        <v>751</v>
      </c>
      <c r="H464" t="s">
        <v>35</v>
      </c>
      <c r="I464">
        <v>11803</v>
      </c>
    </row>
    <row r="465" spans="1:9" x14ac:dyDescent="0.3">
      <c r="A465">
        <v>464</v>
      </c>
      <c r="B465" t="s">
        <v>1993</v>
      </c>
      <c r="C465" t="s">
        <v>1994</v>
      </c>
      <c r="D465" t="s">
        <v>31</v>
      </c>
      <c r="E465" t="s">
        <v>1995</v>
      </c>
      <c r="F465" t="s">
        <v>1996</v>
      </c>
      <c r="G465" t="s">
        <v>1222</v>
      </c>
      <c r="H465" t="s">
        <v>35</v>
      </c>
      <c r="I465">
        <v>11530</v>
      </c>
    </row>
    <row r="466" spans="1:9" x14ac:dyDescent="0.3">
      <c r="A466">
        <v>465</v>
      </c>
      <c r="B466" t="s">
        <v>1997</v>
      </c>
      <c r="C466" t="s">
        <v>1998</v>
      </c>
      <c r="D466" t="s">
        <v>1999</v>
      </c>
      <c r="E466" t="s">
        <v>2000</v>
      </c>
      <c r="F466" t="s">
        <v>2001</v>
      </c>
      <c r="G466" t="s">
        <v>486</v>
      </c>
      <c r="H466" t="s">
        <v>35</v>
      </c>
      <c r="I466">
        <v>12180</v>
      </c>
    </row>
    <row r="467" spans="1:9" x14ac:dyDescent="0.3">
      <c r="A467">
        <v>466</v>
      </c>
      <c r="B467" t="s">
        <v>2002</v>
      </c>
      <c r="C467" t="s">
        <v>388</v>
      </c>
      <c r="D467" t="s">
        <v>31</v>
      </c>
      <c r="E467" t="s">
        <v>2003</v>
      </c>
      <c r="F467" t="s">
        <v>2004</v>
      </c>
      <c r="G467" t="s">
        <v>729</v>
      </c>
      <c r="H467" t="s">
        <v>35</v>
      </c>
      <c r="I467">
        <v>11787</v>
      </c>
    </row>
    <row r="468" spans="1:9" x14ac:dyDescent="0.3">
      <c r="A468">
        <v>467</v>
      </c>
      <c r="B468" t="s">
        <v>2005</v>
      </c>
      <c r="C468" t="s">
        <v>717</v>
      </c>
      <c r="D468" t="s">
        <v>31</v>
      </c>
      <c r="E468" t="s">
        <v>2006</v>
      </c>
      <c r="F468" t="s">
        <v>2007</v>
      </c>
      <c r="G468" t="s">
        <v>160</v>
      </c>
      <c r="H468" t="s">
        <v>35</v>
      </c>
      <c r="I468">
        <v>10541</v>
      </c>
    </row>
    <row r="469" spans="1:9" x14ac:dyDescent="0.3">
      <c r="A469">
        <v>468</v>
      </c>
      <c r="B469" t="s">
        <v>2008</v>
      </c>
      <c r="C469" t="s">
        <v>2009</v>
      </c>
      <c r="D469" t="s">
        <v>31</v>
      </c>
      <c r="E469" t="s">
        <v>2010</v>
      </c>
      <c r="F469" t="s">
        <v>2011</v>
      </c>
      <c r="G469" t="s">
        <v>440</v>
      </c>
      <c r="H469" t="s">
        <v>35</v>
      </c>
      <c r="I469">
        <v>11757</v>
      </c>
    </row>
    <row r="470" spans="1:9" x14ac:dyDescent="0.3">
      <c r="A470">
        <v>469</v>
      </c>
      <c r="B470" t="s">
        <v>2012</v>
      </c>
      <c r="C470" t="s">
        <v>2013</v>
      </c>
      <c r="D470" t="s">
        <v>31</v>
      </c>
      <c r="E470" t="s">
        <v>2014</v>
      </c>
      <c r="F470" t="s">
        <v>2015</v>
      </c>
      <c r="G470" t="s">
        <v>246</v>
      </c>
      <c r="H470" t="s">
        <v>35</v>
      </c>
      <c r="I470">
        <v>11418</v>
      </c>
    </row>
    <row r="471" spans="1:9" x14ac:dyDescent="0.3">
      <c r="A471">
        <v>470</v>
      </c>
      <c r="B471" t="s">
        <v>2016</v>
      </c>
      <c r="C471" t="s">
        <v>1901</v>
      </c>
      <c r="D471" t="s">
        <v>31</v>
      </c>
      <c r="E471" t="s">
        <v>2017</v>
      </c>
      <c r="F471" t="s">
        <v>2018</v>
      </c>
      <c r="G471" t="s">
        <v>1770</v>
      </c>
      <c r="H471" t="s">
        <v>35</v>
      </c>
      <c r="I471">
        <v>11967</v>
      </c>
    </row>
    <row r="472" spans="1:9" x14ac:dyDescent="0.3">
      <c r="A472">
        <v>471</v>
      </c>
      <c r="B472" t="s">
        <v>2019</v>
      </c>
      <c r="C472" t="s">
        <v>2020</v>
      </c>
      <c r="D472" t="s">
        <v>31</v>
      </c>
      <c r="E472" t="s">
        <v>2021</v>
      </c>
      <c r="F472" t="s">
        <v>2022</v>
      </c>
      <c r="G472" t="s">
        <v>2023</v>
      </c>
      <c r="H472" t="s">
        <v>35</v>
      </c>
      <c r="I472">
        <v>11520</v>
      </c>
    </row>
    <row r="473" spans="1:9" x14ac:dyDescent="0.3">
      <c r="A473">
        <v>472</v>
      </c>
      <c r="B473" t="s">
        <v>2024</v>
      </c>
      <c r="C473" t="s">
        <v>2025</v>
      </c>
      <c r="D473" t="s">
        <v>31</v>
      </c>
      <c r="E473" t="s">
        <v>2026</v>
      </c>
      <c r="F473" t="s">
        <v>2027</v>
      </c>
      <c r="G473" t="s">
        <v>343</v>
      </c>
      <c r="H473" t="s">
        <v>35</v>
      </c>
      <c r="I473">
        <v>11701</v>
      </c>
    </row>
    <row r="474" spans="1:9" x14ac:dyDescent="0.3">
      <c r="A474">
        <v>473</v>
      </c>
      <c r="B474" t="s">
        <v>2028</v>
      </c>
      <c r="C474" t="s">
        <v>409</v>
      </c>
      <c r="D474" t="s">
        <v>31</v>
      </c>
      <c r="E474" t="s">
        <v>2029</v>
      </c>
      <c r="F474" t="s">
        <v>2030</v>
      </c>
      <c r="G474" t="s">
        <v>75</v>
      </c>
      <c r="H474" t="s">
        <v>35</v>
      </c>
      <c r="I474">
        <v>11510</v>
      </c>
    </row>
    <row r="475" spans="1:9" x14ac:dyDescent="0.3">
      <c r="A475">
        <v>474</v>
      </c>
      <c r="B475" t="s">
        <v>2031</v>
      </c>
      <c r="C475" t="s">
        <v>2032</v>
      </c>
      <c r="D475" t="s">
        <v>31</v>
      </c>
      <c r="E475" t="s">
        <v>2033</v>
      </c>
      <c r="F475" t="s">
        <v>2034</v>
      </c>
      <c r="G475" t="s">
        <v>884</v>
      </c>
      <c r="H475" t="s">
        <v>35</v>
      </c>
      <c r="I475">
        <v>14580</v>
      </c>
    </row>
    <row r="476" spans="1:9" x14ac:dyDescent="0.3">
      <c r="A476">
        <v>475</v>
      </c>
      <c r="B476" t="s">
        <v>2035</v>
      </c>
      <c r="C476" t="s">
        <v>1113</v>
      </c>
      <c r="D476" t="s">
        <v>31</v>
      </c>
      <c r="E476" t="s">
        <v>2036</v>
      </c>
      <c r="F476" t="s">
        <v>2037</v>
      </c>
      <c r="G476" t="s">
        <v>140</v>
      </c>
      <c r="H476" t="s">
        <v>100</v>
      </c>
      <c r="I476">
        <v>77904</v>
      </c>
    </row>
    <row r="477" spans="1:9" x14ac:dyDescent="0.3">
      <c r="A477">
        <v>476</v>
      </c>
      <c r="B477" t="s">
        <v>2038</v>
      </c>
      <c r="C477" t="s">
        <v>409</v>
      </c>
      <c r="D477" t="s">
        <v>31</v>
      </c>
      <c r="E477" t="s">
        <v>2039</v>
      </c>
      <c r="F477" t="s">
        <v>2040</v>
      </c>
      <c r="G477" t="s">
        <v>928</v>
      </c>
      <c r="H477" t="s">
        <v>41</v>
      </c>
      <c r="I477">
        <v>95060</v>
      </c>
    </row>
    <row r="478" spans="1:9" x14ac:dyDescent="0.3">
      <c r="A478">
        <v>477</v>
      </c>
      <c r="B478" t="s">
        <v>2041</v>
      </c>
      <c r="C478" t="s">
        <v>2042</v>
      </c>
      <c r="D478" t="s">
        <v>31</v>
      </c>
      <c r="E478" t="s">
        <v>2043</v>
      </c>
      <c r="F478" t="s">
        <v>2044</v>
      </c>
      <c r="G478" t="s">
        <v>1242</v>
      </c>
      <c r="H478" t="s">
        <v>35</v>
      </c>
      <c r="I478">
        <v>11710</v>
      </c>
    </row>
    <row r="479" spans="1:9" x14ac:dyDescent="0.3">
      <c r="A479">
        <v>478</v>
      </c>
      <c r="B479" t="s">
        <v>1858</v>
      </c>
      <c r="C479" t="s">
        <v>930</v>
      </c>
      <c r="D479" t="s">
        <v>31</v>
      </c>
      <c r="E479" t="s">
        <v>2045</v>
      </c>
      <c r="F479" t="s">
        <v>2046</v>
      </c>
      <c r="G479" t="s">
        <v>2023</v>
      </c>
      <c r="H479" t="s">
        <v>35</v>
      </c>
      <c r="I479">
        <v>11520</v>
      </c>
    </row>
    <row r="480" spans="1:9" x14ac:dyDescent="0.3">
      <c r="A480">
        <v>479</v>
      </c>
      <c r="B480" t="s">
        <v>2047</v>
      </c>
      <c r="C480" t="s">
        <v>2048</v>
      </c>
      <c r="D480" t="s">
        <v>31</v>
      </c>
      <c r="E480" t="s">
        <v>2049</v>
      </c>
      <c r="F480" t="s">
        <v>2050</v>
      </c>
      <c r="G480" t="s">
        <v>1689</v>
      </c>
      <c r="H480" t="s">
        <v>35</v>
      </c>
      <c r="I480">
        <v>11354</v>
      </c>
    </row>
    <row r="481" spans="1:9" x14ac:dyDescent="0.3">
      <c r="A481">
        <v>480</v>
      </c>
      <c r="B481" t="s">
        <v>358</v>
      </c>
      <c r="C481" t="s">
        <v>2051</v>
      </c>
      <c r="D481" t="s">
        <v>31</v>
      </c>
      <c r="E481" t="s">
        <v>2052</v>
      </c>
      <c r="F481" t="s">
        <v>2053</v>
      </c>
      <c r="G481" t="s">
        <v>1926</v>
      </c>
      <c r="H481" t="s">
        <v>35</v>
      </c>
      <c r="I481">
        <v>12010</v>
      </c>
    </row>
    <row r="482" spans="1:9" x14ac:dyDescent="0.3">
      <c r="A482">
        <v>481</v>
      </c>
      <c r="B482" t="s">
        <v>2054</v>
      </c>
      <c r="C482" t="s">
        <v>2013</v>
      </c>
      <c r="D482" t="s">
        <v>31</v>
      </c>
      <c r="E482" t="s">
        <v>2055</v>
      </c>
      <c r="F482" t="s">
        <v>2056</v>
      </c>
      <c r="G482" t="s">
        <v>2057</v>
      </c>
      <c r="H482" t="s">
        <v>100</v>
      </c>
      <c r="I482">
        <v>77566</v>
      </c>
    </row>
    <row r="483" spans="1:9" x14ac:dyDescent="0.3">
      <c r="A483">
        <v>482</v>
      </c>
      <c r="B483" t="s">
        <v>2058</v>
      </c>
      <c r="C483" t="s">
        <v>1480</v>
      </c>
      <c r="D483" t="s">
        <v>31</v>
      </c>
      <c r="E483" t="s">
        <v>2059</v>
      </c>
      <c r="F483" t="s">
        <v>2060</v>
      </c>
      <c r="G483" t="s">
        <v>944</v>
      </c>
      <c r="H483" t="s">
        <v>100</v>
      </c>
      <c r="I483">
        <v>79106</v>
      </c>
    </row>
    <row r="484" spans="1:9" x14ac:dyDescent="0.3">
      <c r="A484">
        <v>483</v>
      </c>
      <c r="B484" t="s">
        <v>2061</v>
      </c>
      <c r="C484" t="s">
        <v>2062</v>
      </c>
      <c r="D484" t="s">
        <v>31</v>
      </c>
      <c r="E484" t="s">
        <v>2063</v>
      </c>
      <c r="F484" t="s">
        <v>2064</v>
      </c>
      <c r="G484" t="s">
        <v>440</v>
      </c>
      <c r="H484" t="s">
        <v>35</v>
      </c>
      <c r="I484">
        <v>11757</v>
      </c>
    </row>
    <row r="485" spans="1:9" x14ac:dyDescent="0.3">
      <c r="A485">
        <v>484</v>
      </c>
      <c r="B485" t="s">
        <v>1085</v>
      </c>
      <c r="C485" t="s">
        <v>657</v>
      </c>
      <c r="D485" t="s">
        <v>31</v>
      </c>
      <c r="E485" t="s">
        <v>2065</v>
      </c>
      <c r="F485" t="s">
        <v>2066</v>
      </c>
      <c r="G485" t="s">
        <v>590</v>
      </c>
      <c r="H485" t="s">
        <v>100</v>
      </c>
      <c r="I485">
        <v>76039</v>
      </c>
    </row>
    <row r="486" spans="1:9" x14ac:dyDescent="0.3">
      <c r="A486">
        <v>485</v>
      </c>
      <c r="B486" t="s">
        <v>2067</v>
      </c>
      <c r="C486" t="s">
        <v>2068</v>
      </c>
      <c r="D486" t="s">
        <v>31</v>
      </c>
      <c r="E486" t="s">
        <v>2069</v>
      </c>
      <c r="F486" t="s">
        <v>2070</v>
      </c>
      <c r="G486" t="s">
        <v>292</v>
      </c>
      <c r="H486" t="s">
        <v>35</v>
      </c>
      <c r="I486">
        <v>11369</v>
      </c>
    </row>
    <row r="487" spans="1:9" x14ac:dyDescent="0.3">
      <c r="A487">
        <v>486</v>
      </c>
      <c r="B487" t="s">
        <v>2071</v>
      </c>
      <c r="C487" t="s">
        <v>1822</v>
      </c>
      <c r="D487" t="s">
        <v>31</v>
      </c>
      <c r="E487" t="s">
        <v>2072</v>
      </c>
      <c r="F487" t="s">
        <v>2073</v>
      </c>
      <c r="G487" t="s">
        <v>1105</v>
      </c>
      <c r="H487" t="s">
        <v>35</v>
      </c>
      <c r="I487">
        <v>11554</v>
      </c>
    </row>
    <row r="488" spans="1:9" x14ac:dyDescent="0.3">
      <c r="A488">
        <v>487</v>
      </c>
      <c r="B488" t="s">
        <v>2074</v>
      </c>
      <c r="C488" t="s">
        <v>2075</v>
      </c>
      <c r="D488" t="s">
        <v>31</v>
      </c>
      <c r="E488" t="s">
        <v>2076</v>
      </c>
      <c r="F488" t="s">
        <v>2077</v>
      </c>
      <c r="G488" t="s">
        <v>1141</v>
      </c>
      <c r="H488" t="s">
        <v>41</v>
      </c>
      <c r="I488">
        <v>94806</v>
      </c>
    </row>
    <row r="489" spans="1:9" x14ac:dyDescent="0.3">
      <c r="A489">
        <v>488</v>
      </c>
      <c r="B489" t="s">
        <v>2078</v>
      </c>
      <c r="C489" t="s">
        <v>2079</v>
      </c>
      <c r="D489" t="s">
        <v>2080</v>
      </c>
      <c r="E489" t="s">
        <v>2081</v>
      </c>
      <c r="F489" t="s">
        <v>2082</v>
      </c>
      <c r="G489" t="s">
        <v>565</v>
      </c>
      <c r="H489" t="s">
        <v>41</v>
      </c>
      <c r="I489">
        <v>92806</v>
      </c>
    </row>
    <row r="490" spans="1:9" x14ac:dyDescent="0.3">
      <c r="A490">
        <v>489</v>
      </c>
      <c r="B490" t="s">
        <v>2083</v>
      </c>
      <c r="C490" t="s">
        <v>704</v>
      </c>
      <c r="D490" t="s">
        <v>31</v>
      </c>
      <c r="E490" t="s">
        <v>2084</v>
      </c>
      <c r="F490" t="s">
        <v>2085</v>
      </c>
      <c r="G490" t="s">
        <v>495</v>
      </c>
      <c r="H490" t="s">
        <v>35</v>
      </c>
      <c r="I490">
        <v>12866</v>
      </c>
    </row>
    <row r="491" spans="1:9" x14ac:dyDescent="0.3">
      <c r="A491">
        <v>490</v>
      </c>
      <c r="B491" t="s">
        <v>2086</v>
      </c>
      <c r="C491" t="s">
        <v>2087</v>
      </c>
      <c r="D491" t="s">
        <v>31</v>
      </c>
      <c r="E491" t="s">
        <v>2088</v>
      </c>
      <c r="F491" t="s">
        <v>2089</v>
      </c>
      <c r="G491" t="s">
        <v>176</v>
      </c>
      <c r="H491" t="s">
        <v>35</v>
      </c>
      <c r="I491">
        <v>10562</v>
      </c>
    </row>
    <row r="492" spans="1:9" x14ac:dyDescent="0.3">
      <c r="A492">
        <v>491</v>
      </c>
      <c r="B492" t="s">
        <v>2090</v>
      </c>
      <c r="C492" t="s">
        <v>2091</v>
      </c>
      <c r="D492" t="s">
        <v>31</v>
      </c>
      <c r="E492" t="s">
        <v>2092</v>
      </c>
      <c r="F492" t="s">
        <v>2093</v>
      </c>
      <c r="G492" t="s">
        <v>683</v>
      </c>
      <c r="H492" t="s">
        <v>35</v>
      </c>
      <c r="I492">
        <v>11758</v>
      </c>
    </row>
    <row r="493" spans="1:9" x14ac:dyDescent="0.3">
      <c r="A493">
        <v>492</v>
      </c>
      <c r="B493" t="s">
        <v>2094</v>
      </c>
      <c r="C493" t="s">
        <v>2095</v>
      </c>
      <c r="D493" t="s">
        <v>31</v>
      </c>
      <c r="E493" t="s">
        <v>2096</v>
      </c>
      <c r="F493" t="s">
        <v>2097</v>
      </c>
      <c r="G493" t="s">
        <v>2098</v>
      </c>
      <c r="H493" t="s">
        <v>35</v>
      </c>
      <c r="I493">
        <v>11368</v>
      </c>
    </row>
    <row r="494" spans="1:9" x14ac:dyDescent="0.3">
      <c r="A494">
        <v>493</v>
      </c>
      <c r="B494" t="s">
        <v>2099</v>
      </c>
      <c r="C494" t="s">
        <v>2100</v>
      </c>
      <c r="D494" t="s">
        <v>31</v>
      </c>
      <c r="E494" t="s">
        <v>2101</v>
      </c>
      <c r="F494" t="s">
        <v>2102</v>
      </c>
      <c r="G494" t="s">
        <v>661</v>
      </c>
      <c r="H494" t="s">
        <v>35</v>
      </c>
      <c r="I494">
        <v>14075</v>
      </c>
    </row>
    <row r="495" spans="1:9" x14ac:dyDescent="0.3">
      <c r="A495">
        <v>494</v>
      </c>
      <c r="B495" t="s">
        <v>2103</v>
      </c>
      <c r="C495" t="s">
        <v>2104</v>
      </c>
      <c r="D495" t="s">
        <v>31</v>
      </c>
      <c r="E495" t="s">
        <v>2105</v>
      </c>
      <c r="F495" t="s">
        <v>2106</v>
      </c>
      <c r="G495" t="s">
        <v>51</v>
      </c>
      <c r="H495" t="s">
        <v>35</v>
      </c>
      <c r="I495">
        <v>11553</v>
      </c>
    </row>
    <row r="496" spans="1:9" x14ac:dyDescent="0.3">
      <c r="A496">
        <v>495</v>
      </c>
      <c r="B496" t="s">
        <v>2107</v>
      </c>
      <c r="C496" t="s">
        <v>523</v>
      </c>
      <c r="D496" t="s">
        <v>31</v>
      </c>
      <c r="E496" t="s">
        <v>2108</v>
      </c>
      <c r="F496" t="s">
        <v>2109</v>
      </c>
      <c r="G496" t="s">
        <v>1715</v>
      </c>
      <c r="H496" t="s">
        <v>41</v>
      </c>
      <c r="I496">
        <v>93635</v>
      </c>
    </row>
    <row r="497" spans="1:9" x14ac:dyDescent="0.3">
      <c r="A497">
        <v>496</v>
      </c>
      <c r="B497" t="s">
        <v>2110</v>
      </c>
      <c r="C497" t="s">
        <v>2111</v>
      </c>
      <c r="D497" t="s">
        <v>31</v>
      </c>
      <c r="E497" t="s">
        <v>2112</v>
      </c>
      <c r="F497" t="s">
        <v>2113</v>
      </c>
      <c r="G497" t="s">
        <v>225</v>
      </c>
      <c r="H497" t="s">
        <v>35</v>
      </c>
      <c r="I497">
        <v>11102</v>
      </c>
    </row>
    <row r="498" spans="1:9" x14ac:dyDescent="0.3">
      <c r="A498">
        <v>497</v>
      </c>
      <c r="B498" t="s">
        <v>2114</v>
      </c>
      <c r="C498" t="s">
        <v>2115</v>
      </c>
      <c r="D498" t="s">
        <v>31</v>
      </c>
      <c r="E498" t="s">
        <v>2116</v>
      </c>
      <c r="F498" t="s">
        <v>2117</v>
      </c>
      <c r="G498" t="s">
        <v>1988</v>
      </c>
      <c r="H498" t="s">
        <v>35</v>
      </c>
      <c r="I498">
        <v>10954</v>
      </c>
    </row>
    <row r="499" spans="1:9" x14ac:dyDescent="0.3">
      <c r="A499">
        <v>498</v>
      </c>
      <c r="B499" t="s">
        <v>2118</v>
      </c>
      <c r="C499" t="s">
        <v>2119</v>
      </c>
      <c r="D499" t="s">
        <v>31</v>
      </c>
      <c r="E499" t="s">
        <v>2120</v>
      </c>
      <c r="F499" t="s">
        <v>2121</v>
      </c>
      <c r="G499" t="s">
        <v>395</v>
      </c>
      <c r="H499" t="s">
        <v>35</v>
      </c>
      <c r="I499">
        <v>14120</v>
      </c>
    </row>
    <row r="500" spans="1:9" x14ac:dyDescent="0.3">
      <c r="A500">
        <v>499</v>
      </c>
      <c r="B500" t="s">
        <v>2122</v>
      </c>
      <c r="C500" t="s">
        <v>2123</v>
      </c>
      <c r="D500" t="s">
        <v>31</v>
      </c>
      <c r="E500" t="s">
        <v>2124</v>
      </c>
      <c r="F500" t="s">
        <v>2125</v>
      </c>
      <c r="G500" t="s">
        <v>210</v>
      </c>
      <c r="H500" t="s">
        <v>35</v>
      </c>
      <c r="I500">
        <v>13027</v>
      </c>
    </row>
    <row r="501" spans="1:9" x14ac:dyDescent="0.3">
      <c r="A501">
        <v>500</v>
      </c>
      <c r="B501" t="s">
        <v>2126</v>
      </c>
      <c r="C501" t="s">
        <v>2127</v>
      </c>
      <c r="D501" t="s">
        <v>31</v>
      </c>
      <c r="E501" t="s">
        <v>2128</v>
      </c>
      <c r="F501" t="s">
        <v>2129</v>
      </c>
      <c r="G501" t="s">
        <v>73</v>
      </c>
      <c r="H501" t="s">
        <v>35</v>
      </c>
      <c r="I501">
        <v>11372</v>
      </c>
    </row>
    <row r="502" spans="1:9" x14ac:dyDescent="0.3">
      <c r="A502">
        <v>501</v>
      </c>
      <c r="B502" t="s">
        <v>2130</v>
      </c>
      <c r="C502" t="s">
        <v>2131</v>
      </c>
      <c r="D502" t="s">
        <v>2132</v>
      </c>
      <c r="E502" t="s">
        <v>2133</v>
      </c>
      <c r="F502" t="s">
        <v>2134</v>
      </c>
      <c r="G502" t="s">
        <v>565</v>
      </c>
      <c r="H502" t="s">
        <v>41</v>
      </c>
      <c r="I502">
        <v>92806</v>
      </c>
    </row>
    <row r="503" spans="1:9" x14ac:dyDescent="0.3">
      <c r="A503">
        <v>502</v>
      </c>
      <c r="B503" t="s">
        <v>2135</v>
      </c>
      <c r="C503" t="s">
        <v>2136</v>
      </c>
      <c r="D503" t="s">
        <v>31</v>
      </c>
      <c r="E503" t="s">
        <v>2137</v>
      </c>
      <c r="F503" t="s">
        <v>2138</v>
      </c>
      <c r="G503" t="s">
        <v>1020</v>
      </c>
      <c r="H503" t="s">
        <v>35</v>
      </c>
      <c r="I503">
        <v>11357</v>
      </c>
    </row>
    <row r="504" spans="1:9" x14ac:dyDescent="0.3">
      <c r="A504">
        <v>503</v>
      </c>
      <c r="B504" t="s">
        <v>2139</v>
      </c>
      <c r="C504" t="s">
        <v>2140</v>
      </c>
      <c r="D504" t="s">
        <v>31</v>
      </c>
      <c r="E504" t="s">
        <v>2141</v>
      </c>
      <c r="F504" t="s">
        <v>2142</v>
      </c>
      <c r="G504" t="s">
        <v>1149</v>
      </c>
      <c r="H504" t="s">
        <v>35</v>
      </c>
      <c r="I504">
        <v>14304</v>
      </c>
    </row>
    <row r="505" spans="1:9" x14ac:dyDescent="0.3">
      <c r="A505">
        <v>504</v>
      </c>
      <c r="B505" t="s">
        <v>2143</v>
      </c>
      <c r="C505" t="s">
        <v>2144</v>
      </c>
      <c r="D505" t="s">
        <v>31</v>
      </c>
      <c r="E505" t="s">
        <v>2145</v>
      </c>
      <c r="F505" t="s">
        <v>2146</v>
      </c>
      <c r="G505" t="s">
        <v>469</v>
      </c>
      <c r="H505" t="s">
        <v>35</v>
      </c>
      <c r="I505">
        <v>11010</v>
      </c>
    </row>
    <row r="506" spans="1:9" x14ac:dyDescent="0.3">
      <c r="A506">
        <v>505</v>
      </c>
      <c r="B506" t="s">
        <v>2147</v>
      </c>
      <c r="C506" t="s">
        <v>2148</v>
      </c>
      <c r="D506" t="s">
        <v>31</v>
      </c>
      <c r="E506" t="s">
        <v>2149</v>
      </c>
      <c r="F506" t="s">
        <v>2150</v>
      </c>
      <c r="G506" t="s">
        <v>977</v>
      </c>
      <c r="H506" t="s">
        <v>35</v>
      </c>
      <c r="I506">
        <v>11432</v>
      </c>
    </row>
    <row r="507" spans="1:9" x14ac:dyDescent="0.3">
      <c r="A507">
        <v>506</v>
      </c>
      <c r="B507" t="s">
        <v>2151</v>
      </c>
      <c r="C507" t="s">
        <v>871</v>
      </c>
      <c r="D507" t="s">
        <v>31</v>
      </c>
      <c r="E507" t="s">
        <v>2152</v>
      </c>
      <c r="F507" t="s">
        <v>2153</v>
      </c>
      <c r="G507" t="s">
        <v>185</v>
      </c>
      <c r="H507" t="s">
        <v>41</v>
      </c>
      <c r="I507">
        <v>90505</v>
      </c>
    </row>
    <row r="508" spans="1:9" x14ac:dyDescent="0.3">
      <c r="A508">
        <v>507</v>
      </c>
      <c r="B508" t="s">
        <v>2154</v>
      </c>
      <c r="C508" t="s">
        <v>1682</v>
      </c>
      <c r="D508" t="s">
        <v>31</v>
      </c>
      <c r="E508" t="s">
        <v>2155</v>
      </c>
      <c r="F508" t="s">
        <v>2156</v>
      </c>
      <c r="G508" t="s">
        <v>720</v>
      </c>
      <c r="H508" t="s">
        <v>35</v>
      </c>
      <c r="I508">
        <v>10301</v>
      </c>
    </row>
    <row r="509" spans="1:9" x14ac:dyDescent="0.3">
      <c r="A509">
        <v>508</v>
      </c>
      <c r="B509" t="s">
        <v>1257</v>
      </c>
      <c r="C509" t="s">
        <v>2157</v>
      </c>
      <c r="D509" t="s">
        <v>2158</v>
      </c>
      <c r="E509" t="s">
        <v>2159</v>
      </c>
      <c r="F509" t="s">
        <v>2160</v>
      </c>
      <c r="G509" t="s">
        <v>231</v>
      </c>
      <c r="H509" t="s">
        <v>35</v>
      </c>
      <c r="I509">
        <v>14086</v>
      </c>
    </row>
    <row r="510" spans="1:9" x14ac:dyDescent="0.3">
      <c r="A510">
        <v>509</v>
      </c>
      <c r="B510" t="s">
        <v>2161</v>
      </c>
      <c r="C510" t="s">
        <v>2162</v>
      </c>
      <c r="D510" t="s">
        <v>31</v>
      </c>
      <c r="E510" t="s">
        <v>2163</v>
      </c>
      <c r="F510" t="s">
        <v>2164</v>
      </c>
      <c r="G510" t="s">
        <v>1926</v>
      </c>
      <c r="H510" t="s">
        <v>35</v>
      </c>
      <c r="I510">
        <v>12010</v>
      </c>
    </row>
    <row r="511" spans="1:9" x14ac:dyDescent="0.3">
      <c r="A511">
        <v>510</v>
      </c>
      <c r="B511" t="s">
        <v>2165</v>
      </c>
      <c r="C511" t="s">
        <v>744</v>
      </c>
      <c r="D511" t="s">
        <v>31</v>
      </c>
      <c r="E511" t="s">
        <v>2166</v>
      </c>
      <c r="F511" t="s">
        <v>2167</v>
      </c>
      <c r="G511" t="s">
        <v>2168</v>
      </c>
      <c r="H511" t="s">
        <v>35</v>
      </c>
      <c r="I511">
        <v>11419</v>
      </c>
    </row>
    <row r="512" spans="1:9" x14ac:dyDescent="0.3">
      <c r="A512">
        <v>511</v>
      </c>
      <c r="B512" t="s">
        <v>2169</v>
      </c>
      <c r="C512" t="s">
        <v>2170</v>
      </c>
      <c r="D512" t="s">
        <v>2171</v>
      </c>
      <c r="E512" t="s">
        <v>2172</v>
      </c>
      <c r="F512" t="s">
        <v>2173</v>
      </c>
      <c r="G512" t="s">
        <v>2174</v>
      </c>
      <c r="H512" t="s">
        <v>100</v>
      </c>
      <c r="I512">
        <v>76110</v>
      </c>
    </row>
    <row r="513" spans="1:9" x14ac:dyDescent="0.3">
      <c r="A513">
        <v>512</v>
      </c>
      <c r="B513" t="s">
        <v>2175</v>
      </c>
      <c r="C513" t="s">
        <v>1566</v>
      </c>
      <c r="D513" t="s">
        <v>31</v>
      </c>
      <c r="E513" t="s">
        <v>2176</v>
      </c>
      <c r="F513" t="s">
        <v>2177</v>
      </c>
      <c r="G513" t="s">
        <v>995</v>
      </c>
      <c r="H513" t="s">
        <v>35</v>
      </c>
      <c r="I513">
        <v>11784</v>
      </c>
    </row>
    <row r="514" spans="1:9" x14ac:dyDescent="0.3">
      <c r="A514">
        <v>513</v>
      </c>
      <c r="B514" t="s">
        <v>1074</v>
      </c>
      <c r="C514" t="s">
        <v>2178</v>
      </c>
      <c r="D514" t="s">
        <v>31</v>
      </c>
      <c r="E514" t="s">
        <v>2179</v>
      </c>
      <c r="F514" t="s">
        <v>2180</v>
      </c>
      <c r="G514" t="s">
        <v>661</v>
      </c>
      <c r="H514" t="s">
        <v>35</v>
      </c>
      <c r="I514">
        <v>14075</v>
      </c>
    </row>
    <row r="515" spans="1:9" x14ac:dyDescent="0.3">
      <c r="A515">
        <v>514</v>
      </c>
      <c r="B515" t="s">
        <v>2181</v>
      </c>
      <c r="C515" t="s">
        <v>2182</v>
      </c>
      <c r="D515" t="s">
        <v>31</v>
      </c>
      <c r="E515" t="s">
        <v>2183</v>
      </c>
      <c r="F515" t="s">
        <v>2184</v>
      </c>
      <c r="G515" t="s">
        <v>150</v>
      </c>
      <c r="H515" t="s">
        <v>35</v>
      </c>
      <c r="I515">
        <v>11423</v>
      </c>
    </row>
    <row r="516" spans="1:9" x14ac:dyDescent="0.3">
      <c r="A516">
        <v>515</v>
      </c>
      <c r="B516" t="s">
        <v>2185</v>
      </c>
      <c r="C516" t="s">
        <v>2186</v>
      </c>
      <c r="D516" t="s">
        <v>31</v>
      </c>
      <c r="E516" t="s">
        <v>2187</v>
      </c>
      <c r="F516" t="s">
        <v>2188</v>
      </c>
      <c r="G516" t="s">
        <v>121</v>
      </c>
      <c r="H516" t="s">
        <v>35</v>
      </c>
      <c r="I516">
        <v>10583</v>
      </c>
    </row>
    <row r="517" spans="1:9" x14ac:dyDescent="0.3">
      <c r="A517">
        <v>516</v>
      </c>
      <c r="B517" t="s">
        <v>2189</v>
      </c>
      <c r="C517" t="s">
        <v>2190</v>
      </c>
      <c r="D517" t="s">
        <v>31</v>
      </c>
      <c r="E517" t="s">
        <v>2191</v>
      </c>
      <c r="F517" t="s">
        <v>2192</v>
      </c>
      <c r="G517" t="s">
        <v>982</v>
      </c>
      <c r="H517" t="s">
        <v>35</v>
      </c>
      <c r="I517">
        <v>11201</v>
      </c>
    </row>
    <row r="518" spans="1:9" x14ac:dyDescent="0.3">
      <c r="A518">
        <v>517</v>
      </c>
      <c r="B518" t="s">
        <v>1004</v>
      </c>
      <c r="C518" t="s">
        <v>2193</v>
      </c>
      <c r="D518" t="s">
        <v>31</v>
      </c>
      <c r="E518" t="s">
        <v>2194</v>
      </c>
      <c r="F518" t="s">
        <v>2195</v>
      </c>
      <c r="G518" t="s">
        <v>1242</v>
      </c>
      <c r="H518" t="s">
        <v>35</v>
      </c>
      <c r="I518">
        <v>11710</v>
      </c>
    </row>
    <row r="519" spans="1:9" x14ac:dyDescent="0.3">
      <c r="A519">
        <v>518</v>
      </c>
      <c r="B519" t="s">
        <v>2196</v>
      </c>
      <c r="C519" t="s">
        <v>1593</v>
      </c>
      <c r="D519" t="s">
        <v>31</v>
      </c>
      <c r="E519" t="s">
        <v>2197</v>
      </c>
      <c r="F519" t="s">
        <v>2198</v>
      </c>
      <c r="G519" t="s">
        <v>201</v>
      </c>
      <c r="H519" t="s">
        <v>41</v>
      </c>
      <c r="I519">
        <v>90274</v>
      </c>
    </row>
    <row r="520" spans="1:9" x14ac:dyDescent="0.3">
      <c r="A520">
        <v>519</v>
      </c>
      <c r="B520" t="s">
        <v>2199</v>
      </c>
      <c r="C520" t="s">
        <v>788</v>
      </c>
      <c r="D520" t="s">
        <v>31</v>
      </c>
      <c r="E520" t="s">
        <v>2200</v>
      </c>
      <c r="F520" t="s">
        <v>2201</v>
      </c>
      <c r="G520" t="s">
        <v>201</v>
      </c>
      <c r="H520" t="s">
        <v>41</v>
      </c>
      <c r="I520">
        <v>90274</v>
      </c>
    </row>
    <row r="521" spans="1:9" x14ac:dyDescent="0.3">
      <c r="A521">
        <v>520</v>
      </c>
      <c r="B521" t="s">
        <v>2202</v>
      </c>
      <c r="C521" t="s">
        <v>2009</v>
      </c>
      <c r="D521" t="s">
        <v>31</v>
      </c>
      <c r="E521" t="s">
        <v>2203</v>
      </c>
      <c r="F521" t="s">
        <v>2204</v>
      </c>
      <c r="G521" t="s">
        <v>1525</v>
      </c>
      <c r="H521" t="s">
        <v>35</v>
      </c>
      <c r="I521">
        <v>10550</v>
      </c>
    </row>
    <row r="522" spans="1:9" x14ac:dyDescent="0.3">
      <c r="A522">
        <v>521</v>
      </c>
      <c r="B522" t="s">
        <v>2205</v>
      </c>
      <c r="C522" t="s">
        <v>890</v>
      </c>
      <c r="D522" t="s">
        <v>31</v>
      </c>
      <c r="E522" t="s">
        <v>2206</v>
      </c>
      <c r="F522" t="s">
        <v>2207</v>
      </c>
      <c r="G522" t="s">
        <v>2208</v>
      </c>
      <c r="H522" t="s">
        <v>35</v>
      </c>
      <c r="I522">
        <v>11542</v>
      </c>
    </row>
    <row r="523" spans="1:9" x14ac:dyDescent="0.3">
      <c r="A523">
        <v>522</v>
      </c>
      <c r="B523" t="s">
        <v>2209</v>
      </c>
      <c r="C523" t="s">
        <v>442</v>
      </c>
      <c r="D523" t="s">
        <v>2210</v>
      </c>
      <c r="E523" t="s">
        <v>2211</v>
      </c>
      <c r="F523" t="s">
        <v>2212</v>
      </c>
      <c r="G523" t="s">
        <v>191</v>
      </c>
      <c r="H523" t="s">
        <v>41</v>
      </c>
      <c r="I523">
        <v>94603</v>
      </c>
    </row>
    <row r="524" spans="1:9" x14ac:dyDescent="0.3">
      <c r="A524">
        <v>523</v>
      </c>
      <c r="B524" t="s">
        <v>2213</v>
      </c>
      <c r="C524" t="s">
        <v>2214</v>
      </c>
      <c r="D524" t="s">
        <v>31</v>
      </c>
      <c r="E524" t="s">
        <v>2215</v>
      </c>
      <c r="F524" t="s">
        <v>2216</v>
      </c>
      <c r="G524" t="s">
        <v>1056</v>
      </c>
      <c r="H524" t="s">
        <v>35</v>
      </c>
      <c r="I524">
        <v>11772</v>
      </c>
    </row>
    <row r="525" spans="1:9" x14ac:dyDescent="0.3">
      <c r="A525">
        <v>524</v>
      </c>
      <c r="B525" t="s">
        <v>2217</v>
      </c>
      <c r="C525" t="s">
        <v>2218</v>
      </c>
      <c r="D525" t="s">
        <v>31</v>
      </c>
      <c r="E525" t="s">
        <v>2219</v>
      </c>
      <c r="F525" t="s">
        <v>2220</v>
      </c>
      <c r="G525" t="s">
        <v>302</v>
      </c>
      <c r="H525" t="s">
        <v>35</v>
      </c>
      <c r="I525">
        <v>13501</v>
      </c>
    </row>
    <row r="526" spans="1:9" x14ac:dyDescent="0.3">
      <c r="A526">
        <v>525</v>
      </c>
      <c r="B526" t="s">
        <v>2202</v>
      </c>
      <c r="C526" t="s">
        <v>2221</v>
      </c>
      <c r="D526" t="s">
        <v>31</v>
      </c>
      <c r="E526" t="s">
        <v>2222</v>
      </c>
      <c r="F526" t="s">
        <v>2223</v>
      </c>
      <c r="G526" t="s">
        <v>1857</v>
      </c>
      <c r="H526" t="s">
        <v>35</v>
      </c>
      <c r="I526">
        <v>10801</v>
      </c>
    </row>
    <row r="527" spans="1:9" x14ac:dyDescent="0.3">
      <c r="A527">
        <v>526</v>
      </c>
      <c r="B527" t="s">
        <v>2224</v>
      </c>
      <c r="C527" t="s">
        <v>2225</v>
      </c>
      <c r="D527" t="s">
        <v>31</v>
      </c>
      <c r="E527" t="s">
        <v>2226</v>
      </c>
      <c r="F527" t="s">
        <v>2227</v>
      </c>
      <c r="G527" t="s">
        <v>135</v>
      </c>
      <c r="H527" t="s">
        <v>100</v>
      </c>
      <c r="I527">
        <v>77478</v>
      </c>
    </row>
    <row r="528" spans="1:9" x14ac:dyDescent="0.3">
      <c r="A528">
        <v>527</v>
      </c>
      <c r="B528" t="s">
        <v>2228</v>
      </c>
      <c r="C528" t="s">
        <v>1151</v>
      </c>
      <c r="D528" t="s">
        <v>31</v>
      </c>
      <c r="E528" t="s">
        <v>2229</v>
      </c>
      <c r="F528" t="s">
        <v>2230</v>
      </c>
      <c r="G528" t="s">
        <v>666</v>
      </c>
      <c r="H528" t="s">
        <v>35</v>
      </c>
      <c r="I528">
        <v>11727</v>
      </c>
    </row>
    <row r="529" spans="1:9" x14ac:dyDescent="0.3">
      <c r="A529">
        <v>528</v>
      </c>
      <c r="B529" t="s">
        <v>2231</v>
      </c>
      <c r="C529" t="s">
        <v>2232</v>
      </c>
      <c r="D529" t="s">
        <v>2233</v>
      </c>
      <c r="E529" t="s">
        <v>2234</v>
      </c>
      <c r="F529" t="s">
        <v>2235</v>
      </c>
      <c r="G529" t="s">
        <v>2236</v>
      </c>
      <c r="H529" t="s">
        <v>35</v>
      </c>
      <c r="I529">
        <v>10956</v>
      </c>
    </row>
    <row r="530" spans="1:9" x14ac:dyDescent="0.3">
      <c r="A530">
        <v>529</v>
      </c>
      <c r="B530" t="s">
        <v>2237</v>
      </c>
      <c r="C530" t="s">
        <v>2238</v>
      </c>
      <c r="D530" t="s">
        <v>31</v>
      </c>
      <c r="E530" t="s">
        <v>2239</v>
      </c>
      <c r="F530" t="s">
        <v>2240</v>
      </c>
      <c r="G530" t="s">
        <v>2241</v>
      </c>
      <c r="H530" t="s">
        <v>41</v>
      </c>
      <c r="I530">
        <v>90403</v>
      </c>
    </row>
    <row r="531" spans="1:9" x14ac:dyDescent="0.3">
      <c r="A531">
        <v>530</v>
      </c>
      <c r="B531" t="s">
        <v>2242</v>
      </c>
      <c r="C531" t="s">
        <v>2243</v>
      </c>
      <c r="D531" t="s">
        <v>31</v>
      </c>
      <c r="E531" t="s">
        <v>2244</v>
      </c>
      <c r="F531" t="s">
        <v>2245</v>
      </c>
      <c r="G531" t="s">
        <v>455</v>
      </c>
      <c r="H531" t="s">
        <v>41</v>
      </c>
      <c r="I531">
        <v>91010</v>
      </c>
    </row>
    <row r="532" spans="1:9" x14ac:dyDescent="0.3">
      <c r="A532">
        <v>531</v>
      </c>
      <c r="B532" t="s">
        <v>2246</v>
      </c>
      <c r="C532" t="s">
        <v>2247</v>
      </c>
      <c r="D532" t="s">
        <v>2248</v>
      </c>
      <c r="E532" t="s">
        <v>2249</v>
      </c>
      <c r="F532" t="s">
        <v>2250</v>
      </c>
      <c r="G532" t="s">
        <v>486</v>
      </c>
      <c r="H532" t="s">
        <v>35</v>
      </c>
      <c r="I532">
        <v>12180</v>
      </c>
    </row>
    <row r="533" spans="1:9" x14ac:dyDescent="0.3">
      <c r="A533">
        <v>532</v>
      </c>
      <c r="B533" t="s">
        <v>2251</v>
      </c>
      <c r="C533" t="s">
        <v>2252</v>
      </c>
      <c r="D533" t="s">
        <v>31</v>
      </c>
      <c r="E533" t="s">
        <v>2253</v>
      </c>
      <c r="F533" t="s">
        <v>2254</v>
      </c>
      <c r="G533" t="s">
        <v>431</v>
      </c>
      <c r="H533" t="s">
        <v>41</v>
      </c>
      <c r="I533">
        <v>92236</v>
      </c>
    </row>
    <row r="534" spans="1:9" x14ac:dyDescent="0.3">
      <c r="A534">
        <v>533</v>
      </c>
      <c r="B534" t="s">
        <v>2255</v>
      </c>
      <c r="C534" t="s">
        <v>2256</v>
      </c>
      <c r="D534" t="s">
        <v>2257</v>
      </c>
      <c r="E534" t="s">
        <v>2258</v>
      </c>
      <c r="F534" t="s">
        <v>2259</v>
      </c>
      <c r="G534" t="s">
        <v>622</v>
      </c>
      <c r="H534" t="s">
        <v>100</v>
      </c>
      <c r="I534">
        <v>78418</v>
      </c>
    </row>
    <row r="535" spans="1:9" x14ac:dyDescent="0.3">
      <c r="A535">
        <v>534</v>
      </c>
      <c r="B535" t="s">
        <v>2260</v>
      </c>
      <c r="C535" t="s">
        <v>2261</v>
      </c>
      <c r="D535" t="s">
        <v>31</v>
      </c>
      <c r="E535" t="s">
        <v>2262</v>
      </c>
      <c r="F535" t="s">
        <v>2263</v>
      </c>
      <c r="G535" t="s">
        <v>1591</v>
      </c>
      <c r="H535" t="s">
        <v>35</v>
      </c>
      <c r="I535">
        <v>11793</v>
      </c>
    </row>
    <row r="536" spans="1:9" x14ac:dyDescent="0.3">
      <c r="A536">
        <v>535</v>
      </c>
      <c r="B536" t="s">
        <v>2264</v>
      </c>
      <c r="C536" t="s">
        <v>2265</v>
      </c>
      <c r="D536" t="s">
        <v>2266</v>
      </c>
      <c r="E536" t="s">
        <v>2267</v>
      </c>
      <c r="F536" t="s">
        <v>2268</v>
      </c>
      <c r="G536" t="s">
        <v>166</v>
      </c>
      <c r="H536" t="s">
        <v>35</v>
      </c>
      <c r="I536">
        <v>11561</v>
      </c>
    </row>
    <row r="537" spans="1:9" x14ac:dyDescent="0.3">
      <c r="A537">
        <v>536</v>
      </c>
      <c r="B537" t="s">
        <v>2269</v>
      </c>
      <c r="C537" t="s">
        <v>2270</v>
      </c>
      <c r="D537" t="s">
        <v>31</v>
      </c>
      <c r="E537" t="s">
        <v>2271</v>
      </c>
      <c r="F537" t="s">
        <v>2272</v>
      </c>
      <c r="G537" t="s">
        <v>34</v>
      </c>
      <c r="H537" t="s">
        <v>35</v>
      </c>
      <c r="I537">
        <v>14127</v>
      </c>
    </row>
    <row r="538" spans="1:9" x14ac:dyDescent="0.3">
      <c r="A538">
        <v>537</v>
      </c>
      <c r="B538" t="s">
        <v>248</v>
      </c>
      <c r="C538" t="s">
        <v>2273</v>
      </c>
      <c r="D538" t="s">
        <v>31</v>
      </c>
      <c r="E538" t="s">
        <v>2274</v>
      </c>
      <c r="F538" t="s">
        <v>2275</v>
      </c>
      <c r="G538" t="s">
        <v>1782</v>
      </c>
      <c r="H538" t="s">
        <v>35</v>
      </c>
      <c r="I538">
        <v>10512</v>
      </c>
    </row>
    <row r="539" spans="1:9" x14ac:dyDescent="0.3">
      <c r="A539">
        <v>538</v>
      </c>
      <c r="B539" t="s">
        <v>2276</v>
      </c>
      <c r="C539" t="s">
        <v>2277</v>
      </c>
      <c r="D539" t="s">
        <v>31</v>
      </c>
      <c r="E539" t="s">
        <v>2278</v>
      </c>
      <c r="F539" t="s">
        <v>2279</v>
      </c>
      <c r="G539" t="s">
        <v>386</v>
      </c>
      <c r="H539" t="s">
        <v>41</v>
      </c>
      <c r="I539">
        <v>91733</v>
      </c>
    </row>
    <row r="540" spans="1:9" x14ac:dyDescent="0.3">
      <c r="A540">
        <v>539</v>
      </c>
      <c r="B540" t="s">
        <v>2280</v>
      </c>
      <c r="C540" t="s">
        <v>2281</v>
      </c>
      <c r="D540" t="s">
        <v>31</v>
      </c>
      <c r="E540" t="s">
        <v>2282</v>
      </c>
      <c r="F540" t="s">
        <v>2283</v>
      </c>
      <c r="G540" t="s">
        <v>1260</v>
      </c>
      <c r="H540" t="s">
        <v>35</v>
      </c>
      <c r="I540">
        <v>11417</v>
      </c>
    </row>
    <row r="541" spans="1:9" x14ac:dyDescent="0.3">
      <c r="A541">
        <v>540</v>
      </c>
      <c r="B541" t="s">
        <v>2284</v>
      </c>
      <c r="C541" t="s">
        <v>1293</v>
      </c>
      <c r="D541" t="s">
        <v>31</v>
      </c>
      <c r="E541" t="s">
        <v>2285</v>
      </c>
      <c r="F541" t="s">
        <v>2286</v>
      </c>
      <c r="G541" t="s">
        <v>2287</v>
      </c>
      <c r="H541" t="s">
        <v>41</v>
      </c>
      <c r="I541">
        <v>91762</v>
      </c>
    </row>
    <row r="542" spans="1:9" x14ac:dyDescent="0.3">
      <c r="A542">
        <v>541</v>
      </c>
      <c r="B542" t="s">
        <v>2288</v>
      </c>
      <c r="C542" t="s">
        <v>2289</v>
      </c>
      <c r="D542" t="s">
        <v>31</v>
      </c>
      <c r="E542" t="s">
        <v>2290</v>
      </c>
      <c r="F542" t="s">
        <v>2291</v>
      </c>
      <c r="G542" t="s">
        <v>431</v>
      </c>
      <c r="H542" t="s">
        <v>41</v>
      </c>
      <c r="I542">
        <v>92236</v>
      </c>
    </row>
    <row r="543" spans="1:9" x14ac:dyDescent="0.3">
      <c r="A543">
        <v>542</v>
      </c>
      <c r="B543" t="s">
        <v>2292</v>
      </c>
      <c r="C543" t="s">
        <v>699</v>
      </c>
      <c r="D543" t="s">
        <v>31</v>
      </c>
      <c r="E543" t="s">
        <v>2293</v>
      </c>
      <c r="F543" t="s">
        <v>2294</v>
      </c>
      <c r="G543" t="s">
        <v>1273</v>
      </c>
      <c r="H543" t="s">
        <v>35</v>
      </c>
      <c r="I543">
        <v>11779</v>
      </c>
    </row>
    <row r="544" spans="1:9" x14ac:dyDescent="0.3">
      <c r="A544">
        <v>543</v>
      </c>
      <c r="B544" t="s">
        <v>2295</v>
      </c>
      <c r="C544" t="s">
        <v>2119</v>
      </c>
      <c r="D544" t="s">
        <v>31</v>
      </c>
      <c r="E544" t="s">
        <v>2296</v>
      </c>
      <c r="F544" t="s">
        <v>2297</v>
      </c>
      <c r="G544" t="s">
        <v>760</v>
      </c>
      <c r="H544" t="s">
        <v>100</v>
      </c>
      <c r="I544">
        <v>78023</v>
      </c>
    </row>
    <row r="545" spans="1:9" x14ac:dyDescent="0.3">
      <c r="A545">
        <v>544</v>
      </c>
      <c r="B545" t="s">
        <v>2298</v>
      </c>
      <c r="C545" t="s">
        <v>2299</v>
      </c>
      <c r="D545" t="s">
        <v>31</v>
      </c>
      <c r="E545" t="s">
        <v>2300</v>
      </c>
      <c r="F545" t="s">
        <v>2301</v>
      </c>
      <c r="G545" t="s">
        <v>770</v>
      </c>
      <c r="H545" t="s">
        <v>35</v>
      </c>
      <c r="I545">
        <v>11795</v>
      </c>
    </row>
    <row r="546" spans="1:9" x14ac:dyDescent="0.3">
      <c r="A546">
        <v>545</v>
      </c>
      <c r="B546" t="s">
        <v>2302</v>
      </c>
      <c r="C546" t="s">
        <v>1535</v>
      </c>
      <c r="D546" t="s">
        <v>31</v>
      </c>
      <c r="E546" t="s">
        <v>2303</v>
      </c>
      <c r="F546" t="s">
        <v>2304</v>
      </c>
      <c r="G546" t="s">
        <v>450</v>
      </c>
      <c r="H546" t="s">
        <v>35</v>
      </c>
      <c r="I546">
        <v>13126</v>
      </c>
    </row>
    <row r="547" spans="1:9" x14ac:dyDescent="0.3">
      <c r="A547">
        <v>546</v>
      </c>
      <c r="B547" t="s">
        <v>2305</v>
      </c>
      <c r="C547" t="s">
        <v>2306</v>
      </c>
      <c r="D547" t="s">
        <v>2307</v>
      </c>
      <c r="E547" t="s">
        <v>2308</v>
      </c>
      <c r="F547" t="s">
        <v>2309</v>
      </c>
      <c r="G547" t="s">
        <v>1079</v>
      </c>
      <c r="H547" t="s">
        <v>35</v>
      </c>
      <c r="I547">
        <v>11717</v>
      </c>
    </row>
    <row r="548" spans="1:9" x14ac:dyDescent="0.3">
      <c r="A548">
        <v>547</v>
      </c>
      <c r="B548" t="s">
        <v>476</v>
      </c>
      <c r="C548" t="s">
        <v>2310</v>
      </c>
      <c r="D548" t="s">
        <v>31</v>
      </c>
      <c r="E548" t="s">
        <v>2311</v>
      </c>
      <c r="F548" t="s">
        <v>2312</v>
      </c>
      <c r="G548" t="s">
        <v>635</v>
      </c>
      <c r="H548" t="s">
        <v>35</v>
      </c>
      <c r="I548">
        <v>12550</v>
      </c>
    </row>
    <row r="549" spans="1:9" x14ac:dyDescent="0.3">
      <c r="A549">
        <v>548</v>
      </c>
      <c r="B549" t="s">
        <v>2313</v>
      </c>
      <c r="C549" t="s">
        <v>1467</v>
      </c>
      <c r="D549" t="s">
        <v>31</v>
      </c>
      <c r="E549" t="s">
        <v>2314</v>
      </c>
      <c r="F549" t="s">
        <v>2315</v>
      </c>
      <c r="G549" t="s">
        <v>1247</v>
      </c>
      <c r="H549" t="s">
        <v>35</v>
      </c>
      <c r="I549">
        <v>12401</v>
      </c>
    </row>
    <row r="550" spans="1:9" x14ac:dyDescent="0.3">
      <c r="A550">
        <v>549</v>
      </c>
      <c r="B550" t="s">
        <v>2316</v>
      </c>
      <c r="C550" t="s">
        <v>2317</v>
      </c>
      <c r="D550" t="s">
        <v>2318</v>
      </c>
      <c r="E550" t="s">
        <v>2319</v>
      </c>
      <c r="F550" t="s">
        <v>2320</v>
      </c>
      <c r="G550" t="s">
        <v>166</v>
      </c>
      <c r="H550" t="s">
        <v>35</v>
      </c>
      <c r="I550">
        <v>11561</v>
      </c>
    </row>
    <row r="551" spans="1:9" x14ac:dyDescent="0.3">
      <c r="A551">
        <v>550</v>
      </c>
      <c r="B551" t="s">
        <v>2321</v>
      </c>
      <c r="C551" t="s">
        <v>193</v>
      </c>
      <c r="D551" t="s">
        <v>31</v>
      </c>
      <c r="E551" t="s">
        <v>2322</v>
      </c>
      <c r="F551" t="s">
        <v>2323</v>
      </c>
      <c r="G551" t="s">
        <v>647</v>
      </c>
      <c r="H551" t="s">
        <v>35</v>
      </c>
      <c r="I551">
        <v>14094</v>
      </c>
    </row>
    <row r="552" spans="1:9" x14ac:dyDescent="0.3">
      <c r="A552">
        <v>551</v>
      </c>
      <c r="B552" t="s">
        <v>2324</v>
      </c>
      <c r="C552" t="s">
        <v>2325</v>
      </c>
      <c r="D552" t="s">
        <v>2326</v>
      </c>
      <c r="E552" t="s">
        <v>2327</v>
      </c>
      <c r="F552" t="s">
        <v>2328</v>
      </c>
      <c r="G552" t="s">
        <v>2174</v>
      </c>
      <c r="H552" t="s">
        <v>100</v>
      </c>
      <c r="I552">
        <v>76110</v>
      </c>
    </row>
    <row r="553" spans="1:9" x14ac:dyDescent="0.3">
      <c r="A553">
        <v>552</v>
      </c>
      <c r="B553" t="s">
        <v>2329</v>
      </c>
      <c r="C553" t="s">
        <v>2330</v>
      </c>
      <c r="D553" t="s">
        <v>31</v>
      </c>
      <c r="E553" t="s">
        <v>2331</v>
      </c>
      <c r="F553" t="s">
        <v>2332</v>
      </c>
      <c r="G553" t="s">
        <v>775</v>
      </c>
      <c r="H553" t="s">
        <v>41</v>
      </c>
      <c r="I553">
        <v>92220</v>
      </c>
    </row>
    <row r="554" spans="1:9" x14ac:dyDescent="0.3">
      <c r="A554">
        <v>553</v>
      </c>
      <c r="B554" t="s">
        <v>2333</v>
      </c>
      <c r="C554" t="s">
        <v>1636</v>
      </c>
      <c r="D554" t="s">
        <v>31</v>
      </c>
      <c r="E554" t="s">
        <v>2334</v>
      </c>
      <c r="F554" t="s">
        <v>2335</v>
      </c>
      <c r="G554" t="s">
        <v>373</v>
      </c>
      <c r="H554" t="s">
        <v>41</v>
      </c>
      <c r="I554">
        <v>95677</v>
      </c>
    </row>
    <row r="555" spans="1:9" x14ac:dyDescent="0.3">
      <c r="A555">
        <v>554</v>
      </c>
      <c r="B555" t="s">
        <v>2336</v>
      </c>
      <c r="C555" t="s">
        <v>1874</v>
      </c>
      <c r="D555" t="s">
        <v>31</v>
      </c>
      <c r="E555" t="s">
        <v>2337</v>
      </c>
      <c r="F555" t="s">
        <v>2338</v>
      </c>
      <c r="G555" t="s">
        <v>40</v>
      </c>
      <c r="H555" t="s">
        <v>41</v>
      </c>
      <c r="I555">
        <v>95008</v>
      </c>
    </row>
    <row r="556" spans="1:9" x14ac:dyDescent="0.3">
      <c r="A556">
        <v>555</v>
      </c>
      <c r="B556" t="s">
        <v>2339</v>
      </c>
      <c r="C556" t="s">
        <v>2340</v>
      </c>
      <c r="D556" t="s">
        <v>31</v>
      </c>
      <c r="E556" t="s">
        <v>2341</v>
      </c>
      <c r="F556" t="s">
        <v>2342</v>
      </c>
      <c r="G556" t="s">
        <v>105</v>
      </c>
      <c r="H556" t="s">
        <v>100</v>
      </c>
      <c r="I556">
        <v>75126</v>
      </c>
    </row>
    <row r="557" spans="1:9" x14ac:dyDescent="0.3">
      <c r="A557">
        <v>556</v>
      </c>
      <c r="B557" t="s">
        <v>2343</v>
      </c>
      <c r="C557" t="s">
        <v>411</v>
      </c>
      <c r="D557" t="s">
        <v>31</v>
      </c>
      <c r="E557" t="s">
        <v>2344</v>
      </c>
      <c r="F557" t="s">
        <v>2345</v>
      </c>
      <c r="G557" t="s">
        <v>83</v>
      </c>
      <c r="H557" t="s">
        <v>35</v>
      </c>
      <c r="I557">
        <v>10950</v>
      </c>
    </row>
    <row r="558" spans="1:9" x14ac:dyDescent="0.3">
      <c r="A558">
        <v>557</v>
      </c>
      <c r="B558" t="s">
        <v>2346</v>
      </c>
      <c r="C558" t="s">
        <v>2347</v>
      </c>
      <c r="D558" t="s">
        <v>31</v>
      </c>
      <c r="E558" t="s">
        <v>2348</v>
      </c>
      <c r="F558" t="s">
        <v>2349</v>
      </c>
      <c r="G558" t="s">
        <v>1525</v>
      </c>
      <c r="H558" t="s">
        <v>35</v>
      </c>
      <c r="I558">
        <v>10550</v>
      </c>
    </row>
    <row r="559" spans="1:9" x14ac:dyDescent="0.3">
      <c r="A559">
        <v>558</v>
      </c>
      <c r="B559" t="s">
        <v>1414</v>
      </c>
      <c r="C559" t="s">
        <v>2350</v>
      </c>
      <c r="D559" t="s">
        <v>31</v>
      </c>
      <c r="E559" t="s">
        <v>2351</v>
      </c>
      <c r="F559" t="s">
        <v>2352</v>
      </c>
      <c r="G559" t="s">
        <v>83</v>
      </c>
      <c r="H559" t="s">
        <v>35</v>
      </c>
      <c r="I559">
        <v>10950</v>
      </c>
    </row>
    <row r="560" spans="1:9" x14ac:dyDescent="0.3">
      <c r="A560">
        <v>559</v>
      </c>
      <c r="B560" t="s">
        <v>2353</v>
      </c>
      <c r="C560" t="s">
        <v>2354</v>
      </c>
      <c r="D560" t="s">
        <v>2355</v>
      </c>
      <c r="E560" t="s">
        <v>2356</v>
      </c>
      <c r="F560" t="s">
        <v>2357</v>
      </c>
      <c r="G560" t="s">
        <v>1079</v>
      </c>
      <c r="H560" t="s">
        <v>35</v>
      </c>
      <c r="I560">
        <v>11717</v>
      </c>
    </row>
    <row r="561" spans="1:9" x14ac:dyDescent="0.3">
      <c r="A561">
        <v>560</v>
      </c>
      <c r="B561" t="s">
        <v>2358</v>
      </c>
      <c r="C561" t="s">
        <v>2359</v>
      </c>
      <c r="D561" t="s">
        <v>31</v>
      </c>
      <c r="E561" t="s">
        <v>2360</v>
      </c>
      <c r="F561" t="s">
        <v>2361</v>
      </c>
      <c r="G561" t="s">
        <v>105</v>
      </c>
      <c r="H561" t="s">
        <v>100</v>
      </c>
      <c r="I561">
        <v>75126</v>
      </c>
    </row>
    <row r="562" spans="1:9" x14ac:dyDescent="0.3">
      <c r="A562">
        <v>561</v>
      </c>
      <c r="B562" t="s">
        <v>1587</v>
      </c>
      <c r="C562" t="s">
        <v>2362</v>
      </c>
      <c r="D562" t="s">
        <v>31</v>
      </c>
      <c r="E562" t="s">
        <v>2363</v>
      </c>
      <c r="F562" t="s">
        <v>2364</v>
      </c>
      <c r="G562" t="s">
        <v>271</v>
      </c>
      <c r="H562" t="s">
        <v>41</v>
      </c>
      <c r="I562">
        <v>94580</v>
      </c>
    </row>
    <row r="563" spans="1:9" x14ac:dyDescent="0.3">
      <c r="A563">
        <v>562</v>
      </c>
      <c r="B563" t="s">
        <v>2260</v>
      </c>
      <c r="C563" t="s">
        <v>2365</v>
      </c>
      <c r="D563" t="s">
        <v>31</v>
      </c>
      <c r="E563" t="s">
        <v>2366</v>
      </c>
      <c r="F563" t="s">
        <v>2367</v>
      </c>
      <c r="G563" t="s">
        <v>464</v>
      </c>
      <c r="H563" t="s">
        <v>41</v>
      </c>
      <c r="I563">
        <v>91784</v>
      </c>
    </row>
    <row r="564" spans="1:9" x14ac:dyDescent="0.3">
      <c r="A564">
        <v>563</v>
      </c>
      <c r="B564" t="s">
        <v>2368</v>
      </c>
      <c r="C564" t="s">
        <v>748</v>
      </c>
      <c r="D564" t="s">
        <v>31</v>
      </c>
      <c r="E564" t="s">
        <v>2369</v>
      </c>
      <c r="F564" t="s">
        <v>2370</v>
      </c>
      <c r="G564" t="s">
        <v>246</v>
      </c>
      <c r="H564" t="s">
        <v>35</v>
      </c>
      <c r="I564">
        <v>11418</v>
      </c>
    </row>
    <row r="565" spans="1:9" x14ac:dyDescent="0.3">
      <c r="A565">
        <v>564</v>
      </c>
      <c r="B565" t="s">
        <v>1471</v>
      </c>
      <c r="C565" t="s">
        <v>2371</v>
      </c>
      <c r="D565" t="s">
        <v>31</v>
      </c>
      <c r="E565" t="s">
        <v>2372</v>
      </c>
      <c r="F565" t="s">
        <v>2373</v>
      </c>
      <c r="G565" t="s">
        <v>480</v>
      </c>
      <c r="H565" t="s">
        <v>35</v>
      </c>
      <c r="I565">
        <v>11735</v>
      </c>
    </row>
    <row r="566" spans="1:9" x14ac:dyDescent="0.3">
      <c r="A566">
        <v>565</v>
      </c>
      <c r="B566" t="s">
        <v>2374</v>
      </c>
      <c r="C566" t="s">
        <v>2375</v>
      </c>
      <c r="D566" t="s">
        <v>31</v>
      </c>
      <c r="E566" t="s">
        <v>2376</v>
      </c>
      <c r="F566" t="s">
        <v>2377</v>
      </c>
      <c r="G566" t="s">
        <v>334</v>
      </c>
      <c r="H566" t="s">
        <v>100</v>
      </c>
      <c r="I566">
        <v>76901</v>
      </c>
    </row>
    <row r="567" spans="1:9" x14ac:dyDescent="0.3">
      <c r="A567">
        <v>566</v>
      </c>
      <c r="B567" t="s">
        <v>2378</v>
      </c>
      <c r="C567" t="s">
        <v>2379</v>
      </c>
      <c r="D567" t="s">
        <v>31</v>
      </c>
      <c r="E567" t="s">
        <v>2380</v>
      </c>
      <c r="F567" t="s">
        <v>2381</v>
      </c>
      <c r="G567" t="s">
        <v>2057</v>
      </c>
      <c r="H567" t="s">
        <v>100</v>
      </c>
      <c r="I567">
        <v>77566</v>
      </c>
    </row>
    <row r="568" spans="1:9" x14ac:dyDescent="0.3">
      <c r="A568">
        <v>567</v>
      </c>
      <c r="B568" t="s">
        <v>2382</v>
      </c>
      <c r="C568" t="s">
        <v>2107</v>
      </c>
      <c r="D568" t="s">
        <v>31</v>
      </c>
      <c r="E568" t="s">
        <v>2383</v>
      </c>
      <c r="F568" t="s">
        <v>2384</v>
      </c>
      <c r="G568" t="s">
        <v>99</v>
      </c>
      <c r="H568" t="s">
        <v>100</v>
      </c>
      <c r="I568">
        <v>75604</v>
      </c>
    </row>
    <row r="569" spans="1:9" x14ac:dyDescent="0.3">
      <c r="A569">
        <v>568</v>
      </c>
      <c r="B569" t="s">
        <v>2385</v>
      </c>
      <c r="C569" t="s">
        <v>587</v>
      </c>
      <c r="D569" t="s">
        <v>31</v>
      </c>
      <c r="E569" t="s">
        <v>2386</v>
      </c>
      <c r="F569" t="s">
        <v>2387</v>
      </c>
      <c r="G569" t="s">
        <v>770</v>
      </c>
      <c r="H569" t="s">
        <v>35</v>
      </c>
      <c r="I569">
        <v>11795</v>
      </c>
    </row>
    <row r="570" spans="1:9" x14ac:dyDescent="0.3">
      <c r="A570">
        <v>569</v>
      </c>
      <c r="B570" t="s">
        <v>2388</v>
      </c>
      <c r="C570" t="s">
        <v>1075</v>
      </c>
      <c r="D570" t="s">
        <v>31</v>
      </c>
      <c r="E570" t="s">
        <v>2389</v>
      </c>
      <c r="F570" t="s">
        <v>2390</v>
      </c>
      <c r="G570" t="s">
        <v>2241</v>
      </c>
      <c r="H570" t="s">
        <v>41</v>
      </c>
      <c r="I570">
        <v>90403</v>
      </c>
    </row>
    <row r="571" spans="1:9" x14ac:dyDescent="0.3">
      <c r="A571">
        <v>570</v>
      </c>
      <c r="B571" t="s">
        <v>2391</v>
      </c>
      <c r="C571" t="s">
        <v>2020</v>
      </c>
      <c r="D571" t="s">
        <v>31</v>
      </c>
      <c r="E571" t="s">
        <v>2392</v>
      </c>
      <c r="F571" t="s">
        <v>2393</v>
      </c>
      <c r="G571" t="s">
        <v>702</v>
      </c>
      <c r="H571" t="s">
        <v>35</v>
      </c>
      <c r="I571">
        <v>11412</v>
      </c>
    </row>
    <row r="572" spans="1:9" x14ac:dyDescent="0.3">
      <c r="A572">
        <v>571</v>
      </c>
      <c r="B572" t="s">
        <v>2394</v>
      </c>
      <c r="C572" t="s">
        <v>2395</v>
      </c>
      <c r="D572" t="s">
        <v>31</v>
      </c>
      <c r="E572" t="s">
        <v>2396</v>
      </c>
      <c r="F572" t="s">
        <v>2397</v>
      </c>
      <c r="G572" t="s">
        <v>201</v>
      </c>
      <c r="H572" t="s">
        <v>41</v>
      </c>
      <c r="I572">
        <v>90274</v>
      </c>
    </row>
    <row r="573" spans="1:9" x14ac:dyDescent="0.3">
      <c r="A573">
        <v>572</v>
      </c>
      <c r="B573" t="s">
        <v>2398</v>
      </c>
      <c r="C573" t="s">
        <v>1058</v>
      </c>
      <c r="D573" t="s">
        <v>31</v>
      </c>
      <c r="E573" t="s">
        <v>2399</v>
      </c>
      <c r="F573" t="s">
        <v>2400</v>
      </c>
      <c r="G573" t="s">
        <v>2401</v>
      </c>
      <c r="H573" t="s">
        <v>35</v>
      </c>
      <c r="I573">
        <v>13021</v>
      </c>
    </row>
    <row r="574" spans="1:9" x14ac:dyDescent="0.3">
      <c r="A574">
        <v>573</v>
      </c>
      <c r="B574" t="s">
        <v>2402</v>
      </c>
      <c r="C574" t="s">
        <v>326</v>
      </c>
      <c r="D574" t="s">
        <v>2403</v>
      </c>
      <c r="E574" t="s">
        <v>2404</v>
      </c>
      <c r="F574" t="s">
        <v>2405</v>
      </c>
      <c r="G574" t="s">
        <v>486</v>
      </c>
      <c r="H574" t="s">
        <v>35</v>
      </c>
      <c r="I574">
        <v>12180</v>
      </c>
    </row>
    <row r="575" spans="1:9" x14ac:dyDescent="0.3">
      <c r="A575">
        <v>574</v>
      </c>
      <c r="B575" t="s">
        <v>2406</v>
      </c>
      <c r="C575" t="s">
        <v>1067</v>
      </c>
      <c r="D575" t="s">
        <v>31</v>
      </c>
      <c r="E575" t="s">
        <v>2407</v>
      </c>
      <c r="F575" t="s">
        <v>2408</v>
      </c>
      <c r="G575" t="s">
        <v>236</v>
      </c>
      <c r="H575" t="s">
        <v>41</v>
      </c>
      <c r="I575">
        <v>91316</v>
      </c>
    </row>
    <row r="576" spans="1:9" x14ac:dyDescent="0.3">
      <c r="A576">
        <v>575</v>
      </c>
      <c r="B576" t="s">
        <v>2409</v>
      </c>
      <c r="C576" t="s">
        <v>2410</v>
      </c>
      <c r="D576" t="s">
        <v>31</v>
      </c>
      <c r="E576" t="s">
        <v>2411</v>
      </c>
      <c r="F576" t="s">
        <v>2412</v>
      </c>
      <c r="G576" t="s">
        <v>977</v>
      </c>
      <c r="H576" t="s">
        <v>35</v>
      </c>
      <c r="I576">
        <v>11432</v>
      </c>
    </row>
    <row r="577" spans="1:9" x14ac:dyDescent="0.3">
      <c r="A577">
        <v>576</v>
      </c>
      <c r="B577" t="s">
        <v>2413</v>
      </c>
      <c r="C577" t="s">
        <v>321</v>
      </c>
      <c r="D577" t="s">
        <v>2414</v>
      </c>
      <c r="E577" t="s">
        <v>2415</v>
      </c>
      <c r="F577" t="s">
        <v>2416</v>
      </c>
      <c r="G577" t="s">
        <v>1165</v>
      </c>
      <c r="H577" t="s">
        <v>100</v>
      </c>
      <c r="I577">
        <v>79930</v>
      </c>
    </row>
    <row r="578" spans="1:9" x14ac:dyDescent="0.3">
      <c r="A578">
        <v>577</v>
      </c>
      <c r="B578" t="s">
        <v>2417</v>
      </c>
      <c r="C578" t="s">
        <v>2418</v>
      </c>
      <c r="D578" t="s">
        <v>31</v>
      </c>
      <c r="E578" t="s">
        <v>2419</v>
      </c>
      <c r="F578" t="s">
        <v>2420</v>
      </c>
      <c r="G578" t="s">
        <v>373</v>
      </c>
      <c r="H578" t="s">
        <v>41</v>
      </c>
      <c r="I578">
        <v>95677</v>
      </c>
    </row>
    <row r="579" spans="1:9" x14ac:dyDescent="0.3">
      <c r="A579">
        <v>578</v>
      </c>
      <c r="B579" t="s">
        <v>2421</v>
      </c>
      <c r="C579" t="s">
        <v>1298</v>
      </c>
      <c r="D579" t="s">
        <v>31</v>
      </c>
      <c r="E579" t="s">
        <v>2422</v>
      </c>
      <c r="F579" t="s">
        <v>2423</v>
      </c>
      <c r="G579" t="s">
        <v>271</v>
      </c>
      <c r="H579" t="s">
        <v>41</v>
      </c>
      <c r="I579">
        <v>94580</v>
      </c>
    </row>
    <row r="580" spans="1:9" x14ac:dyDescent="0.3">
      <c r="A580">
        <v>579</v>
      </c>
      <c r="B580" t="s">
        <v>2424</v>
      </c>
      <c r="C580" t="s">
        <v>800</v>
      </c>
      <c r="D580" t="s">
        <v>31</v>
      </c>
      <c r="E580" t="s">
        <v>2425</v>
      </c>
      <c r="F580" t="s">
        <v>2426</v>
      </c>
      <c r="G580" t="s">
        <v>1807</v>
      </c>
      <c r="H580" t="s">
        <v>100</v>
      </c>
      <c r="I580">
        <v>78552</v>
      </c>
    </row>
    <row r="581" spans="1:9" x14ac:dyDescent="0.3">
      <c r="A581">
        <v>580</v>
      </c>
      <c r="B581" t="s">
        <v>1223</v>
      </c>
      <c r="C581" t="s">
        <v>1347</v>
      </c>
      <c r="D581" t="s">
        <v>2427</v>
      </c>
      <c r="E581" t="s">
        <v>2428</v>
      </c>
      <c r="F581" t="s">
        <v>2429</v>
      </c>
      <c r="G581" t="s">
        <v>2430</v>
      </c>
      <c r="H581" t="s">
        <v>41</v>
      </c>
      <c r="I581">
        <v>90008</v>
      </c>
    </row>
    <row r="582" spans="1:9" x14ac:dyDescent="0.3">
      <c r="A582">
        <v>581</v>
      </c>
      <c r="B582" t="s">
        <v>2431</v>
      </c>
      <c r="C582" t="s">
        <v>2432</v>
      </c>
      <c r="D582" t="s">
        <v>31</v>
      </c>
      <c r="E582" t="s">
        <v>2433</v>
      </c>
      <c r="F582" t="s">
        <v>2434</v>
      </c>
      <c r="G582" t="s">
        <v>838</v>
      </c>
      <c r="H582" t="s">
        <v>41</v>
      </c>
      <c r="I582">
        <v>95050</v>
      </c>
    </row>
    <row r="583" spans="1:9" x14ac:dyDescent="0.3">
      <c r="A583">
        <v>582</v>
      </c>
      <c r="B583" t="s">
        <v>2435</v>
      </c>
      <c r="C583" t="s">
        <v>1057</v>
      </c>
      <c r="D583" t="s">
        <v>31</v>
      </c>
      <c r="E583" t="s">
        <v>2436</v>
      </c>
      <c r="F583" t="s">
        <v>2437</v>
      </c>
      <c r="G583" t="s">
        <v>73</v>
      </c>
      <c r="H583" t="s">
        <v>35</v>
      </c>
      <c r="I583">
        <v>11372</v>
      </c>
    </row>
    <row r="584" spans="1:9" x14ac:dyDescent="0.3">
      <c r="A584">
        <v>583</v>
      </c>
      <c r="B584" t="s">
        <v>2438</v>
      </c>
      <c r="C584" t="s">
        <v>2439</v>
      </c>
      <c r="D584" t="s">
        <v>2440</v>
      </c>
      <c r="E584" t="s">
        <v>2441</v>
      </c>
      <c r="F584" t="s">
        <v>2442</v>
      </c>
      <c r="G584" t="s">
        <v>166</v>
      </c>
      <c r="H584" t="s">
        <v>35</v>
      </c>
      <c r="I584">
        <v>11561</v>
      </c>
    </row>
    <row r="585" spans="1:9" x14ac:dyDescent="0.3">
      <c r="A585">
        <v>584</v>
      </c>
      <c r="B585" t="s">
        <v>2443</v>
      </c>
      <c r="C585" t="s">
        <v>1400</v>
      </c>
      <c r="D585" t="s">
        <v>2444</v>
      </c>
      <c r="E585" t="s">
        <v>2445</v>
      </c>
      <c r="F585" t="s">
        <v>2446</v>
      </c>
      <c r="G585" t="s">
        <v>1165</v>
      </c>
      <c r="H585" t="s">
        <v>100</v>
      </c>
      <c r="I585">
        <v>79930</v>
      </c>
    </row>
    <row r="586" spans="1:9" x14ac:dyDescent="0.3">
      <c r="A586">
        <v>585</v>
      </c>
      <c r="B586" t="s">
        <v>1927</v>
      </c>
      <c r="C586" t="s">
        <v>884</v>
      </c>
      <c r="D586" t="s">
        <v>31</v>
      </c>
      <c r="E586" t="s">
        <v>2447</v>
      </c>
      <c r="F586" t="s">
        <v>2448</v>
      </c>
      <c r="G586" t="s">
        <v>373</v>
      </c>
      <c r="H586" t="s">
        <v>41</v>
      </c>
      <c r="I586">
        <v>95677</v>
      </c>
    </row>
    <row r="587" spans="1:9" x14ac:dyDescent="0.3">
      <c r="A587">
        <v>586</v>
      </c>
      <c r="B587" t="s">
        <v>2449</v>
      </c>
      <c r="C587" t="s">
        <v>2450</v>
      </c>
      <c r="D587" t="s">
        <v>31</v>
      </c>
      <c r="E587" t="s">
        <v>2451</v>
      </c>
      <c r="F587" t="s">
        <v>2452</v>
      </c>
      <c r="G587" t="s">
        <v>88</v>
      </c>
      <c r="H587" t="s">
        <v>35</v>
      </c>
      <c r="I587">
        <v>10952</v>
      </c>
    </row>
    <row r="588" spans="1:9" x14ac:dyDescent="0.3">
      <c r="A588">
        <v>587</v>
      </c>
      <c r="B588" t="s">
        <v>2453</v>
      </c>
      <c r="C588" t="s">
        <v>2454</v>
      </c>
      <c r="D588" t="s">
        <v>31</v>
      </c>
      <c r="E588" t="s">
        <v>2455</v>
      </c>
      <c r="F588" t="s">
        <v>2456</v>
      </c>
      <c r="G588" t="s">
        <v>1782</v>
      </c>
      <c r="H588" t="s">
        <v>35</v>
      </c>
      <c r="I588">
        <v>10512</v>
      </c>
    </row>
    <row r="589" spans="1:9" x14ac:dyDescent="0.3">
      <c r="A589">
        <v>588</v>
      </c>
      <c r="B589" t="s">
        <v>2457</v>
      </c>
      <c r="C589" t="s">
        <v>2330</v>
      </c>
      <c r="D589" t="s">
        <v>31</v>
      </c>
      <c r="E589" t="s">
        <v>2458</v>
      </c>
      <c r="F589" t="s">
        <v>2459</v>
      </c>
      <c r="G589" t="s">
        <v>1605</v>
      </c>
      <c r="H589" t="s">
        <v>35</v>
      </c>
      <c r="I589">
        <v>11580</v>
      </c>
    </row>
    <row r="590" spans="1:9" x14ac:dyDescent="0.3">
      <c r="A590">
        <v>589</v>
      </c>
      <c r="B590" t="s">
        <v>2460</v>
      </c>
      <c r="C590" t="s">
        <v>2461</v>
      </c>
      <c r="D590" t="s">
        <v>31</v>
      </c>
      <c r="E590" t="s">
        <v>2462</v>
      </c>
      <c r="F590" t="s">
        <v>2463</v>
      </c>
      <c r="G590" t="s">
        <v>1200</v>
      </c>
      <c r="H590" t="s">
        <v>41</v>
      </c>
      <c r="I590">
        <v>94566</v>
      </c>
    </row>
    <row r="591" spans="1:9" x14ac:dyDescent="0.3">
      <c r="A591">
        <v>590</v>
      </c>
      <c r="B591" t="s">
        <v>1716</v>
      </c>
      <c r="C591" t="s">
        <v>2464</v>
      </c>
      <c r="D591" t="s">
        <v>31</v>
      </c>
      <c r="E591" t="s">
        <v>2465</v>
      </c>
      <c r="F591" t="s">
        <v>2466</v>
      </c>
      <c r="G591" t="s">
        <v>75</v>
      </c>
      <c r="H591" t="s">
        <v>35</v>
      </c>
      <c r="I591">
        <v>11510</v>
      </c>
    </row>
    <row r="592" spans="1:9" x14ac:dyDescent="0.3">
      <c r="A592">
        <v>591</v>
      </c>
      <c r="B592" t="s">
        <v>2467</v>
      </c>
      <c r="C592" t="s">
        <v>951</v>
      </c>
      <c r="D592" t="s">
        <v>31</v>
      </c>
      <c r="E592" t="s">
        <v>2468</v>
      </c>
      <c r="F592" t="s">
        <v>2469</v>
      </c>
      <c r="G592" t="s">
        <v>923</v>
      </c>
      <c r="H592" t="s">
        <v>35</v>
      </c>
      <c r="I592">
        <v>11801</v>
      </c>
    </row>
    <row r="593" spans="1:9" x14ac:dyDescent="0.3">
      <c r="A593">
        <v>592</v>
      </c>
      <c r="B593" t="s">
        <v>2470</v>
      </c>
      <c r="C593" t="s">
        <v>886</v>
      </c>
      <c r="D593" t="s">
        <v>31</v>
      </c>
      <c r="E593" t="s">
        <v>2471</v>
      </c>
      <c r="F593" t="s">
        <v>2472</v>
      </c>
      <c r="G593" t="s">
        <v>1330</v>
      </c>
      <c r="H593" t="s">
        <v>35</v>
      </c>
      <c r="I593">
        <v>11720</v>
      </c>
    </row>
    <row r="594" spans="1:9" x14ac:dyDescent="0.3">
      <c r="A594">
        <v>593</v>
      </c>
      <c r="B594" t="s">
        <v>2473</v>
      </c>
      <c r="C594" t="s">
        <v>2474</v>
      </c>
      <c r="D594" t="s">
        <v>31</v>
      </c>
      <c r="E594" t="s">
        <v>2475</v>
      </c>
      <c r="F594" t="s">
        <v>2476</v>
      </c>
      <c r="G594" t="s">
        <v>729</v>
      </c>
      <c r="H594" t="s">
        <v>35</v>
      </c>
      <c r="I594">
        <v>11787</v>
      </c>
    </row>
    <row r="595" spans="1:9" x14ac:dyDescent="0.3">
      <c r="A595">
        <v>594</v>
      </c>
      <c r="B595" t="s">
        <v>2477</v>
      </c>
      <c r="C595" t="s">
        <v>1404</v>
      </c>
      <c r="D595" t="s">
        <v>31</v>
      </c>
      <c r="E595" t="s">
        <v>2478</v>
      </c>
      <c r="F595" t="s">
        <v>2479</v>
      </c>
      <c r="G595" t="s">
        <v>440</v>
      </c>
      <c r="H595" t="s">
        <v>35</v>
      </c>
      <c r="I595">
        <v>11757</v>
      </c>
    </row>
    <row r="596" spans="1:9" x14ac:dyDescent="0.3">
      <c r="A596">
        <v>595</v>
      </c>
      <c r="B596" t="s">
        <v>2480</v>
      </c>
      <c r="C596" t="s">
        <v>1619</v>
      </c>
      <c r="D596" t="s">
        <v>31</v>
      </c>
      <c r="E596" t="s">
        <v>2481</v>
      </c>
      <c r="F596" t="s">
        <v>2482</v>
      </c>
      <c r="G596" t="s">
        <v>1617</v>
      </c>
      <c r="H596" t="s">
        <v>35</v>
      </c>
      <c r="I596">
        <v>14850</v>
      </c>
    </row>
    <row r="597" spans="1:9" x14ac:dyDescent="0.3">
      <c r="A597">
        <v>596</v>
      </c>
      <c r="B597" t="s">
        <v>2483</v>
      </c>
      <c r="C597" t="s">
        <v>2484</v>
      </c>
      <c r="D597" t="s">
        <v>31</v>
      </c>
      <c r="E597" t="s">
        <v>2485</v>
      </c>
      <c r="F597" t="s">
        <v>2486</v>
      </c>
      <c r="G597" t="s">
        <v>661</v>
      </c>
      <c r="H597" t="s">
        <v>35</v>
      </c>
      <c r="I597">
        <v>14075</v>
      </c>
    </row>
    <row r="598" spans="1:9" x14ac:dyDescent="0.3">
      <c r="A598">
        <v>597</v>
      </c>
      <c r="B598" t="s">
        <v>2199</v>
      </c>
      <c r="C598" t="s">
        <v>2225</v>
      </c>
      <c r="D598" t="s">
        <v>31</v>
      </c>
      <c r="E598" t="s">
        <v>2487</v>
      </c>
      <c r="F598" t="s">
        <v>2488</v>
      </c>
      <c r="G598" t="s">
        <v>220</v>
      </c>
      <c r="H598" t="s">
        <v>35</v>
      </c>
      <c r="I598">
        <v>11378</v>
      </c>
    </row>
    <row r="599" spans="1:9" x14ac:dyDescent="0.3">
      <c r="A599">
        <v>598</v>
      </c>
      <c r="B599" t="s">
        <v>2489</v>
      </c>
      <c r="C599" t="s">
        <v>2490</v>
      </c>
      <c r="D599" t="s">
        <v>31</v>
      </c>
      <c r="E599" t="s">
        <v>2491</v>
      </c>
      <c r="F599" t="s">
        <v>2492</v>
      </c>
      <c r="G599" t="s">
        <v>1751</v>
      </c>
      <c r="H599" t="s">
        <v>35</v>
      </c>
      <c r="I599">
        <v>14043</v>
      </c>
    </row>
    <row r="600" spans="1:9" x14ac:dyDescent="0.3">
      <c r="A600">
        <v>599</v>
      </c>
      <c r="B600" t="s">
        <v>2493</v>
      </c>
      <c r="C600" t="s">
        <v>2494</v>
      </c>
      <c r="D600" t="s">
        <v>31</v>
      </c>
      <c r="E600" t="s">
        <v>2495</v>
      </c>
      <c r="F600" t="s">
        <v>2496</v>
      </c>
      <c r="G600" t="s">
        <v>944</v>
      </c>
      <c r="H600" t="s">
        <v>100</v>
      </c>
      <c r="I600">
        <v>79106</v>
      </c>
    </row>
    <row r="601" spans="1:9" x14ac:dyDescent="0.3">
      <c r="A601">
        <v>600</v>
      </c>
      <c r="B601" t="s">
        <v>2497</v>
      </c>
      <c r="C601" t="s">
        <v>2498</v>
      </c>
      <c r="D601" t="s">
        <v>2499</v>
      </c>
      <c r="E601" t="s">
        <v>2500</v>
      </c>
      <c r="F601" t="s">
        <v>2501</v>
      </c>
      <c r="G601" t="s">
        <v>475</v>
      </c>
      <c r="H601" t="s">
        <v>41</v>
      </c>
      <c r="I601">
        <v>92111</v>
      </c>
    </row>
    <row r="602" spans="1:9" x14ac:dyDescent="0.3">
      <c r="A602">
        <v>601</v>
      </c>
      <c r="B602" t="s">
        <v>2502</v>
      </c>
      <c r="C602" t="s">
        <v>2503</v>
      </c>
      <c r="D602" t="s">
        <v>31</v>
      </c>
      <c r="E602" t="s">
        <v>2504</v>
      </c>
      <c r="F602" t="s">
        <v>2505</v>
      </c>
      <c r="G602" t="s">
        <v>236</v>
      </c>
      <c r="H602" t="s">
        <v>41</v>
      </c>
      <c r="I602">
        <v>91316</v>
      </c>
    </row>
    <row r="603" spans="1:9" x14ac:dyDescent="0.3">
      <c r="A603">
        <v>602</v>
      </c>
      <c r="B603" t="s">
        <v>2506</v>
      </c>
      <c r="C603" t="s">
        <v>1075</v>
      </c>
      <c r="D603" t="s">
        <v>31</v>
      </c>
      <c r="E603" t="s">
        <v>2507</v>
      </c>
      <c r="F603" t="s">
        <v>2508</v>
      </c>
      <c r="G603" t="s">
        <v>944</v>
      </c>
      <c r="H603" t="s">
        <v>100</v>
      </c>
      <c r="I603">
        <v>79106</v>
      </c>
    </row>
    <row r="604" spans="1:9" x14ac:dyDescent="0.3">
      <c r="A604">
        <v>603</v>
      </c>
      <c r="B604" t="s">
        <v>2509</v>
      </c>
      <c r="C604" t="s">
        <v>1151</v>
      </c>
      <c r="D604" t="s">
        <v>31</v>
      </c>
      <c r="E604" t="s">
        <v>2510</v>
      </c>
      <c r="F604" t="s">
        <v>2511</v>
      </c>
      <c r="G604" t="s">
        <v>2512</v>
      </c>
      <c r="H604" t="s">
        <v>35</v>
      </c>
      <c r="I604">
        <v>11040</v>
      </c>
    </row>
    <row r="605" spans="1:9" x14ac:dyDescent="0.3">
      <c r="A605">
        <v>604</v>
      </c>
      <c r="B605" t="s">
        <v>2513</v>
      </c>
      <c r="C605" t="s">
        <v>2186</v>
      </c>
      <c r="D605" t="s">
        <v>31</v>
      </c>
      <c r="E605" t="s">
        <v>2514</v>
      </c>
      <c r="F605" t="s">
        <v>2515</v>
      </c>
      <c r="G605" t="s">
        <v>343</v>
      </c>
      <c r="H605" t="s">
        <v>35</v>
      </c>
      <c r="I605">
        <v>11701</v>
      </c>
    </row>
    <row r="606" spans="1:9" x14ac:dyDescent="0.3">
      <c r="A606">
        <v>605</v>
      </c>
      <c r="B606" t="s">
        <v>2516</v>
      </c>
      <c r="C606" t="s">
        <v>312</v>
      </c>
      <c r="D606" t="s">
        <v>31</v>
      </c>
      <c r="E606" t="s">
        <v>2517</v>
      </c>
      <c r="F606" t="s">
        <v>2518</v>
      </c>
      <c r="G606" t="s">
        <v>1857</v>
      </c>
      <c r="H606" t="s">
        <v>35</v>
      </c>
      <c r="I606">
        <v>10801</v>
      </c>
    </row>
    <row r="607" spans="1:9" x14ac:dyDescent="0.3">
      <c r="A607">
        <v>606</v>
      </c>
      <c r="B607" t="s">
        <v>2519</v>
      </c>
      <c r="C607" t="s">
        <v>365</v>
      </c>
      <c r="D607" t="s">
        <v>31</v>
      </c>
      <c r="E607" t="s">
        <v>2520</v>
      </c>
      <c r="F607" t="s">
        <v>2521</v>
      </c>
      <c r="G607" t="s">
        <v>1647</v>
      </c>
      <c r="H607" t="s">
        <v>35</v>
      </c>
      <c r="I607">
        <v>12590</v>
      </c>
    </row>
    <row r="608" spans="1:9" x14ac:dyDescent="0.3">
      <c r="A608">
        <v>607</v>
      </c>
      <c r="B608" t="s">
        <v>894</v>
      </c>
      <c r="C608" t="s">
        <v>2127</v>
      </c>
      <c r="D608" t="s">
        <v>31</v>
      </c>
      <c r="E608" t="s">
        <v>2522</v>
      </c>
      <c r="F608" t="s">
        <v>2523</v>
      </c>
      <c r="G608" t="s">
        <v>1931</v>
      </c>
      <c r="H608" t="s">
        <v>41</v>
      </c>
      <c r="I608">
        <v>92083</v>
      </c>
    </row>
    <row r="609" spans="1:9" x14ac:dyDescent="0.3">
      <c r="A609">
        <v>608</v>
      </c>
      <c r="B609" t="s">
        <v>2524</v>
      </c>
      <c r="C609" t="s">
        <v>2525</v>
      </c>
      <c r="D609" t="s">
        <v>31</v>
      </c>
      <c r="E609" t="s">
        <v>2526</v>
      </c>
      <c r="F609" t="s">
        <v>2527</v>
      </c>
      <c r="G609" t="s">
        <v>1770</v>
      </c>
      <c r="H609" t="s">
        <v>35</v>
      </c>
      <c r="I609">
        <v>11967</v>
      </c>
    </row>
    <row r="610" spans="1:9" x14ac:dyDescent="0.3">
      <c r="A610">
        <v>609</v>
      </c>
      <c r="B610" t="s">
        <v>574</v>
      </c>
      <c r="C610" t="s">
        <v>162</v>
      </c>
      <c r="D610" t="s">
        <v>31</v>
      </c>
      <c r="E610" t="s">
        <v>2528</v>
      </c>
      <c r="F610" t="s">
        <v>2529</v>
      </c>
      <c r="G610" t="s">
        <v>539</v>
      </c>
      <c r="H610" t="s">
        <v>35</v>
      </c>
      <c r="I610">
        <v>11421</v>
      </c>
    </row>
    <row r="611" spans="1:9" x14ac:dyDescent="0.3">
      <c r="A611">
        <v>610</v>
      </c>
      <c r="B611" t="s">
        <v>2530</v>
      </c>
      <c r="C611" t="s">
        <v>317</v>
      </c>
      <c r="D611" t="s">
        <v>31</v>
      </c>
      <c r="E611" t="s">
        <v>2531</v>
      </c>
      <c r="F611" t="s">
        <v>2532</v>
      </c>
      <c r="G611" t="s">
        <v>73</v>
      </c>
      <c r="H611" t="s">
        <v>35</v>
      </c>
      <c r="I611">
        <v>11372</v>
      </c>
    </row>
    <row r="612" spans="1:9" x14ac:dyDescent="0.3">
      <c r="A612">
        <v>611</v>
      </c>
      <c r="B612" t="s">
        <v>2533</v>
      </c>
      <c r="C612" t="s">
        <v>1476</v>
      </c>
      <c r="D612" t="s">
        <v>31</v>
      </c>
      <c r="E612" t="s">
        <v>2534</v>
      </c>
      <c r="F612" t="s">
        <v>2535</v>
      </c>
      <c r="G612" t="s">
        <v>1313</v>
      </c>
      <c r="H612" t="s">
        <v>35</v>
      </c>
      <c r="I612">
        <v>11756</v>
      </c>
    </row>
    <row r="613" spans="1:9" x14ac:dyDescent="0.3">
      <c r="A613">
        <v>612</v>
      </c>
      <c r="B613" t="s">
        <v>2536</v>
      </c>
      <c r="C613" t="s">
        <v>2537</v>
      </c>
      <c r="D613" t="s">
        <v>31</v>
      </c>
      <c r="E613" t="s">
        <v>2538</v>
      </c>
      <c r="F613" t="s">
        <v>2539</v>
      </c>
      <c r="G613" t="s">
        <v>958</v>
      </c>
      <c r="H613" t="s">
        <v>35</v>
      </c>
      <c r="I613">
        <v>12020</v>
      </c>
    </row>
    <row r="614" spans="1:9" x14ac:dyDescent="0.3">
      <c r="A614">
        <v>613</v>
      </c>
      <c r="B614" t="s">
        <v>2540</v>
      </c>
      <c r="C614" t="s">
        <v>1158</v>
      </c>
      <c r="D614" t="s">
        <v>31</v>
      </c>
      <c r="E614" t="s">
        <v>2541</v>
      </c>
      <c r="F614" t="s">
        <v>2542</v>
      </c>
      <c r="G614" t="s">
        <v>1591</v>
      </c>
      <c r="H614" t="s">
        <v>35</v>
      </c>
      <c r="I614">
        <v>11793</v>
      </c>
    </row>
    <row r="615" spans="1:9" x14ac:dyDescent="0.3">
      <c r="A615">
        <v>614</v>
      </c>
      <c r="B615" t="s">
        <v>2543</v>
      </c>
      <c r="C615" t="s">
        <v>2544</v>
      </c>
      <c r="D615" t="s">
        <v>31</v>
      </c>
      <c r="E615" t="s">
        <v>2545</v>
      </c>
      <c r="F615" t="s">
        <v>2546</v>
      </c>
      <c r="G615" t="s">
        <v>1926</v>
      </c>
      <c r="H615" t="s">
        <v>35</v>
      </c>
      <c r="I615">
        <v>12010</v>
      </c>
    </row>
    <row r="616" spans="1:9" x14ac:dyDescent="0.3">
      <c r="A616">
        <v>615</v>
      </c>
      <c r="B616" t="s">
        <v>2280</v>
      </c>
      <c r="C616" t="s">
        <v>2395</v>
      </c>
      <c r="D616" t="s">
        <v>31</v>
      </c>
      <c r="E616" t="s">
        <v>2547</v>
      </c>
      <c r="F616" t="s">
        <v>2548</v>
      </c>
      <c r="G616" t="s">
        <v>2549</v>
      </c>
      <c r="H616" t="s">
        <v>35</v>
      </c>
      <c r="I616">
        <v>11365</v>
      </c>
    </row>
    <row r="617" spans="1:9" x14ac:dyDescent="0.3">
      <c r="A617">
        <v>616</v>
      </c>
      <c r="B617" t="s">
        <v>2284</v>
      </c>
      <c r="C617" t="s">
        <v>2550</v>
      </c>
      <c r="D617" t="s">
        <v>31</v>
      </c>
      <c r="E617" t="s">
        <v>2551</v>
      </c>
      <c r="F617" t="s">
        <v>2552</v>
      </c>
      <c r="G617" t="s">
        <v>495</v>
      </c>
      <c r="H617" t="s">
        <v>35</v>
      </c>
      <c r="I617">
        <v>12866</v>
      </c>
    </row>
    <row r="618" spans="1:9" x14ac:dyDescent="0.3">
      <c r="A618">
        <v>617</v>
      </c>
      <c r="B618" t="s">
        <v>2553</v>
      </c>
      <c r="C618" t="s">
        <v>1833</v>
      </c>
      <c r="D618" t="s">
        <v>31</v>
      </c>
      <c r="E618" t="s">
        <v>2554</v>
      </c>
      <c r="F618" t="s">
        <v>2555</v>
      </c>
      <c r="G618" t="s">
        <v>2556</v>
      </c>
      <c r="H618" t="s">
        <v>35</v>
      </c>
      <c r="I618">
        <v>10598</v>
      </c>
    </row>
    <row r="619" spans="1:9" x14ac:dyDescent="0.3">
      <c r="A619">
        <v>618</v>
      </c>
      <c r="B619" t="s">
        <v>2557</v>
      </c>
      <c r="C619" t="s">
        <v>1058</v>
      </c>
      <c r="D619" t="s">
        <v>31</v>
      </c>
      <c r="E619" t="s">
        <v>2558</v>
      </c>
      <c r="F619" t="s">
        <v>2559</v>
      </c>
      <c r="G619" t="s">
        <v>246</v>
      </c>
      <c r="H619" t="s">
        <v>35</v>
      </c>
      <c r="I619">
        <v>11418</v>
      </c>
    </row>
    <row r="620" spans="1:9" x14ac:dyDescent="0.3">
      <c r="A620">
        <v>619</v>
      </c>
      <c r="B620" t="s">
        <v>2560</v>
      </c>
      <c r="C620" t="s">
        <v>1956</v>
      </c>
      <c r="D620" t="s">
        <v>2561</v>
      </c>
      <c r="E620" t="s">
        <v>2562</v>
      </c>
      <c r="F620" t="s">
        <v>2563</v>
      </c>
      <c r="G620" t="s">
        <v>565</v>
      </c>
      <c r="H620" t="s">
        <v>41</v>
      </c>
      <c r="I620">
        <v>92806</v>
      </c>
    </row>
    <row r="621" spans="1:9" x14ac:dyDescent="0.3">
      <c r="A621">
        <v>620</v>
      </c>
      <c r="B621" t="s">
        <v>2564</v>
      </c>
      <c r="C621" t="s">
        <v>123</v>
      </c>
      <c r="D621" t="s">
        <v>31</v>
      </c>
      <c r="E621" t="s">
        <v>2565</v>
      </c>
      <c r="F621" t="s">
        <v>2566</v>
      </c>
      <c r="G621" t="s">
        <v>977</v>
      </c>
      <c r="H621" t="s">
        <v>35</v>
      </c>
      <c r="I621">
        <v>11432</v>
      </c>
    </row>
    <row r="622" spans="1:9" x14ac:dyDescent="0.3">
      <c r="A622">
        <v>621</v>
      </c>
      <c r="B622" t="s">
        <v>2567</v>
      </c>
      <c r="C622" t="s">
        <v>1919</v>
      </c>
      <c r="D622" t="s">
        <v>31</v>
      </c>
      <c r="E622" t="s">
        <v>2568</v>
      </c>
      <c r="F622" t="s">
        <v>2569</v>
      </c>
      <c r="G622" t="s">
        <v>271</v>
      </c>
      <c r="H622" t="s">
        <v>41</v>
      </c>
      <c r="I622">
        <v>94580</v>
      </c>
    </row>
    <row r="623" spans="1:9" x14ac:dyDescent="0.3">
      <c r="A623">
        <v>622</v>
      </c>
      <c r="B623" t="s">
        <v>2536</v>
      </c>
      <c r="C623" t="s">
        <v>871</v>
      </c>
      <c r="D623" t="s">
        <v>31</v>
      </c>
      <c r="E623" t="s">
        <v>2570</v>
      </c>
      <c r="F623" t="s">
        <v>2571</v>
      </c>
      <c r="G623" t="s">
        <v>2572</v>
      </c>
      <c r="H623" t="s">
        <v>35</v>
      </c>
      <c r="I623">
        <v>12065</v>
      </c>
    </row>
    <row r="624" spans="1:9" x14ac:dyDescent="0.3">
      <c r="A624">
        <v>623</v>
      </c>
      <c r="B624" t="s">
        <v>2573</v>
      </c>
      <c r="C624" t="s">
        <v>1501</v>
      </c>
      <c r="D624" t="s">
        <v>31</v>
      </c>
      <c r="E624" t="s">
        <v>2574</v>
      </c>
      <c r="F624" t="s">
        <v>2575</v>
      </c>
      <c r="G624" t="s">
        <v>666</v>
      </c>
      <c r="H624" t="s">
        <v>35</v>
      </c>
      <c r="I624">
        <v>11727</v>
      </c>
    </row>
    <row r="625" spans="1:9" x14ac:dyDescent="0.3">
      <c r="A625">
        <v>624</v>
      </c>
      <c r="B625" t="s">
        <v>2576</v>
      </c>
      <c r="C625" t="s">
        <v>2577</v>
      </c>
      <c r="D625" t="s">
        <v>2578</v>
      </c>
      <c r="E625" t="s">
        <v>2579</v>
      </c>
      <c r="F625" t="s">
        <v>2580</v>
      </c>
      <c r="G625" t="s">
        <v>166</v>
      </c>
      <c r="H625" t="s">
        <v>35</v>
      </c>
      <c r="I625">
        <v>11561</v>
      </c>
    </row>
    <row r="626" spans="1:9" x14ac:dyDescent="0.3">
      <c r="A626">
        <v>625</v>
      </c>
      <c r="B626" t="s">
        <v>2581</v>
      </c>
      <c r="C626" t="s">
        <v>2582</v>
      </c>
      <c r="D626" t="s">
        <v>31</v>
      </c>
      <c r="E626" t="s">
        <v>2583</v>
      </c>
      <c r="F626" t="s">
        <v>2584</v>
      </c>
      <c r="G626" t="s">
        <v>884</v>
      </c>
      <c r="H626" t="s">
        <v>35</v>
      </c>
      <c r="I626">
        <v>14580</v>
      </c>
    </row>
    <row r="627" spans="1:9" x14ac:dyDescent="0.3">
      <c r="A627">
        <v>626</v>
      </c>
      <c r="B627" t="s">
        <v>2585</v>
      </c>
      <c r="C627" t="s">
        <v>198</v>
      </c>
      <c r="D627" t="s">
        <v>31</v>
      </c>
      <c r="E627" t="s">
        <v>2586</v>
      </c>
      <c r="F627" t="s">
        <v>2587</v>
      </c>
      <c r="G627" t="s">
        <v>1454</v>
      </c>
      <c r="H627" t="s">
        <v>35</v>
      </c>
      <c r="I627">
        <v>12302</v>
      </c>
    </row>
    <row r="628" spans="1:9" x14ac:dyDescent="0.3">
      <c r="A628">
        <v>627</v>
      </c>
      <c r="B628" t="s">
        <v>197</v>
      </c>
      <c r="C628" t="s">
        <v>800</v>
      </c>
      <c r="D628" t="s">
        <v>31</v>
      </c>
      <c r="E628" t="s">
        <v>2588</v>
      </c>
      <c r="F628" t="s">
        <v>2589</v>
      </c>
      <c r="G628" t="s">
        <v>455</v>
      </c>
      <c r="H628" t="s">
        <v>41</v>
      </c>
      <c r="I628">
        <v>91010</v>
      </c>
    </row>
    <row r="629" spans="1:9" x14ac:dyDescent="0.3">
      <c r="A629">
        <v>628</v>
      </c>
      <c r="B629" t="s">
        <v>2590</v>
      </c>
      <c r="C629" t="s">
        <v>2591</v>
      </c>
      <c r="D629" t="s">
        <v>31</v>
      </c>
      <c r="E629" t="s">
        <v>2592</v>
      </c>
      <c r="F629" t="s">
        <v>2593</v>
      </c>
      <c r="G629" t="s">
        <v>647</v>
      </c>
      <c r="H629" t="s">
        <v>35</v>
      </c>
      <c r="I629">
        <v>14094</v>
      </c>
    </row>
    <row r="630" spans="1:9" x14ac:dyDescent="0.3">
      <c r="A630">
        <v>629</v>
      </c>
      <c r="B630" t="s">
        <v>2594</v>
      </c>
      <c r="C630" t="s">
        <v>2595</v>
      </c>
      <c r="D630" t="s">
        <v>2596</v>
      </c>
      <c r="E630" t="s">
        <v>2597</v>
      </c>
      <c r="F630" t="s">
        <v>2598</v>
      </c>
      <c r="G630" t="s">
        <v>68</v>
      </c>
      <c r="H630" t="s">
        <v>35</v>
      </c>
      <c r="I630">
        <v>14215</v>
      </c>
    </row>
    <row r="631" spans="1:9" x14ac:dyDescent="0.3">
      <c r="A631">
        <v>630</v>
      </c>
      <c r="B631" t="s">
        <v>2599</v>
      </c>
      <c r="C631" t="s">
        <v>222</v>
      </c>
      <c r="D631" t="s">
        <v>31</v>
      </c>
      <c r="E631" t="s">
        <v>2600</v>
      </c>
      <c r="F631" t="s">
        <v>2601</v>
      </c>
      <c r="G631" t="s">
        <v>1926</v>
      </c>
      <c r="H631" t="s">
        <v>35</v>
      </c>
      <c r="I631">
        <v>12010</v>
      </c>
    </row>
    <row r="632" spans="1:9" x14ac:dyDescent="0.3">
      <c r="A632">
        <v>631</v>
      </c>
      <c r="B632" t="s">
        <v>2602</v>
      </c>
      <c r="C632" t="s">
        <v>1575</v>
      </c>
      <c r="D632" t="s">
        <v>31</v>
      </c>
      <c r="E632" t="s">
        <v>2603</v>
      </c>
      <c r="F632" t="s">
        <v>2604</v>
      </c>
      <c r="G632" t="s">
        <v>176</v>
      </c>
      <c r="H632" t="s">
        <v>35</v>
      </c>
      <c r="I632">
        <v>10562</v>
      </c>
    </row>
    <row r="633" spans="1:9" x14ac:dyDescent="0.3">
      <c r="A633">
        <v>632</v>
      </c>
      <c r="B633" t="s">
        <v>2605</v>
      </c>
      <c r="C633" t="s">
        <v>2606</v>
      </c>
      <c r="D633" t="s">
        <v>31</v>
      </c>
      <c r="E633" t="s">
        <v>2607</v>
      </c>
      <c r="F633" t="s">
        <v>2608</v>
      </c>
      <c r="G633" t="s">
        <v>469</v>
      </c>
      <c r="H633" t="s">
        <v>35</v>
      </c>
      <c r="I633">
        <v>11010</v>
      </c>
    </row>
    <row r="634" spans="1:9" x14ac:dyDescent="0.3">
      <c r="A634">
        <v>633</v>
      </c>
      <c r="B634" t="s">
        <v>2609</v>
      </c>
      <c r="C634" t="s">
        <v>1124</v>
      </c>
      <c r="D634" t="s">
        <v>2610</v>
      </c>
      <c r="E634" t="s">
        <v>2611</v>
      </c>
      <c r="F634" t="s">
        <v>2612</v>
      </c>
      <c r="G634" t="s">
        <v>565</v>
      </c>
      <c r="H634" t="s">
        <v>41</v>
      </c>
      <c r="I634">
        <v>92806</v>
      </c>
    </row>
    <row r="635" spans="1:9" x14ac:dyDescent="0.3">
      <c r="A635">
        <v>634</v>
      </c>
      <c r="B635" t="s">
        <v>2157</v>
      </c>
      <c r="C635" t="s">
        <v>1583</v>
      </c>
      <c r="D635" t="s">
        <v>31</v>
      </c>
      <c r="E635" t="s">
        <v>2613</v>
      </c>
      <c r="F635" t="s">
        <v>2614</v>
      </c>
      <c r="G635" t="s">
        <v>1782</v>
      </c>
      <c r="H635" t="s">
        <v>35</v>
      </c>
      <c r="I635">
        <v>10512</v>
      </c>
    </row>
    <row r="636" spans="1:9" x14ac:dyDescent="0.3">
      <c r="A636">
        <v>635</v>
      </c>
      <c r="B636" t="s">
        <v>2615</v>
      </c>
      <c r="C636" t="s">
        <v>2616</v>
      </c>
      <c r="D636" t="s">
        <v>31</v>
      </c>
      <c r="E636" t="s">
        <v>2617</v>
      </c>
      <c r="F636" t="s">
        <v>2618</v>
      </c>
      <c r="G636" t="s">
        <v>287</v>
      </c>
      <c r="H636" t="s">
        <v>35</v>
      </c>
      <c r="I636">
        <v>11566</v>
      </c>
    </row>
    <row r="637" spans="1:9" x14ac:dyDescent="0.3">
      <c r="A637">
        <v>636</v>
      </c>
      <c r="B637" t="s">
        <v>2619</v>
      </c>
      <c r="C637" t="s">
        <v>2620</v>
      </c>
      <c r="D637" t="s">
        <v>31</v>
      </c>
      <c r="E637" t="s">
        <v>2621</v>
      </c>
      <c r="F637" t="s">
        <v>2622</v>
      </c>
      <c r="G637" t="s">
        <v>553</v>
      </c>
      <c r="H637" t="s">
        <v>35</v>
      </c>
      <c r="I637">
        <v>11001</v>
      </c>
    </row>
    <row r="638" spans="1:9" x14ac:dyDescent="0.3">
      <c r="A638">
        <v>637</v>
      </c>
      <c r="B638" t="s">
        <v>2623</v>
      </c>
      <c r="C638" t="s">
        <v>497</v>
      </c>
      <c r="D638" t="s">
        <v>31</v>
      </c>
      <c r="E638" t="s">
        <v>2624</v>
      </c>
      <c r="F638" t="s">
        <v>2625</v>
      </c>
      <c r="G638" t="s">
        <v>176</v>
      </c>
      <c r="H638" t="s">
        <v>35</v>
      </c>
      <c r="I638">
        <v>10562</v>
      </c>
    </row>
    <row r="639" spans="1:9" x14ac:dyDescent="0.3">
      <c r="A639">
        <v>638</v>
      </c>
      <c r="B639" t="s">
        <v>2626</v>
      </c>
      <c r="C639" t="s">
        <v>497</v>
      </c>
      <c r="D639" t="s">
        <v>31</v>
      </c>
      <c r="E639" t="s">
        <v>2627</v>
      </c>
      <c r="F639" t="s">
        <v>2628</v>
      </c>
      <c r="G639" t="s">
        <v>1301</v>
      </c>
      <c r="H639" t="s">
        <v>35</v>
      </c>
      <c r="I639">
        <v>12601</v>
      </c>
    </row>
    <row r="640" spans="1:9" x14ac:dyDescent="0.3">
      <c r="A640">
        <v>639</v>
      </c>
      <c r="B640" t="s">
        <v>2629</v>
      </c>
      <c r="C640" t="s">
        <v>1404</v>
      </c>
      <c r="D640" t="s">
        <v>31</v>
      </c>
      <c r="E640" t="s">
        <v>2630</v>
      </c>
      <c r="F640" t="s">
        <v>2631</v>
      </c>
      <c r="G640" t="s">
        <v>220</v>
      </c>
      <c r="H640" t="s">
        <v>35</v>
      </c>
      <c r="I640">
        <v>11378</v>
      </c>
    </row>
    <row r="641" spans="1:9" x14ac:dyDescent="0.3">
      <c r="A641">
        <v>640</v>
      </c>
      <c r="B641" t="s">
        <v>2632</v>
      </c>
      <c r="C641" t="s">
        <v>2633</v>
      </c>
      <c r="D641" t="s">
        <v>2634</v>
      </c>
      <c r="E641" t="s">
        <v>2635</v>
      </c>
      <c r="F641" t="s">
        <v>2636</v>
      </c>
      <c r="G641" t="s">
        <v>2236</v>
      </c>
      <c r="H641" t="s">
        <v>35</v>
      </c>
      <c r="I641">
        <v>10956</v>
      </c>
    </row>
    <row r="642" spans="1:9" x14ac:dyDescent="0.3">
      <c r="A642">
        <v>641</v>
      </c>
      <c r="B642" t="s">
        <v>2637</v>
      </c>
      <c r="C642" t="s">
        <v>1249</v>
      </c>
      <c r="D642" t="s">
        <v>31</v>
      </c>
      <c r="E642" t="s">
        <v>2638</v>
      </c>
      <c r="F642" t="s">
        <v>2639</v>
      </c>
      <c r="G642" t="s">
        <v>297</v>
      </c>
      <c r="H642" t="s">
        <v>41</v>
      </c>
      <c r="I642">
        <v>91740</v>
      </c>
    </row>
    <row r="643" spans="1:9" x14ac:dyDescent="0.3">
      <c r="A643">
        <v>642</v>
      </c>
      <c r="B643" t="s">
        <v>299</v>
      </c>
      <c r="C643" t="s">
        <v>2640</v>
      </c>
      <c r="D643" t="s">
        <v>31</v>
      </c>
      <c r="E643" t="s">
        <v>2641</v>
      </c>
      <c r="F643" t="s">
        <v>2642</v>
      </c>
      <c r="G643" t="s">
        <v>884</v>
      </c>
      <c r="H643" t="s">
        <v>35</v>
      </c>
      <c r="I643">
        <v>14580</v>
      </c>
    </row>
    <row r="644" spans="1:9" x14ac:dyDescent="0.3">
      <c r="A644">
        <v>643</v>
      </c>
      <c r="B644" t="s">
        <v>2643</v>
      </c>
      <c r="C644" t="s">
        <v>2644</v>
      </c>
      <c r="D644" t="s">
        <v>31</v>
      </c>
      <c r="E644" t="s">
        <v>2645</v>
      </c>
      <c r="F644" t="s">
        <v>2646</v>
      </c>
      <c r="G644" t="s">
        <v>553</v>
      </c>
      <c r="H644" t="s">
        <v>35</v>
      </c>
      <c r="I644">
        <v>11001</v>
      </c>
    </row>
    <row r="645" spans="1:9" x14ac:dyDescent="0.3">
      <c r="A645">
        <v>644</v>
      </c>
      <c r="B645" t="s">
        <v>2647</v>
      </c>
      <c r="C645" t="s">
        <v>2648</v>
      </c>
      <c r="D645" t="s">
        <v>31</v>
      </c>
      <c r="E645" t="s">
        <v>2649</v>
      </c>
      <c r="F645" t="s">
        <v>2650</v>
      </c>
      <c r="G645" t="s">
        <v>440</v>
      </c>
      <c r="H645" t="s">
        <v>35</v>
      </c>
      <c r="I645">
        <v>11757</v>
      </c>
    </row>
    <row r="646" spans="1:9" x14ac:dyDescent="0.3">
      <c r="A646">
        <v>645</v>
      </c>
      <c r="B646" t="s">
        <v>2651</v>
      </c>
      <c r="C646" t="s">
        <v>294</v>
      </c>
      <c r="D646" t="s">
        <v>2652</v>
      </c>
      <c r="E646" t="s">
        <v>2653</v>
      </c>
      <c r="F646" t="s">
        <v>2654</v>
      </c>
      <c r="G646" t="s">
        <v>1079</v>
      </c>
      <c r="H646" t="s">
        <v>35</v>
      </c>
      <c r="I646">
        <v>11717</v>
      </c>
    </row>
    <row r="647" spans="1:9" x14ac:dyDescent="0.3">
      <c r="A647">
        <v>646</v>
      </c>
      <c r="B647" t="s">
        <v>2655</v>
      </c>
      <c r="C647" t="s">
        <v>2656</v>
      </c>
      <c r="D647" t="s">
        <v>31</v>
      </c>
      <c r="E647" t="s">
        <v>2657</v>
      </c>
      <c r="F647" t="s">
        <v>2658</v>
      </c>
      <c r="G647" t="s">
        <v>386</v>
      </c>
      <c r="H647" t="s">
        <v>41</v>
      </c>
      <c r="I647">
        <v>91733</v>
      </c>
    </row>
    <row r="648" spans="1:9" x14ac:dyDescent="0.3">
      <c r="A648">
        <v>647</v>
      </c>
      <c r="B648" t="s">
        <v>2659</v>
      </c>
      <c r="C648" t="s">
        <v>2660</v>
      </c>
      <c r="D648" t="s">
        <v>31</v>
      </c>
      <c r="E648" t="s">
        <v>2661</v>
      </c>
      <c r="F648" t="s">
        <v>2662</v>
      </c>
      <c r="G648" t="s">
        <v>246</v>
      </c>
      <c r="H648" t="s">
        <v>35</v>
      </c>
      <c r="I648">
        <v>11418</v>
      </c>
    </row>
    <row r="649" spans="1:9" x14ac:dyDescent="0.3">
      <c r="A649">
        <v>648</v>
      </c>
      <c r="B649" t="s">
        <v>2663</v>
      </c>
      <c r="C649" t="s">
        <v>2131</v>
      </c>
      <c r="D649" t="s">
        <v>31</v>
      </c>
      <c r="E649" t="s">
        <v>2664</v>
      </c>
      <c r="F649" t="s">
        <v>2665</v>
      </c>
      <c r="G649" t="s">
        <v>1141</v>
      </c>
      <c r="H649" t="s">
        <v>41</v>
      </c>
      <c r="I649">
        <v>94806</v>
      </c>
    </row>
    <row r="650" spans="1:9" x14ac:dyDescent="0.3">
      <c r="A650">
        <v>649</v>
      </c>
      <c r="B650" t="s">
        <v>2666</v>
      </c>
      <c r="C650" t="s">
        <v>1049</v>
      </c>
      <c r="D650" t="s">
        <v>31</v>
      </c>
      <c r="E650" t="s">
        <v>2667</v>
      </c>
      <c r="F650" t="s">
        <v>2668</v>
      </c>
      <c r="G650" t="s">
        <v>1273</v>
      </c>
      <c r="H650" t="s">
        <v>35</v>
      </c>
      <c r="I650">
        <v>11779</v>
      </c>
    </row>
    <row r="651" spans="1:9" x14ac:dyDescent="0.3">
      <c r="A651">
        <v>650</v>
      </c>
      <c r="B651" t="s">
        <v>2669</v>
      </c>
      <c r="C651" t="s">
        <v>2670</v>
      </c>
      <c r="D651" t="s">
        <v>31</v>
      </c>
      <c r="E651" t="s">
        <v>2671</v>
      </c>
      <c r="F651" t="s">
        <v>2672</v>
      </c>
      <c r="G651" t="s">
        <v>176</v>
      </c>
      <c r="H651" t="s">
        <v>35</v>
      </c>
      <c r="I651">
        <v>10562</v>
      </c>
    </row>
    <row r="652" spans="1:9" x14ac:dyDescent="0.3">
      <c r="A652">
        <v>651</v>
      </c>
      <c r="B652" t="s">
        <v>2673</v>
      </c>
      <c r="C652" t="s">
        <v>1682</v>
      </c>
      <c r="D652" t="s">
        <v>31</v>
      </c>
      <c r="E652" t="s">
        <v>2674</v>
      </c>
      <c r="F652" t="s">
        <v>2675</v>
      </c>
      <c r="G652" t="s">
        <v>1647</v>
      </c>
      <c r="H652" t="s">
        <v>35</v>
      </c>
      <c r="I652">
        <v>12590</v>
      </c>
    </row>
    <row r="653" spans="1:9" x14ac:dyDescent="0.3">
      <c r="A653">
        <v>652</v>
      </c>
      <c r="B653" t="s">
        <v>2676</v>
      </c>
      <c r="C653" t="s">
        <v>360</v>
      </c>
      <c r="D653" t="s">
        <v>2677</v>
      </c>
      <c r="E653" t="s">
        <v>2678</v>
      </c>
      <c r="F653" t="s">
        <v>2679</v>
      </c>
      <c r="G653" t="s">
        <v>486</v>
      </c>
      <c r="H653" t="s">
        <v>35</v>
      </c>
      <c r="I653">
        <v>12180</v>
      </c>
    </row>
    <row r="654" spans="1:9" x14ac:dyDescent="0.3">
      <c r="A654">
        <v>653</v>
      </c>
      <c r="B654" t="s">
        <v>2680</v>
      </c>
      <c r="C654" t="s">
        <v>690</v>
      </c>
      <c r="D654" t="s">
        <v>31</v>
      </c>
      <c r="E654" t="s">
        <v>2681</v>
      </c>
      <c r="F654" t="s">
        <v>2682</v>
      </c>
      <c r="G654" t="s">
        <v>2683</v>
      </c>
      <c r="H654" t="s">
        <v>35</v>
      </c>
      <c r="I654">
        <v>14701</v>
      </c>
    </row>
    <row r="655" spans="1:9" x14ac:dyDescent="0.3">
      <c r="A655">
        <v>654</v>
      </c>
      <c r="B655" t="s">
        <v>2684</v>
      </c>
      <c r="C655" t="s">
        <v>973</v>
      </c>
      <c r="D655" t="s">
        <v>2685</v>
      </c>
      <c r="E655" t="s">
        <v>2686</v>
      </c>
      <c r="F655" t="s">
        <v>2687</v>
      </c>
      <c r="G655" t="s">
        <v>475</v>
      </c>
      <c r="H655" t="s">
        <v>41</v>
      </c>
      <c r="I655">
        <v>92111</v>
      </c>
    </row>
    <row r="656" spans="1:9" x14ac:dyDescent="0.3">
      <c r="A656">
        <v>655</v>
      </c>
      <c r="B656" t="s">
        <v>2688</v>
      </c>
      <c r="C656" t="s">
        <v>222</v>
      </c>
      <c r="D656" t="s">
        <v>31</v>
      </c>
      <c r="E656" t="s">
        <v>2689</v>
      </c>
      <c r="F656" t="s">
        <v>2690</v>
      </c>
      <c r="G656" t="s">
        <v>121</v>
      </c>
      <c r="H656" t="s">
        <v>35</v>
      </c>
      <c r="I656">
        <v>10583</v>
      </c>
    </row>
    <row r="657" spans="1:9" x14ac:dyDescent="0.3">
      <c r="A657">
        <v>656</v>
      </c>
      <c r="B657" t="s">
        <v>2691</v>
      </c>
      <c r="C657" t="s">
        <v>2692</v>
      </c>
      <c r="D657" t="s">
        <v>31</v>
      </c>
      <c r="E657" t="s">
        <v>2693</v>
      </c>
      <c r="F657" t="s">
        <v>2694</v>
      </c>
      <c r="G657" t="s">
        <v>553</v>
      </c>
      <c r="H657" t="s">
        <v>35</v>
      </c>
      <c r="I657">
        <v>11001</v>
      </c>
    </row>
    <row r="658" spans="1:9" x14ac:dyDescent="0.3">
      <c r="A658">
        <v>657</v>
      </c>
      <c r="B658" t="s">
        <v>2695</v>
      </c>
      <c r="C658" t="s">
        <v>2127</v>
      </c>
      <c r="D658" t="s">
        <v>31</v>
      </c>
      <c r="E658" t="s">
        <v>2696</v>
      </c>
      <c r="F658" t="s">
        <v>2697</v>
      </c>
      <c r="G658" t="s">
        <v>75</v>
      </c>
      <c r="H658" t="s">
        <v>35</v>
      </c>
      <c r="I658">
        <v>11510</v>
      </c>
    </row>
    <row r="659" spans="1:9" x14ac:dyDescent="0.3">
      <c r="A659">
        <v>658</v>
      </c>
      <c r="B659" t="s">
        <v>2698</v>
      </c>
      <c r="C659" t="s">
        <v>800</v>
      </c>
      <c r="D659" t="s">
        <v>31</v>
      </c>
      <c r="E659" t="s">
        <v>2699</v>
      </c>
      <c r="F659" t="s">
        <v>2700</v>
      </c>
      <c r="G659" t="s">
        <v>88</v>
      </c>
      <c r="H659" t="s">
        <v>35</v>
      </c>
      <c r="I659">
        <v>10952</v>
      </c>
    </row>
    <row r="660" spans="1:9" x14ac:dyDescent="0.3">
      <c r="A660">
        <v>659</v>
      </c>
      <c r="B660" t="s">
        <v>2701</v>
      </c>
      <c r="C660" t="s">
        <v>2702</v>
      </c>
      <c r="D660" t="s">
        <v>31</v>
      </c>
      <c r="E660" t="s">
        <v>2703</v>
      </c>
      <c r="F660" t="s">
        <v>2704</v>
      </c>
      <c r="G660" t="s">
        <v>715</v>
      </c>
      <c r="H660" t="s">
        <v>35</v>
      </c>
      <c r="I660">
        <v>10573</v>
      </c>
    </row>
    <row r="661" spans="1:9" x14ac:dyDescent="0.3">
      <c r="A661">
        <v>660</v>
      </c>
      <c r="B661" t="s">
        <v>2705</v>
      </c>
      <c r="C661" t="s">
        <v>1058</v>
      </c>
      <c r="D661" t="s">
        <v>31</v>
      </c>
      <c r="E661" t="s">
        <v>2706</v>
      </c>
      <c r="F661" t="s">
        <v>2707</v>
      </c>
      <c r="G661" t="s">
        <v>990</v>
      </c>
      <c r="H661" t="s">
        <v>41</v>
      </c>
      <c r="I661">
        <v>93555</v>
      </c>
    </row>
    <row r="662" spans="1:9" x14ac:dyDescent="0.3">
      <c r="A662">
        <v>661</v>
      </c>
      <c r="B662" t="s">
        <v>2708</v>
      </c>
      <c r="C662" t="s">
        <v>1547</v>
      </c>
      <c r="D662" t="s">
        <v>31</v>
      </c>
      <c r="E662" t="s">
        <v>2709</v>
      </c>
      <c r="F662" t="s">
        <v>2710</v>
      </c>
      <c r="G662" t="s">
        <v>83</v>
      </c>
      <c r="H662" t="s">
        <v>35</v>
      </c>
      <c r="I662">
        <v>10950</v>
      </c>
    </row>
    <row r="663" spans="1:9" x14ac:dyDescent="0.3">
      <c r="A663">
        <v>662</v>
      </c>
      <c r="B663" t="s">
        <v>2711</v>
      </c>
      <c r="C663" t="s">
        <v>90</v>
      </c>
      <c r="D663" t="s">
        <v>31</v>
      </c>
      <c r="E663" t="s">
        <v>2712</v>
      </c>
      <c r="F663" t="s">
        <v>2713</v>
      </c>
      <c r="G663" t="s">
        <v>121</v>
      </c>
      <c r="H663" t="s">
        <v>35</v>
      </c>
      <c r="I663">
        <v>10583</v>
      </c>
    </row>
    <row r="664" spans="1:9" x14ac:dyDescent="0.3">
      <c r="A664">
        <v>663</v>
      </c>
      <c r="B664" t="s">
        <v>2714</v>
      </c>
      <c r="C664" t="s">
        <v>2715</v>
      </c>
      <c r="D664" t="s">
        <v>31</v>
      </c>
      <c r="E664" t="s">
        <v>2716</v>
      </c>
      <c r="F664" t="s">
        <v>2717</v>
      </c>
      <c r="G664" t="s">
        <v>949</v>
      </c>
      <c r="H664" t="s">
        <v>35</v>
      </c>
      <c r="I664">
        <v>12553</v>
      </c>
    </row>
    <row r="665" spans="1:9" x14ac:dyDescent="0.3">
      <c r="A665">
        <v>664</v>
      </c>
      <c r="B665" t="s">
        <v>1762</v>
      </c>
      <c r="C665" t="s">
        <v>2718</v>
      </c>
      <c r="D665" t="s">
        <v>31</v>
      </c>
      <c r="E665" t="s">
        <v>2719</v>
      </c>
      <c r="F665" t="s">
        <v>2720</v>
      </c>
      <c r="G665" t="s">
        <v>2098</v>
      </c>
      <c r="H665" t="s">
        <v>35</v>
      </c>
      <c r="I665">
        <v>11368</v>
      </c>
    </row>
    <row r="666" spans="1:9" x14ac:dyDescent="0.3">
      <c r="A666">
        <v>665</v>
      </c>
      <c r="B666" t="s">
        <v>2721</v>
      </c>
      <c r="C666" t="s">
        <v>2062</v>
      </c>
      <c r="D666" t="s">
        <v>2722</v>
      </c>
      <c r="E666" t="s">
        <v>2723</v>
      </c>
      <c r="F666" t="s">
        <v>2724</v>
      </c>
      <c r="G666" t="s">
        <v>191</v>
      </c>
      <c r="H666" t="s">
        <v>41</v>
      </c>
      <c r="I666">
        <v>94603</v>
      </c>
    </row>
    <row r="667" spans="1:9" x14ac:dyDescent="0.3">
      <c r="A667">
        <v>666</v>
      </c>
      <c r="B667" t="s">
        <v>2725</v>
      </c>
      <c r="C667" t="s">
        <v>2726</v>
      </c>
      <c r="D667" t="s">
        <v>31</v>
      </c>
      <c r="E667" t="s">
        <v>2727</v>
      </c>
      <c r="F667" t="s">
        <v>2728</v>
      </c>
      <c r="G667" t="s">
        <v>553</v>
      </c>
      <c r="H667" t="s">
        <v>35</v>
      </c>
      <c r="I667">
        <v>11001</v>
      </c>
    </row>
    <row r="668" spans="1:9" x14ac:dyDescent="0.3">
      <c r="A668">
        <v>667</v>
      </c>
      <c r="B668" t="s">
        <v>2729</v>
      </c>
      <c r="C668" t="s">
        <v>2730</v>
      </c>
      <c r="D668" t="s">
        <v>31</v>
      </c>
      <c r="E668" t="s">
        <v>2731</v>
      </c>
      <c r="F668" t="s">
        <v>2732</v>
      </c>
      <c r="G668" t="s">
        <v>246</v>
      </c>
      <c r="H668" t="s">
        <v>35</v>
      </c>
      <c r="I668">
        <v>11418</v>
      </c>
    </row>
    <row r="669" spans="1:9" x14ac:dyDescent="0.3">
      <c r="A669">
        <v>668</v>
      </c>
      <c r="B669" t="s">
        <v>2733</v>
      </c>
      <c r="C669" t="s">
        <v>649</v>
      </c>
      <c r="D669" t="s">
        <v>31</v>
      </c>
      <c r="E669" t="s">
        <v>2734</v>
      </c>
      <c r="F669" t="s">
        <v>2735</v>
      </c>
      <c r="G669" t="s">
        <v>2057</v>
      </c>
      <c r="H669" t="s">
        <v>100</v>
      </c>
      <c r="I669">
        <v>77566</v>
      </c>
    </row>
    <row r="670" spans="1:9" x14ac:dyDescent="0.3">
      <c r="A670">
        <v>669</v>
      </c>
      <c r="B670" t="s">
        <v>2736</v>
      </c>
      <c r="C670" t="s">
        <v>1293</v>
      </c>
      <c r="D670" t="s">
        <v>31</v>
      </c>
      <c r="E670" t="s">
        <v>2737</v>
      </c>
      <c r="F670" t="s">
        <v>2738</v>
      </c>
      <c r="G670" t="s">
        <v>1807</v>
      </c>
      <c r="H670" t="s">
        <v>100</v>
      </c>
      <c r="I670">
        <v>78552</v>
      </c>
    </row>
    <row r="671" spans="1:9" x14ac:dyDescent="0.3">
      <c r="A671">
        <v>670</v>
      </c>
      <c r="B671" t="s">
        <v>2739</v>
      </c>
      <c r="C671" t="s">
        <v>1472</v>
      </c>
      <c r="D671" t="s">
        <v>31</v>
      </c>
      <c r="E671" t="s">
        <v>2740</v>
      </c>
      <c r="F671" t="s">
        <v>2741</v>
      </c>
      <c r="G671" t="s">
        <v>215</v>
      </c>
      <c r="H671" t="s">
        <v>35</v>
      </c>
      <c r="I671">
        <v>13090</v>
      </c>
    </row>
    <row r="672" spans="1:9" x14ac:dyDescent="0.3">
      <c r="A672">
        <v>671</v>
      </c>
      <c r="B672" t="s">
        <v>1945</v>
      </c>
      <c r="C672" t="s">
        <v>832</v>
      </c>
      <c r="D672" t="s">
        <v>31</v>
      </c>
      <c r="E672" t="s">
        <v>2742</v>
      </c>
      <c r="F672" t="s">
        <v>2743</v>
      </c>
      <c r="G672" t="s">
        <v>775</v>
      </c>
      <c r="H672" t="s">
        <v>41</v>
      </c>
      <c r="I672">
        <v>92220</v>
      </c>
    </row>
    <row r="673" spans="1:9" x14ac:dyDescent="0.3">
      <c r="A673">
        <v>672</v>
      </c>
      <c r="B673" t="s">
        <v>2744</v>
      </c>
      <c r="C673" t="s">
        <v>2745</v>
      </c>
      <c r="D673" t="s">
        <v>31</v>
      </c>
      <c r="E673" t="s">
        <v>2746</v>
      </c>
      <c r="F673" t="s">
        <v>2747</v>
      </c>
      <c r="G673" t="s">
        <v>1857</v>
      </c>
      <c r="H673" t="s">
        <v>35</v>
      </c>
      <c r="I673">
        <v>10801</v>
      </c>
    </row>
    <row r="674" spans="1:9" x14ac:dyDescent="0.3">
      <c r="A674">
        <v>673</v>
      </c>
      <c r="B674" t="s">
        <v>2748</v>
      </c>
      <c r="C674" t="s">
        <v>2144</v>
      </c>
      <c r="D674" t="s">
        <v>31</v>
      </c>
      <c r="E674" t="s">
        <v>2749</v>
      </c>
      <c r="F674" t="s">
        <v>2750</v>
      </c>
      <c r="G674" t="s">
        <v>1715</v>
      </c>
      <c r="H674" t="s">
        <v>41</v>
      </c>
      <c r="I674">
        <v>93635</v>
      </c>
    </row>
    <row r="675" spans="1:9" x14ac:dyDescent="0.3">
      <c r="A675">
        <v>674</v>
      </c>
      <c r="B675" t="s">
        <v>2751</v>
      </c>
      <c r="C675" t="s">
        <v>1459</v>
      </c>
      <c r="D675" t="s">
        <v>31</v>
      </c>
      <c r="E675" t="s">
        <v>2752</v>
      </c>
      <c r="F675" t="s">
        <v>2753</v>
      </c>
      <c r="G675" t="s">
        <v>495</v>
      </c>
      <c r="H675" t="s">
        <v>35</v>
      </c>
      <c r="I675">
        <v>12866</v>
      </c>
    </row>
    <row r="676" spans="1:9" x14ac:dyDescent="0.3">
      <c r="A676">
        <v>675</v>
      </c>
      <c r="B676" t="s">
        <v>2754</v>
      </c>
      <c r="C676" t="s">
        <v>2755</v>
      </c>
      <c r="D676" t="s">
        <v>2756</v>
      </c>
      <c r="E676" t="s">
        <v>2757</v>
      </c>
      <c r="F676" t="s">
        <v>2758</v>
      </c>
      <c r="G676" t="s">
        <v>1165</v>
      </c>
      <c r="H676" t="s">
        <v>100</v>
      </c>
      <c r="I676">
        <v>79930</v>
      </c>
    </row>
    <row r="677" spans="1:9" x14ac:dyDescent="0.3">
      <c r="A677">
        <v>676</v>
      </c>
      <c r="B677" t="s">
        <v>2759</v>
      </c>
      <c r="C677" t="s">
        <v>2644</v>
      </c>
      <c r="D677" t="s">
        <v>31</v>
      </c>
      <c r="E677" t="s">
        <v>2760</v>
      </c>
      <c r="F677" t="s">
        <v>2761</v>
      </c>
      <c r="G677" t="s">
        <v>440</v>
      </c>
      <c r="H677" t="s">
        <v>35</v>
      </c>
      <c r="I677">
        <v>11757</v>
      </c>
    </row>
    <row r="678" spans="1:9" x14ac:dyDescent="0.3">
      <c r="A678">
        <v>677</v>
      </c>
      <c r="B678" t="s">
        <v>2762</v>
      </c>
      <c r="C678" t="s">
        <v>2763</v>
      </c>
      <c r="D678" t="s">
        <v>31</v>
      </c>
      <c r="E678" t="s">
        <v>2764</v>
      </c>
      <c r="F678" t="s">
        <v>2765</v>
      </c>
      <c r="G678" t="s">
        <v>760</v>
      </c>
      <c r="H678" t="s">
        <v>100</v>
      </c>
      <c r="I678">
        <v>78023</v>
      </c>
    </row>
    <row r="679" spans="1:9" x14ac:dyDescent="0.3">
      <c r="A679">
        <v>678</v>
      </c>
      <c r="B679" t="s">
        <v>2024</v>
      </c>
      <c r="C679" t="s">
        <v>254</v>
      </c>
      <c r="D679" t="s">
        <v>31</v>
      </c>
      <c r="E679" t="s">
        <v>2766</v>
      </c>
      <c r="F679" t="s">
        <v>2767</v>
      </c>
      <c r="G679" t="s">
        <v>1020</v>
      </c>
      <c r="H679" t="s">
        <v>35</v>
      </c>
      <c r="I679">
        <v>11357</v>
      </c>
    </row>
    <row r="680" spans="1:9" x14ac:dyDescent="0.3">
      <c r="A680">
        <v>679</v>
      </c>
      <c r="B680" t="s">
        <v>2768</v>
      </c>
      <c r="C680" t="s">
        <v>2769</v>
      </c>
      <c r="D680" t="s">
        <v>31</v>
      </c>
      <c r="E680" t="s">
        <v>2770</v>
      </c>
      <c r="F680" t="s">
        <v>2771</v>
      </c>
      <c r="G680" t="s">
        <v>2772</v>
      </c>
      <c r="H680" t="s">
        <v>35</v>
      </c>
      <c r="I680">
        <v>11704</v>
      </c>
    </row>
    <row r="681" spans="1:9" x14ac:dyDescent="0.3">
      <c r="A681">
        <v>680</v>
      </c>
      <c r="B681" t="s">
        <v>2773</v>
      </c>
      <c r="C681" t="s">
        <v>2774</v>
      </c>
      <c r="D681" t="s">
        <v>2775</v>
      </c>
      <c r="E681" t="s">
        <v>2776</v>
      </c>
      <c r="F681" t="s">
        <v>2777</v>
      </c>
      <c r="G681" t="s">
        <v>2236</v>
      </c>
      <c r="H681" t="s">
        <v>35</v>
      </c>
      <c r="I681">
        <v>10956</v>
      </c>
    </row>
    <row r="682" spans="1:9" x14ac:dyDescent="0.3">
      <c r="A682">
        <v>681</v>
      </c>
      <c r="B682" t="s">
        <v>2778</v>
      </c>
      <c r="C682" t="s">
        <v>2779</v>
      </c>
      <c r="D682" t="s">
        <v>31</v>
      </c>
      <c r="E682" t="s">
        <v>2780</v>
      </c>
      <c r="F682" t="s">
        <v>2781</v>
      </c>
      <c r="G682" t="s">
        <v>1084</v>
      </c>
      <c r="H682" t="s">
        <v>35</v>
      </c>
      <c r="I682">
        <v>11741</v>
      </c>
    </row>
    <row r="683" spans="1:9" x14ac:dyDescent="0.3">
      <c r="A683">
        <v>682</v>
      </c>
      <c r="B683" t="s">
        <v>2782</v>
      </c>
      <c r="C683" t="s">
        <v>2783</v>
      </c>
      <c r="D683" t="s">
        <v>31</v>
      </c>
      <c r="E683" t="s">
        <v>2784</v>
      </c>
      <c r="F683" t="s">
        <v>2785</v>
      </c>
      <c r="G683" t="s">
        <v>34</v>
      </c>
      <c r="H683" t="s">
        <v>35</v>
      </c>
      <c r="I683">
        <v>14127</v>
      </c>
    </row>
    <row r="684" spans="1:9" x14ac:dyDescent="0.3">
      <c r="A684">
        <v>683</v>
      </c>
      <c r="B684" t="s">
        <v>2786</v>
      </c>
      <c r="C684" t="s">
        <v>30</v>
      </c>
      <c r="D684" t="s">
        <v>31</v>
      </c>
      <c r="E684" t="s">
        <v>2787</v>
      </c>
      <c r="F684" t="s">
        <v>2788</v>
      </c>
      <c r="G684" t="s">
        <v>287</v>
      </c>
      <c r="H684" t="s">
        <v>35</v>
      </c>
      <c r="I684">
        <v>11566</v>
      </c>
    </row>
    <row r="685" spans="1:9" x14ac:dyDescent="0.3">
      <c r="A685">
        <v>684</v>
      </c>
      <c r="B685" t="s">
        <v>2789</v>
      </c>
      <c r="C685" t="s">
        <v>2790</v>
      </c>
      <c r="D685" t="s">
        <v>31</v>
      </c>
      <c r="E685" t="s">
        <v>2791</v>
      </c>
      <c r="F685" t="s">
        <v>2792</v>
      </c>
      <c r="G685" t="s">
        <v>1149</v>
      </c>
      <c r="H685" t="s">
        <v>35</v>
      </c>
      <c r="I685">
        <v>14304</v>
      </c>
    </row>
    <row r="686" spans="1:9" x14ac:dyDescent="0.3">
      <c r="A686">
        <v>685</v>
      </c>
      <c r="B686" t="s">
        <v>2793</v>
      </c>
      <c r="C686" t="s">
        <v>2794</v>
      </c>
      <c r="D686" t="s">
        <v>31</v>
      </c>
      <c r="E686" t="s">
        <v>2795</v>
      </c>
      <c r="F686" t="s">
        <v>2796</v>
      </c>
      <c r="G686" t="s">
        <v>1512</v>
      </c>
      <c r="H686" t="s">
        <v>35</v>
      </c>
      <c r="I686">
        <v>11375</v>
      </c>
    </row>
    <row r="687" spans="1:9" x14ac:dyDescent="0.3">
      <c r="A687">
        <v>686</v>
      </c>
      <c r="B687" t="s">
        <v>2797</v>
      </c>
      <c r="C687" t="s">
        <v>2798</v>
      </c>
      <c r="D687" t="s">
        <v>31</v>
      </c>
      <c r="E687" t="s">
        <v>2799</v>
      </c>
      <c r="F687" t="s">
        <v>2800</v>
      </c>
      <c r="G687" t="s">
        <v>838</v>
      </c>
      <c r="H687" t="s">
        <v>41</v>
      </c>
      <c r="I687">
        <v>95050</v>
      </c>
    </row>
    <row r="688" spans="1:9" x14ac:dyDescent="0.3">
      <c r="A688">
        <v>687</v>
      </c>
      <c r="B688" t="s">
        <v>2801</v>
      </c>
      <c r="C688" t="s">
        <v>1885</v>
      </c>
      <c r="D688" t="s">
        <v>31</v>
      </c>
      <c r="E688" t="s">
        <v>2802</v>
      </c>
      <c r="F688" t="s">
        <v>2803</v>
      </c>
      <c r="G688" t="s">
        <v>348</v>
      </c>
      <c r="H688" t="s">
        <v>100</v>
      </c>
      <c r="I688">
        <v>75115</v>
      </c>
    </row>
    <row r="689" spans="1:9" x14ac:dyDescent="0.3">
      <c r="A689">
        <v>688</v>
      </c>
      <c r="B689" t="s">
        <v>2804</v>
      </c>
      <c r="C689" t="s">
        <v>2805</v>
      </c>
      <c r="D689" t="s">
        <v>31</v>
      </c>
      <c r="E689" t="s">
        <v>2806</v>
      </c>
      <c r="F689" t="s">
        <v>2807</v>
      </c>
      <c r="G689" t="s">
        <v>40</v>
      </c>
      <c r="H689" t="s">
        <v>41</v>
      </c>
      <c r="I689">
        <v>95008</v>
      </c>
    </row>
    <row r="690" spans="1:9" x14ac:dyDescent="0.3">
      <c r="A690">
        <v>689</v>
      </c>
      <c r="B690" t="s">
        <v>2808</v>
      </c>
      <c r="C690" t="s">
        <v>2809</v>
      </c>
      <c r="D690" t="s">
        <v>31</v>
      </c>
      <c r="E690" t="s">
        <v>2810</v>
      </c>
      <c r="F690" t="s">
        <v>2811</v>
      </c>
      <c r="G690" t="s">
        <v>302</v>
      </c>
      <c r="H690" t="s">
        <v>35</v>
      </c>
      <c r="I690">
        <v>13501</v>
      </c>
    </row>
    <row r="691" spans="1:9" x14ac:dyDescent="0.3">
      <c r="A691">
        <v>690</v>
      </c>
      <c r="B691" t="s">
        <v>1897</v>
      </c>
      <c r="C691" t="s">
        <v>1106</v>
      </c>
      <c r="D691" t="s">
        <v>31</v>
      </c>
      <c r="E691" t="s">
        <v>2812</v>
      </c>
      <c r="F691" t="s">
        <v>2813</v>
      </c>
      <c r="G691" t="s">
        <v>73</v>
      </c>
      <c r="H691" t="s">
        <v>35</v>
      </c>
      <c r="I691">
        <v>11372</v>
      </c>
    </row>
    <row r="692" spans="1:9" x14ac:dyDescent="0.3">
      <c r="A692">
        <v>691</v>
      </c>
      <c r="B692" t="s">
        <v>2814</v>
      </c>
      <c r="C692" t="s">
        <v>2815</v>
      </c>
      <c r="D692" t="s">
        <v>2816</v>
      </c>
      <c r="E692" t="s">
        <v>2817</v>
      </c>
      <c r="F692" t="s">
        <v>2818</v>
      </c>
      <c r="G692" t="s">
        <v>252</v>
      </c>
      <c r="H692" t="s">
        <v>100</v>
      </c>
      <c r="I692">
        <v>77016</v>
      </c>
    </row>
    <row r="693" spans="1:9" x14ac:dyDescent="0.3">
      <c r="A693">
        <v>692</v>
      </c>
      <c r="B693" t="s">
        <v>2819</v>
      </c>
      <c r="C693" t="s">
        <v>1614</v>
      </c>
      <c r="D693" t="s">
        <v>31</v>
      </c>
      <c r="E693" t="s">
        <v>2820</v>
      </c>
      <c r="F693" t="s">
        <v>2821</v>
      </c>
      <c r="G693" t="s">
        <v>225</v>
      </c>
      <c r="H693" t="s">
        <v>35</v>
      </c>
      <c r="I693">
        <v>11102</v>
      </c>
    </row>
    <row r="694" spans="1:9" x14ac:dyDescent="0.3">
      <c r="A694">
        <v>693</v>
      </c>
      <c r="B694" t="s">
        <v>2822</v>
      </c>
      <c r="C694" t="s">
        <v>856</v>
      </c>
      <c r="D694" t="s">
        <v>2823</v>
      </c>
      <c r="E694" t="s">
        <v>2824</v>
      </c>
      <c r="F694" t="s">
        <v>2825</v>
      </c>
      <c r="G694" t="s">
        <v>94</v>
      </c>
      <c r="H694" t="s">
        <v>35</v>
      </c>
      <c r="I694">
        <v>11550</v>
      </c>
    </row>
    <row r="695" spans="1:9" x14ac:dyDescent="0.3">
      <c r="A695">
        <v>694</v>
      </c>
      <c r="B695" t="s">
        <v>2826</v>
      </c>
      <c r="C695" t="s">
        <v>2827</v>
      </c>
      <c r="D695" t="s">
        <v>31</v>
      </c>
      <c r="E695" t="s">
        <v>2828</v>
      </c>
      <c r="F695" t="s">
        <v>2829</v>
      </c>
      <c r="G695" t="s">
        <v>395</v>
      </c>
      <c r="H695" t="s">
        <v>35</v>
      </c>
      <c r="I695">
        <v>14120</v>
      </c>
    </row>
    <row r="696" spans="1:9" x14ac:dyDescent="0.3">
      <c r="A696">
        <v>695</v>
      </c>
      <c r="B696" t="s">
        <v>1558</v>
      </c>
      <c r="C696" t="s">
        <v>1307</v>
      </c>
      <c r="D696" t="s">
        <v>31</v>
      </c>
      <c r="E696" t="s">
        <v>2830</v>
      </c>
      <c r="F696" t="s">
        <v>2831</v>
      </c>
      <c r="G696" t="s">
        <v>1770</v>
      </c>
      <c r="H696" t="s">
        <v>35</v>
      </c>
      <c r="I696">
        <v>11967</v>
      </c>
    </row>
    <row r="697" spans="1:9" x14ac:dyDescent="0.3">
      <c r="A697">
        <v>696</v>
      </c>
      <c r="B697" t="s">
        <v>2832</v>
      </c>
      <c r="C697" t="s">
        <v>1219</v>
      </c>
      <c r="D697" t="s">
        <v>31</v>
      </c>
      <c r="E697" t="s">
        <v>2833</v>
      </c>
      <c r="F697" t="s">
        <v>2834</v>
      </c>
      <c r="G697" t="s">
        <v>236</v>
      </c>
      <c r="H697" t="s">
        <v>41</v>
      </c>
      <c r="I697">
        <v>91316</v>
      </c>
    </row>
    <row r="698" spans="1:9" x14ac:dyDescent="0.3">
      <c r="A698">
        <v>697</v>
      </c>
      <c r="B698" t="s">
        <v>776</v>
      </c>
      <c r="C698" t="s">
        <v>2835</v>
      </c>
      <c r="D698" t="s">
        <v>2836</v>
      </c>
      <c r="E698" t="s">
        <v>2837</v>
      </c>
      <c r="F698" t="s">
        <v>2838</v>
      </c>
      <c r="G698" t="s">
        <v>475</v>
      </c>
      <c r="H698" t="s">
        <v>41</v>
      </c>
      <c r="I698">
        <v>92111</v>
      </c>
    </row>
    <row r="699" spans="1:9" x14ac:dyDescent="0.3">
      <c r="A699">
        <v>698</v>
      </c>
      <c r="B699" t="s">
        <v>1839</v>
      </c>
      <c r="C699" t="s">
        <v>428</v>
      </c>
      <c r="D699" t="s">
        <v>31</v>
      </c>
      <c r="E699" t="s">
        <v>2839</v>
      </c>
      <c r="F699" t="s">
        <v>2840</v>
      </c>
      <c r="G699" t="s">
        <v>2098</v>
      </c>
      <c r="H699" t="s">
        <v>35</v>
      </c>
      <c r="I699">
        <v>11368</v>
      </c>
    </row>
    <row r="700" spans="1:9" x14ac:dyDescent="0.3">
      <c r="A700">
        <v>699</v>
      </c>
      <c r="B700" t="s">
        <v>2841</v>
      </c>
      <c r="C700" t="s">
        <v>1397</v>
      </c>
      <c r="D700" t="s">
        <v>31</v>
      </c>
      <c r="E700" t="s">
        <v>2842</v>
      </c>
      <c r="F700" t="s">
        <v>2843</v>
      </c>
      <c r="G700" t="s">
        <v>324</v>
      </c>
      <c r="H700" t="s">
        <v>35</v>
      </c>
      <c r="I700">
        <v>11570</v>
      </c>
    </row>
    <row r="701" spans="1:9" x14ac:dyDescent="0.3">
      <c r="A701">
        <v>700</v>
      </c>
      <c r="B701" t="s">
        <v>1643</v>
      </c>
      <c r="C701" t="s">
        <v>2844</v>
      </c>
      <c r="D701" t="s">
        <v>2845</v>
      </c>
      <c r="E701" t="s">
        <v>2846</v>
      </c>
      <c r="F701" t="s">
        <v>2847</v>
      </c>
      <c r="G701" t="s">
        <v>622</v>
      </c>
      <c r="H701" t="s">
        <v>100</v>
      </c>
      <c r="I701">
        <v>78418</v>
      </c>
    </row>
    <row r="702" spans="1:9" x14ac:dyDescent="0.3">
      <c r="A702">
        <v>701</v>
      </c>
      <c r="B702" t="s">
        <v>2848</v>
      </c>
      <c r="C702" t="s">
        <v>1393</v>
      </c>
      <c r="D702" t="s">
        <v>2849</v>
      </c>
      <c r="E702" t="s">
        <v>2850</v>
      </c>
      <c r="F702" t="s">
        <v>2851</v>
      </c>
      <c r="G702" t="s">
        <v>830</v>
      </c>
      <c r="H702" t="s">
        <v>41</v>
      </c>
      <c r="I702">
        <v>93035</v>
      </c>
    </row>
    <row r="703" spans="1:9" x14ac:dyDescent="0.3">
      <c r="A703">
        <v>702</v>
      </c>
      <c r="B703" t="s">
        <v>1466</v>
      </c>
      <c r="C703" t="s">
        <v>2852</v>
      </c>
      <c r="D703" t="s">
        <v>31</v>
      </c>
      <c r="E703" t="s">
        <v>2853</v>
      </c>
      <c r="F703" t="s">
        <v>2854</v>
      </c>
      <c r="G703" t="s">
        <v>287</v>
      </c>
      <c r="H703" t="s">
        <v>35</v>
      </c>
      <c r="I703">
        <v>11566</v>
      </c>
    </row>
    <row r="704" spans="1:9" x14ac:dyDescent="0.3">
      <c r="A704">
        <v>703</v>
      </c>
      <c r="B704" t="s">
        <v>303</v>
      </c>
      <c r="C704" t="s">
        <v>2591</v>
      </c>
      <c r="D704" t="s">
        <v>31</v>
      </c>
      <c r="E704" t="s">
        <v>2855</v>
      </c>
      <c r="F704" t="s">
        <v>2856</v>
      </c>
      <c r="G704" t="s">
        <v>196</v>
      </c>
      <c r="H704" t="s">
        <v>41</v>
      </c>
      <c r="I704">
        <v>92831</v>
      </c>
    </row>
    <row r="705" spans="1:9" x14ac:dyDescent="0.3">
      <c r="A705">
        <v>704</v>
      </c>
      <c r="B705" t="s">
        <v>885</v>
      </c>
      <c r="C705" t="s">
        <v>2857</v>
      </c>
      <c r="D705" t="s">
        <v>2858</v>
      </c>
      <c r="E705" t="s">
        <v>2859</v>
      </c>
      <c r="F705" t="s">
        <v>2860</v>
      </c>
      <c r="G705" t="s">
        <v>1975</v>
      </c>
      <c r="H705" t="s">
        <v>41</v>
      </c>
      <c r="I705">
        <v>93306</v>
      </c>
    </row>
    <row r="706" spans="1:9" x14ac:dyDescent="0.3">
      <c r="A706">
        <v>705</v>
      </c>
      <c r="B706" t="s">
        <v>2861</v>
      </c>
      <c r="C706" t="s">
        <v>2862</v>
      </c>
      <c r="D706" t="s">
        <v>31</v>
      </c>
      <c r="E706" t="s">
        <v>2863</v>
      </c>
      <c r="F706" t="s">
        <v>2864</v>
      </c>
      <c r="G706" t="s">
        <v>742</v>
      </c>
      <c r="H706" t="s">
        <v>35</v>
      </c>
      <c r="I706">
        <v>11743</v>
      </c>
    </row>
    <row r="707" spans="1:9" x14ac:dyDescent="0.3">
      <c r="A707">
        <v>706</v>
      </c>
      <c r="B707" t="s">
        <v>306</v>
      </c>
      <c r="C707" t="s">
        <v>937</v>
      </c>
      <c r="D707" t="s">
        <v>31</v>
      </c>
      <c r="E707" t="s">
        <v>2865</v>
      </c>
      <c r="F707" t="s">
        <v>2866</v>
      </c>
      <c r="G707" t="s">
        <v>1185</v>
      </c>
      <c r="H707" t="s">
        <v>35</v>
      </c>
      <c r="I707">
        <v>11762</v>
      </c>
    </row>
    <row r="708" spans="1:9" x14ac:dyDescent="0.3">
      <c r="A708">
        <v>707</v>
      </c>
      <c r="B708" t="s">
        <v>1955</v>
      </c>
      <c r="C708" t="s">
        <v>2867</v>
      </c>
      <c r="D708" t="s">
        <v>31</v>
      </c>
      <c r="E708" t="s">
        <v>2868</v>
      </c>
      <c r="F708" t="s">
        <v>2869</v>
      </c>
      <c r="G708" t="s">
        <v>803</v>
      </c>
      <c r="H708" t="s">
        <v>35</v>
      </c>
      <c r="I708">
        <v>11377</v>
      </c>
    </row>
    <row r="709" spans="1:9" x14ac:dyDescent="0.3">
      <c r="A709">
        <v>708</v>
      </c>
      <c r="B709" t="s">
        <v>1505</v>
      </c>
      <c r="C709" t="s">
        <v>1472</v>
      </c>
      <c r="D709" t="s">
        <v>31</v>
      </c>
      <c r="E709" t="s">
        <v>2870</v>
      </c>
      <c r="F709" t="s">
        <v>2871</v>
      </c>
      <c r="G709" t="s">
        <v>897</v>
      </c>
      <c r="H709" t="s">
        <v>41</v>
      </c>
      <c r="I709">
        <v>92307</v>
      </c>
    </row>
    <row r="710" spans="1:9" x14ac:dyDescent="0.3">
      <c r="A710">
        <v>709</v>
      </c>
      <c r="B710" t="s">
        <v>2872</v>
      </c>
      <c r="C710" t="s">
        <v>2873</v>
      </c>
      <c r="D710" t="s">
        <v>31</v>
      </c>
      <c r="E710" t="s">
        <v>2874</v>
      </c>
      <c r="F710" t="s">
        <v>2875</v>
      </c>
      <c r="G710" t="s">
        <v>1512</v>
      </c>
      <c r="H710" t="s">
        <v>35</v>
      </c>
      <c r="I710">
        <v>11375</v>
      </c>
    </row>
    <row r="711" spans="1:9" x14ac:dyDescent="0.3">
      <c r="A711">
        <v>710</v>
      </c>
      <c r="B711" t="s">
        <v>2114</v>
      </c>
      <c r="C711" t="s">
        <v>575</v>
      </c>
      <c r="D711" t="s">
        <v>31</v>
      </c>
      <c r="E711" t="s">
        <v>2876</v>
      </c>
      <c r="F711" t="s">
        <v>2877</v>
      </c>
      <c r="G711" t="s">
        <v>949</v>
      </c>
      <c r="H711" t="s">
        <v>35</v>
      </c>
      <c r="I711">
        <v>12553</v>
      </c>
    </row>
    <row r="712" spans="1:9" x14ac:dyDescent="0.3">
      <c r="A712">
        <v>711</v>
      </c>
      <c r="B712" t="s">
        <v>2878</v>
      </c>
      <c r="C712" t="s">
        <v>2879</v>
      </c>
      <c r="D712" t="s">
        <v>31</v>
      </c>
      <c r="E712" t="s">
        <v>2880</v>
      </c>
      <c r="F712" t="s">
        <v>2881</v>
      </c>
      <c r="G712" t="s">
        <v>720</v>
      </c>
      <c r="H712" t="s">
        <v>35</v>
      </c>
      <c r="I712">
        <v>10301</v>
      </c>
    </row>
    <row r="713" spans="1:9" x14ac:dyDescent="0.3">
      <c r="A713">
        <v>712</v>
      </c>
      <c r="B713" t="s">
        <v>2882</v>
      </c>
      <c r="C713" t="s">
        <v>2265</v>
      </c>
      <c r="D713" t="s">
        <v>31</v>
      </c>
      <c r="E713" t="s">
        <v>2883</v>
      </c>
      <c r="F713" t="s">
        <v>2884</v>
      </c>
      <c r="G713" t="s">
        <v>928</v>
      </c>
      <c r="H713" t="s">
        <v>41</v>
      </c>
      <c r="I713">
        <v>95060</v>
      </c>
    </row>
    <row r="714" spans="1:9" x14ac:dyDescent="0.3">
      <c r="A714">
        <v>713</v>
      </c>
      <c r="B714" t="s">
        <v>2885</v>
      </c>
      <c r="C714" t="s">
        <v>2886</v>
      </c>
      <c r="D714" t="s">
        <v>31</v>
      </c>
      <c r="E714" t="s">
        <v>2887</v>
      </c>
      <c r="F714" t="s">
        <v>2888</v>
      </c>
      <c r="G714" t="s">
        <v>404</v>
      </c>
      <c r="H714" t="s">
        <v>35</v>
      </c>
      <c r="I714">
        <v>11776</v>
      </c>
    </row>
    <row r="715" spans="1:9" x14ac:dyDescent="0.3">
      <c r="A715">
        <v>714</v>
      </c>
      <c r="B715" t="s">
        <v>2889</v>
      </c>
      <c r="C715" t="s">
        <v>2095</v>
      </c>
      <c r="D715" t="s">
        <v>31</v>
      </c>
      <c r="E715" t="s">
        <v>2890</v>
      </c>
      <c r="F715" t="s">
        <v>2891</v>
      </c>
      <c r="G715" t="s">
        <v>315</v>
      </c>
      <c r="H715" t="s">
        <v>35</v>
      </c>
      <c r="I715">
        <v>10451</v>
      </c>
    </row>
    <row r="716" spans="1:9" x14ac:dyDescent="0.3">
      <c r="A716">
        <v>715</v>
      </c>
      <c r="B716" t="s">
        <v>2892</v>
      </c>
      <c r="C716" t="s">
        <v>2893</v>
      </c>
      <c r="D716" t="s">
        <v>31</v>
      </c>
      <c r="E716" t="s">
        <v>2894</v>
      </c>
      <c r="F716" t="s">
        <v>2895</v>
      </c>
      <c r="G716" t="s">
        <v>171</v>
      </c>
      <c r="H716" t="s">
        <v>35</v>
      </c>
      <c r="I716">
        <v>11104</v>
      </c>
    </row>
    <row r="717" spans="1:9" x14ac:dyDescent="0.3">
      <c r="A717">
        <v>716</v>
      </c>
      <c r="B717" t="s">
        <v>2896</v>
      </c>
      <c r="C717" t="s">
        <v>2897</v>
      </c>
      <c r="D717" t="s">
        <v>31</v>
      </c>
      <c r="E717" t="s">
        <v>2898</v>
      </c>
      <c r="F717" t="s">
        <v>2899</v>
      </c>
      <c r="G717" t="s">
        <v>666</v>
      </c>
      <c r="H717" t="s">
        <v>35</v>
      </c>
      <c r="I717">
        <v>11727</v>
      </c>
    </row>
    <row r="718" spans="1:9" x14ac:dyDescent="0.3">
      <c r="A718">
        <v>717</v>
      </c>
      <c r="B718" t="s">
        <v>2900</v>
      </c>
      <c r="C718" t="s">
        <v>2901</v>
      </c>
      <c r="D718" t="s">
        <v>31</v>
      </c>
      <c r="E718" t="s">
        <v>2902</v>
      </c>
      <c r="F718" t="s">
        <v>2903</v>
      </c>
      <c r="G718" t="s">
        <v>751</v>
      </c>
      <c r="H718" t="s">
        <v>35</v>
      </c>
      <c r="I718">
        <v>11803</v>
      </c>
    </row>
    <row r="719" spans="1:9" x14ac:dyDescent="0.3">
      <c r="A719">
        <v>718</v>
      </c>
      <c r="B719" t="s">
        <v>2904</v>
      </c>
      <c r="C719" t="s">
        <v>2905</v>
      </c>
      <c r="D719" t="s">
        <v>31</v>
      </c>
      <c r="E719" t="s">
        <v>2906</v>
      </c>
      <c r="F719" t="s">
        <v>2907</v>
      </c>
      <c r="G719" t="s">
        <v>995</v>
      </c>
      <c r="H719" t="s">
        <v>35</v>
      </c>
      <c r="I719">
        <v>11784</v>
      </c>
    </row>
    <row r="720" spans="1:9" x14ac:dyDescent="0.3">
      <c r="A720">
        <v>719</v>
      </c>
      <c r="B720" t="s">
        <v>2698</v>
      </c>
      <c r="C720" t="s">
        <v>1759</v>
      </c>
      <c r="D720" t="s">
        <v>31</v>
      </c>
      <c r="E720" t="s">
        <v>2908</v>
      </c>
      <c r="F720" t="s">
        <v>2909</v>
      </c>
      <c r="G720" t="s">
        <v>2910</v>
      </c>
      <c r="H720" t="s">
        <v>35</v>
      </c>
      <c r="I720">
        <v>13760</v>
      </c>
    </row>
    <row r="721" spans="1:9" x14ac:dyDescent="0.3">
      <c r="A721">
        <v>720</v>
      </c>
      <c r="B721" t="s">
        <v>2911</v>
      </c>
      <c r="C721" t="s">
        <v>2912</v>
      </c>
      <c r="D721" t="s">
        <v>2913</v>
      </c>
      <c r="E721" t="s">
        <v>2914</v>
      </c>
      <c r="F721" t="s">
        <v>2915</v>
      </c>
      <c r="G721" t="s">
        <v>1937</v>
      </c>
      <c r="H721" t="s">
        <v>35</v>
      </c>
      <c r="I721">
        <v>14606</v>
      </c>
    </row>
    <row r="722" spans="1:9" x14ac:dyDescent="0.3">
      <c r="A722">
        <v>721</v>
      </c>
      <c r="B722" t="s">
        <v>636</v>
      </c>
      <c r="C722" t="s">
        <v>2916</v>
      </c>
      <c r="D722" t="s">
        <v>31</v>
      </c>
      <c r="E722" t="s">
        <v>2917</v>
      </c>
      <c r="F722" t="s">
        <v>2918</v>
      </c>
      <c r="G722" t="s">
        <v>770</v>
      </c>
      <c r="H722" t="s">
        <v>35</v>
      </c>
      <c r="I722">
        <v>11795</v>
      </c>
    </row>
    <row r="723" spans="1:9" x14ac:dyDescent="0.3">
      <c r="A723">
        <v>722</v>
      </c>
      <c r="B723" t="s">
        <v>2919</v>
      </c>
      <c r="C723" t="s">
        <v>1414</v>
      </c>
      <c r="D723" t="s">
        <v>2920</v>
      </c>
      <c r="E723" t="s">
        <v>2921</v>
      </c>
      <c r="F723" t="s">
        <v>2922</v>
      </c>
      <c r="G723" t="s">
        <v>2923</v>
      </c>
      <c r="H723" t="s">
        <v>100</v>
      </c>
      <c r="I723">
        <v>78213</v>
      </c>
    </row>
    <row r="724" spans="1:9" x14ac:dyDescent="0.3">
      <c r="A724">
        <v>723</v>
      </c>
      <c r="B724" t="s">
        <v>2924</v>
      </c>
      <c r="C724" t="s">
        <v>1441</v>
      </c>
      <c r="D724" t="s">
        <v>31</v>
      </c>
      <c r="E724" t="s">
        <v>2925</v>
      </c>
      <c r="F724" t="s">
        <v>2926</v>
      </c>
      <c r="G724" t="s">
        <v>1647</v>
      </c>
      <c r="H724" t="s">
        <v>35</v>
      </c>
      <c r="I724">
        <v>12590</v>
      </c>
    </row>
    <row r="725" spans="1:9" x14ac:dyDescent="0.3">
      <c r="A725">
        <v>724</v>
      </c>
      <c r="B725" t="s">
        <v>2927</v>
      </c>
      <c r="C725" t="s">
        <v>867</v>
      </c>
      <c r="D725" t="s">
        <v>31</v>
      </c>
      <c r="E725" t="s">
        <v>2928</v>
      </c>
      <c r="F725" t="s">
        <v>2929</v>
      </c>
      <c r="G725" t="s">
        <v>176</v>
      </c>
      <c r="H725" t="s">
        <v>35</v>
      </c>
      <c r="I725">
        <v>10562</v>
      </c>
    </row>
    <row r="726" spans="1:9" x14ac:dyDescent="0.3">
      <c r="A726">
        <v>725</v>
      </c>
      <c r="B726" t="s">
        <v>771</v>
      </c>
      <c r="C726" t="s">
        <v>2930</v>
      </c>
      <c r="D726" t="s">
        <v>31</v>
      </c>
      <c r="E726" t="s">
        <v>2931</v>
      </c>
      <c r="F726" t="s">
        <v>2932</v>
      </c>
      <c r="G726" t="s">
        <v>940</v>
      </c>
      <c r="H726" t="s">
        <v>35</v>
      </c>
      <c r="I726">
        <v>11374</v>
      </c>
    </row>
    <row r="727" spans="1:9" x14ac:dyDescent="0.3">
      <c r="A727">
        <v>726</v>
      </c>
      <c r="B727" t="s">
        <v>2933</v>
      </c>
      <c r="C727" t="s">
        <v>767</v>
      </c>
      <c r="D727" t="s">
        <v>31</v>
      </c>
      <c r="E727" t="s">
        <v>2934</v>
      </c>
      <c r="F727" t="s">
        <v>2935</v>
      </c>
      <c r="G727" t="s">
        <v>404</v>
      </c>
      <c r="H727" t="s">
        <v>35</v>
      </c>
      <c r="I727">
        <v>11776</v>
      </c>
    </row>
    <row r="728" spans="1:9" x14ac:dyDescent="0.3">
      <c r="A728">
        <v>727</v>
      </c>
      <c r="B728" t="s">
        <v>36</v>
      </c>
      <c r="C728" t="s">
        <v>2936</v>
      </c>
      <c r="D728" t="s">
        <v>31</v>
      </c>
      <c r="E728" t="s">
        <v>2937</v>
      </c>
      <c r="F728" t="s">
        <v>2938</v>
      </c>
      <c r="G728" t="s">
        <v>121</v>
      </c>
      <c r="H728" t="s">
        <v>35</v>
      </c>
      <c r="I728">
        <v>10583</v>
      </c>
    </row>
    <row r="729" spans="1:9" x14ac:dyDescent="0.3">
      <c r="A729">
        <v>728</v>
      </c>
      <c r="B729" t="s">
        <v>2939</v>
      </c>
      <c r="C729" t="s">
        <v>840</v>
      </c>
      <c r="D729" t="s">
        <v>31</v>
      </c>
      <c r="E729" t="s">
        <v>2940</v>
      </c>
      <c r="F729" t="s">
        <v>2941</v>
      </c>
      <c r="G729" t="s">
        <v>34</v>
      </c>
      <c r="H729" t="s">
        <v>35</v>
      </c>
      <c r="I729">
        <v>14127</v>
      </c>
    </row>
    <row r="730" spans="1:9" x14ac:dyDescent="0.3">
      <c r="A730">
        <v>729</v>
      </c>
      <c r="B730" t="s">
        <v>2942</v>
      </c>
      <c r="C730" t="s">
        <v>1971</v>
      </c>
      <c r="D730" t="s">
        <v>31</v>
      </c>
      <c r="E730" t="s">
        <v>2943</v>
      </c>
      <c r="F730" t="s">
        <v>2944</v>
      </c>
      <c r="G730" t="s">
        <v>897</v>
      </c>
      <c r="H730" t="s">
        <v>41</v>
      </c>
      <c r="I730">
        <v>92307</v>
      </c>
    </row>
    <row r="731" spans="1:9" x14ac:dyDescent="0.3">
      <c r="A731">
        <v>730</v>
      </c>
      <c r="B731" t="s">
        <v>2945</v>
      </c>
      <c r="C731" t="s">
        <v>2946</v>
      </c>
      <c r="D731" t="s">
        <v>31</v>
      </c>
      <c r="E731" t="s">
        <v>2947</v>
      </c>
      <c r="F731" t="s">
        <v>2948</v>
      </c>
      <c r="G731" t="s">
        <v>944</v>
      </c>
      <c r="H731" t="s">
        <v>100</v>
      </c>
      <c r="I731">
        <v>79106</v>
      </c>
    </row>
    <row r="732" spans="1:9" x14ac:dyDescent="0.3">
      <c r="A732">
        <v>731</v>
      </c>
      <c r="B732" t="s">
        <v>2949</v>
      </c>
      <c r="C732" t="s">
        <v>2950</v>
      </c>
      <c r="D732" t="s">
        <v>2951</v>
      </c>
      <c r="E732" t="s">
        <v>2952</v>
      </c>
      <c r="F732" t="s">
        <v>2953</v>
      </c>
      <c r="G732" t="s">
        <v>830</v>
      </c>
      <c r="H732" t="s">
        <v>41</v>
      </c>
      <c r="I732">
        <v>93035</v>
      </c>
    </row>
    <row r="733" spans="1:9" x14ac:dyDescent="0.3">
      <c r="A733">
        <v>732</v>
      </c>
      <c r="B733" t="s">
        <v>2954</v>
      </c>
      <c r="C733" t="s">
        <v>2243</v>
      </c>
      <c r="D733" t="s">
        <v>31</v>
      </c>
      <c r="E733" t="s">
        <v>2955</v>
      </c>
      <c r="F733" t="s">
        <v>2956</v>
      </c>
      <c r="G733" t="s">
        <v>302</v>
      </c>
      <c r="H733" t="s">
        <v>35</v>
      </c>
      <c r="I733">
        <v>13501</v>
      </c>
    </row>
    <row r="734" spans="1:9" x14ac:dyDescent="0.3">
      <c r="A734">
        <v>733</v>
      </c>
      <c r="B734" t="s">
        <v>2957</v>
      </c>
      <c r="C734" t="s">
        <v>2958</v>
      </c>
      <c r="D734" t="s">
        <v>31</v>
      </c>
      <c r="E734" t="s">
        <v>2959</v>
      </c>
      <c r="F734" t="s">
        <v>2960</v>
      </c>
      <c r="G734" t="s">
        <v>742</v>
      </c>
      <c r="H734" t="s">
        <v>35</v>
      </c>
      <c r="I734">
        <v>11743</v>
      </c>
    </row>
    <row r="735" spans="1:9" x14ac:dyDescent="0.3">
      <c r="A735">
        <v>734</v>
      </c>
      <c r="B735" t="s">
        <v>2961</v>
      </c>
      <c r="C735" t="s">
        <v>2962</v>
      </c>
      <c r="D735" t="s">
        <v>31</v>
      </c>
      <c r="E735" t="s">
        <v>2963</v>
      </c>
      <c r="F735" t="s">
        <v>2964</v>
      </c>
      <c r="G735" t="s">
        <v>1056</v>
      </c>
      <c r="H735" t="s">
        <v>35</v>
      </c>
      <c r="I735">
        <v>11772</v>
      </c>
    </row>
    <row r="736" spans="1:9" x14ac:dyDescent="0.3">
      <c r="A736">
        <v>735</v>
      </c>
      <c r="B736" t="s">
        <v>2965</v>
      </c>
      <c r="C736" t="s">
        <v>492</v>
      </c>
      <c r="D736" t="s">
        <v>31</v>
      </c>
      <c r="E736" t="s">
        <v>2966</v>
      </c>
      <c r="F736" t="s">
        <v>2967</v>
      </c>
      <c r="G736" t="s">
        <v>155</v>
      </c>
      <c r="H736" t="s">
        <v>41</v>
      </c>
      <c r="I736">
        <v>95301</v>
      </c>
    </row>
    <row r="737" spans="1:9" x14ac:dyDescent="0.3">
      <c r="A737">
        <v>736</v>
      </c>
      <c r="B737" t="s">
        <v>2968</v>
      </c>
      <c r="C737" t="s">
        <v>1009</v>
      </c>
      <c r="D737" t="s">
        <v>31</v>
      </c>
      <c r="E737" t="s">
        <v>2969</v>
      </c>
      <c r="F737" t="s">
        <v>2970</v>
      </c>
      <c r="G737" t="s">
        <v>46</v>
      </c>
      <c r="H737" t="s">
        <v>41</v>
      </c>
      <c r="I737">
        <v>90278</v>
      </c>
    </row>
    <row r="738" spans="1:9" x14ac:dyDescent="0.3">
      <c r="A738">
        <v>737</v>
      </c>
      <c r="B738" t="s">
        <v>2971</v>
      </c>
      <c r="C738" t="s">
        <v>2972</v>
      </c>
      <c r="D738" t="s">
        <v>31</v>
      </c>
      <c r="E738" t="s">
        <v>2973</v>
      </c>
      <c r="F738" t="s">
        <v>2974</v>
      </c>
      <c r="G738" t="s">
        <v>2401</v>
      </c>
      <c r="H738" t="s">
        <v>35</v>
      </c>
      <c r="I738">
        <v>13021</v>
      </c>
    </row>
    <row r="739" spans="1:9" x14ac:dyDescent="0.3">
      <c r="A739">
        <v>738</v>
      </c>
      <c r="B739" t="s">
        <v>2975</v>
      </c>
      <c r="C739" t="s">
        <v>1424</v>
      </c>
      <c r="D739" t="s">
        <v>2976</v>
      </c>
      <c r="E739" t="s">
        <v>2977</v>
      </c>
      <c r="F739" t="s">
        <v>2978</v>
      </c>
      <c r="G739" t="s">
        <v>830</v>
      </c>
      <c r="H739" t="s">
        <v>41</v>
      </c>
      <c r="I739">
        <v>93035</v>
      </c>
    </row>
    <row r="740" spans="1:9" x14ac:dyDescent="0.3">
      <c r="A740">
        <v>739</v>
      </c>
      <c r="B740" t="s">
        <v>2979</v>
      </c>
      <c r="C740" t="s">
        <v>2980</v>
      </c>
      <c r="D740" t="s">
        <v>31</v>
      </c>
      <c r="E740" t="s">
        <v>2981</v>
      </c>
      <c r="F740" t="s">
        <v>2982</v>
      </c>
      <c r="G740" t="s">
        <v>500</v>
      </c>
      <c r="H740" t="s">
        <v>35</v>
      </c>
      <c r="I740">
        <v>11361</v>
      </c>
    </row>
    <row r="741" spans="1:9" x14ac:dyDescent="0.3">
      <c r="A741">
        <v>740</v>
      </c>
      <c r="B741" t="s">
        <v>2983</v>
      </c>
      <c r="C741" t="s">
        <v>360</v>
      </c>
      <c r="D741" t="s">
        <v>31</v>
      </c>
      <c r="E741" t="s">
        <v>2984</v>
      </c>
      <c r="F741" t="s">
        <v>2985</v>
      </c>
      <c r="G741" t="s">
        <v>1330</v>
      </c>
      <c r="H741" t="s">
        <v>35</v>
      </c>
      <c r="I741">
        <v>11720</v>
      </c>
    </row>
    <row r="742" spans="1:9" x14ac:dyDescent="0.3">
      <c r="A742">
        <v>741</v>
      </c>
      <c r="B742" t="s">
        <v>2986</v>
      </c>
      <c r="C742" t="s">
        <v>2306</v>
      </c>
      <c r="D742" t="s">
        <v>31</v>
      </c>
      <c r="E742" t="s">
        <v>2987</v>
      </c>
      <c r="F742" t="s">
        <v>2988</v>
      </c>
      <c r="G742" t="s">
        <v>702</v>
      </c>
      <c r="H742" t="s">
        <v>35</v>
      </c>
      <c r="I742">
        <v>11412</v>
      </c>
    </row>
    <row r="743" spans="1:9" x14ac:dyDescent="0.3">
      <c r="A743">
        <v>742</v>
      </c>
      <c r="B743" t="s">
        <v>2594</v>
      </c>
      <c r="C743" t="s">
        <v>2989</v>
      </c>
      <c r="D743" t="s">
        <v>31</v>
      </c>
      <c r="E743" t="s">
        <v>2990</v>
      </c>
      <c r="F743" t="s">
        <v>2991</v>
      </c>
      <c r="G743" t="s">
        <v>1525</v>
      </c>
      <c r="H743" t="s">
        <v>35</v>
      </c>
      <c r="I743">
        <v>10550</v>
      </c>
    </row>
    <row r="744" spans="1:9" x14ac:dyDescent="0.3">
      <c r="A744">
        <v>743</v>
      </c>
      <c r="B744" t="s">
        <v>2992</v>
      </c>
      <c r="C744" t="s">
        <v>2993</v>
      </c>
      <c r="D744" t="s">
        <v>31</v>
      </c>
      <c r="E744" t="s">
        <v>2994</v>
      </c>
      <c r="F744" t="s">
        <v>2995</v>
      </c>
      <c r="G744" t="s">
        <v>99</v>
      </c>
      <c r="H744" t="s">
        <v>100</v>
      </c>
      <c r="I744">
        <v>75604</v>
      </c>
    </row>
    <row r="745" spans="1:9" x14ac:dyDescent="0.3">
      <c r="A745">
        <v>744</v>
      </c>
      <c r="B745" t="s">
        <v>2996</v>
      </c>
      <c r="C745" t="s">
        <v>1939</v>
      </c>
      <c r="D745" t="s">
        <v>31</v>
      </c>
      <c r="E745" t="s">
        <v>2997</v>
      </c>
      <c r="F745" t="s">
        <v>2998</v>
      </c>
      <c r="G745" t="s">
        <v>1525</v>
      </c>
      <c r="H745" t="s">
        <v>35</v>
      </c>
      <c r="I745">
        <v>10550</v>
      </c>
    </row>
    <row r="746" spans="1:9" x14ac:dyDescent="0.3">
      <c r="A746">
        <v>745</v>
      </c>
      <c r="B746" t="s">
        <v>2999</v>
      </c>
      <c r="C746" t="s">
        <v>3000</v>
      </c>
      <c r="D746" t="s">
        <v>31</v>
      </c>
      <c r="E746" t="s">
        <v>3001</v>
      </c>
      <c r="F746" t="s">
        <v>3002</v>
      </c>
      <c r="G746" t="s">
        <v>553</v>
      </c>
      <c r="H746" t="s">
        <v>35</v>
      </c>
      <c r="I746">
        <v>11001</v>
      </c>
    </row>
    <row r="747" spans="1:9" x14ac:dyDescent="0.3">
      <c r="A747">
        <v>746</v>
      </c>
      <c r="B747" t="s">
        <v>3003</v>
      </c>
      <c r="C747" t="s">
        <v>1566</v>
      </c>
      <c r="D747" t="s">
        <v>31</v>
      </c>
      <c r="E747" t="s">
        <v>3004</v>
      </c>
      <c r="F747" t="s">
        <v>3005</v>
      </c>
      <c r="G747" t="s">
        <v>320</v>
      </c>
      <c r="H747" t="s">
        <v>35</v>
      </c>
      <c r="I747">
        <v>11722</v>
      </c>
    </row>
    <row r="748" spans="1:9" x14ac:dyDescent="0.3">
      <c r="A748">
        <v>747</v>
      </c>
      <c r="B748" t="s">
        <v>3006</v>
      </c>
      <c r="C748" t="s">
        <v>1544</v>
      </c>
      <c r="D748" t="s">
        <v>31</v>
      </c>
      <c r="E748" t="s">
        <v>3007</v>
      </c>
      <c r="F748" t="s">
        <v>3008</v>
      </c>
      <c r="G748" t="s">
        <v>105</v>
      </c>
      <c r="H748" t="s">
        <v>100</v>
      </c>
      <c r="I748">
        <v>75126</v>
      </c>
    </row>
    <row r="749" spans="1:9" x14ac:dyDescent="0.3">
      <c r="A749">
        <v>748</v>
      </c>
      <c r="B749" t="s">
        <v>3009</v>
      </c>
      <c r="C749" t="s">
        <v>3010</v>
      </c>
      <c r="D749" t="s">
        <v>31</v>
      </c>
      <c r="E749" t="s">
        <v>3011</v>
      </c>
      <c r="F749" t="s">
        <v>3012</v>
      </c>
      <c r="G749" t="s">
        <v>544</v>
      </c>
      <c r="H749" t="s">
        <v>35</v>
      </c>
      <c r="I749">
        <v>11373</v>
      </c>
    </row>
    <row r="750" spans="1:9" x14ac:dyDescent="0.3">
      <c r="A750">
        <v>749</v>
      </c>
      <c r="B750" t="s">
        <v>3013</v>
      </c>
      <c r="C750" t="s">
        <v>1224</v>
      </c>
      <c r="D750" t="s">
        <v>31</v>
      </c>
      <c r="E750" t="s">
        <v>3014</v>
      </c>
      <c r="F750" t="s">
        <v>3015</v>
      </c>
      <c r="G750" t="s">
        <v>464</v>
      </c>
      <c r="H750" t="s">
        <v>41</v>
      </c>
      <c r="I750">
        <v>91784</v>
      </c>
    </row>
    <row r="751" spans="1:9" x14ac:dyDescent="0.3">
      <c r="A751">
        <v>750</v>
      </c>
      <c r="B751" t="s">
        <v>1799</v>
      </c>
      <c r="C751" t="s">
        <v>3016</v>
      </c>
      <c r="D751" t="s">
        <v>31</v>
      </c>
      <c r="E751" t="s">
        <v>3017</v>
      </c>
      <c r="F751" t="s">
        <v>3018</v>
      </c>
      <c r="G751" t="s">
        <v>88</v>
      </c>
      <c r="H751" t="s">
        <v>35</v>
      </c>
      <c r="I751">
        <v>10952</v>
      </c>
    </row>
    <row r="752" spans="1:9" x14ac:dyDescent="0.3">
      <c r="A752">
        <v>751</v>
      </c>
      <c r="B752" t="s">
        <v>3019</v>
      </c>
      <c r="C752" t="s">
        <v>3020</v>
      </c>
      <c r="D752" t="s">
        <v>31</v>
      </c>
      <c r="E752" t="s">
        <v>3021</v>
      </c>
      <c r="F752" t="s">
        <v>3022</v>
      </c>
      <c r="G752" t="s">
        <v>431</v>
      </c>
      <c r="H752" t="s">
        <v>41</v>
      </c>
      <c r="I752">
        <v>92236</v>
      </c>
    </row>
    <row r="753" spans="1:9" x14ac:dyDescent="0.3">
      <c r="A753">
        <v>752</v>
      </c>
      <c r="B753" t="s">
        <v>1232</v>
      </c>
      <c r="C753" t="s">
        <v>3023</v>
      </c>
      <c r="D753" t="s">
        <v>31</v>
      </c>
      <c r="E753" t="s">
        <v>3024</v>
      </c>
      <c r="F753" t="s">
        <v>3025</v>
      </c>
      <c r="G753" t="s">
        <v>236</v>
      </c>
      <c r="H753" t="s">
        <v>41</v>
      </c>
      <c r="I753">
        <v>91316</v>
      </c>
    </row>
    <row r="754" spans="1:9" x14ac:dyDescent="0.3">
      <c r="A754">
        <v>753</v>
      </c>
      <c r="B754" t="s">
        <v>3026</v>
      </c>
      <c r="C754" t="s">
        <v>3027</v>
      </c>
      <c r="D754" t="s">
        <v>31</v>
      </c>
      <c r="E754" t="s">
        <v>3028</v>
      </c>
      <c r="F754" t="s">
        <v>3029</v>
      </c>
      <c r="G754" t="s">
        <v>292</v>
      </c>
      <c r="H754" t="s">
        <v>35</v>
      </c>
      <c r="I754">
        <v>11369</v>
      </c>
    </row>
    <row r="755" spans="1:9" x14ac:dyDescent="0.3">
      <c r="A755">
        <v>754</v>
      </c>
      <c r="B755" t="s">
        <v>2942</v>
      </c>
      <c r="C755" t="s">
        <v>3030</v>
      </c>
      <c r="D755" t="s">
        <v>31</v>
      </c>
      <c r="E755" t="s">
        <v>3031</v>
      </c>
      <c r="F755" t="s">
        <v>3032</v>
      </c>
      <c r="G755" t="s">
        <v>1605</v>
      </c>
      <c r="H755" t="s">
        <v>35</v>
      </c>
      <c r="I755">
        <v>11580</v>
      </c>
    </row>
    <row r="756" spans="1:9" x14ac:dyDescent="0.3">
      <c r="A756">
        <v>755</v>
      </c>
      <c r="B756" t="s">
        <v>799</v>
      </c>
      <c r="C756" t="s">
        <v>792</v>
      </c>
      <c r="D756" t="s">
        <v>31</v>
      </c>
      <c r="E756" t="s">
        <v>3033</v>
      </c>
      <c r="F756" t="s">
        <v>3034</v>
      </c>
      <c r="G756" t="s">
        <v>2512</v>
      </c>
      <c r="H756" t="s">
        <v>35</v>
      </c>
      <c r="I756">
        <v>11040</v>
      </c>
    </row>
    <row r="757" spans="1:9" x14ac:dyDescent="0.3">
      <c r="A757">
        <v>756</v>
      </c>
      <c r="B757" t="s">
        <v>3035</v>
      </c>
      <c r="C757" t="s">
        <v>2640</v>
      </c>
      <c r="D757" t="s">
        <v>31</v>
      </c>
      <c r="E757" t="s">
        <v>3036</v>
      </c>
      <c r="F757" t="s">
        <v>3037</v>
      </c>
      <c r="G757" t="s">
        <v>2772</v>
      </c>
      <c r="H757" t="s">
        <v>35</v>
      </c>
      <c r="I757">
        <v>11704</v>
      </c>
    </row>
    <row r="758" spans="1:9" x14ac:dyDescent="0.3">
      <c r="A758">
        <v>757</v>
      </c>
      <c r="B758" t="s">
        <v>3038</v>
      </c>
      <c r="C758" t="s">
        <v>1566</v>
      </c>
      <c r="D758" t="s">
        <v>31</v>
      </c>
      <c r="E758" t="s">
        <v>3039</v>
      </c>
      <c r="F758" t="s">
        <v>3040</v>
      </c>
      <c r="G758" t="s">
        <v>1313</v>
      </c>
      <c r="H758" t="s">
        <v>35</v>
      </c>
      <c r="I758">
        <v>11756</v>
      </c>
    </row>
    <row r="759" spans="1:9" x14ac:dyDescent="0.3">
      <c r="A759">
        <v>758</v>
      </c>
      <c r="B759" t="s">
        <v>3041</v>
      </c>
      <c r="C759" t="s">
        <v>3042</v>
      </c>
      <c r="D759" t="s">
        <v>31</v>
      </c>
      <c r="E759" t="s">
        <v>3043</v>
      </c>
      <c r="F759" t="s">
        <v>3044</v>
      </c>
      <c r="G759" t="s">
        <v>241</v>
      </c>
      <c r="H759" t="s">
        <v>35</v>
      </c>
      <c r="I759">
        <v>12804</v>
      </c>
    </row>
    <row r="760" spans="1:9" x14ac:dyDescent="0.3">
      <c r="A760">
        <v>759</v>
      </c>
      <c r="B760" t="s">
        <v>3045</v>
      </c>
      <c r="C760" t="s">
        <v>2815</v>
      </c>
      <c r="D760" t="s">
        <v>3046</v>
      </c>
      <c r="E760" t="s">
        <v>3047</v>
      </c>
      <c r="F760" t="s">
        <v>3048</v>
      </c>
      <c r="G760" t="s">
        <v>191</v>
      </c>
      <c r="H760" t="s">
        <v>41</v>
      </c>
      <c r="I760">
        <v>94603</v>
      </c>
    </row>
    <row r="761" spans="1:9" x14ac:dyDescent="0.3">
      <c r="A761">
        <v>760</v>
      </c>
      <c r="B761" t="s">
        <v>3049</v>
      </c>
      <c r="C761" t="s">
        <v>3050</v>
      </c>
      <c r="D761" t="s">
        <v>31</v>
      </c>
      <c r="E761" t="s">
        <v>3051</v>
      </c>
      <c r="F761" t="s">
        <v>3052</v>
      </c>
      <c r="G761" t="s">
        <v>343</v>
      </c>
      <c r="H761" t="s">
        <v>35</v>
      </c>
      <c r="I761">
        <v>11701</v>
      </c>
    </row>
    <row r="762" spans="1:9" x14ac:dyDescent="0.3">
      <c r="A762">
        <v>761</v>
      </c>
      <c r="B762" t="s">
        <v>3053</v>
      </c>
      <c r="C762" t="s">
        <v>3054</v>
      </c>
      <c r="D762" t="s">
        <v>31</v>
      </c>
      <c r="E762" t="s">
        <v>3055</v>
      </c>
      <c r="F762" t="s">
        <v>3056</v>
      </c>
      <c r="G762" t="s">
        <v>1273</v>
      </c>
      <c r="H762" t="s">
        <v>35</v>
      </c>
      <c r="I762">
        <v>11779</v>
      </c>
    </row>
    <row r="763" spans="1:9" x14ac:dyDescent="0.3">
      <c r="A763">
        <v>762</v>
      </c>
      <c r="B763" t="s">
        <v>3057</v>
      </c>
      <c r="C763" t="s">
        <v>252</v>
      </c>
      <c r="D763" t="s">
        <v>31</v>
      </c>
      <c r="E763" t="s">
        <v>3058</v>
      </c>
      <c r="F763" t="s">
        <v>3059</v>
      </c>
      <c r="G763" t="s">
        <v>320</v>
      </c>
      <c r="H763" t="s">
        <v>35</v>
      </c>
      <c r="I763">
        <v>11722</v>
      </c>
    </row>
    <row r="764" spans="1:9" x14ac:dyDescent="0.3">
      <c r="A764">
        <v>763</v>
      </c>
      <c r="B764" t="s">
        <v>3060</v>
      </c>
      <c r="C764" t="s">
        <v>1826</v>
      </c>
      <c r="D764" t="s">
        <v>31</v>
      </c>
      <c r="E764" t="s">
        <v>3061</v>
      </c>
      <c r="F764" t="s">
        <v>3062</v>
      </c>
      <c r="G764" t="s">
        <v>544</v>
      </c>
      <c r="H764" t="s">
        <v>35</v>
      </c>
      <c r="I764">
        <v>11373</v>
      </c>
    </row>
    <row r="765" spans="1:9" x14ac:dyDescent="0.3">
      <c r="A765">
        <v>764</v>
      </c>
      <c r="B765" t="s">
        <v>3063</v>
      </c>
      <c r="C765" t="s">
        <v>1095</v>
      </c>
      <c r="D765" t="s">
        <v>31</v>
      </c>
      <c r="E765" t="s">
        <v>3064</v>
      </c>
      <c r="F765" t="s">
        <v>3065</v>
      </c>
      <c r="G765" t="s">
        <v>995</v>
      </c>
      <c r="H765" t="s">
        <v>35</v>
      </c>
      <c r="I765">
        <v>11784</v>
      </c>
    </row>
    <row r="766" spans="1:9" x14ac:dyDescent="0.3">
      <c r="A766">
        <v>765</v>
      </c>
      <c r="B766" t="s">
        <v>3066</v>
      </c>
      <c r="C766" t="s">
        <v>388</v>
      </c>
      <c r="D766" t="s">
        <v>31</v>
      </c>
      <c r="E766" t="s">
        <v>3067</v>
      </c>
      <c r="F766" t="s">
        <v>3068</v>
      </c>
      <c r="G766" t="s">
        <v>176</v>
      </c>
      <c r="H766" t="s">
        <v>35</v>
      </c>
      <c r="I766">
        <v>10562</v>
      </c>
    </row>
    <row r="767" spans="1:9" x14ac:dyDescent="0.3">
      <c r="A767">
        <v>766</v>
      </c>
      <c r="B767" t="s">
        <v>3069</v>
      </c>
      <c r="C767" t="s">
        <v>3070</v>
      </c>
      <c r="D767" t="s">
        <v>31</v>
      </c>
      <c r="E767" t="s">
        <v>3071</v>
      </c>
      <c r="F767" t="s">
        <v>3072</v>
      </c>
      <c r="G767" t="s">
        <v>1454</v>
      </c>
      <c r="H767" t="s">
        <v>35</v>
      </c>
      <c r="I767">
        <v>12302</v>
      </c>
    </row>
    <row r="768" spans="1:9" x14ac:dyDescent="0.3">
      <c r="A768">
        <v>767</v>
      </c>
      <c r="B768" t="s">
        <v>3073</v>
      </c>
      <c r="C768" t="s">
        <v>2317</v>
      </c>
      <c r="D768" t="s">
        <v>3074</v>
      </c>
      <c r="E768" t="s">
        <v>3075</v>
      </c>
      <c r="F768" t="s">
        <v>3076</v>
      </c>
      <c r="G768" t="s">
        <v>565</v>
      </c>
      <c r="H768" t="s">
        <v>41</v>
      </c>
      <c r="I768">
        <v>92806</v>
      </c>
    </row>
    <row r="769" spans="1:9" x14ac:dyDescent="0.3">
      <c r="A769">
        <v>768</v>
      </c>
      <c r="B769" t="s">
        <v>3077</v>
      </c>
      <c r="C769" t="s">
        <v>1053</v>
      </c>
      <c r="D769" t="s">
        <v>31</v>
      </c>
      <c r="E769" t="s">
        <v>3078</v>
      </c>
      <c r="F769" t="s">
        <v>3079</v>
      </c>
      <c r="G769" t="s">
        <v>1141</v>
      </c>
      <c r="H769" t="s">
        <v>41</v>
      </c>
      <c r="I769">
        <v>94806</v>
      </c>
    </row>
    <row r="770" spans="1:9" x14ac:dyDescent="0.3">
      <c r="A770">
        <v>769</v>
      </c>
      <c r="B770" t="s">
        <v>3080</v>
      </c>
      <c r="C770" t="s">
        <v>360</v>
      </c>
      <c r="D770" t="s">
        <v>31</v>
      </c>
      <c r="E770" t="s">
        <v>3081</v>
      </c>
      <c r="F770" t="s">
        <v>3082</v>
      </c>
      <c r="G770" t="s">
        <v>1383</v>
      </c>
      <c r="H770" t="s">
        <v>35</v>
      </c>
      <c r="I770">
        <v>11413</v>
      </c>
    </row>
    <row r="771" spans="1:9" x14ac:dyDescent="0.3">
      <c r="A771">
        <v>770</v>
      </c>
      <c r="B771" t="s">
        <v>3083</v>
      </c>
      <c r="C771" t="s">
        <v>3084</v>
      </c>
      <c r="D771" t="s">
        <v>31</v>
      </c>
      <c r="E771" t="s">
        <v>3085</v>
      </c>
      <c r="F771" t="s">
        <v>3086</v>
      </c>
      <c r="G771" t="s">
        <v>765</v>
      </c>
      <c r="H771" t="s">
        <v>35</v>
      </c>
      <c r="I771">
        <v>11706</v>
      </c>
    </row>
    <row r="772" spans="1:9" x14ac:dyDescent="0.3">
      <c r="A772">
        <v>771</v>
      </c>
      <c r="B772" t="s">
        <v>3087</v>
      </c>
      <c r="C772" t="s">
        <v>2062</v>
      </c>
      <c r="D772" t="s">
        <v>3088</v>
      </c>
      <c r="E772" t="s">
        <v>3089</v>
      </c>
      <c r="F772" t="s">
        <v>3090</v>
      </c>
      <c r="G772" t="s">
        <v>68</v>
      </c>
      <c r="H772" t="s">
        <v>35</v>
      </c>
      <c r="I772">
        <v>14215</v>
      </c>
    </row>
    <row r="773" spans="1:9" x14ac:dyDescent="0.3">
      <c r="A773">
        <v>772</v>
      </c>
      <c r="B773" t="s">
        <v>3091</v>
      </c>
      <c r="C773" t="s">
        <v>3092</v>
      </c>
      <c r="D773" t="s">
        <v>31</v>
      </c>
      <c r="E773" t="s">
        <v>3093</v>
      </c>
      <c r="F773" t="s">
        <v>3094</v>
      </c>
      <c r="G773" t="s">
        <v>2556</v>
      </c>
      <c r="H773" t="s">
        <v>35</v>
      </c>
      <c r="I773">
        <v>10598</v>
      </c>
    </row>
    <row r="774" spans="1:9" x14ac:dyDescent="0.3">
      <c r="A774">
        <v>773</v>
      </c>
      <c r="B774" t="s">
        <v>3095</v>
      </c>
      <c r="C774" t="s">
        <v>3096</v>
      </c>
      <c r="D774" t="s">
        <v>31</v>
      </c>
      <c r="E774" t="s">
        <v>3097</v>
      </c>
      <c r="F774" t="s">
        <v>3098</v>
      </c>
      <c r="G774" t="s">
        <v>683</v>
      </c>
      <c r="H774" t="s">
        <v>35</v>
      </c>
      <c r="I774">
        <v>11758</v>
      </c>
    </row>
    <row r="775" spans="1:9" x14ac:dyDescent="0.3">
      <c r="A775">
        <v>774</v>
      </c>
      <c r="B775" t="s">
        <v>3099</v>
      </c>
      <c r="C775" t="s">
        <v>1044</v>
      </c>
      <c r="D775" t="s">
        <v>31</v>
      </c>
      <c r="E775" t="s">
        <v>3100</v>
      </c>
      <c r="F775" t="s">
        <v>3101</v>
      </c>
      <c r="G775" t="s">
        <v>1061</v>
      </c>
      <c r="H775" t="s">
        <v>41</v>
      </c>
      <c r="I775">
        <v>90260</v>
      </c>
    </row>
    <row r="776" spans="1:9" x14ac:dyDescent="0.3">
      <c r="A776">
        <v>775</v>
      </c>
      <c r="B776" t="s">
        <v>2754</v>
      </c>
      <c r="C776" t="s">
        <v>3102</v>
      </c>
      <c r="D776" t="s">
        <v>31</v>
      </c>
      <c r="E776" t="s">
        <v>3103</v>
      </c>
      <c r="F776" t="s">
        <v>3104</v>
      </c>
      <c r="G776" t="s">
        <v>1056</v>
      </c>
      <c r="H776" t="s">
        <v>35</v>
      </c>
      <c r="I776">
        <v>11772</v>
      </c>
    </row>
    <row r="777" spans="1:9" x14ac:dyDescent="0.3">
      <c r="A777">
        <v>776</v>
      </c>
      <c r="B777" t="s">
        <v>3105</v>
      </c>
      <c r="C777" t="s">
        <v>3106</v>
      </c>
      <c r="D777" t="s">
        <v>31</v>
      </c>
      <c r="E777" t="s">
        <v>3107</v>
      </c>
      <c r="F777" t="s">
        <v>3108</v>
      </c>
      <c r="G777" t="s">
        <v>386</v>
      </c>
      <c r="H777" t="s">
        <v>41</v>
      </c>
      <c r="I777">
        <v>91733</v>
      </c>
    </row>
    <row r="778" spans="1:9" x14ac:dyDescent="0.3">
      <c r="A778">
        <v>777</v>
      </c>
      <c r="B778" t="s">
        <v>3109</v>
      </c>
      <c r="C778" t="s">
        <v>925</v>
      </c>
      <c r="D778" t="s">
        <v>31</v>
      </c>
      <c r="E778" t="s">
        <v>3110</v>
      </c>
      <c r="F778" t="s">
        <v>3111</v>
      </c>
      <c r="G778" t="s">
        <v>1247</v>
      </c>
      <c r="H778" t="s">
        <v>35</v>
      </c>
      <c r="I778">
        <v>12401</v>
      </c>
    </row>
    <row r="779" spans="1:9" x14ac:dyDescent="0.3">
      <c r="A779">
        <v>778</v>
      </c>
      <c r="B779" t="s">
        <v>3112</v>
      </c>
      <c r="C779" t="s">
        <v>2730</v>
      </c>
      <c r="D779" t="s">
        <v>31</v>
      </c>
      <c r="E779" t="s">
        <v>3113</v>
      </c>
      <c r="F779" t="s">
        <v>3114</v>
      </c>
      <c r="G779" t="s">
        <v>140</v>
      </c>
      <c r="H779" t="s">
        <v>100</v>
      </c>
      <c r="I779">
        <v>77904</v>
      </c>
    </row>
    <row r="780" spans="1:9" x14ac:dyDescent="0.3">
      <c r="A780">
        <v>779</v>
      </c>
      <c r="B780" t="s">
        <v>3115</v>
      </c>
      <c r="C780" t="s">
        <v>3106</v>
      </c>
      <c r="D780" t="s">
        <v>31</v>
      </c>
      <c r="E780" t="s">
        <v>3116</v>
      </c>
      <c r="F780" t="s">
        <v>3117</v>
      </c>
      <c r="G780" t="s">
        <v>225</v>
      </c>
      <c r="H780" t="s">
        <v>35</v>
      </c>
      <c r="I780">
        <v>11102</v>
      </c>
    </row>
    <row r="781" spans="1:9" x14ac:dyDescent="0.3">
      <c r="A781">
        <v>780</v>
      </c>
      <c r="B781" t="s">
        <v>3118</v>
      </c>
      <c r="C781" t="s">
        <v>3119</v>
      </c>
      <c r="D781" t="s">
        <v>31</v>
      </c>
      <c r="E781" t="s">
        <v>3120</v>
      </c>
      <c r="F781" t="s">
        <v>3121</v>
      </c>
      <c r="G781" t="s">
        <v>287</v>
      </c>
      <c r="H781" t="s">
        <v>35</v>
      </c>
      <c r="I781">
        <v>11566</v>
      </c>
    </row>
    <row r="782" spans="1:9" x14ac:dyDescent="0.3">
      <c r="A782">
        <v>781</v>
      </c>
      <c r="B782" t="s">
        <v>2302</v>
      </c>
      <c r="C782" t="s">
        <v>979</v>
      </c>
      <c r="D782" t="s">
        <v>31</v>
      </c>
      <c r="E782" t="s">
        <v>3122</v>
      </c>
      <c r="F782" t="s">
        <v>3123</v>
      </c>
      <c r="G782" t="s">
        <v>500</v>
      </c>
      <c r="H782" t="s">
        <v>35</v>
      </c>
      <c r="I782">
        <v>11361</v>
      </c>
    </row>
    <row r="783" spans="1:9" x14ac:dyDescent="0.3">
      <c r="A783">
        <v>782</v>
      </c>
      <c r="B783" t="s">
        <v>3124</v>
      </c>
      <c r="C783" t="s">
        <v>457</v>
      </c>
      <c r="D783" t="s">
        <v>31</v>
      </c>
      <c r="E783" t="s">
        <v>3125</v>
      </c>
      <c r="F783" t="s">
        <v>3126</v>
      </c>
      <c r="G783" t="s">
        <v>803</v>
      </c>
      <c r="H783" t="s">
        <v>35</v>
      </c>
      <c r="I783">
        <v>11377</v>
      </c>
    </row>
    <row r="784" spans="1:9" x14ac:dyDescent="0.3">
      <c r="A784">
        <v>783</v>
      </c>
      <c r="B784" t="s">
        <v>2090</v>
      </c>
      <c r="C784" t="s">
        <v>3127</v>
      </c>
      <c r="D784" t="s">
        <v>3128</v>
      </c>
      <c r="E784" t="s">
        <v>3129</v>
      </c>
      <c r="F784" t="s">
        <v>3130</v>
      </c>
      <c r="G784" t="s">
        <v>231</v>
      </c>
      <c r="H784" t="s">
        <v>35</v>
      </c>
      <c r="I784">
        <v>14086</v>
      </c>
    </row>
    <row r="785" spans="1:9" x14ac:dyDescent="0.3">
      <c r="A785">
        <v>784</v>
      </c>
      <c r="B785" t="s">
        <v>3131</v>
      </c>
      <c r="C785" t="s">
        <v>3132</v>
      </c>
      <c r="D785" t="s">
        <v>31</v>
      </c>
      <c r="E785" t="s">
        <v>3133</v>
      </c>
      <c r="F785" t="s">
        <v>3134</v>
      </c>
      <c r="G785" t="s">
        <v>958</v>
      </c>
      <c r="H785" t="s">
        <v>35</v>
      </c>
      <c r="I785">
        <v>12020</v>
      </c>
    </row>
    <row r="786" spans="1:9" x14ac:dyDescent="0.3">
      <c r="A786">
        <v>785</v>
      </c>
      <c r="B786" t="s">
        <v>3135</v>
      </c>
      <c r="C786" t="s">
        <v>810</v>
      </c>
      <c r="D786" t="s">
        <v>31</v>
      </c>
      <c r="E786" t="s">
        <v>3136</v>
      </c>
      <c r="F786" t="s">
        <v>3137</v>
      </c>
      <c r="G786" t="s">
        <v>661</v>
      </c>
      <c r="H786" t="s">
        <v>35</v>
      </c>
      <c r="I786">
        <v>14075</v>
      </c>
    </row>
    <row r="787" spans="1:9" x14ac:dyDescent="0.3">
      <c r="A787">
        <v>786</v>
      </c>
      <c r="B787" t="s">
        <v>3138</v>
      </c>
      <c r="C787" t="s">
        <v>3139</v>
      </c>
      <c r="D787" t="s">
        <v>31</v>
      </c>
      <c r="E787" t="s">
        <v>3140</v>
      </c>
      <c r="F787" t="s">
        <v>3141</v>
      </c>
      <c r="G787" t="s">
        <v>2168</v>
      </c>
      <c r="H787" t="s">
        <v>35</v>
      </c>
      <c r="I787">
        <v>11419</v>
      </c>
    </row>
    <row r="788" spans="1:9" x14ac:dyDescent="0.3">
      <c r="A788">
        <v>787</v>
      </c>
      <c r="B788" t="s">
        <v>3142</v>
      </c>
      <c r="C788" t="s">
        <v>3143</v>
      </c>
      <c r="D788" t="s">
        <v>31</v>
      </c>
      <c r="E788" t="s">
        <v>3144</v>
      </c>
      <c r="F788" t="s">
        <v>3145</v>
      </c>
      <c r="G788" t="s">
        <v>1525</v>
      </c>
      <c r="H788" t="s">
        <v>35</v>
      </c>
      <c r="I788">
        <v>10550</v>
      </c>
    </row>
    <row r="789" spans="1:9" x14ac:dyDescent="0.3">
      <c r="A789">
        <v>788</v>
      </c>
      <c r="B789" t="s">
        <v>3146</v>
      </c>
      <c r="C789" t="s">
        <v>2633</v>
      </c>
      <c r="D789" t="s">
        <v>31</v>
      </c>
      <c r="E789" t="s">
        <v>3147</v>
      </c>
      <c r="F789" t="s">
        <v>3148</v>
      </c>
      <c r="G789" t="s">
        <v>3149</v>
      </c>
      <c r="H789" t="s">
        <v>100</v>
      </c>
      <c r="I789">
        <v>76522</v>
      </c>
    </row>
    <row r="790" spans="1:9" x14ac:dyDescent="0.3">
      <c r="A790">
        <v>789</v>
      </c>
      <c r="B790" t="s">
        <v>3150</v>
      </c>
      <c r="C790" t="s">
        <v>3151</v>
      </c>
      <c r="D790" t="s">
        <v>31</v>
      </c>
      <c r="E790" t="s">
        <v>3152</v>
      </c>
      <c r="F790" t="s">
        <v>3153</v>
      </c>
      <c r="G790" t="s">
        <v>1149</v>
      </c>
      <c r="H790" t="s">
        <v>35</v>
      </c>
      <c r="I790">
        <v>14304</v>
      </c>
    </row>
    <row r="791" spans="1:9" x14ac:dyDescent="0.3">
      <c r="A791">
        <v>790</v>
      </c>
      <c r="B791" t="s">
        <v>382</v>
      </c>
      <c r="C791" t="s">
        <v>1610</v>
      </c>
      <c r="D791" t="s">
        <v>31</v>
      </c>
      <c r="E791" t="s">
        <v>3154</v>
      </c>
      <c r="F791" t="s">
        <v>3155</v>
      </c>
      <c r="G791" t="s">
        <v>616</v>
      </c>
      <c r="H791" t="s">
        <v>35</v>
      </c>
      <c r="I791">
        <v>11414</v>
      </c>
    </row>
    <row r="792" spans="1:9" x14ac:dyDescent="0.3">
      <c r="A792">
        <v>791</v>
      </c>
      <c r="B792" t="s">
        <v>3156</v>
      </c>
      <c r="C792" t="s">
        <v>3157</v>
      </c>
      <c r="D792" t="s">
        <v>31</v>
      </c>
      <c r="E792" t="s">
        <v>3158</v>
      </c>
      <c r="F792" t="s">
        <v>3159</v>
      </c>
      <c r="G792" t="s">
        <v>958</v>
      </c>
      <c r="H792" t="s">
        <v>35</v>
      </c>
      <c r="I792">
        <v>12020</v>
      </c>
    </row>
    <row r="793" spans="1:9" x14ac:dyDescent="0.3">
      <c r="A793">
        <v>792</v>
      </c>
      <c r="B793" t="s">
        <v>3160</v>
      </c>
      <c r="C793" t="s">
        <v>2218</v>
      </c>
      <c r="D793" t="s">
        <v>31</v>
      </c>
      <c r="E793" t="s">
        <v>3161</v>
      </c>
      <c r="F793" t="s">
        <v>3162</v>
      </c>
      <c r="G793" t="s">
        <v>2772</v>
      </c>
      <c r="H793" t="s">
        <v>35</v>
      </c>
      <c r="I793">
        <v>11704</v>
      </c>
    </row>
    <row r="794" spans="1:9" x14ac:dyDescent="0.3">
      <c r="A794">
        <v>793</v>
      </c>
      <c r="B794" t="s">
        <v>3163</v>
      </c>
      <c r="C794" t="s">
        <v>3164</v>
      </c>
      <c r="D794" t="s">
        <v>31</v>
      </c>
      <c r="E794" t="s">
        <v>3165</v>
      </c>
      <c r="F794" t="s">
        <v>3166</v>
      </c>
      <c r="G794" t="s">
        <v>544</v>
      </c>
      <c r="H794" t="s">
        <v>35</v>
      </c>
      <c r="I794">
        <v>11373</v>
      </c>
    </row>
    <row r="795" spans="1:9" x14ac:dyDescent="0.3">
      <c r="A795">
        <v>794</v>
      </c>
      <c r="B795" t="s">
        <v>3167</v>
      </c>
      <c r="C795" t="s">
        <v>3168</v>
      </c>
      <c r="D795" t="s">
        <v>31</v>
      </c>
      <c r="E795" t="s">
        <v>3169</v>
      </c>
      <c r="F795" t="s">
        <v>3170</v>
      </c>
      <c r="G795" t="s">
        <v>46</v>
      </c>
      <c r="H795" t="s">
        <v>41</v>
      </c>
      <c r="I795">
        <v>90278</v>
      </c>
    </row>
    <row r="796" spans="1:9" x14ac:dyDescent="0.3">
      <c r="A796">
        <v>795</v>
      </c>
      <c r="B796" t="s">
        <v>3171</v>
      </c>
      <c r="C796" t="s">
        <v>3023</v>
      </c>
      <c r="D796" t="s">
        <v>31</v>
      </c>
      <c r="E796" t="s">
        <v>3172</v>
      </c>
      <c r="F796" t="s">
        <v>3173</v>
      </c>
      <c r="G796" t="s">
        <v>469</v>
      </c>
      <c r="H796" t="s">
        <v>35</v>
      </c>
      <c r="I796">
        <v>11010</v>
      </c>
    </row>
    <row r="797" spans="1:9" x14ac:dyDescent="0.3">
      <c r="A797">
        <v>796</v>
      </c>
      <c r="B797" t="s">
        <v>3174</v>
      </c>
      <c r="C797" t="s">
        <v>1653</v>
      </c>
      <c r="D797" t="s">
        <v>31</v>
      </c>
      <c r="E797" t="s">
        <v>3175</v>
      </c>
      <c r="F797" t="s">
        <v>3176</v>
      </c>
      <c r="G797" t="s">
        <v>464</v>
      </c>
      <c r="H797" t="s">
        <v>41</v>
      </c>
      <c r="I797">
        <v>91784</v>
      </c>
    </row>
    <row r="798" spans="1:9" x14ac:dyDescent="0.3">
      <c r="A798">
        <v>797</v>
      </c>
      <c r="B798" t="s">
        <v>3177</v>
      </c>
      <c r="C798" t="s">
        <v>3178</v>
      </c>
      <c r="D798" t="s">
        <v>31</v>
      </c>
      <c r="E798" t="s">
        <v>3179</v>
      </c>
      <c r="F798" t="s">
        <v>3180</v>
      </c>
      <c r="G798" t="s">
        <v>500</v>
      </c>
      <c r="H798" t="s">
        <v>35</v>
      </c>
      <c r="I798">
        <v>11361</v>
      </c>
    </row>
    <row r="799" spans="1:9" x14ac:dyDescent="0.3">
      <c r="A799">
        <v>798</v>
      </c>
      <c r="B799" t="s">
        <v>3181</v>
      </c>
      <c r="C799" t="s">
        <v>3132</v>
      </c>
      <c r="D799" t="s">
        <v>31</v>
      </c>
      <c r="E799" t="s">
        <v>3182</v>
      </c>
      <c r="F799" t="s">
        <v>3183</v>
      </c>
      <c r="G799" t="s">
        <v>1185</v>
      </c>
      <c r="H799" t="s">
        <v>35</v>
      </c>
      <c r="I799">
        <v>11762</v>
      </c>
    </row>
    <row r="800" spans="1:9" x14ac:dyDescent="0.3">
      <c r="A800">
        <v>799</v>
      </c>
      <c r="B800" t="s">
        <v>3184</v>
      </c>
      <c r="C800" t="s">
        <v>2857</v>
      </c>
      <c r="D800" t="s">
        <v>31</v>
      </c>
      <c r="E800" t="s">
        <v>3185</v>
      </c>
      <c r="F800" t="s">
        <v>3186</v>
      </c>
      <c r="G800" t="s">
        <v>742</v>
      </c>
      <c r="H800" t="s">
        <v>35</v>
      </c>
      <c r="I800">
        <v>11743</v>
      </c>
    </row>
    <row r="801" spans="1:9" x14ac:dyDescent="0.3">
      <c r="A801">
        <v>800</v>
      </c>
      <c r="B801" t="s">
        <v>3187</v>
      </c>
      <c r="C801" t="s">
        <v>2827</v>
      </c>
      <c r="D801" t="s">
        <v>31</v>
      </c>
      <c r="E801" t="s">
        <v>3188</v>
      </c>
      <c r="F801" t="s">
        <v>3189</v>
      </c>
      <c r="G801" t="s">
        <v>599</v>
      </c>
      <c r="H801" t="s">
        <v>35</v>
      </c>
      <c r="I801">
        <v>14534</v>
      </c>
    </row>
    <row r="802" spans="1:9" x14ac:dyDescent="0.3">
      <c r="A802">
        <v>801</v>
      </c>
      <c r="B802" t="s">
        <v>3190</v>
      </c>
      <c r="C802" t="s">
        <v>3191</v>
      </c>
      <c r="D802" t="s">
        <v>31</v>
      </c>
      <c r="E802" t="s">
        <v>3192</v>
      </c>
      <c r="F802" t="s">
        <v>3193</v>
      </c>
      <c r="G802" t="s">
        <v>1265</v>
      </c>
      <c r="H802" t="s">
        <v>35</v>
      </c>
      <c r="I802">
        <v>12533</v>
      </c>
    </row>
    <row r="803" spans="1:9" x14ac:dyDescent="0.3">
      <c r="A803">
        <v>802</v>
      </c>
      <c r="B803" t="s">
        <v>3194</v>
      </c>
      <c r="C803" t="s">
        <v>3195</v>
      </c>
      <c r="D803" t="s">
        <v>31</v>
      </c>
      <c r="E803" t="s">
        <v>3196</v>
      </c>
      <c r="F803" t="s">
        <v>3197</v>
      </c>
      <c r="G803" t="s">
        <v>99</v>
      </c>
      <c r="H803" t="s">
        <v>100</v>
      </c>
      <c r="I803">
        <v>75604</v>
      </c>
    </row>
    <row r="804" spans="1:9" x14ac:dyDescent="0.3">
      <c r="A804">
        <v>803</v>
      </c>
      <c r="B804" t="s">
        <v>3198</v>
      </c>
      <c r="C804" t="s">
        <v>1636</v>
      </c>
      <c r="D804" t="s">
        <v>31</v>
      </c>
      <c r="E804" t="s">
        <v>3199</v>
      </c>
      <c r="F804" t="s">
        <v>3200</v>
      </c>
      <c r="G804" t="s">
        <v>1020</v>
      </c>
      <c r="H804" t="s">
        <v>35</v>
      </c>
      <c r="I804">
        <v>11357</v>
      </c>
    </row>
    <row r="805" spans="1:9" x14ac:dyDescent="0.3">
      <c r="A805">
        <v>804</v>
      </c>
      <c r="B805" t="s">
        <v>3201</v>
      </c>
      <c r="C805" t="s">
        <v>3202</v>
      </c>
      <c r="D805" t="s">
        <v>31</v>
      </c>
      <c r="E805" t="s">
        <v>3203</v>
      </c>
      <c r="F805" t="s">
        <v>3204</v>
      </c>
      <c r="G805" t="s">
        <v>1605</v>
      </c>
      <c r="H805" t="s">
        <v>35</v>
      </c>
      <c r="I805">
        <v>11580</v>
      </c>
    </row>
    <row r="806" spans="1:9" x14ac:dyDescent="0.3">
      <c r="A806">
        <v>805</v>
      </c>
      <c r="B806" t="s">
        <v>3205</v>
      </c>
      <c r="C806" t="s">
        <v>2115</v>
      </c>
      <c r="D806" t="s">
        <v>31</v>
      </c>
      <c r="E806" t="s">
        <v>3206</v>
      </c>
      <c r="F806" t="s">
        <v>3207</v>
      </c>
      <c r="G806" t="s">
        <v>2572</v>
      </c>
      <c r="H806" t="s">
        <v>35</v>
      </c>
      <c r="I806">
        <v>12065</v>
      </c>
    </row>
    <row r="807" spans="1:9" x14ac:dyDescent="0.3">
      <c r="A807">
        <v>806</v>
      </c>
      <c r="B807" t="s">
        <v>3208</v>
      </c>
      <c r="C807" t="s">
        <v>1686</v>
      </c>
      <c r="D807" t="s">
        <v>31</v>
      </c>
      <c r="E807" t="s">
        <v>3209</v>
      </c>
      <c r="F807" t="s">
        <v>3210</v>
      </c>
      <c r="G807" t="s">
        <v>720</v>
      </c>
      <c r="H807" t="s">
        <v>35</v>
      </c>
      <c r="I807">
        <v>10301</v>
      </c>
    </row>
    <row r="808" spans="1:9" x14ac:dyDescent="0.3">
      <c r="A808">
        <v>807</v>
      </c>
      <c r="B808" t="s">
        <v>3211</v>
      </c>
      <c r="C808" t="s">
        <v>3212</v>
      </c>
      <c r="D808" t="s">
        <v>31</v>
      </c>
      <c r="E808" t="s">
        <v>3213</v>
      </c>
      <c r="F808" t="s">
        <v>3214</v>
      </c>
      <c r="G808" t="s">
        <v>770</v>
      </c>
      <c r="H808" t="s">
        <v>35</v>
      </c>
      <c r="I808">
        <v>11795</v>
      </c>
    </row>
    <row r="809" spans="1:9" x14ac:dyDescent="0.3">
      <c r="A809">
        <v>808</v>
      </c>
      <c r="B809" t="s">
        <v>3215</v>
      </c>
      <c r="C809" t="s">
        <v>1850</v>
      </c>
      <c r="D809" t="s">
        <v>31</v>
      </c>
      <c r="E809" t="s">
        <v>3216</v>
      </c>
      <c r="F809" t="s">
        <v>3217</v>
      </c>
      <c r="G809" t="s">
        <v>368</v>
      </c>
      <c r="H809" t="s">
        <v>100</v>
      </c>
      <c r="I809">
        <v>75088</v>
      </c>
    </row>
    <row r="810" spans="1:9" x14ac:dyDescent="0.3">
      <c r="A810">
        <v>809</v>
      </c>
      <c r="B810" t="s">
        <v>3218</v>
      </c>
      <c r="C810" t="s">
        <v>3219</v>
      </c>
      <c r="D810" t="s">
        <v>31</v>
      </c>
      <c r="E810" t="s">
        <v>3220</v>
      </c>
      <c r="F810" t="s">
        <v>3221</v>
      </c>
      <c r="G810" t="s">
        <v>1242</v>
      </c>
      <c r="H810" t="s">
        <v>35</v>
      </c>
      <c r="I810">
        <v>11710</v>
      </c>
    </row>
    <row r="811" spans="1:9" x14ac:dyDescent="0.3">
      <c r="A811">
        <v>810</v>
      </c>
      <c r="B811" t="s">
        <v>3222</v>
      </c>
      <c r="C811" t="s">
        <v>3223</v>
      </c>
      <c r="D811" t="s">
        <v>3224</v>
      </c>
      <c r="E811" t="s">
        <v>3225</v>
      </c>
      <c r="F811" t="s">
        <v>3226</v>
      </c>
      <c r="G811" t="s">
        <v>252</v>
      </c>
      <c r="H811" t="s">
        <v>100</v>
      </c>
      <c r="I811">
        <v>77016</v>
      </c>
    </row>
    <row r="812" spans="1:9" x14ac:dyDescent="0.3">
      <c r="A812">
        <v>811</v>
      </c>
      <c r="B812" t="s">
        <v>3227</v>
      </c>
      <c r="C812" t="s">
        <v>814</v>
      </c>
      <c r="D812" t="s">
        <v>31</v>
      </c>
      <c r="E812" t="s">
        <v>3228</v>
      </c>
      <c r="F812" t="s">
        <v>3229</v>
      </c>
      <c r="G812" t="s">
        <v>720</v>
      </c>
      <c r="H812" t="s">
        <v>35</v>
      </c>
      <c r="I812">
        <v>10301</v>
      </c>
    </row>
    <row r="813" spans="1:9" x14ac:dyDescent="0.3">
      <c r="A813">
        <v>812</v>
      </c>
      <c r="B813" t="s">
        <v>3230</v>
      </c>
      <c r="C813" t="s">
        <v>1279</v>
      </c>
      <c r="D813" t="s">
        <v>31</v>
      </c>
      <c r="E813" t="s">
        <v>3231</v>
      </c>
      <c r="F813" t="s">
        <v>3232</v>
      </c>
      <c r="G813" t="s">
        <v>539</v>
      </c>
      <c r="H813" t="s">
        <v>35</v>
      </c>
      <c r="I813">
        <v>11421</v>
      </c>
    </row>
    <row r="814" spans="1:9" x14ac:dyDescent="0.3">
      <c r="A814">
        <v>813</v>
      </c>
      <c r="B814" t="s">
        <v>3233</v>
      </c>
      <c r="C814" t="s">
        <v>3234</v>
      </c>
      <c r="D814" t="s">
        <v>31</v>
      </c>
      <c r="E814" t="s">
        <v>3235</v>
      </c>
      <c r="F814" t="s">
        <v>3236</v>
      </c>
      <c r="G814" t="s">
        <v>573</v>
      </c>
      <c r="H814" t="s">
        <v>35</v>
      </c>
      <c r="I814">
        <v>11552</v>
      </c>
    </row>
    <row r="815" spans="1:9" x14ac:dyDescent="0.3">
      <c r="A815">
        <v>814</v>
      </c>
      <c r="B815" t="s">
        <v>3237</v>
      </c>
      <c r="C815" t="s">
        <v>1915</v>
      </c>
      <c r="D815" t="s">
        <v>31</v>
      </c>
      <c r="E815" t="s">
        <v>3238</v>
      </c>
      <c r="F815" t="s">
        <v>3239</v>
      </c>
      <c r="G815" t="s">
        <v>440</v>
      </c>
      <c r="H815" t="s">
        <v>35</v>
      </c>
      <c r="I815">
        <v>11757</v>
      </c>
    </row>
    <row r="816" spans="1:9" x14ac:dyDescent="0.3">
      <c r="A816">
        <v>815</v>
      </c>
      <c r="B816" t="s">
        <v>3240</v>
      </c>
      <c r="C816" t="s">
        <v>2989</v>
      </c>
      <c r="D816" t="s">
        <v>31</v>
      </c>
      <c r="E816" t="s">
        <v>3241</v>
      </c>
      <c r="F816" t="s">
        <v>3242</v>
      </c>
      <c r="G816" t="s">
        <v>923</v>
      </c>
      <c r="H816" t="s">
        <v>35</v>
      </c>
      <c r="I816">
        <v>11801</v>
      </c>
    </row>
    <row r="817" spans="1:9" x14ac:dyDescent="0.3">
      <c r="A817">
        <v>816</v>
      </c>
      <c r="B817" t="s">
        <v>1822</v>
      </c>
      <c r="C817" t="s">
        <v>1501</v>
      </c>
      <c r="D817" t="s">
        <v>31</v>
      </c>
      <c r="E817" t="s">
        <v>3243</v>
      </c>
      <c r="F817" t="s">
        <v>3244</v>
      </c>
      <c r="G817" t="s">
        <v>1931</v>
      </c>
      <c r="H817" t="s">
        <v>41</v>
      </c>
      <c r="I817">
        <v>92083</v>
      </c>
    </row>
    <row r="818" spans="1:9" x14ac:dyDescent="0.3">
      <c r="A818">
        <v>817</v>
      </c>
      <c r="B818" t="s">
        <v>3245</v>
      </c>
      <c r="C818" t="s">
        <v>907</v>
      </c>
      <c r="D818" t="s">
        <v>3246</v>
      </c>
      <c r="E818" t="s">
        <v>3247</v>
      </c>
      <c r="F818" t="s">
        <v>3248</v>
      </c>
      <c r="G818" t="s">
        <v>231</v>
      </c>
      <c r="H818" t="s">
        <v>35</v>
      </c>
      <c r="I818">
        <v>14086</v>
      </c>
    </row>
    <row r="819" spans="1:9" x14ac:dyDescent="0.3">
      <c r="A819">
        <v>818</v>
      </c>
      <c r="B819" t="s">
        <v>3249</v>
      </c>
      <c r="C819" t="s">
        <v>1562</v>
      </c>
      <c r="D819" t="s">
        <v>3250</v>
      </c>
      <c r="E819" t="s">
        <v>3251</v>
      </c>
      <c r="F819" t="s">
        <v>3252</v>
      </c>
      <c r="G819" t="s">
        <v>475</v>
      </c>
      <c r="H819" t="s">
        <v>41</v>
      </c>
      <c r="I819">
        <v>92111</v>
      </c>
    </row>
    <row r="820" spans="1:9" x14ac:dyDescent="0.3">
      <c r="A820">
        <v>819</v>
      </c>
      <c r="B820" t="s">
        <v>3253</v>
      </c>
      <c r="C820" t="s">
        <v>2214</v>
      </c>
      <c r="D820" t="s">
        <v>31</v>
      </c>
      <c r="E820" t="s">
        <v>3254</v>
      </c>
      <c r="F820" t="s">
        <v>3255</v>
      </c>
      <c r="G820" t="s">
        <v>2910</v>
      </c>
      <c r="H820" t="s">
        <v>35</v>
      </c>
      <c r="I820">
        <v>13760</v>
      </c>
    </row>
    <row r="821" spans="1:9" x14ac:dyDescent="0.3">
      <c r="A821">
        <v>820</v>
      </c>
      <c r="B821" t="s">
        <v>3256</v>
      </c>
      <c r="C821" t="s">
        <v>810</v>
      </c>
      <c r="D821" t="s">
        <v>31</v>
      </c>
      <c r="E821" t="s">
        <v>3257</v>
      </c>
      <c r="F821" t="s">
        <v>3258</v>
      </c>
      <c r="G821" t="s">
        <v>1454</v>
      </c>
      <c r="H821" t="s">
        <v>35</v>
      </c>
      <c r="I821">
        <v>12302</v>
      </c>
    </row>
    <row r="822" spans="1:9" x14ac:dyDescent="0.3">
      <c r="A822">
        <v>821</v>
      </c>
      <c r="B822" t="s">
        <v>3259</v>
      </c>
      <c r="C822" t="s">
        <v>3260</v>
      </c>
      <c r="D822" t="s">
        <v>31</v>
      </c>
      <c r="E822" t="s">
        <v>3261</v>
      </c>
      <c r="F822" t="s">
        <v>3262</v>
      </c>
      <c r="G822" t="s">
        <v>225</v>
      </c>
      <c r="H822" t="s">
        <v>35</v>
      </c>
      <c r="I822">
        <v>11102</v>
      </c>
    </row>
    <row r="823" spans="1:9" x14ac:dyDescent="0.3">
      <c r="A823">
        <v>822</v>
      </c>
      <c r="B823" t="s">
        <v>3263</v>
      </c>
      <c r="C823" t="s">
        <v>3264</v>
      </c>
      <c r="D823" t="s">
        <v>31</v>
      </c>
      <c r="E823" t="s">
        <v>3265</v>
      </c>
      <c r="F823" t="s">
        <v>3266</v>
      </c>
      <c r="G823" t="s">
        <v>616</v>
      </c>
      <c r="H823" t="s">
        <v>35</v>
      </c>
      <c r="I823">
        <v>11414</v>
      </c>
    </row>
    <row r="824" spans="1:9" x14ac:dyDescent="0.3">
      <c r="A824">
        <v>823</v>
      </c>
      <c r="B824" t="s">
        <v>3267</v>
      </c>
      <c r="C824" t="s">
        <v>1717</v>
      </c>
      <c r="D824" t="s">
        <v>31</v>
      </c>
      <c r="E824" t="s">
        <v>3268</v>
      </c>
      <c r="F824" t="s">
        <v>3269</v>
      </c>
      <c r="G824" t="s">
        <v>220</v>
      </c>
      <c r="H824" t="s">
        <v>35</v>
      </c>
      <c r="I824">
        <v>11378</v>
      </c>
    </row>
    <row r="825" spans="1:9" x14ac:dyDescent="0.3">
      <c r="A825">
        <v>824</v>
      </c>
      <c r="B825" t="s">
        <v>3270</v>
      </c>
      <c r="C825" t="s">
        <v>1535</v>
      </c>
      <c r="D825" t="s">
        <v>31</v>
      </c>
      <c r="E825" t="s">
        <v>3271</v>
      </c>
      <c r="F825" t="s">
        <v>3272</v>
      </c>
      <c r="G825" t="s">
        <v>884</v>
      </c>
      <c r="H825" t="s">
        <v>35</v>
      </c>
      <c r="I825">
        <v>14580</v>
      </c>
    </row>
    <row r="826" spans="1:9" x14ac:dyDescent="0.3">
      <c r="A826">
        <v>825</v>
      </c>
      <c r="B826" t="s">
        <v>3273</v>
      </c>
      <c r="C826" t="s">
        <v>2595</v>
      </c>
      <c r="D826" t="s">
        <v>31</v>
      </c>
      <c r="E826" t="s">
        <v>3274</v>
      </c>
      <c r="F826" t="s">
        <v>3275</v>
      </c>
      <c r="G826" t="s">
        <v>923</v>
      </c>
      <c r="H826" t="s">
        <v>35</v>
      </c>
      <c r="I826">
        <v>11801</v>
      </c>
    </row>
    <row r="827" spans="1:9" x14ac:dyDescent="0.3">
      <c r="A827">
        <v>826</v>
      </c>
      <c r="B827" t="s">
        <v>3276</v>
      </c>
      <c r="C827" t="s">
        <v>3084</v>
      </c>
      <c r="D827" t="s">
        <v>31</v>
      </c>
      <c r="E827" t="s">
        <v>3277</v>
      </c>
      <c r="F827" t="s">
        <v>3278</v>
      </c>
      <c r="G827" t="s">
        <v>729</v>
      </c>
      <c r="H827" t="s">
        <v>35</v>
      </c>
      <c r="I827">
        <v>11787</v>
      </c>
    </row>
    <row r="828" spans="1:9" x14ac:dyDescent="0.3">
      <c r="A828">
        <v>827</v>
      </c>
      <c r="B828" t="s">
        <v>3279</v>
      </c>
      <c r="C828" t="s">
        <v>2162</v>
      </c>
      <c r="D828" t="s">
        <v>31</v>
      </c>
      <c r="E828" t="s">
        <v>3280</v>
      </c>
      <c r="F828" t="s">
        <v>3281</v>
      </c>
      <c r="G828" t="s">
        <v>171</v>
      </c>
      <c r="H828" t="s">
        <v>35</v>
      </c>
      <c r="I828">
        <v>11104</v>
      </c>
    </row>
    <row r="829" spans="1:9" x14ac:dyDescent="0.3">
      <c r="A829">
        <v>828</v>
      </c>
      <c r="B829" t="s">
        <v>3282</v>
      </c>
      <c r="C829" t="s">
        <v>885</v>
      </c>
      <c r="D829" t="s">
        <v>31</v>
      </c>
      <c r="E829" t="s">
        <v>3283</v>
      </c>
      <c r="F829" t="s">
        <v>3284</v>
      </c>
      <c r="G829" t="s">
        <v>1525</v>
      </c>
      <c r="H829" t="s">
        <v>35</v>
      </c>
      <c r="I829">
        <v>10550</v>
      </c>
    </row>
    <row r="830" spans="1:9" x14ac:dyDescent="0.3">
      <c r="A830">
        <v>829</v>
      </c>
      <c r="B830" t="s">
        <v>3285</v>
      </c>
      <c r="C830" t="s">
        <v>3286</v>
      </c>
      <c r="D830" t="s">
        <v>31</v>
      </c>
      <c r="E830" t="s">
        <v>3287</v>
      </c>
      <c r="F830" t="s">
        <v>3288</v>
      </c>
      <c r="G830" t="s">
        <v>647</v>
      </c>
      <c r="H830" t="s">
        <v>35</v>
      </c>
      <c r="I830">
        <v>14094</v>
      </c>
    </row>
    <row r="831" spans="1:9" x14ac:dyDescent="0.3">
      <c r="A831">
        <v>830</v>
      </c>
      <c r="B831" t="s">
        <v>3289</v>
      </c>
      <c r="C831" t="s">
        <v>2450</v>
      </c>
      <c r="D831" t="s">
        <v>31</v>
      </c>
      <c r="E831" t="s">
        <v>3290</v>
      </c>
      <c r="F831" t="s">
        <v>3291</v>
      </c>
      <c r="G831" t="s">
        <v>3149</v>
      </c>
      <c r="H831" t="s">
        <v>100</v>
      </c>
      <c r="I831">
        <v>76522</v>
      </c>
    </row>
    <row r="832" spans="1:9" x14ac:dyDescent="0.3">
      <c r="A832">
        <v>831</v>
      </c>
      <c r="B832" t="s">
        <v>761</v>
      </c>
      <c r="C832" t="s">
        <v>264</v>
      </c>
      <c r="D832" t="s">
        <v>31</v>
      </c>
      <c r="E832" t="s">
        <v>3292</v>
      </c>
      <c r="F832" t="s">
        <v>3293</v>
      </c>
      <c r="G832" t="s">
        <v>450</v>
      </c>
      <c r="H832" t="s">
        <v>35</v>
      </c>
      <c r="I832">
        <v>13126</v>
      </c>
    </row>
    <row r="833" spans="1:9" x14ac:dyDescent="0.3">
      <c r="A833">
        <v>832</v>
      </c>
      <c r="B833" t="s">
        <v>311</v>
      </c>
      <c r="C833" t="s">
        <v>2115</v>
      </c>
      <c r="D833" t="s">
        <v>31</v>
      </c>
      <c r="E833" t="s">
        <v>3294</v>
      </c>
      <c r="F833" t="s">
        <v>3295</v>
      </c>
      <c r="G833" t="s">
        <v>958</v>
      </c>
      <c r="H833" t="s">
        <v>35</v>
      </c>
      <c r="I833">
        <v>12020</v>
      </c>
    </row>
    <row r="834" spans="1:9" x14ac:dyDescent="0.3">
      <c r="A834">
        <v>833</v>
      </c>
      <c r="B834" t="s">
        <v>3296</v>
      </c>
      <c r="C834" t="s">
        <v>3297</v>
      </c>
      <c r="D834" t="s">
        <v>31</v>
      </c>
      <c r="E834" t="s">
        <v>3298</v>
      </c>
      <c r="F834" t="s">
        <v>3299</v>
      </c>
      <c r="G834" t="s">
        <v>1020</v>
      </c>
      <c r="H834" t="s">
        <v>35</v>
      </c>
      <c r="I834">
        <v>11357</v>
      </c>
    </row>
    <row r="835" spans="1:9" x14ac:dyDescent="0.3">
      <c r="A835">
        <v>834</v>
      </c>
      <c r="B835" t="s">
        <v>3300</v>
      </c>
      <c r="C835" t="s">
        <v>3301</v>
      </c>
      <c r="D835" t="s">
        <v>31</v>
      </c>
      <c r="E835" t="s">
        <v>3302</v>
      </c>
      <c r="F835" t="s">
        <v>3303</v>
      </c>
      <c r="G835" t="s">
        <v>590</v>
      </c>
      <c r="H835" t="s">
        <v>100</v>
      </c>
      <c r="I835">
        <v>76039</v>
      </c>
    </row>
    <row r="836" spans="1:9" x14ac:dyDescent="0.3">
      <c r="A836">
        <v>835</v>
      </c>
      <c r="B836" t="s">
        <v>3304</v>
      </c>
      <c r="C836" t="s">
        <v>3164</v>
      </c>
      <c r="D836" t="s">
        <v>31</v>
      </c>
      <c r="E836" t="s">
        <v>3305</v>
      </c>
      <c r="F836" t="s">
        <v>3306</v>
      </c>
      <c r="G836" t="s">
        <v>590</v>
      </c>
      <c r="H836" t="s">
        <v>100</v>
      </c>
      <c r="I836">
        <v>76039</v>
      </c>
    </row>
    <row r="837" spans="1:9" x14ac:dyDescent="0.3">
      <c r="A837">
        <v>836</v>
      </c>
      <c r="B837" t="s">
        <v>3307</v>
      </c>
      <c r="C837" t="s">
        <v>3308</v>
      </c>
      <c r="D837" t="s">
        <v>31</v>
      </c>
      <c r="E837" t="s">
        <v>3309</v>
      </c>
      <c r="F837" t="s">
        <v>3310</v>
      </c>
      <c r="G837" t="s">
        <v>1642</v>
      </c>
      <c r="H837" t="s">
        <v>35</v>
      </c>
      <c r="I837">
        <v>11422</v>
      </c>
    </row>
    <row r="838" spans="1:9" x14ac:dyDescent="0.3">
      <c r="A838">
        <v>837</v>
      </c>
      <c r="B838" t="s">
        <v>3311</v>
      </c>
      <c r="C838" t="s">
        <v>40</v>
      </c>
      <c r="D838" t="s">
        <v>31</v>
      </c>
      <c r="E838" t="s">
        <v>3312</v>
      </c>
      <c r="F838" t="s">
        <v>3313</v>
      </c>
      <c r="G838" t="s">
        <v>210</v>
      </c>
      <c r="H838" t="s">
        <v>35</v>
      </c>
      <c r="I838">
        <v>13027</v>
      </c>
    </row>
    <row r="839" spans="1:9" x14ac:dyDescent="0.3">
      <c r="A839">
        <v>838</v>
      </c>
      <c r="B839" t="s">
        <v>3314</v>
      </c>
      <c r="C839" t="s">
        <v>3315</v>
      </c>
      <c r="D839" t="s">
        <v>31</v>
      </c>
      <c r="E839" t="s">
        <v>3316</v>
      </c>
      <c r="F839" t="s">
        <v>3317</v>
      </c>
      <c r="G839" t="s">
        <v>616</v>
      </c>
      <c r="H839" t="s">
        <v>35</v>
      </c>
      <c r="I839">
        <v>11414</v>
      </c>
    </row>
    <row r="840" spans="1:9" x14ac:dyDescent="0.3">
      <c r="A840">
        <v>839</v>
      </c>
      <c r="B840" t="s">
        <v>3318</v>
      </c>
      <c r="C840" t="s">
        <v>3319</v>
      </c>
      <c r="D840" t="s">
        <v>31</v>
      </c>
      <c r="E840" t="s">
        <v>3320</v>
      </c>
      <c r="F840" t="s">
        <v>3321</v>
      </c>
      <c r="G840" t="s">
        <v>2208</v>
      </c>
      <c r="H840" t="s">
        <v>35</v>
      </c>
      <c r="I840">
        <v>11542</v>
      </c>
    </row>
    <row r="841" spans="1:9" x14ac:dyDescent="0.3">
      <c r="A841">
        <v>840</v>
      </c>
      <c r="B841" t="s">
        <v>2193</v>
      </c>
      <c r="C841" t="s">
        <v>3322</v>
      </c>
      <c r="D841" t="s">
        <v>31</v>
      </c>
      <c r="E841" t="s">
        <v>3323</v>
      </c>
      <c r="F841" t="s">
        <v>3324</v>
      </c>
      <c r="G841" t="s">
        <v>292</v>
      </c>
      <c r="H841" t="s">
        <v>35</v>
      </c>
      <c r="I841">
        <v>11369</v>
      </c>
    </row>
    <row r="842" spans="1:9" x14ac:dyDescent="0.3">
      <c r="A842">
        <v>841</v>
      </c>
      <c r="B842" t="s">
        <v>1127</v>
      </c>
      <c r="C842" t="s">
        <v>3325</v>
      </c>
      <c r="D842" t="s">
        <v>31</v>
      </c>
      <c r="E842" t="s">
        <v>3326</v>
      </c>
      <c r="F842" t="s">
        <v>3327</v>
      </c>
      <c r="G842" t="s">
        <v>1273</v>
      </c>
      <c r="H842" t="s">
        <v>35</v>
      </c>
      <c r="I842">
        <v>11779</v>
      </c>
    </row>
    <row r="843" spans="1:9" x14ac:dyDescent="0.3">
      <c r="A843">
        <v>842</v>
      </c>
      <c r="B843" t="s">
        <v>3328</v>
      </c>
      <c r="C843" t="s">
        <v>3329</v>
      </c>
      <c r="D843" t="s">
        <v>31</v>
      </c>
      <c r="E843" t="s">
        <v>3330</v>
      </c>
      <c r="F843" t="s">
        <v>3331</v>
      </c>
      <c r="G843" t="s">
        <v>334</v>
      </c>
      <c r="H843" t="s">
        <v>100</v>
      </c>
      <c r="I843">
        <v>76901</v>
      </c>
    </row>
    <row r="844" spans="1:9" x14ac:dyDescent="0.3">
      <c r="A844">
        <v>843</v>
      </c>
      <c r="B844" t="s">
        <v>3332</v>
      </c>
      <c r="C844" t="s">
        <v>3333</v>
      </c>
      <c r="D844" t="s">
        <v>31</v>
      </c>
      <c r="E844" t="s">
        <v>3334</v>
      </c>
      <c r="F844" t="s">
        <v>3335</v>
      </c>
      <c r="G844" t="s">
        <v>110</v>
      </c>
      <c r="H844" t="s">
        <v>35</v>
      </c>
      <c r="I844">
        <v>12901</v>
      </c>
    </row>
    <row r="845" spans="1:9" x14ac:dyDescent="0.3">
      <c r="A845">
        <v>844</v>
      </c>
      <c r="B845" t="s">
        <v>3336</v>
      </c>
      <c r="C845" t="s">
        <v>1904</v>
      </c>
      <c r="D845" t="s">
        <v>31</v>
      </c>
      <c r="E845" t="s">
        <v>3337</v>
      </c>
      <c r="F845" t="s">
        <v>3338</v>
      </c>
      <c r="G845" t="s">
        <v>820</v>
      </c>
      <c r="H845" t="s">
        <v>35</v>
      </c>
      <c r="I845">
        <v>11420</v>
      </c>
    </row>
    <row r="846" spans="1:9" x14ac:dyDescent="0.3">
      <c r="A846">
        <v>845</v>
      </c>
      <c r="B846" t="s">
        <v>3339</v>
      </c>
      <c r="C846" t="s">
        <v>1717</v>
      </c>
      <c r="D846" t="s">
        <v>31</v>
      </c>
      <c r="E846" t="s">
        <v>3340</v>
      </c>
      <c r="F846" t="s">
        <v>3341</v>
      </c>
      <c r="G846" t="s">
        <v>315</v>
      </c>
      <c r="H846" t="s">
        <v>35</v>
      </c>
      <c r="I846">
        <v>10451</v>
      </c>
    </row>
    <row r="847" spans="1:9" x14ac:dyDescent="0.3">
      <c r="A847">
        <v>846</v>
      </c>
      <c r="B847" t="s">
        <v>3342</v>
      </c>
      <c r="C847" t="s">
        <v>2873</v>
      </c>
      <c r="D847" t="s">
        <v>31</v>
      </c>
      <c r="E847" t="s">
        <v>3343</v>
      </c>
      <c r="F847" t="s">
        <v>3344</v>
      </c>
      <c r="G847" t="s">
        <v>373</v>
      </c>
      <c r="H847" t="s">
        <v>41</v>
      </c>
      <c r="I847">
        <v>95677</v>
      </c>
    </row>
    <row r="848" spans="1:9" x14ac:dyDescent="0.3">
      <c r="A848">
        <v>847</v>
      </c>
      <c r="B848" t="s">
        <v>3345</v>
      </c>
      <c r="C848" t="s">
        <v>3346</v>
      </c>
      <c r="D848" t="s">
        <v>31</v>
      </c>
      <c r="E848" t="s">
        <v>3347</v>
      </c>
      <c r="F848" t="s">
        <v>3348</v>
      </c>
      <c r="G848" t="s">
        <v>78</v>
      </c>
      <c r="H848" t="s">
        <v>35</v>
      </c>
      <c r="I848">
        <v>11050</v>
      </c>
    </row>
    <row r="849" spans="1:9" x14ac:dyDescent="0.3">
      <c r="A849">
        <v>848</v>
      </c>
      <c r="B849" t="s">
        <v>3349</v>
      </c>
      <c r="C849" t="s">
        <v>3301</v>
      </c>
      <c r="D849" t="s">
        <v>31</v>
      </c>
      <c r="E849" t="s">
        <v>3350</v>
      </c>
      <c r="F849" t="s">
        <v>3351</v>
      </c>
      <c r="G849" t="s">
        <v>544</v>
      </c>
      <c r="H849" t="s">
        <v>35</v>
      </c>
      <c r="I849">
        <v>11373</v>
      </c>
    </row>
    <row r="850" spans="1:9" x14ac:dyDescent="0.3">
      <c r="A850">
        <v>849</v>
      </c>
      <c r="B850" t="s">
        <v>3352</v>
      </c>
      <c r="C850" t="s">
        <v>618</v>
      </c>
      <c r="D850" t="s">
        <v>31</v>
      </c>
      <c r="E850" t="s">
        <v>3353</v>
      </c>
      <c r="F850" t="s">
        <v>3354</v>
      </c>
      <c r="G850" t="s">
        <v>530</v>
      </c>
      <c r="H850" t="s">
        <v>35</v>
      </c>
      <c r="I850">
        <v>11791</v>
      </c>
    </row>
    <row r="851" spans="1:9" x14ac:dyDescent="0.3">
      <c r="A851">
        <v>850</v>
      </c>
      <c r="B851" t="s">
        <v>3355</v>
      </c>
      <c r="C851" t="s">
        <v>222</v>
      </c>
      <c r="D851" t="s">
        <v>31</v>
      </c>
      <c r="E851" t="s">
        <v>3356</v>
      </c>
      <c r="F851" t="s">
        <v>3357</v>
      </c>
      <c r="G851" t="s">
        <v>368</v>
      </c>
      <c r="H851" t="s">
        <v>100</v>
      </c>
      <c r="I851">
        <v>75088</v>
      </c>
    </row>
    <row r="852" spans="1:9" x14ac:dyDescent="0.3">
      <c r="A852">
        <v>851</v>
      </c>
      <c r="B852" t="s">
        <v>3358</v>
      </c>
      <c r="C852" t="s">
        <v>1327</v>
      </c>
      <c r="D852" t="s">
        <v>31</v>
      </c>
      <c r="E852" t="s">
        <v>3359</v>
      </c>
      <c r="F852" t="s">
        <v>3360</v>
      </c>
      <c r="G852" t="s">
        <v>2512</v>
      </c>
      <c r="H852" t="s">
        <v>35</v>
      </c>
      <c r="I852">
        <v>11040</v>
      </c>
    </row>
    <row r="853" spans="1:9" x14ac:dyDescent="0.3">
      <c r="A853">
        <v>852</v>
      </c>
      <c r="B853" t="s">
        <v>3361</v>
      </c>
      <c r="C853" t="s">
        <v>2095</v>
      </c>
      <c r="D853" t="s">
        <v>31</v>
      </c>
      <c r="E853" t="s">
        <v>3362</v>
      </c>
      <c r="F853" t="s">
        <v>3363</v>
      </c>
      <c r="G853" t="s">
        <v>2023</v>
      </c>
      <c r="H853" t="s">
        <v>35</v>
      </c>
      <c r="I853">
        <v>11520</v>
      </c>
    </row>
    <row r="854" spans="1:9" x14ac:dyDescent="0.3">
      <c r="A854">
        <v>853</v>
      </c>
      <c r="B854" t="s">
        <v>202</v>
      </c>
      <c r="C854" t="s">
        <v>1619</v>
      </c>
      <c r="D854" t="s">
        <v>31</v>
      </c>
      <c r="E854" t="s">
        <v>3364</v>
      </c>
      <c r="F854" t="s">
        <v>3365</v>
      </c>
      <c r="G854" t="s">
        <v>1247</v>
      </c>
      <c r="H854" t="s">
        <v>35</v>
      </c>
      <c r="I854">
        <v>12401</v>
      </c>
    </row>
    <row r="855" spans="1:9" x14ac:dyDescent="0.3">
      <c r="A855">
        <v>854</v>
      </c>
      <c r="B855" t="s">
        <v>3366</v>
      </c>
      <c r="C855" t="s">
        <v>3367</v>
      </c>
      <c r="D855" t="s">
        <v>3368</v>
      </c>
      <c r="E855" t="s">
        <v>3369</v>
      </c>
      <c r="F855" t="s">
        <v>3370</v>
      </c>
      <c r="G855" t="s">
        <v>116</v>
      </c>
      <c r="H855" t="s">
        <v>35</v>
      </c>
      <c r="I855">
        <v>10002</v>
      </c>
    </row>
    <row r="856" spans="1:9" x14ac:dyDescent="0.3">
      <c r="A856">
        <v>855</v>
      </c>
      <c r="B856" t="s">
        <v>3371</v>
      </c>
      <c r="C856" t="s">
        <v>3372</v>
      </c>
      <c r="D856" t="s">
        <v>31</v>
      </c>
      <c r="E856" t="s">
        <v>3373</v>
      </c>
      <c r="F856" t="s">
        <v>3374</v>
      </c>
      <c r="G856" t="s">
        <v>464</v>
      </c>
      <c r="H856" t="s">
        <v>41</v>
      </c>
      <c r="I856">
        <v>91784</v>
      </c>
    </row>
    <row r="857" spans="1:9" x14ac:dyDescent="0.3">
      <c r="A857">
        <v>856</v>
      </c>
      <c r="B857" t="s">
        <v>3375</v>
      </c>
      <c r="C857" t="s">
        <v>3376</v>
      </c>
      <c r="D857" t="s">
        <v>31</v>
      </c>
      <c r="E857" t="s">
        <v>3377</v>
      </c>
      <c r="F857" t="s">
        <v>3378</v>
      </c>
      <c r="G857" t="s">
        <v>1273</v>
      </c>
      <c r="H857" t="s">
        <v>35</v>
      </c>
      <c r="I857">
        <v>11779</v>
      </c>
    </row>
    <row r="858" spans="1:9" x14ac:dyDescent="0.3">
      <c r="A858">
        <v>857</v>
      </c>
      <c r="B858" t="s">
        <v>3379</v>
      </c>
      <c r="C858" t="s">
        <v>3380</v>
      </c>
      <c r="D858" t="s">
        <v>31</v>
      </c>
      <c r="E858" t="s">
        <v>3381</v>
      </c>
      <c r="F858" t="s">
        <v>3382</v>
      </c>
      <c r="G858" t="s">
        <v>949</v>
      </c>
      <c r="H858" t="s">
        <v>35</v>
      </c>
      <c r="I858">
        <v>12553</v>
      </c>
    </row>
    <row r="859" spans="1:9" x14ac:dyDescent="0.3">
      <c r="A859">
        <v>858</v>
      </c>
      <c r="B859" t="s">
        <v>881</v>
      </c>
      <c r="C859" t="s">
        <v>1347</v>
      </c>
      <c r="D859" t="s">
        <v>31</v>
      </c>
      <c r="E859" t="s">
        <v>3383</v>
      </c>
      <c r="F859" t="s">
        <v>3384</v>
      </c>
      <c r="G859" t="s">
        <v>353</v>
      </c>
      <c r="H859" t="s">
        <v>35</v>
      </c>
      <c r="I859">
        <v>13440</v>
      </c>
    </row>
    <row r="860" spans="1:9" x14ac:dyDescent="0.3">
      <c r="A860">
        <v>859</v>
      </c>
      <c r="B860" t="s">
        <v>3385</v>
      </c>
      <c r="C860" t="s">
        <v>3386</v>
      </c>
      <c r="D860" t="s">
        <v>31</v>
      </c>
      <c r="E860" t="s">
        <v>3387</v>
      </c>
      <c r="F860" t="s">
        <v>3388</v>
      </c>
      <c r="G860" t="s">
        <v>135</v>
      </c>
      <c r="H860" t="s">
        <v>100</v>
      </c>
      <c r="I860">
        <v>77478</v>
      </c>
    </row>
    <row r="861" spans="1:9" x14ac:dyDescent="0.3">
      <c r="A861">
        <v>860</v>
      </c>
      <c r="B861" t="s">
        <v>1639</v>
      </c>
      <c r="C861" t="s">
        <v>3389</v>
      </c>
      <c r="D861" t="s">
        <v>31</v>
      </c>
      <c r="E861" t="s">
        <v>3390</v>
      </c>
      <c r="F861" t="s">
        <v>3391</v>
      </c>
      <c r="G861" t="s">
        <v>820</v>
      </c>
      <c r="H861" t="s">
        <v>35</v>
      </c>
      <c r="I861">
        <v>11420</v>
      </c>
    </row>
    <row r="862" spans="1:9" x14ac:dyDescent="0.3">
      <c r="A862">
        <v>861</v>
      </c>
      <c r="B862" t="s">
        <v>3392</v>
      </c>
      <c r="C862" t="s">
        <v>3393</v>
      </c>
      <c r="D862" t="s">
        <v>31</v>
      </c>
      <c r="E862" t="s">
        <v>3394</v>
      </c>
      <c r="F862" t="s">
        <v>3395</v>
      </c>
      <c r="G862" t="s">
        <v>1265</v>
      </c>
      <c r="H862" t="s">
        <v>35</v>
      </c>
      <c r="I862">
        <v>12533</v>
      </c>
    </row>
    <row r="863" spans="1:9" x14ac:dyDescent="0.3">
      <c r="A863">
        <v>862</v>
      </c>
      <c r="B863" t="s">
        <v>3396</v>
      </c>
      <c r="C863" t="s">
        <v>1315</v>
      </c>
      <c r="D863" t="s">
        <v>31</v>
      </c>
      <c r="E863" t="s">
        <v>3397</v>
      </c>
      <c r="F863" t="s">
        <v>3398</v>
      </c>
      <c r="G863" t="s">
        <v>2549</v>
      </c>
      <c r="H863" t="s">
        <v>35</v>
      </c>
      <c r="I863">
        <v>11365</v>
      </c>
    </row>
    <row r="864" spans="1:9" x14ac:dyDescent="0.3">
      <c r="A864">
        <v>863</v>
      </c>
      <c r="B864" t="s">
        <v>679</v>
      </c>
      <c r="C864" t="s">
        <v>757</v>
      </c>
      <c r="D864" t="s">
        <v>31</v>
      </c>
      <c r="E864" t="s">
        <v>3399</v>
      </c>
      <c r="F864" t="s">
        <v>3400</v>
      </c>
      <c r="G864" t="s">
        <v>302</v>
      </c>
      <c r="H864" t="s">
        <v>35</v>
      </c>
      <c r="I864">
        <v>13501</v>
      </c>
    </row>
    <row r="865" spans="1:9" x14ac:dyDescent="0.3">
      <c r="A865">
        <v>864</v>
      </c>
      <c r="B865" t="s">
        <v>3401</v>
      </c>
      <c r="C865" t="s">
        <v>90</v>
      </c>
      <c r="D865" t="s">
        <v>3402</v>
      </c>
      <c r="E865" t="s">
        <v>3403</v>
      </c>
      <c r="F865" t="s">
        <v>3404</v>
      </c>
      <c r="G865" t="s">
        <v>68</v>
      </c>
      <c r="H865" t="s">
        <v>35</v>
      </c>
      <c r="I865">
        <v>14215</v>
      </c>
    </row>
    <row r="866" spans="1:9" x14ac:dyDescent="0.3">
      <c r="A866">
        <v>865</v>
      </c>
      <c r="B866" t="s">
        <v>3405</v>
      </c>
      <c r="C866" t="s">
        <v>428</v>
      </c>
      <c r="D866" t="s">
        <v>31</v>
      </c>
      <c r="E866" t="s">
        <v>3406</v>
      </c>
      <c r="F866" t="s">
        <v>3407</v>
      </c>
      <c r="G866" t="s">
        <v>225</v>
      </c>
      <c r="H866" t="s">
        <v>35</v>
      </c>
      <c r="I866">
        <v>11102</v>
      </c>
    </row>
    <row r="867" spans="1:9" x14ac:dyDescent="0.3">
      <c r="A867">
        <v>866</v>
      </c>
      <c r="B867" t="s">
        <v>3408</v>
      </c>
      <c r="C867" t="s">
        <v>273</v>
      </c>
      <c r="D867" t="s">
        <v>31</v>
      </c>
      <c r="E867" t="s">
        <v>3409</v>
      </c>
      <c r="F867" t="s">
        <v>3410</v>
      </c>
      <c r="G867" t="s">
        <v>99</v>
      </c>
      <c r="H867" t="s">
        <v>100</v>
      </c>
      <c r="I867">
        <v>75604</v>
      </c>
    </row>
    <row r="868" spans="1:9" x14ac:dyDescent="0.3">
      <c r="A868">
        <v>867</v>
      </c>
      <c r="B868" t="s">
        <v>3411</v>
      </c>
      <c r="C868" t="s">
        <v>1143</v>
      </c>
      <c r="D868" t="s">
        <v>31</v>
      </c>
      <c r="E868" t="s">
        <v>3412</v>
      </c>
      <c r="F868" t="s">
        <v>3413</v>
      </c>
      <c r="G868" t="s">
        <v>40</v>
      </c>
      <c r="H868" t="s">
        <v>41</v>
      </c>
      <c r="I868">
        <v>95008</v>
      </c>
    </row>
    <row r="869" spans="1:9" x14ac:dyDescent="0.3">
      <c r="A869">
        <v>868</v>
      </c>
      <c r="B869" t="s">
        <v>3414</v>
      </c>
      <c r="C869" t="s">
        <v>379</v>
      </c>
      <c r="D869" t="s">
        <v>3415</v>
      </c>
      <c r="E869" t="s">
        <v>3416</v>
      </c>
      <c r="F869" t="s">
        <v>3417</v>
      </c>
      <c r="G869" t="s">
        <v>559</v>
      </c>
      <c r="H869" t="s">
        <v>41</v>
      </c>
      <c r="I869">
        <v>95127</v>
      </c>
    </row>
    <row r="870" spans="1:9" x14ac:dyDescent="0.3">
      <c r="A870">
        <v>869</v>
      </c>
      <c r="B870" t="s">
        <v>3418</v>
      </c>
      <c r="C870" t="s">
        <v>3419</v>
      </c>
      <c r="D870" t="s">
        <v>31</v>
      </c>
      <c r="E870" t="s">
        <v>3420</v>
      </c>
      <c r="F870" t="s">
        <v>3421</v>
      </c>
      <c r="G870" t="s">
        <v>246</v>
      </c>
      <c r="H870" t="s">
        <v>35</v>
      </c>
      <c r="I870">
        <v>11418</v>
      </c>
    </row>
    <row r="871" spans="1:9" x14ac:dyDescent="0.3">
      <c r="A871">
        <v>870</v>
      </c>
      <c r="B871" t="s">
        <v>3422</v>
      </c>
      <c r="C871" t="s">
        <v>3423</v>
      </c>
      <c r="D871" t="s">
        <v>31</v>
      </c>
      <c r="E871" t="s">
        <v>3424</v>
      </c>
      <c r="F871" t="s">
        <v>3425</v>
      </c>
      <c r="G871" t="s">
        <v>729</v>
      </c>
      <c r="H871" t="s">
        <v>35</v>
      </c>
      <c r="I871">
        <v>11787</v>
      </c>
    </row>
    <row r="872" spans="1:9" x14ac:dyDescent="0.3">
      <c r="A872">
        <v>871</v>
      </c>
      <c r="B872" t="s">
        <v>636</v>
      </c>
      <c r="C872" t="s">
        <v>3426</v>
      </c>
      <c r="D872" t="s">
        <v>31</v>
      </c>
      <c r="E872" t="s">
        <v>3427</v>
      </c>
      <c r="F872" t="s">
        <v>3428</v>
      </c>
      <c r="G872" t="s">
        <v>949</v>
      </c>
      <c r="H872" t="s">
        <v>35</v>
      </c>
      <c r="I872">
        <v>12553</v>
      </c>
    </row>
    <row r="873" spans="1:9" x14ac:dyDescent="0.3">
      <c r="A873">
        <v>872</v>
      </c>
      <c r="B873" t="s">
        <v>3429</v>
      </c>
      <c r="C873" t="s">
        <v>695</v>
      </c>
      <c r="D873" t="s">
        <v>3430</v>
      </c>
      <c r="E873" t="s">
        <v>3431</v>
      </c>
      <c r="F873" t="s">
        <v>3432</v>
      </c>
      <c r="G873" t="s">
        <v>622</v>
      </c>
      <c r="H873" t="s">
        <v>100</v>
      </c>
      <c r="I873">
        <v>78418</v>
      </c>
    </row>
    <row r="874" spans="1:9" x14ac:dyDescent="0.3">
      <c r="A874">
        <v>873</v>
      </c>
      <c r="B874" t="s">
        <v>3433</v>
      </c>
      <c r="C874" t="s">
        <v>3434</v>
      </c>
      <c r="D874" t="s">
        <v>31</v>
      </c>
      <c r="E874" t="s">
        <v>3435</v>
      </c>
      <c r="F874" t="s">
        <v>3436</v>
      </c>
      <c r="G874" t="s">
        <v>1149</v>
      </c>
      <c r="H874" t="s">
        <v>35</v>
      </c>
      <c r="I874">
        <v>14304</v>
      </c>
    </row>
    <row r="875" spans="1:9" x14ac:dyDescent="0.3">
      <c r="A875">
        <v>874</v>
      </c>
      <c r="B875" t="s">
        <v>3437</v>
      </c>
      <c r="C875" t="s">
        <v>3438</v>
      </c>
      <c r="D875" t="s">
        <v>31</v>
      </c>
      <c r="E875" t="s">
        <v>3439</v>
      </c>
      <c r="F875" t="s">
        <v>3440</v>
      </c>
      <c r="G875" t="s">
        <v>110</v>
      </c>
      <c r="H875" t="s">
        <v>35</v>
      </c>
      <c r="I875">
        <v>12901</v>
      </c>
    </row>
    <row r="876" spans="1:9" x14ac:dyDescent="0.3">
      <c r="A876">
        <v>875</v>
      </c>
      <c r="B876" t="s">
        <v>653</v>
      </c>
      <c r="C876" t="s">
        <v>482</v>
      </c>
      <c r="D876" t="s">
        <v>31</v>
      </c>
      <c r="E876" t="s">
        <v>3441</v>
      </c>
      <c r="F876" t="s">
        <v>3442</v>
      </c>
      <c r="G876" t="s">
        <v>1642</v>
      </c>
      <c r="H876" t="s">
        <v>35</v>
      </c>
      <c r="I876">
        <v>11422</v>
      </c>
    </row>
    <row r="877" spans="1:9" x14ac:dyDescent="0.3">
      <c r="A877">
        <v>876</v>
      </c>
      <c r="B877" t="s">
        <v>253</v>
      </c>
      <c r="C877" t="s">
        <v>3443</v>
      </c>
      <c r="D877" t="s">
        <v>31</v>
      </c>
      <c r="E877" t="s">
        <v>3444</v>
      </c>
      <c r="F877" t="s">
        <v>3445</v>
      </c>
      <c r="G877" t="s">
        <v>2208</v>
      </c>
      <c r="H877" t="s">
        <v>35</v>
      </c>
      <c r="I877">
        <v>11542</v>
      </c>
    </row>
    <row r="878" spans="1:9" x14ac:dyDescent="0.3">
      <c r="A878">
        <v>877</v>
      </c>
      <c r="B878" t="s">
        <v>3446</v>
      </c>
      <c r="C878" t="s">
        <v>2989</v>
      </c>
      <c r="D878" t="s">
        <v>31</v>
      </c>
      <c r="E878" t="s">
        <v>3447</v>
      </c>
      <c r="F878" t="s">
        <v>3448</v>
      </c>
      <c r="G878" t="s">
        <v>616</v>
      </c>
      <c r="H878" t="s">
        <v>35</v>
      </c>
      <c r="I878">
        <v>11414</v>
      </c>
    </row>
    <row r="879" spans="1:9" x14ac:dyDescent="0.3">
      <c r="A879">
        <v>878</v>
      </c>
      <c r="B879" t="s">
        <v>3449</v>
      </c>
      <c r="C879" t="s">
        <v>360</v>
      </c>
      <c r="D879" t="s">
        <v>31</v>
      </c>
      <c r="E879" t="s">
        <v>3450</v>
      </c>
      <c r="F879" t="s">
        <v>3451</v>
      </c>
      <c r="G879" t="s">
        <v>729</v>
      </c>
      <c r="H879" t="s">
        <v>35</v>
      </c>
      <c r="I879">
        <v>11787</v>
      </c>
    </row>
    <row r="880" spans="1:9" x14ac:dyDescent="0.3">
      <c r="A880">
        <v>879</v>
      </c>
      <c r="B880" t="s">
        <v>3452</v>
      </c>
      <c r="C880" t="s">
        <v>3453</v>
      </c>
      <c r="D880" t="s">
        <v>31</v>
      </c>
      <c r="E880" t="s">
        <v>3454</v>
      </c>
      <c r="F880" t="s">
        <v>3455</v>
      </c>
      <c r="G880" t="s">
        <v>1222</v>
      </c>
      <c r="H880" t="s">
        <v>35</v>
      </c>
      <c r="I880">
        <v>11530</v>
      </c>
    </row>
    <row r="881" spans="1:9" x14ac:dyDescent="0.3">
      <c r="A881">
        <v>880</v>
      </c>
      <c r="B881" t="s">
        <v>3456</v>
      </c>
      <c r="C881" t="s">
        <v>2439</v>
      </c>
      <c r="D881" t="s">
        <v>31</v>
      </c>
      <c r="E881" t="s">
        <v>3457</v>
      </c>
      <c r="F881" t="s">
        <v>3458</v>
      </c>
      <c r="G881" t="s">
        <v>171</v>
      </c>
      <c r="H881" t="s">
        <v>35</v>
      </c>
      <c r="I881">
        <v>11104</v>
      </c>
    </row>
    <row r="882" spans="1:9" x14ac:dyDescent="0.3">
      <c r="A882">
        <v>881</v>
      </c>
      <c r="B882" t="s">
        <v>3459</v>
      </c>
      <c r="C882" t="s">
        <v>3460</v>
      </c>
      <c r="D882" t="s">
        <v>31</v>
      </c>
      <c r="E882" t="s">
        <v>3461</v>
      </c>
      <c r="F882" t="s">
        <v>3462</v>
      </c>
      <c r="G882" t="s">
        <v>2241</v>
      </c>
      <c r="H882" t="s">
        <v>41</v>
      </c>
      <c r="I882">
        <v>90403</v>
      </c>
    </row>
    <row r="883" spans="1:9" x14ac:dyDescent="0.3">
      <c r="A883">
        <v>882</v>
      </c>
      <c r="B883" t="s">
        <v>3463</v>
      </c>
      <c r="C883" t="s">
        <v>2862</v>
      </c>
      <c r="D883" t="s">
        <v>31</v>
      </c>
      <c r="E883" t="s">
        <v>3464</v>
      </c>
      <c r="F883" t="s">
        <v>3465</v>
      </c>
      <c r="G883" t="s">
        <v>958</v>
      </c>
      <c r="H883" t="s">
        <v>35</v>
      </c>
      <c r="I883">
        <v>12020</v>
      </c>
    </row>
    <row r="884" spans="1:9" x14ac:dyDescent="0.3">
      <c r="A884">
        <v>883</v>
      </c>
      <c r="B884" t="s">
        <v>3466</v>
      </c>
      <c r="C884" t="s">
        <v>3467</v>
      </c>
      <c r="D884" t="s">
        <v>3468</v>
      </c>
      <c r="E884" t="s">
        <v>3469</v>
      </c>
      <c r="F884" t="s">
        <v>3470</v>
      </c>
      <c r="G884" t="s">
        <v>1165</v>
      </c>
      <c r="H884" t="s">
        <v>100</v>
      </c>
      <c r="I884">
        <v>79930</v>
      </c>
    </row>
    <row r="885" spans="1:9" x14ac:dyDescent="0.3">
      <c r="A885">
        <v>884</v>
      </c>
      <c r="B885" t="s">
        <v>3471</v>
      </c>
      <c r="C885" t="s">
        <v>123</v>
      </c>
      <c r="D885" t="s">
        <v>31</v>
      </c>
      <c r="E885" t="s">
        <v>3472</v>
      </c>
      <c r="F885" t="s">
        <v>3473</v>
      </c>
      <c r="G885" t="s">
        <v>450</v>
      </c>
      <c r="H885" t="s">
        <v>35</v>
      </c>
      <c r="I885">
        <v>13126</v>
      </c>
    </row>
    <row r="886" spans="1:9" x14ac:dyDescent="0.3">
      <c r="A886">
        <v>885</v>
      </c>
      <c r="B886" t="s">
        <v>3474</v>
      </c>
      <c r="C886" t="s">
        <v>1372</v>
      </c>
      <c r="D886" t="s">
        <v>31</v>
      </c>
      <c r="E886" t="s">
        <v>3475</v>
      </c>
      <c r="F886" t="s">
        <v>3476</v>
      </c>
      <c r="G886" t="s">
        <v>99</v>
      </c>
      <c r="H886" t="s">
        <v>100</v>
      </c>
      <c r="I886">
        <v>75604</v>
      </c>
    </row>
    <row r="887" spans="1:9" x14ac:dyDescent="0.3">
      <c r="A887">
        <v>886</v>
      </c>
      <c r="B887" t="s">
        <v>3477</v>
      </c>
      <c r="C887" t="s">
        <v>3030</v>
      </c>
      <c r="D887" t="s">
        <v>31</v>
      </c>
      <c r="E887" t="s">
        <v>3478</v>
      </c>
      <c r="F887" t="s">
        <v>3479</v>
      </c>
      <c r="G887" t="s">
        <v>395</v>
      </c>
      <c r="H887" t="s">
        <v>35</v>
      </c>
      <c r="I887">
        <v>14120</v>
      </c>
    </row>
    <row r="888" spans="1:9" x14ac:dyDescent="0.3">
      <c r="A888">
        <v>887</v>
      </c>
      <c r="B888" t="s">
        <v>3035</v>
      </c>
      <c r="C888" t="s">
        <v>3480</v>
      </c>
      <c r="D888" t="s">
        <v>31</v>
      </c>
      <c r="E888" t="s">
        <v>3481</v>
      </c>
      <c r="F888" t="s">
        <v>3482</v>
      </c>
      <c r="G888" t="s">
        <v>530</v>
      </c>
      <c r="H888" t="s">
        <v>35</v>
      </c>
      <c r="I888">
        <v>11791</v>
      </c>
    </row>
    <row r="889" spans="1:9" x14ac:dyDescent="0.3">
      <c r="A889">
        <v>888</v>
      </c>
      <c r="B889" t="s">
        <v>3483</v>
      </c>
      <c r="C889" t="s">
        <v>3484</v>
      </c>
      <c r="D889" t="s">
        <v>31</v>
      </c>
      <c r="E889" t="s">
        <v>3485</v>
      </c>
      <c r="F889" t="s">
        <v>3486</v>
      </c>
      <c r="G889" t="s">
        <v>884</v>
      </c>
      <c r="H889" t="s">
        <v>35</v>
      </c>
      <c r="I889">
        <v>14580</v>
      </c>
    </row>
    <row r="890" spans="1:9" x14ac:dyDescent="0.3">
      <c r="A890">
        <v>889</v>
      </c>
      <c r="B890" t="s">
        <v>3487</v>
      </c>
      <c r="C890" t="s">
        <v>3488</v>
      </c>
      <c r="D890" t="s">
        <v>31</v>
      </c>
      <c r="E890" t="s">
        <v>3489</v>
      </c>
      <c r="F890" t="s">
        <v>3490</v>
      </c>
      <c r="G890" t="s">
        <v>329</v>
      </c>
      <c r="H890" t="s">
        <v>41</v>
      </c>
      <c r="I890">
        <v>94070</v>
      </c>
    </row>
    <row r="891" spans="1:9" x14ac:dyDescent="0.3">
      <c r="A891">
        <v>890</v>
      </c>
      <c r="B891" t="s">
        <v>3491</v>
      </c>
      <c r="C891" t="s">
        <v>3279</v>
      </c>
      <c r="D891" t="s">
        <v>31</v>
      </c>
      <c r="E891" t="s">
        <v>3492</v>
      </c>
      <c r="F891" t="s">
        <v>3493</v>
      </c>
      <c r="G891" t="s">
        <v>176</v>
      </c>
      <c r="H891" t="s">
        <v>35</v>
      </c>
      <c r="I891">
        <v>10562</v>
      </c>
    </row>
    <row r="892" spans="1:9" x14ac:dyDescent="0.3">
      <c r="A892">
        <v>891</v>
      </c>
      <c r="B892" t="s">
        <v>3494</v>
      </c>
      <c r="C892" t="s">
        <v>3495</v>
      </c>
      <c r="D892" t="s">
        <v>31</v>
      </c>
      <c r="E892" t="s">
        <v>3496</v>
      </c>
      <c r="F892" t="s">
        <v>3497</v>
      </c>
      <c r="G892" t="s">
        <v>88</v>
      </c>
      <c r="H892" t="s">
        <v>35</v>
      </c>
      <c r="I892">
        <v>10952</v>
      </c>
    </row>
    <row r="893" spans="1:9" x14ac:dyDescent="0.3">
      <c r="A893">
        <v>892</v>
      </c>
      <c r="B893" t="s">
        <v>2714</v>
      </c>
      <c r="C893" t="s">
        <v>2794</v>
      </c>
      <c r="D893" t="s">
        <v>31</v>
      </c>
      <c r="E893" t="s">
        <v>3498</v>
      </c>
      <c r="F893" t="s">
        <v>3499</v>
      </c>
      <c r="G893" t="s">
        <v>176</v>
      </c>
      <c r="H893" t="s">
        <v>35</v>
      </c>
      <c r="I893">
        <v>10562</v>
      </c>
    </row>
    <row r="894" spans="1:9" x14ac:dyDescent="0.3">
      <c r="A894">
        <v>893</v>
      </c>
      <c r="B894" t="s">
        <v>3500</v>
      </c>
      <c r="C894" t="s">
        <v>2591</v>
      </c>
      <c r="D894" t="s">
        <v>31</v>
      </c>
      <c r="E894" t="s">
        <v>3501</v>
      </c>
      <c r="F894" t="s">
        <v>3502</v>
      </c>
      <c r="G894" t="s">
        <v>1751</v>
      </c>
      <c r="H894" t="s">
        <v>35</v>
      </c>
      <c r="I894">
        <v>14043</v>
      </c>
    </row>
    <row r="895" spans="1:9" x14ac:dyDescent="0.3">
      <c r="A895">
        <v>894</v>
      </c>
      <c r="B895" t="s">
        <v>3503</v>
      </c>
      <c r="C895" t="s">
        <v>3504</v>
      </c>
      <c r="D895" t="s">
        <v>31</v>
      </c>
      <c r="E895" t="s">
        <v>3505</v>
      </c>
      <c r="F895" t="s">
        <v>3506</v>
      </c>
      <c r="G895" t="s">
        <v>949</v>
      </c>
      <c r="H895" t="s">
        <v>35</v>
      </c>
      <c r="I895">
        <v>12553</v>
      </c>
    </row>
    <row r="896" spans="1:9" x14ac:dyDescent="0.3">
      <c r="A896">
        <v>895</v>
      </c>
      <c r="B896" t="s">
        <v>3507</v>
      </c>
      <c r="C896" t="s">
        <v>2330</v>
      </c>
      <c r="D896" t="s">
        <v>31</v>
      </c>
      <c r="E896" t="s">
        <v>3508</v>
      </c>
      <c r="F896" t="s">
        <v>3509</v>
      </c>
      <c r="G896" t="s">
        <v>751</v>
      </c>
      <c r="H896" t="s">
        <v>35</v>
      </c>
      <c r="I896">
        <v>11803</v>
      </c>
    </row>
    <row r="897" spans="1:9" x14ac:dyDescent="0.3">
      <c r="A897">
        <v>896</v>
      </c>
      <c r="B897" t="s">
        <v>3510</v>
      </c>
      <c r="C897" t="s">
        <v>397</v>
      </c>
      <c r="D897" t="s">
        <v>3511</v>
      </c>
      <c r="E897" t="s">
        <v>3512</v>
      </c>
      <c r="F897" t="s">
        <v>3513</v>
      </c>
      <c r="G897" t="s">
        <v>2236</v>
      </c>
      <c r="H897" t="s">
        <v>35</v>
      </c>
      <c r="I897">
        <v>10956</v>
      </c>
    </row>
    <row r="898" spans="1:9" x14ac:dyDescent="0.3">
      <c r="A898">
        <v>897</v>
      </c>
      <c r="B898" t="s">
        <v>3514</v>
      </c>
      <c r="C898" t="s">
        <v>2550</v>
      </c>
      <c r="D898" t="s">
        <v>3515</v>
      </c>
      <c r="E898" t="s">
        <v>3516</v>
      </c>
      <c r="F898" t="s">
        <v>3517</v>
      </c>
      <c r="G898" t="s">
        <v>231</v>
      </c>
      <c r="H898" t="s">
        <v>35</v>
      </c>
      <c r="I898">
        <v>14086</v>
      </c>
    </row>
    <row r="899" spans="1:9" x14ac:dyDescent="0.3">
      <c r="A899">
        <v>898</v>
      </c>
      <c r="B899" t="s">
        <v>3518</v>
      </c>
      <c r="C899" t="s">
        <v>3519</v>
      </c>
      <c r="D899" t="s">
        <v>3520</v>
      </c>
      <c r="E899" t="s">
        <v>3521</v>
      </c>
      <c r="F899" t="s">
        <v>3522</v>
      </c>
      <c r="G899" t="s">
        <v>252</v>
      </c>
      <c r="H899" t="s">
        <v>100</v>
      </c>
      <c r="I899">
        <v>77016</v>
      </c>
    </row>
    <row r="900" spans="1:9" x14ac:dyDescent="0.3">
      <c r="A900">
        <v>899</v>
      </c>
      <c r="B900" t="s">
        <v>3523</v>
      </c>
      <c r="C900" t="s">
        <v>3524</v>
      </c>
      <c r="D900" t="s">
        <v>31</v>
      </c>
      <c r="E900" t="s">
        <v>3525</v>
      </c>
      <c r="F900" t="s">
        <v>3526</v>
      </c>
      <c r="G900" t="s">
        <v>140</v>
      </c>
      <c r="H900" t="s">
        <v>100</v>
      </c>
      <c r="I900">
        <v>77904</v>
      </c>
    </row>
    <row r="901" spans="1:9" x14ac:dyDescent="0.3">
      <c r="A901">
        <v>900</v>
      </c>
      <c r="B901" t="s">
        <v>3527</v>
      </c>
      <c r="C901" t="s">
        <v>690</v>
      </c>
      <c r="D901" t="s">
        <v>31</v>
      </c>
      <c r="E901" t="s">
        <v>3528</v>
      </c>
      <c r="F901" t="s">
        <v>3529</v>
      </c>
      <c r="G901" t="s">
        <v>329</v>
      </c>
      <c r="H901" t="s">
        <v>41</v>
      </c>
      <c r="I901">
        <v>94070</v>
      </c>
    </row>
    <row r="902" spans="1:9" x14ac:dyDescent="0.3">
      <c r="A902">
        <v>901</v>
      </c>
      <c r="B902" t="s">
        <v>3530</v>
      </c>
      <c r="C902" t="s">
        <v>3531</v>
      </c>
      <c r="D902" t="s">
        <v>31</v>
      </c>
      <c r="E902" t="s">
        <v>3532</v>
      </c>
      <c r="F902" t="s">
        <v>3533</v>
      </c>
      <c r="G902" t="s">
        <v>2287</v>
      </c>
      <c r="H902" t="s">
        <v>41</v>
      </c>
      <c r="I902">
        <v>91762</v>
      </c>
    </row>
    <row r="903" spans="1:9" x14ac:dyDescent="0.3">
      <c r="A903">
        <v>902</v>
      </c>
      <c r="B903" t="s">
        <v>3534</v>
      </c>
      <c r="C903" t="s">
        <v>632</v>
      </c>
      <c r="D903" t="s">
        <v>31</v>
      </c>
      <c r="E903" t="s">
        <v>3535</v>
      </c>
      <c r="F903" t="s">
        <v>3536</v>
      </c>
      <c r="G903" t="s">
        <v>450</v>
      </c>
      <c r="H903" t="s">
        <v>35</v>
      </c>
      <c r="I903">
        <v>13126</v>
      </c>
    </row>
    <row r="904" spans="1:9" x14ac:dyDescent="0.3">
      <c r="A904">
        <v>903</v>
      </c>
      <c r="B904" t="s">
        <v>3537</v>
      </c>
      <c r="C904" t="s">
        <v>1283</v>
      </c>
      <c r="D904" t="s">
        <v>31</v>
      </c>
      <c r="E904" t="s">
        <v>3538</v>
      </c>
      <c r="F904" t="s">
        <v>3539</v>
      </c>
      <c r="G904" t="s">
        <v>923</v>
      </c>
      <c r="H904" t="s">
        <v>35</v>
      </c>
      <c r="I904">
        <v>11801</v>
      </c>
    </row>
    <row r="905" spans="1:9" x14ac:dyDescent="0.3">
      <c r="A905">
        <v>904</v>
      </c>
      <c r="B905" t="s">
        <v>3540</v>
      </c>
      <c r="C905" t="s">
        <v>2783</v>
      </c>
      <c r="D905" t="s">
        <v>3541</v>
      </c>
      <c r="E905" t="s">
        <v>3542</v>
      </c>
      <c r="F905" t="s">
        <v>3543</v>
      </c>
      <c r="G905" t="s">
        <v>559</v>
      </c>
      <c r="H905" t="s">
        <v>41</v>
      </c>
      <c r="I905">
        <v>95127</v>
      </c>
    </row>
    <row r="906" spans="1:9" x14ac:dyDescent="0.3">
      <c r="A906">
        <v>905</v>
      </c>
      <c r="B906" t="s">
        <v>3544</v>
      </c>
      <c r="C906" t="s">
        <v>289</v>
      </c>
      <c r="D906" t="s">
        <v>31</v>
      </c>
      <c r="E906" t="s">
        <v>3545</v>
      </c>
      <c r="F906" t="s">
        <v>3546</v>
      </c>
      <c r="G906" t="s">
        <v>210</v>
      </c>
      <c r="H906" t="s">
        <v>35</v>
      </c>
      <c r="I906">
        <v>13027</v>
      </c>
    </row>
    <row r="907" spans="1:9" x14ac:dyDescent="0.3">
      <c r="A907">
        <v>906</v>
      </c>
      <c r="B907" t="s">
        <v>3547</v>
      </c>
      <c r="C907" t="s">
        <v>3548</v>
      </c>
      <c r="D907" t="s">
        <v>31</v>
      </c>
      <c r="E907" t="s">
        <v>3549</v>
      </c>
      <c r="F907" t="s">
        <v>3550</v>
      </c>
      <c r="G907" t="s">
        <v>135</v>
      </c>
      <c r="H907" t="s">
        <v>100</v>
      </c>
      <c r="I907">
        <v>77478</v>
      </c>
    </row>
    <row r="908" spans="1:9" x14ac:dyDescent="0.3">
      <c r="A908">
        <v>907</v>
      </c>
      <c r="B908" t="s">
        <v>3551</v>
      </c>
      <c r="C908" t="s">
        <v>3552</v>
      </c>
      <c r="D908" t="s">
        <v>31</v>
      </c>
      <c r="E908" t="s">
        <v>3553</v>
      </c>
      <c r="F908" t="s">
        <v>3554</v>
      </c>
      <c r="G908" t="s">
        <v>99</v>
      </c>
      <c r="H908" t="s">
        <v>100</v>
      </c>
      <c r="I908">
        <v>75604</v>
      </c>
    </row>
    <row r="909" spans="1:9" x14ac:dyDescent="0.3">
      <c r="A909">
        <v>908</v>
      </c>
      <c r="B909" t="s">
        <v>3555</v>
      </c>
      <c r="C909" t="s">
        <v>1244</v>
      </c>
      <c r="D909" t="s">
        <v>31</v>
      </c>
      <c r="E909" t="s">
        <v>3556</v>
      </c>
      <c r="F909" t="s">
        <v>3557</v>
      </c>
      <c r="G909" t="s">
        <v>647</v>
      </c>
      <c r="H909" t="s">
        <v>35</v>
      </c>
      <c r="I909">
        <v>14094</v>
      </c>
    </row>
    <row r="910" spans="1:9" x14ac:dyDescent="0.3">
      <c r="A910">
        <v>909</v>
      </c>
      <c r="B910" t="s">
        <v>3558</v>
      </c>
      <c r="C910" t="s">
        <v>1187</v>
      </c>
      <c r="D910" t="s">
        <v>31</v>
      </c>
      <c r="E910" t="s">
        <v>3559</v>
      </c>
      <c r="F910" t="s">
        <v>3560</v>
      </c>
      <c r="G910" t="s">
        <v>51</v>
      </c>
      <c r="H910" t="s">
        <v>35</v>
      </c>
      <c r="I910">
        <v>11553</v>
      </c>
    </row>
    <row r="911" spans="1:9" x14ac:dyDescent="0.3">
      <c r="A911">
        <v>910</v>
      </c>
      <c r="B911" t="s">
        <v>1008</v>
      </c>
      <c r="C911" t="s">
        <v>592</v>
      </c>
      <c r="D911" t="s">
        <v>31</v>
      </c>
      <c r="E911" t="s">
        <v>3561</v>
      </c>
      <c r="F911" t="s">
        <v>3562</v>
      </c>
      <c r="G911" t="s">
        <v>1047</v>
      </c>
      <c r="H911" t="s">
        <v>100</v>
      </c>
      <c r="I911">
        <v>78501</v>
      </c>
    </row>
    <row r="912" spans="1:9" x14ac:dyDescent="0.3">
      <c r="A912">
        <v>911</v>
      </c>
      <c r="B912" t="s">
        <v>3563</v>
      </c>
      <c r="C912" t="s">
        <v>3564</v>
      </c>
      <c r="D912" t="s">
        <v>31</v>
      </c>
      <c r="E912" t="s">
        <v>3565</v>
      </c>
      <c r="F912" t="s">
        <v>3566</v>
      </c>
      <c r="G912" t="s">
        <v>599</v>
      </c>
      <c r="H912" t="s">
        <v>35</v>
      </c>
      <c r="I912">
        <v>14534</v>
      </c>
    </row>
    <row r="913" spans="1:9" x14ac:dyDescent="0.3">
      <c r="A913">
        <v>912</v>
      </c>
      <c r="B913" t="s">
        <v>3567</v>
      </c>
      <c r="C913" t="s">
        <v>2330</v>
      </c>
      <c r="D913" t="s">
        <v>31</v>
      </c>
      <c r="E913" t="s">
        <v>3568</v>
      </c>
      <c r="F913" t="s">
        <v>3569</v>
      </c>
      <c r="G913" t="s">
        <v>1185</v>
      </c>
      <c r="H913" t="s">
        <v>35</v>
      </c>
      <c r="I913">
        <v>11762</v>
      </c>
    </row>
    <row r="914" spans="1:9" x14ac:dyDescent="0.3">
      <c r="A914">
        <v>913</v>
      </c>
      <c r="B914" t="s">
        <v>3570</v>
      </c>
      <c r="C914" t="s">
        <v>3571</v>
      </c>
      <c r="D914" t="s">
        <v>31</v>
      </c>
      <c r="E914" t="s">
        <v>3572</v>
      </c>
      <c r="F914" t="s">
        <v>3573</v>
      </c>
      <c r="G914" t="s">
        <v>348</v>
      </c>
      <c r="H914" t="s">
        <v>100</v>
      </c>
      <c r="I914">
        <v>75115</v>
      </c>
    </row>
    <row r="915" spans="1:9" x14ac:dyDescent="0.3">
      <c r="A915">
        <v>914</v>
      </c>
      <c r="B915" t="s">
        <v>1427</v>
      </c>
      <c r="C915" t="s">
        <v>3574</v>
      </c>
      <c r="D915" t="s">
        <v>31</v>
      </c>
      <c r="E915" t="s">
        <v>3575</v>
      </c>
      <c r="F915" t="s">
        <v>3576</v>
      </c>
      <c r="G915" t="s">
        <v>324</v>
      </c>
      <c r="H915" t="s">
        <v>35</v>
      </c>
      <c r="I915">
        <v>11570</v>
      </c>
    </row>
    <row r="916" spans="1:9" x14ac:dyDescent="0.3">
      <c r="A916">
        <v>915</v>
      </c>
      <c r="B916" t="s">
        <v>3577</v>
      </c>
      <c r="C916" t="s">
        <v>258</v>
      </c>
      <c r="D916" t="s">
        <v>3578</v>
      </c>
      <c r="E916" t="s">
        <v>3579</v>
      </c>
      <c r="F916" t="s">
        <v>3580</v>
      </c>
      <c r="G916" t="s">
        <v>57</v>
      </c>
      <c r="H916" t="s">
        <v>41</v>
      </c>
      <c r="I916">
        <v>95820</v>
      </c>
    </row>
    <row r="917" spans="1:9" x14ac:dyDescent="0.3">
      <c r="A917">
        <v>916</v>
      </c>
      <c r="B917" t="s">
        <v>3581</v>
      </c>
      <c r="C917" t="s">
        <v>1106</v>
      </c>
      <c r="D917" t="s">
        <v>31</v>
      </c>
      <c r="E917" t="s">
        <v>3582</v>
      </c>
      <c r="F917" t="s">
        <v>3583</v>
      </c>
      <c r="G917" t="s">
        <v>1525</v>
      </c>
      <c r="H917" t="s">
        <v>35</v>
      </c>
      <c r="I917">
        <v>10550</v>
      </c>
    </row>
    <row r="918" spans="1:9" x14ac:dyDescent="0.3">
      <c r="A918">
        <v>917</v>
      </c>
      <c r="B918" t="s">
        <v>3584</v>
      </c>
      <c r="C918" t="s">
        <v>2075</v>
      </c>
      <c r="D918" t="s">
        <v>3585</v>
      </c>
      <c r="E918" t="s">
        <v>3586</v>
      </c>
      <c r="F918" t="s">
        <v>3587</v>
      </c>
      <c r="G918" t="s">
        <v>486</v>
      </c>
      <c r="H918" t="s">
        <v>35</v>
      </c>
      <c r="I918">
        <v>12180</v>
      </c>
    </row>
    <row r="919" spans="1:9" x14ac:dyDescent="0.3">
      <c r="A919">
        <v>918</v>
      </c>
      <c r="B919" t="s">
        <v>3273</v>
      </c>
      <c r="C919" t="s">
        <v>457</v>
      </c>
      <c r="D919" t="s">
        <v>31</v>
      </c>
      <c r="E919" t="s">
        <v>3588</v>
      </c>
      <c r="F919" t="s">
        <v>3589</v>
      </c>
      <c r="G919" t="s">
        <v>729</v>
      </c>
      <c r="H919" t="s">
        <v>35</v>
      </c>
      <c r="I919">
        <v>11787</v>
      </c>
    </row>
    <row r="920" spans="1:9" x14ac:dyDescent="0.3">
      <c r="A920">
        <v>919</v>
      </c>
      <c r="B920" t="s">
        <v>3590</v>
      </c>
      <c r="C920" t="s">
        <v>3591</v>
      </c>
      <c r="D920" t="s">
        <v>31</v>
      </c>
      <c r="E920" t="s">
        <v>3592</v>
      </c>
      <c r="F920" t="s">
        <v>3593</v>
      </c>
      <c r="G920" t="s">
        <v>185</v>
      </c>
      <c r="H920" t="s">
        <v>41</v>
      </c>
      <c r="I920">
        <v>90505</v>
      </c>
    </row>
    <row r="921" spans="1:9" x14ac:dyDescent="0.3">
      <c r="A921">
        <v>920</v>
      </c>
      <c r="B921" t="s">
        <v>2616</v>
      </c>
      <c r="C921" t="s">
        <v>3329</v>
      </c>
      <c r="D921" t="s">
        <v>31</v>
      </c>
      <c r="E921" t="s">
        <v>3594</v>
      </c>
      <c r="F921" t="s">
        <v>3595</v>
      </c>
      <c r="G921" t="s">
        <v>395</v>
      </c>
      <c r="H921" t="s">
        <v>35</v>
      </c>
      <c r="I921">
        <v>14120</v>
      </c>
    </row>
    <row r="922" spans="1:9" x14ac:dyDescent="0.3">
      <c r="A922">
        <v>921</v>
      </c>
      <c r="B922" t="s">
        <v>3596</v>
      </c>
      <c r="C922" t="s">
        <v>447</v>
      </c>
      <c r="D922" t="s">
        <v>31</v>
      </c>
      <c r="E922" t="s">
        <v>3597</v>
      </c>
      <c r="F922" t="s">
        <v>3598</v>
      </c>
      <c r="G922" t="s">
        <v>884</v>
      </c>
      <c r="H922" t="s">
        <v>35</v>
      </c>
      <c r="I922">
        <v>14580</v>
      </c>
    </row>
    <row r="923" spans="1:9" x14ac:dyDescent="0.3">
      <c r="A923">
        <v>922</v>
      </c>
      <c r="B923" t="s">
        <v>3599</v>
      </c>
      <c r="C923" t="s">
        <v>2544</v>
      </c>
      <c r="D923" t="s">
        <v>31</v>
      </c>
      <c r="E923" t="s">
        <v>3600</v>
      </c>
      <c r="F923" t="s">
        <v>3601</v>
      </c>
      <c r="G923" t="s">
        <v>683</v>
      </c>
      <c r="H923" t="s">
        <v>35</v>
      </c>
      <c r="I923">
        <v>11758</v>
      </c>
    </row>
    <row r="924" spans="1:9" x14ac:dyDescent="0.3">
      <c r="A924">
        <v>923</v>
      </c>
      <c r="B924" t="s">
        <v>3602</v>
      </c>
      <c r="C924" t="s">
        <v>871</v>
      </c>
      <c r="D924" t="s">
        <v>31</v>
      </c>
      <c r="E924" t="s">
        <v>3603</v>
      </c>
      <c r="F924" t="s">
        <v>3604</v>
      </c>
      <c r="G924" t="s">
        <v>1123</v>
      </c>
      <c r="H924" t="s">
        <v>41</v>
      </c>
      <c r="I924">
        <v>91387</v>
      </c>
    </row>
    <row r="925" spans="1:9" x14ac:dyDescent="0.3">
      <c r="A925">
        <v>924</v>
      </c>
      <c r="B925" t="s">
        <v>2329</v>
      </c>
      <c r="C925" t="s">
        <v>658</v>
      </c>
      <c r="D925" t="s">
        <v>31</v>
      </c>
      <c r="E925" t="s">
        <v>3605</v>
      </c>
      <c r="F925" t="s">
        <v>3606</v>
      </c>
      <c r="G925" t="s">
        <v>949</v>
      </c>
      <c r="H925" t="s">
        <v>35</v>
      </c>
      <c r="I925">
        <v>12553</v>
      </c>
    </row>
    <row r="926" spans="1:9" x14ac:dyDescent="0.3">
      <c r="A926">
        <v>925</v>
      </c>
      <c r="B926" t="s">
        <v>3607</v>
      </c>
      <c r="C926" t="s">
        <v>83</v>
      </c>
      <c r="D926" t="s">
        <v>31</v>
      </c>
      <c r="E926" t="s">
        <v>3608</v>
      </c>
      <c r="F926" t="s">
        <v>3609</v>
      </c>
      <c r="G926" t="s">
        <v>1247</v>
      </c>
      <c r="H926" t="s">
        <v>35</v>
      </c>
      <c r="I926">
        <v>12401</v>
      </c>
    </row>
    <row r="927" spans="1:9" x14ac:dyDescent="0.3">
      <c r="A927">
        <v>926</v>
      </c>
      <c r="B927" t="s">
        <v>3610</v>
      </c>
      <c r="C927" t="s">
        <v>3611</v>
      </c>
      <c r="D927" t="s">
        <v>3612</v>
      </c>
      <c r="E927" t="s">
        <v>3613</v>
      </c>
      <c r="F927" t="s">
        <v>3614</v>
      </c>
      <c r="G927" t="s">
        <v>1975</v>
      </c>
      <c r="H927" t="s">
        <v>41</v>
      </c>
      <c r="I927">
        <v>93306</v>
      </c>
    </row>
    <row r="928" spans="1:9" x14ac:dyDescent="0.3">
      <c r="A928">
        <v>927</v>
      </c>
      <c r="B928" t="s">
        <v>3615</v>
      </c>
      <c r="C928" t="s">
        <v>2897</v>
      </c>
      <c r="D928" t="s">
        <v>3616</v>
      </c>
      <c r="E928" t="s">
        <v>3617</v>
      </c>
      <c r="F928" t="s">
        <v>3618</v>
      </c>
      <c r="G928" t="s">
        <v>116</v>
      </c>
      <c r="H928" t="s">
        <v>35</v>
      </c>
      <c r="I928">
        <v>10002</v>
      </c>
    </row>
    <row r="929" spans="1:9" x14ac:dyDescent="0.3">
      <c r="A929">
        <v>928</v>
      </c>
      <c r="B929" t="s">
        <v>3619</v>
      </c>
      <c r="C929" t="s">
        <v>912</v>
      </c>
      <c r="D929" t="s">
        <v>31</v>
      </c>
      <c r="E929" t="s">
        <v>3620</v>
      </c>
      <c r="F929" t="s">
        <v>3621</v>
      </c>
      <c r="G929" t="s">
        <v>2241</v>
      </c>
      <c r="H929" t="s">
        <v>41</v>
      </c>
      <c r="I929">
        <v>90403</v>
      </c>
    </row>
    <row r="930" spans="1:9" x14ac:dyDescent="0.3">
      <c r="A930">
        <v>929</v>
      </c>
      <c r="B930" t="s">
        <v>3622</v>
      </c>
      <c r="C930" t="s">
        <v>3623</v>
      </c>
      <c r="D930" t="s">
        <v>31</v>
      </c>
      <c r="E930" t="s">
        <v>3624</v>
      </c>
      <c r="F930" t="s">
        <v>3625</v>
      </c>
      <c r="G930" t="s">
        <v>1200</v>
      </c>
      <c r="H930" t="s">
        <v>41</v>
      </c>
      <c r="I930">
        <v>94566</v>
      </c>
    </row>
    <row r="931" spans="1:9" x14ac:dyDescent="0.3">
      <c r="A931">
        <v>930</v>
      </c>
      <c r="B931" t="s">
        <v>1521</v>
      </c>
      <c r="C931" t="s">
        <v>2537</v>
      </c>
      <c r="D931" t="s">
        <v>31</v>
      </c>
      <c r="E931" t="s">
        <v>3626</v>
      </c>
      <c r="F931" t="s">
        <v>3627</v>
      </c>
      <c r="G931" t="s">
        <v>2572</v>
      </c>
      <c r="H931" t="s">
        <v>35</v>
      </c>
      <c r="I931">
        <v>12065</v>
      </c>
    </row>
    <row r="932" spans="1:9" x14ac:dyDescent="0.3">
      <c r="A932">
        <v>931</v>
      </c>
      <c r="B932" t="s">
        <v>3628</v>
      </c>
      <c r="C932" t="s">
        <v>1303</v>
      </c>
      <c r="D932" t="s">
        <v>31</v>
      </c>
      <c r="E932" t="s">
        <v>3629</v>
      </c>
      <c r="F932" t="s">
        <v>3630</v>
      </c>
      <c r="G932" t="s">
        <v>334</v>
      </c>
      <c r="H932" t="s">
        <v>100</v>
      </c>
      <c r="I932">
        <v>76901</v>
      </c>
    </row>
    <row r="933" spans="1:9" x14ac:dyDescent="0.3">
      <c r="A933">
        <v>932</v>
      </c>
      <c r="B933" t="s">
        <v>3631</v>
      </c>
      <c r="C933" t="s">
        <v>59</v>
      </c>
      <c r="D933" t="s">
        <v>31</v>
      </c>
      <c r="E933" t="s">
        <v>3632</v>
      </c>
      <c r="F933" t="s">
        <v>3633</v>
      </c>
      <c r="G933" t="s">
        <v>1647</v>
      </c>
      <c r="H933" t="s">
        <v>35</v>
      </c>
      <c r="I933">
        <v>12590</v>
      </c>
    </row>
    <row r="934" spans="1:9" x14ac:dyDescent="0.3">
      <c r="A934">
        <v>933</v>
      </c>
      <c r="B934" t="s">
        <v>3634</v>
      </c>
      <c r="C934" t="s">
        <v>2946</v>
      </c>
      <c r="D934" t="s">
        <v>31</v>
      </c>
      <c r="E934" t="s">
        <v>3635</v>
      </c>
      <c r="F934" t="s">
        <v>3636</v>
      </c>
      <c r="G934" t="s">
        <v>616</v>
      </c>
      <c r="H934" t="s">
        <v>35</v>
      </c>
      <c r="I934">
        <v>11414</v>
      </c>
    </row>
    <row r="935" spans="1:9" x14ac:dyDescent="0.3">
      <c r="A935">
        <v>934</v>
      </c>
      <c r="B935" t="s">
        <v>3637</v>
      </c>
      <c r="C935" t="s">
        <v>1451</v>
      </c>
      <c r="D935" t="s">
        <v>31</v>
      </c>
      <c r="E935" t="s">
        <v>3638</v>
      </c>
      <c r="F935" t="s">
        <v>3639</v>
      </c>
      <c r="G935" t="s">
        <v>661</v>
      </c>
      <c r="H935" t="s">
        <v>35</v>
      </c>
      <c r="I935">
        <v>14075</v>
      </c>
    </row>
    <row r="936" spans="1:9" x14ac:dyDescent="0.3">
      <c r="A936">
        <v>935</v>
      </c>
      <c r="B936" t="s">
        <v>3640</v>
      </c>
      <c r="C936" t="s">
        <v>2068</v>
      </c>
      <c r="D936" t="s">
        <v>31</v>
      </c>
      <c r="E936" t="s">
        <v>3641</v>
      </c>
      <c r="F936" t="s">
        <v>3642</v>
      </c>
      <c r="G936" t="s">
        <v>83</v>
      </c>
      <c r="H936" t="s">
        <v>35</v>
      </c>
      <c r="I936">
        <v>10950</v>
      </c>
    </row>
    <row r="937" spans="1:9" x14ac:dyDescent="0.3">
      <c r="A937">
        <v>936</v>
      </c>
      <c r="B937" t="s">
        <v>3643</v>
      </c>
      <c r="C937" t="s">
        <v>1737</v>
      </c>
      <c r="D937" t="s">
        <v>31</v>
      </c>
      <c r="E937" t="s">
        <v>3644</v>
      </c>
      <c r="F937" t="s">
        <v>3645</v>
      </c>
      <c r="G937" t="s">
        <v>176</v>
      </c>
      <c r="H937" t="s">
        <v>35</v>
      </c>
      <c r="I937">
        <v>10562</v>
      </c>
    </row>
    <row r="938" spans="1:9" x14ac:dyDescent="0.3">
      <c r="A938">
        <v>937</v>
      </c>
      <c r="B938" t="s">
        <v>3646</v>
      </c>
      <c r="C938" t="s">
        <v>3380</v>
      </c>
      <c r="D938" t="s">
        <v>31</v>
      </c>
      <c r="E938" t="s">
        <v>3647</v>
      </c>
      <c r="F938" t="s">
        <v>3648</v>
      </c>
      <c r="G938" t="s">
        <v>573</v>
      </c>
      <c r="H938" t="s">
        <v>35</v>
      </c>
      <c r="I938">
        <v>11552</v>
      </c>
    </row>
    <row r="939" spans="1:9" x14ac:dyDescent="0.3">
      <c r="A939">
        <v>938</v>
      </c>
      <c r="B939" t="s">
        <v>3649</v>
      </c>
      <c r="C939" t="s">
        <v>3650</v>
      </c>
      <c r="D939" t="s">
        <v>3651</v>
      </c>
      <c r="E939" t="s">
        <v>3652</v>
      </c>
      <c r="F939" t="s">
        <v>3653</v>
      </c>
      <c r="G939" t="s">
        <v>1937</v>
      </c>
      <c r="H939" t="s">
        <v>35</v>
      </c>
      <c r="I939">
        <v>14606</v>
      </c>
    </row>
    <row r="940" spans="1:9" x14ac:dyDescent="0.3">
      <c r="A940">
        <v>939</v>
      </c>
      <c r="B940" t="s">
        <v>3654</v>
      </c>
      <c r="C940" t="s">
        <v>1178</v>
      </c>
      <c r="D940" t="s">
        <v>3655</v>
      </c>
      <c r="E940" t="s">
        <v>3656</v>
      </c>
      <c r="F940" t="s">
        <v>3657</v>
      </c>
      <c r="G940" t="s">
        <v>622</v>
      </c>
      <c r="H940" t="s">
        <v>100</v>
      </c>
      <c r="I940">
        <v>78418</v>
      </c>
    </row>
    <row r="941" spans="1:9" x14ac:dyDescent="0.3">
      <c r="A941">
        <v>940</v>
      </c>
      <c r="B941" t="s">
        <v>3658</v>
      </c>
      <c r="C941" t="s">
        <v>3659</v>
      </c>
      <c r="D941" t="s">
        <v>31</v>
      </c>
      <c r="E941" t="s">
        <v>3660</v>
      </c>
      <c r="F941" t="s">
        <v>3661</v>
      </c>
      <c r="G941" t="s">
        <v>236</v>
      </c>
      <c r="H941" t="s">
        <v>41</v>
      </c>
      <c r="I941">
        <v>91316</v>
      </c>
    </row>
    <row r="942" spans="1:9" x14ac:dyDescent="0.3">
      <c r="A942">
        <v>941</v>
      </c>
      <c r="B942" t="s">
        <v>3662</v>
      </c>
      <c r="C942" t="s">
        <v>2484</v>
      </c>
      <c r="D942" t="s">
        <v>31</v>
      </c>
      <c r="E942" t="s">
        <v>3663</v>
      </c>
      <c r="F942" t="s">
        <v>3664</v>
      </c>
      <c r="G942" t="s">
        <v>320</v>
      </c>
      <c r="H942" t="s">
        <v>35</v>
      </c>
      <c r="I942">
        <v>11722</v>
      </c>
    </row>
    <row r="943" spans="1:9" x14ac:dyDescent="0.3">
      <c r="A943">
        <v>942</v>
      </c>
      <c r="B943" t="s">
        <v>3665</v>
      </c>
      <c r="C943" t="s">
        <v>1283</v>
      </c>
      <c r="D943" t="s">
        <v>3666</v>
      </c>
      <c r="E943" t="s">
        <v>3667</v>
      </c>
      <c r="F943" t="s">
        <v>3668</v>
      </c>
      <c r="G943" t="s">
        <v>231</v>
      </c>
      <c r="H943" t="s">
        <v>35</v>
      </c>
      <c r="I943">
        <v>14086</v>
      </c>
    </row>
    <row r="944" spans="1:9" x14ac:dyDescent="0.3">
      <c r="A944">
        <v>943</v>
      </c>
      <c r="B944" t="s">
        <v>641</v>
      </c>
      <c r="C944" t="s">
        <v>1490</v>
      </c>
      <c r="D944" t="s">
        <v>31</v>
      </c>
      <c r="E944" t="s">
        <v>3669</v>
      </c>
      <c r="F944" t="s">
        <v>3670</v>
      </c>
      <c r="G944" t="s">
        <v>121</v>
      </c>
      <c r="H944" t="s">
        <v>35</v>
      </c>
      <c r="I944">
        <v>10583</v>
      </c>
    </row>
    <row r="945" spans="1:9" x14ac:dyDescent="0.3">
      <c r="A945">
        <v>944</v>
      </c>
      <c r="B945" t="s">
        <v>3671</v>
      </c>
      <c r="C945" t="s">
        <v>2144</v>
      </c>
      <c r="D945" t="s">
        <v>31</v>
      </c>
      <c r="E945" t="s">
        <v>3672</v>
      </c>
      <c r="F945" t="s">
        <v>3673</v>
      </c>
      <c r="G945" t="s">
        <v>121</v>
      </c>
      <c r="H945" t="s">
        <v>35</v>
      </c>
      <c r="I945">
        <v>10583</v>
      </c>
    </row>
    <row r="946" spans="1:9" x14ac:dyDescent="0.3">
      <c r="A946">
        <v>945</v>
      </c>
      <c r="B946" t="s">
        <v>3674</v>
      </c>
      <c r="C946" t="s">
        <v>844</v>
      </c>
      <c r="D946" t="s">
        <v>31</v>
      </c>
      <c r="E946" t="s">
        <v>3675</v>
      </c>
      <c r="F946" t="s">
        <v>3676</v>
      </c>
      <c r="G946" t="s">
        <v>78</v>
      </c>
      <c r="H946" t="s">
        <v>35</v>
      </c>
      <c r="I946">
        <v>11050</v>
      </c>
    </row>
    <row r="947" spans="1:9" x14ac:dyDescent="0.3">
      <c r="A947">
        <v>946</v>
      </c>
      <c r="B947" t="s">
        <v>3677</v>
      </c>
      <c r="C947" t="s">
        <v>406</v>
      </c>
      <c r="D947" t="s">
        <v>31</v>
      </c>
      <c r="E947" t="s">
        <v>3678</v>
      </c>
      <c r="F947" t="s">
        <v>3679</v>
      </c>
      <c r="G947" t="s">
        <v>599</v>
      </c>
      <c r="H947" t="s">
        <v>35</v>
      </c>
      <c r="I947">
        <v>14534</v>
      </c>
    </row>
    <row r="948" spans="1:9" x14ac:dyDescent="0.3">
      <c r="A948">
        <v>947</v>
      </c>
      <c r="B948" t="s">
        <v>2231</v>
      </c>
      <c r="C948" t="s">
        <v>2306</v>
      </c>
      <c r="D948" t="s">
        <v>31</v>
      </c>
      <c r="E948" t="s">
        <v>3680</v>
      </c>
      <c r="F948" t="s">
        <v>3681</v>
      </c>
      <c r="G948" t="s">
        <v>201</v>
      </c>
      <c r="H948" t="s">
        <v>41</v>
      </c>
      <c r="I948">
        <v>90274</v>
      </c>
    </row>
    <row r="949" spans="1:9" x14ac:dyDescent="0.3">
      <c r="A949">
        <v>948</v>
      </c>
      <c r="B949" t="s">
        <v>3682</v>
      </c>
      <c r="C949" t="s">
        <v>3683</v>
      </c>
      <c r="D949" t="s">
        <v>31</v>
      </c>
      <c r="E949" t="s">
        <v>3684</v>
      </c>
      <c r="F949" t="s">
        <v>3685</v>
      </c>
      <c r="G949" t="s">
        <v>1313</v>
      </c>
      <c r="H949" t="s">
        <v>35</v>
      </c>
      <c r="I949">
        <v>11756</v>
      </c>
    </row>
    <row r="950" spans="1:9" x14ac:dyDescent="0.3">
      <c r="A950">
        <v>949</v>
      </c>
      <c r="B950" t="s">
        <v>3686</v>
      </c>
      <c r="C950" t="s">
        <v>173</v>
      </c>
      <c r="D950" t="s">
        <v>31</v>
      </c>
      <c r="E950" t="s">
        <v>3687</v>
      </c>
      <c r="F950" t="s">
        <v>3688</v>
      </c>
      <c r="G950" t="s">
        <v>121</v>
      </c>
      <c r="H950" t="s">
        <v>35</v>
      </c>
      <c r="I950">
        <v>10583</v>
      </c>
    </row>
    <row r="951" spans="1:9" x14ac:dyDescent="0.3">
      <c r="A951">
        <v>950</v>
      </c>
      <c r="B951" t="s">
        <v>3689</v>
      </c>
      <c r="C951" t="s">
        <v>3690</v>
      </c>
      <c r="D951" t="s">
        <v>3691</v>
      </c>
      <c r="E951" t="s">
        <v>3692</v>
      </c>
      <c r="F951" t="s">
        <v>3693</v>
      </c>
      <c r="G951" t="s">
        <v>1937</v>
      </c>
      <c r="H951" t="s">
        <v>35</v>
      </c>
      <c r="I951">
        <v>14606</v>
      </c>
    </row>
    <row r="952" spans="1:9" x14ac:dyDescent="0.3">
      <c r="A952">
        <v>951</v>
      </c>
      <c r="B952" t="s">
        <v>3694</v>
      </c>
      <c r="C952" t="s">
        <v>3695</v>
      </c>
      <c r="D952" t="s">
        <v>31</v>
      </c>
      <c r="E952" t="s">
        <v>3696</v>
      </c>
      <c r="F952" t="s">
        <v>3697</v>
      </c>
      <c r="G952" t="s">
        <v>121</v>
      </c>
      <c r="H952" t="s">
        <v>35</v>
      </c>
      <c r="I952">
        <v>10583</v>
      </c>
    </row>
    <row r="953" spans="1:9" x14ac:dyDescent="0.3">
      <c r="A953">
        <v>952</v>
      </c>
      <c r="B953" t="s">
        <v>3698</v>
      </c>
      <c r="C953" t="s">
        <v>726</v>
      </c>
      <c r="D953" t="s">
        <v>31</v>
      </c>
      <c r="E953" t="s">
        <v>3699</v>
      </c>
      <c r="F953" t="s">
        <v>3700</v>
      </c>
      <c r="G953" t="s">
        <v>185</v>
      </c>
      <c r="H953" t="s">
        <v>41</v>
      </c>
      <c r="I953">
        <v>90505</v>
      </c>
    </row>
    <row r="954" spans="1:9" x14ac:dyDescent="0.3">
      <c r="A954">
        <v>953</v>
      </c>
      <c r="B954" t="s">
        <v>3701</v>
      </c>
      <c r="C954" t="s">
        <v>3702</v>
      </c>
      <c r="D954" t="s">
        <v>31</v>
      </c>
      <c r="E954" t="s">
        <v>3703</v>
      </c>
      <c r="F954" t="s">
        <v>3704</v>
      </c>
      <c r="G954" t="s">
        <v>760</v>
      </c>
      <c r="H954" t="s">
        <v>100</v>
      </c>
      <c r="I954">
        <v>78023</v>
      </c>
    </row>
    <row r="955" spans="1:9" x14ac:dyDescent="0.3">
      <c r="A955">
        <v>954</v>
      </c>
      <c r="B955" t="s">
        <v>3705</v>
      </c>
      <c r="C955" t="s">
        <v>3706</v>
      </c>
      <c r="D955" t="s">
        <v>31</v>
      </c>
      <c r="E955" t="s">
        <v>3707</v>
      </c>
      <c r="F955" t="s">
        <v>3708</v>
      </c>
      <c r="G955" t="s">
        <v>923</v>
      </c>
      <c r="H955" t="s">
        <v>35</v>
      </c>
      <c r="I955">
        <v>11801</v>
      </c>
    </row>
    <row r="956" spans="1:9" x14ac:dyDescent="0.3">
      <c r="A956">
        <v>955</v>
      </c>
      <c r="B956" t="s">
        <v>3709</v>
      </c>
      <c r="C956" t="s">
        <v>788</v>
      </c>
      <c r="D956" t="s">
        <v>31</v>
      </c>
      <c r="E956" t="s">
        <v>3710</v>
      </c>
      <c r="F956" t="s">
        <v>3711</v>
      </c>
      <c r="G956" t="s">
        <v>2772</v>
      </c>
      <c r="H956" t="s">
        <v>35</v>
      </c>
      <c r="I956">
        <v>11704</v>
      </c>
    </row>
    <row r="957" spans="1:9" x14ac:dyDescent="0.3">
      <c r="A957">
        <v>956</v>
      </c>
      <c r="B957" t="s">
        <v>3712</v>
      </c>
      <c r="C957" t="s">
        <v>3713</v>
      </c>
      <c r="D957" t="s">
        <v>31</v>
      </c>
      <c r="E957" t="s">
        <v>3714</v>
      </c>
      <c r="F957" t="s">
        <v>3715</v>
      </c>
      <c r="G957" t="s">
        <v>480</v>
      </c>
      <c r="H957" t="s">
        <v>35</v>
      </c>
      <c r="I957">
        <v>11735</v>
      </c>
    </row>
    <row r="958" spans="1:9" x14ac:dyDescent="0.3">
      <c r="A958">
        <v>957</v>
      </c>
      <c r="B958" t="s">
        <v>3716</v>
      </c>
      <c r="C958" t="s">
        <v>350</v>
      </c>
      <c r="D958" t="s">
        <v>3717</v>
      </c>
      <c r="E958" t="s">
        <v>3718</v>
      </c>
      <c r="F958" t="s">
        <v>3719</v>
      </c>
      <c r="G958" t="s">
        <v>565</v>
      </c>
      <c r="H958" t="s">
        <v>41</v>
      </c>
      <c r="I958">
        <v>92806</v>
      </c>
    </row>
    <row r="959" spans="1:9" x14ac:dyDescent="0.3">
      <c r="A959">
        <v>958</v>
      </c>
      <c r="B959" t="s">
        <v>3720</v>
      </c>
      <c r="C959" t="s">
        <v>3380</v>
      </c>
      <c r="D959" t="s">
        <v>31</v>
      </c>
      <c r="E959" t="s">
        <v>3721</v>
      </c>
      <c r="F959" t="s">
        <v>3722</v>
      </c>
      <c r="G959" t="s">
        <v>590</v>
      </c>
      <c r="H959" t="s">
        <v>100</v>
      </c>
      <c r="I959">
        <v>76039</v>
      </c>
    </row>
    <row r="960" spans="1:9" x14ac:dyDescent="0.3">
      <c r="A960">
        <v>959</v>
      </c>
      <c r="B960" t="s">
        <v>3723</v>
      </c>
      <c r="C960" t="s">
        <v>912</v>
      </c>
      <c r="D960" t="s">
        <v>3724</v>
      </c>
      <c r="E960" t="s">
        <v>3725</v>
      </c>
      <c r="F960" t="s">
        <v>3726</v>
      </c>
      <c r="G960" t="s">
        <v>57</v>
      </c>
      <c r="H960" t="s">
        <v>41</v>
      </c>
      <c r="I960">
        <v>95820</v>
      </c>
    </row>
    <row r="961" spans="1:9" x14ac:dyDescent="0.3">
      <c r="A961">
        <v>960</v>
      </c>
      <c r="B961" t="s">
        <v>3727</v>
      </c>
      <c r="C961" t="s">
        <v>3728</v>
      </c>
      <c r="D961" t="s">
        <v>3729</v>
      </c>
      <c r="E961" t="s">
        <v>3730</v>
      </c>
      <c r="F961" t="s">
        <v>3731</v>
      </c>
      <c r="G961" t="s">
        <v>94</v>
      </c>
      <c r="H961" t="s">
        <v>35</v>
      </c>
      <c r="I961">
        <v>11550</v>
      </c>
    </row>
    <row r="962" spans="1:9" x14ac:dyDescent="0.3">
      <c r="A962">
        <v>961</v>
      </c>
      <c r="B962" t="s">
        <v>3732</v>
      </c>
      <c r="C962" t="s">
        <v>1737</v>
      </c>
      <c r="D962" t="s">
        <v>31</v>
      </c>
      <c r="E962" t="s">
        <v>3733</v>
      </c>
      <c r="F962" t="s">
        <v>3734</v>
      </c>
      <c r="G962" t="s">
        <v>1247</v>
      </c>
      <c r="H962" t="s">
        <v>35</v>
      </c>
      <c r="I962">
        <v>12401</v>
      </c>
    </row>
    <row r="963" spans="1:9" x14ac:dyDescent="0.3">
      <c r="A963">
        <v>962</v>
      </c>
      <c r="B963" t="s">
        <v>3735</v>
      </c>
      <c r="C963" t="s">
        <v>3736</v>
      </c>
      <c r="D963" t="s">
        <v>31</v>
      </c>
      <c r="E963" t="s">
        <v>3737</v>
      </c>
      <c r="F963" t="s">
        <v>3738</v>
      </c>
      <c r="G963" t="s">
        <v>3149</v>
      </c>
      <c r="H963" t="s">
        <v>100</v>
      </c>
      <c r="I963">
        <v>76522</v>
      </c>
    </row>
    <row r="964" spans="1:9" x14ac:dyDescent="0.3">
      <c r="A964">
        <v>963</v>
      </c>
      <c r="B964" t="s">
        <v>3739</v>
      </c>
      <c r="C964" t="s">
        <v>3683</v>
      </c>
      <c r="D964" t="s">
        <v>31</v>
      </c>
      <c r="E964" t="s">
        <v>3740</v>
      </c>
      <c r="F964" t="s">
        <v>3741</v>
      </c>
      <c r="G964" t="s">
        <v>353</v>
      </c>
      <c r="H964" t="s">
        <v>35</v>
      </c>
      <c r="I964">
        <v>13440</v>
      </c>
    </row>
    <row r="965" spans="1:9" x14ac:dyDescent="0.3">
      <c r="A965">
        <v>964</v>
      </c>
      <c r="B965" t="s">
        <v>3742</v>
      </c>
      <c r="C965" t="s">
        <v>1463</v>
      </c>
      <c r="D965" t="s">
        <v>3743</v>
      </c>
      <c r="E965" t="s">
        <v>3744</v>
      </c>
      <c r="F965" t="s">
        <v>3745</v>
      </c>
      <c r="G965" t="s">
        <v>622</v>
      </c>
      <c r="H965" t="s">
        <v>100</v>
      </c>
      <c r="I965">
        <v>78418</v>
      </c>
    </row>
    <row r="966" spans="1:9" x14ac:dyDescent="0.3">
      <c r="A966">
        <v>965</v>
      </c>
      <c r="B966" t="s">
        <v>3746</v>
      </c>
      <c r="C966" t="s">
        <v>461</v>
      </c>
      <c r="D966" t="s">
        <v>31</v>
      </c>
      <c r="E966" t="s">
        <v>3747</v>
      </c>
      <c r="F966" t="s">
        <v>3748</v>
      </c>
      <c r="G966" t="s">
        <v>751</v>
      </c>
      <c r="H966" t="s">
        <v>35</v>
      </c>
      <c r="I966">
        <v>11803</v>
      </c>
    </row>
    <row r="967" spans="1:9" x14ac:dyDescent="0.3">
      <c r="A967">
        <v>966</v>
      </c>
      <c r="B967" t="s">
        <v>3749</v>
      </c>
      <c r="C967" t="s">
        <v>3460</v>
      </c>
      <c r="D967" t="s">
        <v>31</v>
      </c>
      <c r="E967" t="s">
        <v>3750</v>
      </c>
      <c r="F967" t="s">
        <v>3751</v>
      </c>
      <c r="G967" t="s">
        <v>2208</v>
      </c>
      <c r="H967" t="s">
        <v>35</v>
      </c>
      <c r="I967">
        <v>11542</v>
      </c>
    </row>
    <row r="968" spans="1:9" x14ac:dyDescent="0.3">
      <c r="A968">
        <v>967</v>
      </c>
      <c r="B968" t="s">
        <v>3752</v>
      </c>
      <c r="C968" t="s">
        <v>917</v>
      </c>
      <c r="D968" t="s">
        <v>31</v>
      </c>
      <c r="E968" t="s">
        <v>3753</v>
      </c>
      <c r="F968" t="s">
        <v>3754</v>
      </c>
      <c r="G968" t="s">
        <v>126</v>
      </c>
      <c r="H968" t="s">
        <v>35</v>
      </c>
      <c r="I968">
        <v>14424</v>
      </c>
    </row>
    <row r="969" spans="1:9" x14ac:dyDescent="0.3">
      <c r="A969">
        <v>968</v>
      </c>
      <c r="B969" t="s">
        <v>3755</v>
      </c>
      <c r="C969" t="s">
        <v>3756</v>
      </c>
      <c r="D969" t="s">
        <v>31</v>
      </c>
      <c r="E969" t="s">
        <v>3757</v>
      </c>
      <c r="F969" t="s">
        <v>3758</v>
      </c>
      <c r="G969" t="s">
        <v>160</v>
      </c>
      <c r="H969" t="s">
        <v>35</v>
      </c>
      <c r="I969">
        <v>10541</v>
      </c>
    </row>
    <row r="970" spans="1:9" x14ac:dyDescent="0.3">
      <c r="A970">
        <v>969</v>
      </c>
      <c r="B970" t="s">
        <v>3759</v>
      </c>
      <c r="C970" t="s">
        <v>3690</v>
      </c>
      <c r="D970" t="s">
        <v>3760</v>
      </c>
      <c r="E970" t="s">
        <v>3761</v>
      </c>
      <c r="F970" t="s">
        <v>3762</v>
      </c>
      <c r="G970" t="s">
        <v>1937</v>
      </c>
      <c r="H970" t="s">
        <v>35</v>
      </c>
      <c r="I970">
        <v>14606</v>
      </c>
    </row>
    <row r="971" spans="1:9" x14ac:dyDescent="0.3">
      <c r="A971">
        <v>970</v>
      </c>
      <c r="B971" t="s">
        <v>3763</v>
      </c>
      <c r="C971" t="s">
        <v>3764</v>
      </c>
      <c r="D971" t="s">
        <v>31</v>
      </c>
      <c r="E971" t="s">
        <v>3765</v>
      </c>
      <c r="F971" t="s">
        <v>3766</v>
      </c>
      <c r="G971" t="s">
        <v>150</v>
      </c>
      <c r="H971" t="s">
        <v>35</v>
      </c>
      <c r="I971">
        <v>11423</v>
      </c>
    </row>
    <row r="972" spans="1:9" x14ac:dyDescent="0.3">
      <c r="A972">
        <v>971</v>
      </c>
      <c r="B972" t="s">
        <v>3767</v>
      </c>
      <c r="C972" t="s">
        <v>3768</v>
      </c>
      <c r="D972" t="s">
        <v>3769</v>
      </c>
      <c r="E972" t="s">
        <v>3770</v>
      </c>
      <c r="F972" t="s">
        <v>3771</v>
      </c>
      <c r="G972" t="s">
        <v>1079</v>
      </c>
      <c r="H972" t="s">
        <v>35</v>
      </c>
      <c r="I972">
        <v>11717</v>
      </c>
    </row>
    <row r="973" spans="1:9" x14ac:dyDescent="0.3">
      <c r="A973">
        <v>972</v>
      </c>
      <c r="B973" t="s">
        <v>903</v>
      </c>
      <c r="C973" t="s">
        <v>810</v>
      </c>
      <c r="D973" t="s">
        <v>3772</v>
      </c>
      <c r="E973" t="s">
        <v>3773</v>
      </c>
      <c r="F973" t="s">
        <v>3774</v>
      </c>
      <c r="G973" t="s">
        <v>166</v>
      </c>
      <c r="H973" t="s">
        <v>35</v>
      </c>
      <c r="I973">
        <v>11561</v>
      </c>
    </row>
    <row r="974" spans="1:9" x14ac:dyDescent="0.3">
      <c r="A974">
        <v>973</v>
      </c>
      <c r="B974" t="s">
        <v>3775</v>
      </c>
      <c r="C974" t="s">
        <v>3434</v>
      </c>
      <c r="D974" t="s">
        <v>31</v>
      </c>
      <c r="E974" t="s">
        <v>3776</v>
      </c>
      <c r="F974" t="s">
        <v>3777</v>
      </c>
      <c r="G974" t="s">
        <v>990</v>
      </c>
      <c r="H974" t="s">
        <v>41</v>
      </c>
      <c r="I974">
        <v>93555</v>
      </c>
    </row>
    <row r="975" spans="1:9" x14ac:dyDescent="0.3">
      <c r="A975">
        <v>974</v>
      </c>
      <c r="B975" t="s">
        <v>3778</v>
      </c>
      <c r="C975" t="s">
        <v>3194</v>
      </c>
      <c r="D975" t="s">
        <v>31</v>
      </c>
      <c r="E975" t="s">
        <v>3779</v>
      </c>
      <c r="F975" t="s">
        <v>3780</v>
      </c>
      <c r="G975" t="s">
        <v>225</v>
      </c>
      <c r="H975" t="s">
        <v>35</v>
      </c>
      <c r="I975">
        <v>11102</v>
      </c>
    </row>
    <row r="976" spans="1:9" x14ac:dyDescent="0.3">
      <c r="A976">
        <v>975</v>
      </c>
      <c r="B976" t="s">
        <v>3781</v>
      </c>
      <c r="C976" t="s">
        <v>112</v>
      </c>
      <c r="D976" t="s">
        <v>3782</v>
      </c>
      <c r="E976" t="s">
        <v>3783</v>
      </c>
      <c r="F976" t="s">
        <v>3784</v>
      </c>
      <c r="G976" t="s">
        <v>2430</v>
      </c>
      <c r="H976" t="s">
        <v>41</v>
      </c>
      <c r="I976">
        <v>90008</v>
      </c>
    </row>
    <row r="977" spans="1:9" x14ac:dyDescent="0.3">
      <c r="A977">
        <v>976</v>
      </c>
      <c r="B977" t="s">
        <v>920</v>
      </c>
      <c r="C977" t="s">
        <v>1960</v>
      </c>
      <c r="D977" t="s">
        <v>31</v>
      </c>
      <c r="E977" t="s">
        <v>3785</v>
      </c>
      <c r="F977" t="s">
        <v>3786</v>
      </c>
      <c r="G977" t="s">
        <v>729</v>
      </c>
      <c r="H977" t="s">
        <v>35</v>
      </c>
      <c r="I977">
        <v>11787</v>
      </c>
    </row>
    <row r="978" spans="1:9" x14ac:dyDescent="0.3">
      <c r="A978">
        <v>977</v>
      </c>
      <c r="B978" t="s">
        <v>1238</v>
      </c>
      <c r="C978" t="s">
        <v>3787</v>
      </c>
      <c r="D978" t="s">
        <v>31</v>
      </c>
      <c r="E978" t="s">
        <v>3788</v>
      </c>
      <c r="F978" t="s">
        <v>3789</v>
      </c>
      <c r="G978" t="s">
        <v>343</v>
      </c>
      <c r="H978" t="s">
        <v>35</v>
      </c>
      <c r="I978">
        <v>11701</v>
      </c>
    </row>
    <row r="979" spans="1:9" x14ac:dyDescent="0.3">
      <c r="A979">
        <v>978</v>
      </c>
      <c r="B979" t="s">
        <v>303</v>
      </c>
      <c r="C979" t="s">
        <v>3208</v>
      </c>
      <c r="D979" t="s">
        <v>31</v>
      </c>
      <c r="E979" t="s">
        <v>3790</v>
      </c>
      <c r="F979" t="s">
        <v>3791</v>
      </c>
      <c r="G979" t="s">
        <v>315</v>
      </c>
      <c r="H979" t="s">
        <v>35</v>
      </c>
      <c r="I979">
        <v>10451</v>
      </c>
    </row>
    <row r="980" spans="1:9" x14ac:dyDescent="0.3">
      <c r="A980">
        <v>979</v>
      </c>
      <c r="B980" t="s">
        <v>3792</v>
      </c>
      <c r="C980" t="s">
        <v>3346</v>
      </c>
      <c r="D980" t="s">
        <v>31</v>
      </c>
      <c r="E980" t="s">
        <v>3793</v>
      </c>
      <c r="F980" t="s">
        <v>3794</v>
      </c>
      <c r="G980" t="s">
        <v>1617</v>
      </c>
      <c r="H980" t="s">
        <v>35</v>
      </c>
      <c r="I980">
        <v>14850</v>
      </c>
    </row>
    <row r="981" spans="1:9" x14ac:dyDescent="0.3">
      <c r="A981">
        <v>980</v>
      </c>
      <c r="B981" t="s">
        <v>248</v>
      </c>
      <c r="C981" t="s">
        <v>280</v>
      </c>
      <c r="D981" t="s">
        <v>31</v>
      </c>
      <c r="E981" t="s">
        <v>3795</v>
      </c>
      <c r="F981" t="s">
        <v>3796</v>
      </c>
      <c r="G981" t="s">
        <v>715</v>
      </c>
      <c r="H981" t="s">
        <v>35</v>
      </c>
      <c r="I981">
        <v>10573</v>
      </c>
    </row>
    <row r="982" spans="1:9" x14ac:dyDescent="0.3">
      <c r="A982">
        <v>981</v>
      </c>
      <c r="B982" t="s">
        <v>3723</v>
      </c>
      <c r="C982" t="s">
        <v>2544</v>
      </c>
      <c r="D982" t="s">
        <v>3797</v>
      </c>
      <c r="E982" t="s">
        <v>3798</v>
      </c>
      <c r="F982" t="s">
        <v>3799</v>
      </c>
      <c r="G982" t="s">
        <v>166</v>
      </c>
      <c r="H982" t="s">
        <v>35</v>
      </c>
      <c r="I982">
        <v>11561</v>
      </c>
    </row>
    <row r="983" spans="1:9" x14ac:dyDescent="0.3">
      <c r="A983">
        <v>982</v>
      </c>
      <c r="B983" t="s">
        <v>3800</v>
      </c>
      <c r="C983" t="s">
        <v>336</v>
      </c>
      <c r="D983" t="s">
        <v>31</v>
      </c>
      <c r="E983" t="s">
        <v>3801</v>
      </c>
      <c r="F983" t="s">
        <v>3802</v>
      </c>
      <c r="G983" t="s">
        <v>334</v>
      </c>
      <c r="H983" t="s">
        <v>100</v>
      </c>
      <c r="I983">
        <v>76901</v>
      </c>
    </row>
    <row r="984" spans="1:9" x14ac:dyDescent="0.3">
      <c r="A984">
        <v>983</v>
      </c>
      <c r="B984" t="s">
        <v>3803</v>
      </c>
      <c r="C984" t="s">
        <v>2432</v>
      </c>
      <c r="D984" t="s">
        <v>31</v>
      </c>
      <c r="E984" t="s">
        <v>3804</v>
      </c>
      <c r="F984" t="s">
        <v>3805</v>
      </c>
      <c r="G984" t="s">
        <v>196</v>
      </c>
      <c r="H984" t="s">
        <v>41</v>
      </c>
      <c r="I984">
        <v>92831</v>
      </c>
    </row>
    <row r="985" spans="1:9" x14ac:dyDescent="0.3">
      <c r="A985">
        <v>984</v>
      </c>
      <c r="B985" t="s">
        <v>3806</v>
      </c>
      <c r="C985" t="s">
        <v>3807</v>
      </c>
      <c r="D985" t="s">
        <v>31</v>
      </c>
      <c r="E985" t="s">
        <v>3808</v>
      </c>
      <c r="F985" t="s">
        <v>3809</v>
      </c>
      <c r="G985" t="s">
        <v>469</v>
      </c>
      <c r="H985" t="s">
        <v>35</v>
      </c>
      <c r="I985">
        <v>11010</v>
      </c>
    </row>
    <row r="986" spans="1:9" x14ac:dyDescent="0.3">
      <c r="A986">
        <v>985</v>
      </c>
      <c r="B986" t="s">
        <v>3810</v>
      </c>
      <c r="C986" t="s">
        <v>2042</v>
      </c>
      <c r="D986" t="s">
        <v>31</v>
      </c>
      <c r="E986" t="s">
        <v>3811</v>
      </c>
      <c r="F986" t="s">
        <v>3812</v>
      </c>
      <c r="G986" t="s">
        <v>1807</v>
      </c>
      <c r="H986" t="s">
        <v>100</v>
      </c>
      <c r="I986">
        <v>78552</v>
      </c>
    </row>
    <row r="987" spans="1:9" x14ac:dyDescent="0.3">
      <c r="A987">
        <v>986</v>
      </c>
      <c r="B987" t="s">
        <v>3813</v>
      </c>
      <c r="C987" t="s">
        <v>583</v>
      </c>
      <c r="D987" t="s">
        <v>31</v>
      </c>
      <c r="E987" t="s">
        <v>3814</v>
      </c>
      <c r="F987" t="s">
        <v>3815</v>
      </c>
      <c r="G987" t="s">
        <v>176</v>
      </c>
      <c r="H987" t="s">
        <v>35</v>
      </c>
      <c r="I987">
        <v>10562</v>
      </c>
    </row>
    <row r="988" spans="1:9" x14ac:dyDescent="0.3">
      <c r="A988">
        <v>987</v>
      </c>
      <c r="B988" t="s">
        <v>3816</v>
      </c>
      <c r="C988" t="s">
        <v>3817</v>
      </c>
      <c r="D988" t="s">
        <v>31</v>
      </c>
      <c r="E988" t="s">
        <v>3818</v>
      </c>
      <c r="F988" t="s">
        <v>3819</v>
      </c>
      <c r="G988" t="s">
        <v>720</v>
      </c>
      <c r="H988" t="s">
        <v>35</v>
      </c>
      <c r="I988">
        <v>10301</v>
      </c>
    </row>
    <row r="989" spans="1:9" x14ac:dyDescent="0.3">
      <c r="A989">
        <v>988</v>
      </c>
      <c r="B989" t="s">
        <v>3820</v>
      </c>
      <c r="C989" t="s">
        <v>951</v>
      </c>
      <c r="D989" t="s">
        <v>31</v>
      </c>
      <c r="E989" t="s">
        <v>3821</v>
      </c>
      <c r="F989" t="s">
        <v>3822</v>
      </c>
      <c r="G989" t="s">
        <v>530</v>
      </c>
      <c r="H989" t="s">
        <v>35</v>
      </c>
      <c r="I989">
        <v>11791</v>
      </c>
    </row>
    <row r="990" spans="1:9" x14ac:dyDescent="0.3">
      <c r="A990">
        <v>989</v>
      </c>
      <c r="B990" t="s">
        <v>3823</v>
      </c>
      <c r="C990" t="s">
        <v>699</v>
      </c>
      <c r="D990" t="s">
        <v>31</v>
      </c>
      <c r="E990" t="s">
        <v>3824</v>
      </c>
      <c r="F990" t="s">
        <v>3825</v>
      </c>
      <c r="G990" t="s">
        <v>820</v>
      </c>
      <c r="H990" t="s">
        <v>35</v>
      </c>
      <c r="I990">
        <v>11420</v>
      </c>
    </row>
    <row r="991" spans="1:9" x14ac:dyDescent="0.3">
      <c r="A991">
        <v>990</v>
      </c>
      <c r="B991" t="s">
        <v>3826</v>
      </c>
      <c r="C991" t="s">
        <v>3827</v>
      </c>
      <c r="D991" t="s">
        <v>31</v>
      </c>
      <c r="E991" t="s">
        <v>3828</v>
      </c>
      <c r="F991" t="s">
        <v>3829</v>
      </c>
      <c r="G991" t="s">
        <v>83</v>
      </c>
      <c r="H991" t="s">
        <v>35</v>
      </c>
      <c r="I991">
        <v>10950</v>
      </c>
    </row>
    <row r="992" spans="1:9" x14ac:dyDescent="0.3">
      <c r="A992">
        <v>991</v>
      </c>
      <c r="B992" t="s">
        <v>3830</v>
      </c>
      <c r="C992" t="s">
        <v>800</v>
      </c>
      <c r="D992" t="s">
        <v>31</v>
      </c>
      <c r="E992" t="s">
        <v>3831</v>
      </c>
      <c r="F992" t="s">
        <v>3832</v>
      </c>
      <c r="G992" t="s">
        <v>1123</v>
      </c>
      <c r="H992" t="s">
        <v>41</v>
      </c>
      <c r="I992">
        <v>91387</v>
      </c>
    </row>
    <row r="993" spans="1:9" x14ac:dyDescent="0.3">
      <c r="A993">
        <v>992</v>
      </c>
      <c r="B993" t="s">
        <v>1445</v>
      </c>
      <c r="C993" t="s">
        <v>3833</v>
      </c>
      <c r="D993" t="s">
        <v>31</v>
      </c>
      <c r="E993" t="s">
        <v>3834</v>
      </c>
      <c r="F993" t="s">
        <v>3835</v>
      </c>
      <c r="G993" t="s">
        <v>1056</v>
      </c>
      <c r="H993" t="s">
        <v>35</v>
      </c>
      <c r="I993">
        <v>11772</v>
      </c>
    </row>
    <row r="994" spans="1:9" x14ac:dyDescent="0.3">
      <c r="A994">
        <v>993</v>
      </c>
      <c r="B994" t="s">
        <v>3836</v>
      </c>
      <c r="C994" t="s">
        <v>2140</v>
      </c>
      <c r="D994" t="s">
        <v>31</v>
      </c>
      <c r="E994" t="s">
        <v>3837</v>
      </c>
      <c r="F994" t="s">
        <v>3838</v>
      </c>
      <c r="G994" t="s">
        <v>990</v>
      </c>
      <c r="H994" t="s">
        <v>41</v>
      </c>
      <c r="I994">
        <v>93555</v>
      </c>
    </row>
    <row r="995" spans="1:9" x14ac:dyDescent="0.3">
      <c r="A995">
        <v>994</v>
      </c>
      <c r="B995" t="s">
        <v>3839</v>
      </c>
      <c r="C995" t="s">
        <v>162</v>
      </c>
      <c r="D995" t="s">
        <v>31</v>
      </c>
      <c r="E995" t="s">
        <v>3840</v>
      </c>
      <c r="F995" t="s">
        <v>3841</v>
      </c>
      <c r="G995" t="s">
        <v>2556</v>
      </c>
      <c r="H995" t="s">
        <v>35</v>
      </c>
      <c r="I995">
        <v>10598</v>
      </c>
    </row>
    <row r="996" spans="1:9" x14ac:dyDescent="0.3">
      <c r="A996">
        <v>995</v>
      </c>
      <c r="B996" t="s">
        <v>3842</v>
      </c>
      <c r="C996" t="s">
        <v>3016</v>
      </c>
      <c r="D996" t="s">
        <v>31</v>
      </c>
      <c r="E996" t="s">
        <v>3843</v>
      </c>
      <c r="F996" t="s">
        <v>3844</v>
      </c>
      <c r="G996" t="s">
        <v>126</v>
      </c>
      <c r="H996" t="s">
        <v>35</v>
      </c>
      <c r="I996">
        <v>14424</v>
      </c>
    </row>
    <row r="997" spans="1:9" x14ac:dyDescent="0.3">
      <c r="A997">
        <v>996</v>
      </c>
      <c r="B997" t="s">
        <v>3845</v>
      </c>
      <c r="C997" t="s">
        <v>1725</v>
      </c>
      <c r="D997" t="s">
        <v>31</v>
      </c>
      <c r="E997" t="s">
        <v>3846</v>
      </c>
      <c r="F997" t="s">
        <v>3847</v>
      </c>
      <c r="G997" t="s">
        <v>1770</v>
      </c>
      <c r="H997" t="s">
        <v>35</v>
      </c>
      <c r="I997">
        <v>11967</v>
      </c>
    </row>
    <row r="998" spans="1:9" x14ac:dyDescent="0.3">
      <c r="A998">
        <v>997</v>
      </c>
      <c r="B998" t="s">
        <v>3848</v>
      </c>
      <c r="C998" t="s">
        <v>3234</v>
      </c>
      <c r="D998" t="s">
        <v>31</v>
      </c>
      <c r="E998" t="s">
        <v>3849</v>
      </c>
      <c r="F998" t="s">
        <v>3850</v>
      </c>
      <c r="G998" t="s">
        <v>75</v>
      </c>
      <c r="H998" t="s">
        <v>35</v>
      </c>
      <c r="I998">
        <v>11510</v>
      </c>
    </row>
    <row r="999" spans="1:9" x14ac:dyDescent="0.3">
      <c r="A999">
        <v>998</v>
      </c>
      <c r="B999" t="s">
        <v>3851</v>
      </c>
      <c r="C999" t="s">
        <v>1253</v>
      </c>
      <c r="D999" t="s">
        <v>31</v>
      </c>
      <c r="E999" t="s">
        <v>3852</v>
      </c>
      <c r="F999" t="s">
        <v>3853</v>
      </c>
      <c r="G999" t="s">
        <v>2683</v>
      </c>
      <c r="H999" t="s">
        <v>35</v>
      </c>
      <c r="I999">
        <v>14701</v>
      </c>
    </row>
    <row r="1000" spans="1:9" x14ac:dyDescent="0.3">
      <c r="A1000">
        <v>999</v>
      </c>
      <c r="B1000" t="s">
        <v>3854</v>
      </c>
      <c r="C1000" t="s">
        <v>254</v>
      </c>
      <c r="D1000" t="s">
        <v>31</v>
      </c>
      <c r="E1000" t="s">
        <v>3855</v>
      </c>
      <c r="F1000" t="s">
        <v>3856</v>
      </c>
      <c r="G1000" t="s">
        <v>958</v>
      </c>
      <c r="H1000" t="s">
        <v>35</v>
      </c>
      <c r="I1000">
        <v>12020</v>
      </c>
    </row>
    <row r="1001" spans="1:9" x14ac:dyDescent="0.3">
      <c r="A1001">
        <v>1000</v>
      </c>
      <c r="B1001" t="s">
        <v>3857</v>
      </c>
      <c r="C1001" t="s">
        <v>2498</v>
      </c>
      <c r="D1001" t="s">
        <v>31</v>
      </c>
      <c r="E1001" t="s">
        <v>3858</v>
      </c>
      <c r="F1001" t="s">
        <v>3859</v>
      </c>
      <c r="G1001" t="s">
        <v>2772</v>
      </c>
      <c r="H1001" t="s">
        <v>35</v>
      </c>
      <c r="I1001">
        <v>11704</v>
      </c>
    </row>
    <row r="1002" spans="1:9" x14ac:dyDescent="0.3">
      <c r="A1002">
        <v>1001</v>
      </c>
      <c r="B1002" t="s">
        <v>886</v>
      </c>
      <c r="C1002" t="s">
        <v>1644</v>
      </c>
      <c r="D1002" t="s">
        <v>3860</v>
      </c>
      <c r="E1002" t="s">
        <v>3861</v>
      </c>
      <c r="F1002" t="s">
        <v>3862</v>
      </c>
      <c r="G1002" t="s">
        <v>1079</v>
      </c>
      <c r="H1002" t="s">
        <v>35</v>
      </c>
      <c r="I1002">
        <v>11717</v>
      </c>
    </row>
    <row r="1003" spans="1:9" x14ac:dyDescent="0.3">
      <c r="A1003">
        <v>1002</v>
      </c>
      <c r="B1003" t="s">
        <v>3863</v>
      </c>
      <c r="C1003" t="s">
        <v>3864</v>
      </c>
      <c r="D1003" t="s">
        <v>31</v>
      </c>
      <c r="E1003" t="s">
        <v>3865</v>
      </c>
      <c r="F1003" t="s">
        <v>3866</v>
      </c>
      <c r="G1003" t="s">
        <v>683</v>
      </c>
      <c r="H1003" t="s">
        <v>35</v>
      </c>
      <c r="I1003">
        <v>11758</v>
      </c>
    </row>
    <row r="1004" spans="1:9" x14ac:dyDescent="0.3">
      <c r="A1004">
        <v>1003</v>
      </c>
      <c r="B1004" t="s">
        <v>3867</v>
      </c>
      <c r="C1004" t="s">
        <v>1012</v>
      </c>
      <c r="D1004" t="s">
        <v>31</v>
      </c>
      <c r="E1004" t="s">
        <v>3868</v>
      </c>
      <c r="F1004" t="s">
        <v>3869</v>
      </c>
      <c r="G1004" t="s">
        <v>1931</v>
      </c>
      <c r="H1004" t="s">
        <v>41</v>
      </c>
      <c r="I1004">
        <v>92083</v>
      </c>
    </row>
    <row r="1005" spans="1:9" x14ac:dyDescent="0.3">
      <c r="A1005">
        <v>1004</v>
      </c>
      <c r="B1005" t="s">
        <v>3870</v>
      </c>
      <c r="C1005" t="s">
        <v>3010</v>
      </c>
      <c r="D1005" t="s">
        <v>31</v>
      </c>
      <c r="E1005" t="s">
        <v>3871</v>
      </c>
      <c r="F1005" t="s">
        <v>3872</v>
      </c>
      <c r="G1005" t="s">
        <v>292</v>
      </c>
      <c r="H1005" t="s">
        <v>35</v>
      </c>
      <c r="I1005">
        <v>11369</v>
      </c>
    </row>
    <row r="1006" spans="1:9" x14ac:dyDescent="0.3">
      <c r="A1006">
        <v>1005</v>
      </c>
      <c r="B1006" t="s">
        <v>3590</v>
      </c>
      <c r="C1006" t="s">
        <v>492</v>
      </c>
      <c r="D1006" t="s">
        <v>31</v>
      </c>
      <c r="E1006" t="s">
        <v>3873</v>
      </c>
      <c r="F1006" t="s">
        <v>3874</v>
      </c>
      <c r="G1006" t="s">
        <v>225</v>
      </c>
      <c r="H1006" t="s">
        <v>35</v>
      </c>
      <c r="I1006">
        <v>11102</v>
      </c>
    </row>
    <row r="1007" spans="1:9" x14ac:dyDescent="0.3">
      <c r="A1007">
        <v>1006</v>
      </c>
      <c r="B1007" t="s">
        <v>3875</v>
      </c>
      <c r="C1007" t="s">
        <v>3876</v>
      </c>
      <c r="D1007" t="s">
        <v>31</v>
      </c>
      <c r="E1007" t="s">
        <v>3877</v>
      </c>
      <c r="F1007" t="s">
        <v>3878</v>
      </c>
      <c r="G1007" t="s">
        <v>897</v>
      </c>
      <c r="H1007" t="s">
        <v>41</v>
      </c>
      <c r="I1007">
        <v>92307</v>
      </c>
    </row>
    <row r="1008" spans="1:9" x14ac:dyDescent="0.3">
      <c r="A1008">
        <v>1007</v>
      </c>
      <c r="B1008" t="s">
        <v>3879</v>
      </c>
      <c r="C1008" t="s">
        <v>3319</v>
      </c>
      <c r="D1008" t="s">
        <v>31</v>
      </c>
      <c r="E1008" t="s">
        <v>3880</v>
      </c>
      <c r="F1008" t="s">
        <v>3881</v>
      </c>
      <c r="G1008" t="s">
        <v>616</v>
      </c>
      <c r="H1008" t="s">
        <v>35</v>
      </c>
      <c r="I1008">
        <v>11414</v>
      </c>
    </row>
    <row r="1009" spans="1:9" x14ac:dyDescent="0.3">
      <c r="A1009">
        <v>1008</v>
      </c>
      <c r="B1009" t="s">
        <v>3882</v>
      </c>
      <c r="C1009" t="s">
        <v>1708</v>
      </c>
      <c r="D1009" t="s">
        <v>31</v>
      </c>
      <c r="E1009" t="s">
        <v>3883</v>
      </c>
      <c r="F1009" t="s">
        <v>3884</v>
      </c>
      <c r="G1009" t="s">
        <v>105</v>
      </c>
      <c r="H1009" t="s">
        <v>100</v>
      </c>
      <c r="I1009">
        <v>75126</v>
      </c>
    </row>
    <row r="1010" spans="1:9" x14ac:dyDescent="0.3">
      <c r="A1010">
        <v>1009</v>
      </c>
      <c r="B1010" t="s">
        <v>3885</v>
      </c>
      <c r="C1010" t="s">
        <v>3886</v>
      </c>
      <c r="D1010" t="s">
        <v>31</v>
      </c>
      <c r="E1010" t="s">
        <v>3887</v>
      </c>
      <c r="F1010" t="s">
        <v>3888</v>
      </c>
      <c r="G1010" t="s">
        <v>1642</v>
      </c>
      <c r="H1010" t="s">
        <v>35</v>
      </c>
      <c r="I1010">
        <v>11422</v>
      </c>
    </row>
    <row r="1011" spans="1:9" x14ac:dyDescent="0.3">
      <c r="A1011">
        <v>1010</v>
      </c>
      <c r="B1011" t="s">
        <v>3889</v>
      </c>
      <c r="C1011" t="s">
        <v>312</v>
      </c>
      <c r="D1011" t="s">
        <v>31</v>
      </c>
      <c r="E1011" t="s">
        <v>3890</v>
      </c>
      <c r="F1011" t="s">
        <v>3891</v>
      </c>
      <c r="G1011" t="s">
        <v>262</v>
      </c>
      <c r="H1011" t="s">
        <v>35</v>
      </c>
      <c r="I1011">
        <v>11714</v>
      </c>
    </row>
    <row r="1012" spans="1:9" x14ac:dyDescent="0.3">
      <c r="A1012">
        <v>1011</v>
      </c>
      <c r="B1012" t="s">
        <v>2896</v>
      </c>
      <c r="C1012" t="s">
        <v>3892</v>
      </c>
      <c r="D1012" t="s">
        <v>31</v>
      </c>
      <c r="E1012" t="s">
        <v>3893</v>
      </c>
      <c r="F1012" t="s">
        <v>3894</v>
      </c>
      <c r="G1012" t="s">
        <v>358</v>
      </c>
      <c r="H1012" t="s">
        <v>100</v>
      </c>
      <c r="I1012">
        <v>75043</v>
      </c>
    </row>
    <row r="1013" spans="1:9" x14ac:dyDescent="0.3">
      <c r="A1013">
        <v>1012</v>
      </c>
      <c r="B1013" t="s">
        <v>3895</v>
      </c>
      <c r="C1013" t="s">
        <v>3896</v>
      </c>
      <c r="D1013" t="s">
        <v>31</v>
      </c>
      <c r="E1013" t="s">
        <v>3897</v>
      </c>
      <c r="F1013" t="s">
        <v>3898</v>
      </c>
      <c r="G1013" t="s">
        <v>210</v>
      </c>
      <c r="H1013" t="s">
        <v>35</v>
      </c>
      <c r="I1013">
        <v>13027</v>
      </c>
    </row>
    <row r="1014" spans="1:9" x14ac:dyDescent="0.3">
      <c r="A1014">
        <v>1013</v>
      </c>
      <c r="B1014" t="s">
        <v>3899</v>
      </c>
      <c r="C1014" t="s">
        <v>1113</v>
      </c>
      <c r="D1014" t="s">
        <v>31</v>
      </c>
      <c r="E1014" t="s">
        <v>3900</v>
      </c>
      <c r="F1014" t="s">
        <v>3901</v>
      </c>
      <c r="G1014" t="s">
        <v>2098</v>
      </c>
      <c r="H1014" t="s">
        <v>35</v>
      </c>
      <c r="I1014">
        <v>11368</v>
      </c>
    </row>
    <row r="1015" spans="1:9" x14ac:dyDescent="0.3">
      <c r="A1015">
        <v>1014</v>
      </c>
      <c r="B1015" t="s">
        <v>3902</v>
      </c>
      <c r="C1015" t="s">
        <v>80</v>
      </c>
      <c r="D1015" t="s">
        <v>31</v>
      </c>
      <c r="E1015" t="s">
        <v>3903</v>
      </c>
      <c r="F1015" t="s">
        <v>3904</v>
      </c>
      <c r="G1015" t="s">
        <v>2168</v>
      </c>
      <c r="H1015" t="s">
        <v>35</v>
      </c>
      <c r="I1015">
        <v>11419</v>
      </c>
    </row>
    <row r="1016" spans="1:9" x14ac:dyDescent="0.3">
      <c r="A1016">
        <v>1015</v>
      </c>
      <c r="B1016" t="s">
        <v>518</v>
      </c>
      <c r="C1016" t="s">
        <v>1579</v>
      </c>
      <c r="D1016" t="s">
        <v>31</v>
      </c>
      <c r="E1016" t="s">
        <v>3905</v>
      </c>
      <c r="F1016" t="s">
        <v>3906</v>
      </c>
      <c r="G1016" t="s">
        <v>1222</v>
      </c>
      <c r="H1016" t="s">
        <v>35</v>
      </c>
      <c r="I1016">
        <v>11530</v>
      </c>
    </row>
    <row r="1017" spans="1:9" x14ac:dyDescent="0.3">
      <c r="A1017">
        <v>1016</v>
      </c>
      <c r="B1017" t="s">
        <v>3907</v>
      </c>
      <c r="C1017" t="s">
        <v>3908</v>
      </c>
      <c r="D1017" t="s">
        <v>3909</v>
      </c>
      <c r="E1017" t="s">
        <v>3910</v>
      </c>
      <c r="F1017" t="s">
        <v>3911</v>
      </c>
      <c r="G1017" t="s">
        <v>116</v>
      </c>
      <c r="H1017" t="s">
        <v>35</v>
      </c>
      <c r="I1017">
        <v>10002</v>
      </c>
    </row>
    <row r="1018" spans="1:9" x14ac:dyDescent="0.3">
      <c r="A1018">
        <v>1017</v>
      </c>
      <c r="B1018" t="s">
        <v>3912</v>
      </c>
      <c r="C1018" t="s">
        <v>735</v>
      </c>
      <c r="D1018" t="s">
        <v>3913</v>
      </c>
      <c r="E1018" t="s">
        <v>3914</v>
      </c>
      <c r="F1018" t="s">
        <v>3915</v>
      </c>
      <c r="G1018" t="s">
        <v>191</v>
      </c>
      <c r="H1018" t="s">
        <v>41</v>
      </c>
      <c r="I1018">
        <v>94603</v>
      </c>
    </row>
    <row r="1019" spans="1:9" x14ac:dyDescent="0.3">
      <c r="A1019">
        <v>1018</v>
      </c>
      <c r="B1019" t="s">
        <v>3916</v>
      </c>
      <c r="C1019" t="s">
        <v>1187</v>
      </c>
      <c r="D1019" t="s">
        <v>31</v>
      </c>
      <c r="E1019" t="s">
        <v>3917</v>
      </c>
      <c r="F1019" t="s">
        <v>3918</v>
      </c>
      <c r="G1019" t="s">
        <v>220</v>
      </c>
      <c r="H1019" t="s">
        <v>35</v>
      </c>
      <c r="I1019">
        <v>11378</v>
      </c>
    </row>
    <row r="1020" spans="1:9" x14ac:dyDescent="0.3">
      <c r="A1020">
        <v>1019</v>
      </c>
      <c r="B1020" t="s">
        <v>3919</v>
      </c>
      <c r="C1020" t="s">
        <v>1891</v>
      </c>
      <c r="D1020" t="s">
        <v>31</v>
      </c>
      <c r="E1020" t="s">
        <v>3920</v>
      </c>
      <c r="F1020" t="s">
        <v>3921</v>
      </c>
      <c r="G1020" t="s">
        <v>544</v>
      </c>
      <c r="H1020" t="s">
        <v>35</v>
      </c>
      <c r="I1020">
        <v>11373</v>
      </c>
    </row>
    <row r="1021" spans="1:9" x14ac:dyDescent="0.3">
      <c r="A1021">
        <v>1020</v>
      </c>
      <c r="B1021" t="s">
        <v>3922</v>
      </c>
      <c r="C1021" t="s">
        <v>1249</v>
      </c>
      <c r="D1021" t="s">
        <v>31</v>
      </c>
      <c r="E1021" t="s">
        <v>3923</v>
      </c>
      <c r="F1021" t="s">
        <v>3924</v>
      </c>
      <c r="G1021" t="s">
        <v>329</v>
      </c>
      <c r="H1021" t="s">
        <v>41</v>
      </c>
      <c r="I1021">
        <v>94070</v>
      </c>
    </row>
    <row r="1022" spans="1:9" x14ac:dyDescent="0.3">
      <c r="A1022">
        <v>1021</v>
      </c>
      <c r="B1022" t="s">
        <v>3925</v>
      </c>
      <c r="C1022" t="s">
        <v>3423</v>
      </c>
      <c r="D1022" t="s">
        <v>31</v>
      </c>
      <c r="E1022" t="s">
        <v>3926</v>
      </c>
      <c r="F1022" t="s">
        <v>3927</v>
      </c>
      <c r="G1022" t="s">
        <v>702</v>
      </c>
      <c r="H1022" t="s">
        <v>35</v>
      </c>
      <c r="I1022">
        <v>11412</v>
      </c>
    </row>
    <row r="1023" spans="1:9" x14ac:dyDescent="0.3">
      <c r="A1023">
        <v>1022</v>
      </c>
      <c r="B1023" t="s">
        <v>3928</v>
      </c>
      <c r="C1023" t="s">
        <v>680</v>
      </c>
      <c r="D1023" t="s">
        <v>31</v>
      </c>
      <c r="E1023" t="s">
        <v>3929</v>
      </c>
      <c r="F1023" t="s">
        <v>3930</v>
      </c>
      <c r="G1023" t="s">
        <v>160</v>
      </c>
      <c r="H1023" t="s">
        <v>35</v>
      </c>
      <c r="I1023">
        <v>10541</v>
      </c>
    </row>
    <row r="1024" spans="1:9" x14ac:dyDescent="0.3">
      <c r="A1024">
        <v>1023</v>
      </c>
      <c r="B1024" t="s">
        <v>3931</v>
      </c>
      <c r="C1024" t="s">
        <v>3932</v>
      </c>
      <c r="D1024" t="s">
        <v>31</v>
      </c>
      <c r="E1024" t="s">
        <v>3933</v>
      </c>
      <c r="F1024" t="s">
        <v>3934</v>
      </c>
      <c r="G1024" t="s">
        <v>958</v>
      </c>
      <c r="H1024" t="s">
        <v>35</v>
      </c>
      <c r="I1024">
        <v>12020</v>
      </c>
    </row>
    <row r="1025" spans="1:9" x14ac:dyDescent="0.3">
      <c r="A1025">
        <v>1024</v>
      </c>
      <c r="B1025" t="s">
        <v>3935</v>
      </c>
      <c r="C1025" t="s">
        <v>657</v>
      </c>
      <c r="D1025" t="s">
        <v>3936</v>
      </c>
      <c r="E1025" t="s">
        <v>3937</v>
      </c>
      <c r="F1025" t="s">
        <v>3938</v>
      </c>
      <c r="G1025" t="s">
        <v>1165</v>
      </c>
      <c r="H1025" t="s">
        <v>100</v>
      </c>
      <c r="I1025">
        <v>79930</v>
      </c>
    </row>
    <row r="1026" spans="1:9" x14ac:dyDescent="0.3">
      <c r="A1026">
        <v>1025</v>
      </c>
      <c r="B1026" t="s">
        <v>3939</v>
      </c>
      <c r="C1026" t="s">
        <v>2736</v>
      </c>
      <c r="D1026" t="s">
        <v>31</v>
      </c>
      <c r="E1026" t="s">
        <v>3940</v>
      </c>
      <c r="F1026" t="s">
        <v>3941</v>
      </c>
      <c r="G1026" t="s">
        <v>480</v>
      </c>
      <c r="H1026" t="s">
        <v>35</v>
      </c>
      <c r="I1026">
        <v>11735</v>
      </c>
    </row>
    <row r="1027" spans="1:9" x14ac:dyDescent="0.3">
      <c r="A1027">
        <v>1026</v>
      </c>
      <c r="B1027" t="s">
        <v>2324</v>
      </c>
      <c r="C1027" t="s">
        <v>840</v>
      </c>
      <c r="D1027" t="s">
        <v>31</v>
      </c>
      <c r="E1027" t="s">
        <v>3942</v>
      </c>
      <c r="F1027" t="s">
        <v>3943</v>
      </c>
      <c r="G1027" t="s">
        <v>2910</v>
      </c>
      <c r="H1027" t="s">
        <v>35</v>
      </c>
      <c r="I1027">
        <v>13760</v>
      </c>
    </row>
    <row r="1028" spans="1:9" x14ac:dyDescent="0.3">
      <c r="A1028">
        <v>1027</v>
      </c>
      <c r="B1028" t="s">
        <v>3944</v>
      </c>
      <c r="C1028" t="s">
        <v>3945</v>
      </c>
      <c r="D1028" t="s">
        <v>31</v>
      </c>
      <c r="E1028" t="s">
        <v>3946</v>
      </c>
      <c r="F1028" t="s">
        <v>3947</v>
      </c>
      <c r="G1028" t="s">
        <v>702</v>
      </c>
      <c r="H1028" t="s">
        <v>35</v>
      </c>
      <c r="I1028">
        <v>11412</v>
      </c>
    </row>
    <row r="1029" spans="1:9" x14ac:dyDescent="0.3">
      <c r="A1029">
        <v>1028</v>
      </c>
      <c r="B1029" t="s">
        <v>3948</v>
      </c>
      <c r="C1029" t="s">
        <v>424</v>
      </c>
      <c r="D1029" t="s">
        <v>31</v>
      </c>
      <c r="E1029" t="s">
        <v>3949</v>
      </c>
      <c r="F1029" t="s">
        <v>3950</v>
      </c>
      <c r="G1029" t="s">
        <v>126</v>
      </c>
      <c r="H1029" t="s">
        <v>35</v>
      </c>
      <c r="I1029">
        <v>14424</v>
      </c>
    </row>
    <row r="1030" spans="1:9" x14ac:dyDescent="0.3">
      <c r="A1030">
        <v>1029</v>
      </c>
      <c r="B1030" t="s">
        <v>3951</v>
      </c>
      <c r="C1030" t="s">
        <v>243</v>
      </c>
      <c r="D1030" t="s">
        <v>31</v>
      </c>
      <c r="E1030" t="s">
        <v>3952</v>
      </c>
      <c r="F1030" t="s">
        <v>3953</v>
      </c>
      <c r="G1030" t="s">
        <v>368</v>
      </c>
      <c r="H1030" t="s">
        <v>100</v>
      </c>
      <c r="I1030">
        <v>75088</v>
      </c>
    </row>
    <row r="1031" spans="1:9" x14ac:dyDescent="0.3">
      <c r="A1031">
        <v>1030</v>
      </c>
      <c r="B1031" t="s">
        <v>3954</v>
      </c>
      <c r="C1031" t="s">
        <v>1057</v>
      </c>
      <c r="D1031" t="s">
        <v>31</v>
      </c>
      <c r="E1031" t="s">
        <v>3955</v>
      </c>
      <c r="F1031" t="s">
        <v>3956</v>
      </c>
      <c r="G1031" t="s">
        <v>982</v>
      </c>
      <c r="H1031" t="s">
        <v>35</v>
      </c>
      <c r="I1031">
        <v>11201</v>
      </c>
    </row>
    <row r="1032" spans="1:9" x14ac:dyDescent="0.3">
      <c r="A1032">
        <v>1031</v>
      </c>
      <c r="B1032" t="s">
        <v>3671</v>
      </c>
      <c r="C1032" t="s">
        <v>59</v>
      </c>
      <c r="D1032" t="s">
        <v>31</v>
      </c>
      <c r="E1032" t="s">
        <v>3957</v>
      </c>
      <c r="F1032" t="s">
        <v>3958</v>
      </c>
      <c r="G1032" t="s">
        <v>62</v>
      </c>
      <c r="H1032" t="s">
        <v>35</v>
      </c>
      <c r="I1032">
        <v>14450</v>
      </c>
    </row>
    <row r="1033" spans="1:9" x14ac:dyDescent="0.3">
      <c r="A1033">
        <v>1032</v>
      </c>
      <c r="B1033" t="s">
        <v>3959</v>
      </c>
      <c r="C1033" t="s">
        <v>3212</v>
      </c>
      <c r="D1033" t="s">
        <v>31</v>
      </c>
      <c r="E1033" t="s">
        <v>3960</v>
      </c>
      <c r="F1033" t="s">
        <v>3961</v>
      </c>
      <c r="G1033" t="s">
        <v>445</v>
      </c>
      <c r="H1033" t="s">
        <v>35</v>
      </c>
      <c r="I1033">
        <v>11746</v>
      </c>
    </row>
    <row r="1034" spans="1:9" x14ac:dyDescent="0.3">
      <c r="A1034">
        <v>1033</v>
      </c>
      <c r="B1034" t="s">
        <v>3962</v>
      </c>
      <c r="C1034" t="s">
        <v>3301</v>
      </c>
      <c r="D1034" t="s">
        <v>31</v>
      </c>
      <c r="E1034" t="s">
        <v>3963</v>
      </c>
      <c r="F1034" t="s">
        <v>3964</v>
      </c>
      <c r="G1034" t="s">
        <v>1512</v>
      </c>
      <c r="H1034" t="s">
        <v>35</v>
      </c>
      <c r="I1034">
        <v>11375</v>
      </c>
    </row>
    <row r="1035" spans="1:9" x14ac:dyDescent="0.3">
      <c r="A1035">
        <v>1034</v>
      </c>
      <c r="B1035" t="s">
        <v>3965</v>
      </c>
      <c r="C1035" t="s">
        <v>3966</v>
      </c>
      <c r="D1035" t="s">
        <v>31</v>
      </c>
      <c r="E1035" t="s">
        <v>3967</v>
      </c>
      <c r="F1035" t="s">
        <v>3968</v>
      </c>
      <c r="G1035" t="s">
        <v>1330</v>
      </c>
      <c r="H1035" t="s">
        <v>35</v>
      </c>
      <c r="I1035">
        <v>11720</v>
      </c>
    </row>
    <row r="1036" spans="1:9" x14ac:dyDescent="0.3">
      <c r="A1036">
        <v>1035</v>
      </c>
      <c r="B1036" t="s">
        <v>242</v>
      </c>
      <c r="C1036" t="s">
        <v>3969</v>
      </c>
      <c r="D1036" t="s">
        <v>31</v>
      </c>
      <c r="E1036" t="s">
        <v>3970</v>
      </c>
      <c r="F1036" t="s">
        <v>3971</v>
      </c>
      <c r="G1036" t="s">
        <v>40</v>
      </c>
      <c r="H1036" t="s">
        <v>41</v>
      </c>
      <c r="I1036">
        <v>95008</v>
      </c>
    </row>
    <row r="1037" spans="1:9" x14ac:dyDescent="0.3">
      <c r="A1037">
        <v>1036</v>
      </c>
      <c r="B1037" t="s">
        <v>3602</v>
      </c>
      <c r="C1037" t="s">
        <v>2127</v>
      </c>
      <c r="D1037" t="s">
        <v>31</v>
      </c>
      <c r="E1037" t="s">
        <v>3972</v>
      </c>
      <c r="F1037" t="s">
        <v>3973</v>
      </c>
      <c r="G1037" t="s">
        <v>1330</v>
      </c>
      <c r="H1037" t="s">
        <v>35</v>
      </c>
      <c r="I1037">
        <v>11720</v>
      </c>
    </row>
    <row r="1038" spans="1:9" x14ac:dyDescent="0.3">
      <c r="A1038">
        <v>1037</v>
      </c>
      <c r="B1038" t="s">
        <v>414</v>
      </c>
      <c r="C1038" t="s">
        <v>3974</v>
      </c>
      <c r="D1038" t="s">
        <v>31</v>
      </c>
      <c r="E1038" t="s">
        <v>3975</v>
      </c>
      <c r="F1038" t="s">
        <v>3976</v>
      </c>
      <c r="G1038" t="s">
        <v>1988</v>
      </c>
      <c r="H1038" t="s">
        <v>35</v>
      </c>
      <c r="I1038">
        <v>10954</v>
      </c>
    </row>
    <row r="1039" spans="1:9" x14ac:dyDescent="0.3">
      <c r="A1039">
        <v>1038</v>
      </c>
      <c r="B1039" t="s">
        <v>101</v>
      </c>
      <c r="C1039" t="s">
        <v>1151</v>
      </c>
      <c r="D1039" t="s">
        <v>31</v>
      </c>
      <c r="E1039" t="s">
        <v>3977</v>
      </c>
      <c r="F1039" t="s">
        <v>3978</v>
      </c>
      <c r="G1039" t="s">
        <v>1512</v>
      </c>
      <c r="H1039" t="s">
        <v>35</v>
      </c>
      <c r="I1039">
        <v>11375</v>
      </c>
    </row>
    <row r="1040" spans="1:9" x14ac:dyDescent="0.3">
      <c r="A1040">
        <v>1039</v>
      </c>
      <c r="B1040" t="s">
        <v>3979</v>
      </c>
      <c r="C1040" t="s">
        <v>832</v>
      </c>
      <c r="D1040" t="s">
        <v>31</v>
      </c>
      <c r="E1040" t="s">
        <v>3980</v>
      </c>
      <c r="F1040" t="s">
        <v>3981</v>
      </c>
      <c r="G1040" t="s">
        <v>215</v>
      </c>
      <c r="H1040" t="s">
        <v>35</v>
      </c>
      <c r="I1040">
        <v>13090</v>
      </c>
    </row>
    <row r="1041" spans="1:9" x14ac:dyDescent="0.3">
      <c r="A1041">
        <v>1040</v>
      </c>
      <c r="B1041" t="s">
        <v>3982</v>
      </c>
      <c r="C1041" t="s">
        <v>3974</v>
      </c>
      <c r="D1041" t="s">
        <v>31</v>
      </c>
      <c r="E1041" t="s">
        <v>3983</v>
      </c>
      <c r="F1041" t="s">
        <v>3984</v>
      </c>
      <c r="G1041" t="s">
        <v>140</v>
      </c>
      <c r="H1041" t="s">
        <v>100</v>
      </c>
      <c r="I1041">
        <v>77904</v>
      </c>
    </row>
    <row r="1042" spans="1:9" x14ac:dyDescent="0.3">
      <c r="A1042">
        <v>1041</v>
      </c>
      <c r="B1042" t="s">
        <v>3985</v>
      </c>
      <c r="C1042" t="s">
        <v>102</v>
      </c>
      <c r="D1042" t="s">
        <v>31</v>
      </c>
      <c r="E1042" t="s">
        <v>3986</v>
      </c>
      <c r="F1042" t="s">
        <v>3987</v>
      </c>
      <c r="G1042" t="s">
        <v>450</v>
      </c>
      <c r="H1042" t="s">
        <v>35</v>
      </c>
      <c r="I1042">
        <v>13126</v>
      </c>
    </row>
    <row r="1043" spans="1:9" x14ac:dyDescent="0.3">
      <c r="A1043">
        <v>1042</v>
      </c>
      <c r="B1043" t="s">
        <v>3988</v>
      </c>
      <c r="C1043" t="s">
        <v>64</v>
      </c>
      <c r="D1043" t="s">
        <v>31</v>
      </c>
      <c r="E1043" t="s">
        <v>3989</v>
      </c>
      <c r="F1043" t="s">
        <v>3990</v>
      </c>
      <c r="G1043" t="s">
        <v>257</v>
      </c>
      <c r="H1043" t="s">
        <v>35</v>
      </c>
      <c r="I1043">
        <v>11003</v>
      </c>
    </row>
    <row r="1044" spans="1:9" x14ac:dyDescent="0.3">
      <c r="A1044">
        <v>1043</v>
      </c>
      <c r="B1044" t="s">
        <v>3991</v>
      </c>
      <c r="C1044" t="s">
        <v>3992</v>
      </c>
      <c r="D1044" t="s">
        <v>31</v>
      </c>
      <c r="E1044" t="s">
        <v>3993</v>
      </c>
      <c r="F1044" t="s">
        <v>3994</v>
      </c>
      <c r="G1044" t="s">
        <v>2549</v>
      </c>
      <c r="H1044" t="s">
        <v>35</v>
      </c>
      <c r="I1044">
        <v>11365</v>
      </c>
    </row>
    <row r="1045" spans="1:9" x14ac:dyDescent="0.3">
      <c r="A1045">
        <v>1044</v>
      </c>
      <c r="B1045" t="s">
        <v>3995</v>
      </c>
      <c r="C1045" t="s">
        <v>3996</v>
      </c>
      <c r="D1045" t="s">
        <v>31</v>
      </c>
      <c r="E1045" t="s">
        <v>3997</v>
      </c>
      <c r="F1045" t="s">
        <v>3998</v>
      </c>
      <c r="G1045" t="s">
        <v>1642</v>
      </c>
      <c r="H1045" t="s">
        <v>35</v>
      </c>
      <c r="I1045">
        <v>11422</v>
      </c>
    </row>
    <row r="1046" spans="1:9" x14ac:dyDescent="0.3">
      <c r="A1046">
        <v>1045</v>
      </c>
      <c r="B1046" t="s">
        <v>3999</v>
      </c>
      <c r="C1046" t="s">
        <v>4000</v>
      </c>
      <c r="D1046" t="s">
        <v>31</v>
      </c>
      <c r="E1046" t="s">
        <v>4001</v>
      </c>
      <c r="F1046" t="s">
        <v>4002</v>
      </c>
      <c r="G1046" t="s">
        <v>1931</v>
      </c>
      <c r="H1046" t="s">
        <v>41</v>
      </c>
      <c r="I1046">
        <v>92083</v>
      </c>
    </row>
    <row r="1047" spans="1:9" x14ac:dyDescent="0.3">
      <c r="A1047">
        <v>1046</v>
      </c>
      <c r="B1047" t="s">
        <v>4003</v>
      </c>
      <c r="C1047" t="s">
        <v>212</v>
      </c>
      <c r="D1047" t="s">
        <v>31</v>
      </c>
      <c r="E1047" t="s">
        <v>4004</v>
      </c>
      <c r="F1047" t="s">
        <v>4005</v>
      </c>
      <c r="G1047" t="s">
        <v>126</v>
      </c>
      <c r="H1047" t="s">
        <v>35</v>
      </c>
      <c r="I1047">
        <v>14424</v>
      </c>
    </row>
    <row r="1048" spans="1:9" x14ac:dyDescent="0.3">
      <c r="A1048">
        <v>1047</v>
      </c>
      <c r="B1048" t="s">
        <v>181</v>
      </c>
      <c r="C1048" t="s">
        <v>832</v>
      </c>
      <c r="D1048" t="s">
        <v>31</v>
      </c>
      <c r="E1048" t="s">
        <v>4006</v>
      </c>
      <c r="F1048" t="s">
        <v>4007</v>
      </c>
      <c r="G1048" t="s">
        <v>544</v>
      </c>
      <c r="H1048" t="s">
        <v>35</v>
      </c>
      <c r="I1048">
        <v>11373</v>
      </c>
    </row>
    <row r="1049" spans="1:9" x14ac:dyDescent="0.3">
      <c r="A1049">
        <v>1048</v>
      </c>
      <c r="B1049" t="s">
        <v>4008</v>
      </c>
      <c r="C1049" t="s">
        <v>1409</v>
      </c>
      <c r="D1049" t="s">
        <v>31</v>
      </c>
      <c r="E1049" t="s">
        <v>4009</v>
      </c>
      <c r="F1049" t="s">
        <v>4010</v>
      </c>
      <c r="G1049" t="s">
        <v>897</v>
      </c>
      <c r="H1049" t="s">
        <v>41</v>
      </c>
      <c r="I1049">
        <v>92307</v>
      </c>
    </row>
    <row r="1050" spans="1:9" x14ac:dyDescent="0.3">
      <c r="A1050">
        <v>1049</v>
      </c>
      <c r="B1050" t="s">
        <v>4011</v>
      </c>
      <c r="C1050" t="s">
        <v>1994</v>
      </c>
      <c r="D1050" t="s">
        <v>31</v>
      </c>
      <c r="E1050" t="s">
        <v>4012</v>
      </c>
      <c r="F1050" t="s">
        <v>4013</v>
      </c>
      <c r="G1050" t="s">
        <v>2572</v>
      </c>
      <c r="H1050" t="s">
        <v>35</v>
      </c>
      <c r="I1050">
        <v>12065</v>
      </c>
    </row>
    <row r="1051" spans="1:9" x14ac:dyDescent="0.3">
      <c r="A1051">
        <v>1050</v>
      </c>
      <c r="B1051" t="s">
        <v>4014</v>
      </c>
      <c r="C1051" t="s">
        <v>1776</v>
      </c>
      <c r="D1051" t="s">
        <v>31</v>
      </c>
      <c r="E1051" t="s">
        <v>4015</v>
      </c>
      <c r="F1051" t="s">
        <v>4016</v>
      </c>
      <c r="G1051" t="s">
        <v>1770</v>
      </c>
      <c r="H1051" t="s">
        <v>35</v>
      </c>
      <c r="I1051">
        <v>11967</v>
      </c>
    </row>
    <row r="1052" spans="1:9" x14ac:dyDescent="0.3">
      <c r="A1052">
        <v>1051</v>
      </c>
      <c r="B1052" t="s">
        <v>4017</v>
      </c>
      <c r="C1052" t="s">
        <v>2115</v>
      </c>
      <c r="D1052" t="s">
        <v>31</v>
      </c>
      <c r="E1052" t="s">
        <v>4018</v>
      </c>
      <c r="F1052" t="s">
        <v>4019</v>
      </c>
      <c r="G1052" t="s">
        <v>445</v>
      </c>
      <c r="H1052" t="s">
        <v>35</v>
      </c>
      <c r="I1052">
        <v>11746</v>
      </c>
    </row>
    <row r="1053" spans="1:9" x14ac:dyDescent="0.3">
      <c r="A1053">
        <v>1052</v>
      </c>
      <c r="B1053" t="s">
        <v>4020</v>
      </c>
      <c r="C1053" t="s">
        <v>2958</v>
      </c>
      <c r="D1053" t="s">
        <v>4021</v>
      </c>
      <c r="E1053" t="s">
        <v>4022</v>
      </c>
      <c r="F1053" t="s">
        <v>4023</v>
      </c>
      <c r="G1053" t="s">
        <v>57</v>
      </c>
      <c r="H1053" t="s">
        <v>41</v>
      </c>
      <c r="I1053">
        <v>95820</v>
      </c>
    </row>
    <row r="1054" spans="1:9" x14ac:dyDescent="0.3">
      <c r="A1054">
        <v>1053</v>
      </c>
      <c r="B1054" t="s">
        <v>4024</v>
      </c>
      <c r="C1054" t="s">
        <v>3393</v>
      </c>
      <c r="D1054" t="s">
        <v>31</v>
      </c>
      <c r="E1054" t="s">
        <v>4025</v>
      </c>
      <c r="F1054" t="s">
        <v>4026</v>
      </c>
      <c r="G1054" t="s">
        <v>160</v>
      </c>
      <c r="H1054" t="s">
        <v>35</v>
      </c>
      <c r="I1054">
        <v>10541</v>
      </c>
    </row>
    <row r="1055" spans="1:9" x14ac:dyDescent="0.3">
      <c r="A1055">
        <v>1054</v>
      </c>
      <c r="B1055" t="s">
        <v>4027</v>
      </c>
      <c r="C1055" t="s">
        <v>4028</v>
      </c>
      <c r="D1055" t="s">
        <v>31</v>
      </c>
      <c r="E1055" t="s">
        <v>4029</v>
      </c>
      <c r="F1055" t="s">
        <v>4030</v>
      </c>
      <c r="G1055" t="s">
        <v>358</v>
      </c>
      <c r="H1055" t="s">
        <v>100</v>
      </c>
      <c r="I1055">
        <v>75043</v>
      </c>
    </row>
    <row r="1056" spans="1:9" x14ac:dyDescent="0.3">
      <c r="A1056">
        <v>1055</v>
      </c>
      <c r="B1056" t="s">
        <v>4031</v>
      </c>
      <c r="C1056" t="s">
        <v>4032</v>
      </c>
      <c r="D1056" t="s">
        <v>31</v>
      </c>
      <c r="E1056" t="s">
        <v>4033</v>
      </c>
      <c r="F1056" t="s">
        <v>4034</v>
      </c>
      <c r="G1056" t="s">
        <v>220</v>
      </c>
      <c r="H1056" t="s">
        <v>35</v>
      </c>
      <c r="I1056">
        <v>11378</v>
      </c>
    </row>
    <row r="1057" spans="1:9" x14ac:dyDescent="0.3">
      <c r="A1057">
        <v>1056</v>
      </c>
      <c r="B1057" t="s">
        <v>4035</v>
      </c>
      <c r="C1057" t="s">
        <v>102</v>
      </c>
      <c r="D1057" t="s">
        <v>31</v>
      </c>
      <c r="E1057" t="s">
        <v>4036</v>
      </c>
      <c r="F1057" t="s">
        <v>4037</v>
      </c>
      <c r="G1057" t="s">
        <v>1525</v>
      </c>
      <c r="H1057" t="s">
        <v>35</v>
      </c>
      <c r="I1057">
        <v>10550</v>
      </c>
    </row>
    <row r="1058" spans="1:9" x14ac:dyDescent="0.3">
      <c r="A1058">
        <v>1057</v>
      </c>
      <c r="B1058" t="s">
        <v>4038</v>
      </c>
      <c r="C1058" t="s">
        <v>4039</v>
      </c>
      <c r="D1058" t="s">
        <v>31</v>
      </c>
      <c r="E1058" t="s">
        <v>4040</v>
      </c>
      <c r="F1058" t="s">
        <v>4041</v>
      </c>
      <c r="G1058" t="s">
        <v>1525</v>
      </c>
      <c r="H1058" t="s">
        <v>35</v>
      </c>
      <c r="I1058">
        <v>10550</v>
      </c>
    </row>
    <row r="1059" spans="1:9" x14ac:dyDescent="0.3">
      <c r="A1059">
        <v>1058</v>
      </c>
      <c r="B1059" t="s">
        <v>4042</v>
      </c>
      <c r="C1059" t="s">
        <v>610</v>
      </c>
      <c r="D1059" t="s">
        <v>31</v>
      </c>
      <c r="E1059" t="s">
        <v>4043</v>
      </c>
      <c r="F1059" t="s">
        <v>4044</v>
      </c>
      <c r="G1059" t="s">
        <v>884</v>
      </c>
      <c r="H1059" t="s">
        <v>35</v>
      </c>
      <c r="I1059">
        <v>14580</v>
      </c>
    </row>
    <row r="1060" spans="1:9" x14ac:dyDescent="0.3">
      <c r="A1060">
        <v>1059</v>
      </c>
      <c r="B1060" t="s">
        <v>4045</v>
      </c>
      <c r="C1060" t="s">
        <v>2862</v>
      </c>
      <c r="D1060" t="s">
        <v>31</v>
      </c>
      <c r="E1060" t="s">
        <v>4046</v>
      </c>
      <c r="F1060" t="s">
        <v>4047</v>
      </c>
      <c r="G1060" t="s">
        <v>145</v>
      </c>
      <c r="H1060" t="s">
        <v>35</v>
      </c>
      <c r="I1060">
        <v>11731</v>
      </c>
    </row>
    <row r="1061" spans="1:9" x14ac:dyDescent="0.3">
      <c r="A1061">
        <v>1060</v>
      </c>
      <c r="B1061" t="s">
        <v>359</v>
      </c>
      <c r="C1061" t="s">
        <v>3886</v>
      </c>
      <c r="D1061" t="s">
        <v>4048</v>
      </c>
      <c r="E1061" t="s">
        <v>4049</v>
      </c>
      <c r="F1061" t="s">
        <v>4050</v>
      </c>
      <c r="G1061" t="s">
        <v>231</v>
      </c>
      <c r="H1061" t="s">
        <v>35</v>
      </c>
      <c r="I1061">
        <v>14086</v>
      </c>
    </row>
    <row r="1062" spans="1:9" x14ac:dyDescent="0.3">
      <c r="A1062">
        <v>1061</v>
      </c>
      <c r="B1062" t="s">
        <v>4051</v>
      </c>
      <c r="C1062" t="s">
        <v>1326</v>
      </c>
      <c r="D1062" t="s">
        <v>31</v>
      </c>
      <c r="E1062" t="s">
        <v>4052</v>
      </c>
      <c r="F1062" t="s">
        <v>4053</v>
      </c>
      <c r="G1062" t="s">
        <v>590</v>
      </c>
      <c r="H1062" t="s">
        <v>100</v>
      </c>
      <c r="I1062">
        <v>76039</v>
      </c>
    </row>
    <row r="1063" spans="1:9" x14ac:dyDescent="0.3">
      <c r="A1063">
        <v>1062</v>
      </c>
      <c r="B1063" t="s">
        <v>4054</v>
      </c>
      <c r="C1063" t="s">
        <v>4055</v>
      </c>
      <c r="D1063" t="s">
        <v>31</v>
      </c>
      <c r="E1063" t="s">
        <v>4056</v>
      </c>
      <c r="F1063" t="s">
        <v>4057</v>
      </c>
      <c r="G1063" t="s">
        <v>1782</v>
      </c>
      <c r="H1063" t="s">
        <v>35</v>
      </c>
      <c r="I1063">
        <v>10512</v>
      </c>
    </row>
    <row r="1064" spans="1:9" x14ac:dyDescent="0.3">
      <c r="A1064">
        <v>1063</v>
      </c>
      <c r="B1064" t="s">
        <v>4058</v>
      </c>
      <c r="C1064" t="s">
        <v>2243</v>
      </c>
      <c r="D1064" t="s">
        <v>31</v>
      </c>
      <c r="E1064" t="s">
        <v>4059</v>
      </c>
      <c r="F1064" t="s">
        <v>4060</v>
      </c>
      <c r="G1064" t="s">
        <v>2057</v>
      </c>
      <c r="H1064" t="s">
        <v>100</v>
      </c>
      <c r="I1064">
        <v>77566</v>
      </c>
    </row>
    <row r="1065" spans="1:9" x14ac:dyDescent="0.3">
      <c r="A1065">
        <v>1064</v>
      </c>
      <c r="B1065" t="s">
        <v>4061</v>
      </c>
      <c r="C1065" t="s">
        <v>4062</v>
      </c>
      <c r="D1065" t="s">
        <v>31</v>
      </c>
      <c r="E1065" t="s">
        <v>4063</v>
      </c>
      <c r="F1065" t="s">
        <v>4064</v>
      </c>
      <c r="G1065" t="s">
        <v>368</v>
      </c>
      <c r="H1065" t="s">
        <v>100</v>
      </c>
      <c r="I1065">
        <v>75088</v>
      </c>
    </row>
    <row r="1066" spans="1:9" x14ac:dyDescent="0.3">
      <c r="A1066">
        <v>1065</v>
      </c>
      <c r="B1066" t="s">
        <v>4065</v>
      </c>
      <c r="C1066" t="s">
        <v>107</v>
      </c>
      <c r="D1066" t="s">
        <v>31</v>
      </c>
      <c r="E1066" t="s">
        <v>4066</v>
      </c>
      <c r="F1066" t="s">
        <v>4067</v>
      </c>
      <c r="G1066" t="s">
        <v>271</v>
      </c>
      <c r="H1066" t="s">
        <v>41</v>
      </c>
      <c r="I1066">
        <v>94580</v>
      </c>
    </row>
    <row r="1067" spans="1:9" x14ac:dyDescent="0.3">
      <c r="A1067">
        <v>1066</v>
      </c>
      <c r="B1067" t="s">
        <v>4068</v>
      </c>
      <c r="C1067" t="s">
        <v>70</v>
      </c>
      <c r="D1067" t="s">
        <v>4069</v>
      </c>
      <c r="E1067" t="s">
        <v>4070</v>
      </c>
      <c r="F1067" t="s">
        <v>4071</v>
      </c>
      <c r="G1067" t="s">
        <v>565</v>
      </c>
      <c r="H1067" t="s">
        <v>41</v>
      </c>
      <c r="I1067">
        <v>92806</v>
      </c>
    </row>
    <row r="1068" spans="1:9" x14ac:dyDescent="0.3">
      <c r="A1068">
        <v>1067</v>
      </c>
      <c r="B1068" t="s">
        <v>4072</v>
      </c>
      <c r="C1068" t="s">
        <v>4073</v>
      </c>
      <c r="D1068" t="s">
        <v>31</v>
      </c>
      <c r="E1068" t="s">
        <v>4074</v>
      </c>
      <c r="F1068" t="s">
        <v>4075</v>
      </c>
      <c r="G1068" t="s">
        <v>940</v>
      </c>
      <c r="H1068" t="s">
        <v>35</v>
      </c>
      <c r="I1068">
        <v>11374</v>
      </c>
    </row>
    <row r="1069" spans="1:9" x14ac:dyDescent="0.3">
      <c r="A1069">
        <v>1068</v>
      </c>
      <c r="B1069" t="s">
        <v>4076</v>
      </c>
      <c r="C1069" t="s">
        <v>4077</v>
      </c>
      <c r="D1069" t="s">
        <v>31</v>
      </c>
      <c r="E1069" t="s">
        <v>4078</v>
      </c>
      <c r="F1069" t="s">
        <v>4079</v>
      </c>
      <c r="G1069" t="s">
        <v>455</v>
      </c>
      <c r="H1069" t="s">
        <v>41</v>
      </c>
      <c r="I1069">
        <v>91010</v>
      </c>
    </row>
    <row r="1070" spans="1:9" x14ac:dyDescent="0.3">
      <c r="A1070">
        <v>1069</v>
      </c>
      <c r="B1070" t="s">
        <v>4080</v>
      </c>
      <c r="C1070" t="s">
        <v>4081</v>
      </c>
      <c r="D1070" t="s">
        <v>31</v>
      </c>
      <c r="E1070" t="s">
        <v>4082</v>
      </c>
      <c r="F1070" t="s">
        <v>4083</v>
      </c>
      <c r="G1070" t="s">
        <v>1770</v>
      </c>
      <c r="H1070" t="s">
        <v>35</v>
      </c>
      <c r="I1070">
        <v>11967</v>
      </c>
    </row>
    <row r="1071" spans="1:9" x14ac:dyDescent="0.3">
      <c r="A1071">
        <v>1070</v>
      </c>
      <c r="B1071" t="s">
        <v>4084</v>
      </c>
      <c r="C1071" t="s">
        <v>2111</v>
      </c>
      <c r="D1071" t="s">
        <v>31</v>
      </c>
      <c r="E1071" t="s">
        <v>4085</v>
      </c>
      <c r="F1071" t="s">
        <v>4086</v>
      </c>
      <c r="G1071" t="s">
        <v>4087</v>
      </c>
      <c r="H1071" t="s">
        <v>35</v>
      </c>
      <c r="I1071">
        <v>11364</v>
      </c>
    </row>
    <row r="1072" spans="1:9" x14ac:dyDescent="0.3">
      <c r="A1072">
        <v>1071</v>
      </c>
      <c r="B1072" t="s">
        <v>4088</v>
      </c>
      <c r="C1072" t="s">
        <v>340</v>
      </c>
      <c r="D1072" t="s">
        <v>31</v>
      </c>
      <c r="E1072" t="s">
        <v>4089</v>
      </c>
      <c r="F1072" t="s">
        <v>4090</v>
      </c>
      <c r="G1072" t="s">
        <v>1596</v>
      </c>
      <c r="H1072" t="s">
        <v>41</v>
      </c>
      <c r="I1072">
        <v>91768</v>
      </c>
    </row>
    <row r="1073" spans="1:9" x14ac:dyDescent="0.3">
      <c r="A1073">
        <v>1072</v>
      </c>
      <c r="B1073" t="s">
        <v>4091</v>
      </c>
      <c r="C1073" t="s">
        <v>312</v>
      </c>
      <c r="D1073" t="s">
        <v>31</v>
      </c>
      <c r="E1073" t="s">
        <v>4092</v>
      </c>
      <c r="F1073" t="s">
        <v>4093</v>
      </c>
      <c r="G1073" t="s">
        <v>409</v>
      </c>
      <c r="H1073" t="s">
        <v>100</v>
      </c>
      <c r="I1073">
        <v>75080</v>
      </c>
    </row>
    <row r="1074" spans="1:9" x14ac:dyDescent="0.3">
      <c r="A1074">
        <v>1073</v>
      </c>
      <c r="B1074" t="s">
        <v>4094</v>
      </c>
      <c r="C1074" t="s">
        <v>1373</v>
      </c>
      <c r="D1074" t="s">
        <v>31</v>
      </c>
      <c r="E1074" t="s">
        <v>4095</v>
      </c>
      <c r="F1074" t="s">
        <v>4096</v>
      </c>
      <c r="G1074" t="s">
        <v>500</v>
      </c>
      <c r="H1074" t="s">
        <v>35</v>
      </c>
      <c r="I1074">
        <v>11361</v>
      </c>
    </row>
    <row r="1075" spans="1:9" x14ac:dyDescent="0.3">
      <c r="A1075">
        <v>1074</v>
      </c>
      <c r="B1075" t="s">
        <v>4097</v>
      </c>
      <c r="C1075" t="s">
        <v>268</v>
      </c>
      <c r="D1075" t="s">
        <v>31</v>
      </c>
      <c r="E1075" t="s">
        <v>4098</v>
      </c>
      <c r="F1075" t="s">
        <v>4099</v>
      </c>
      <c r="G1075" t="s">
        <v>553</v>
      </c>
      <c r="H1075" t="s">
        <v>35</v>
      </c>
      <c r="I1075">
        <v>11001</v>
      </c>
    </row>
    <row r="1076" spans="1:9" x14ac:dyDescent="0.3">
      <c r="A1076">
        <v>1075</v>
      </c>
      <c r="B1076" t="s">
        <v>4100</v>
      </c>
      <c r="C1076" t="s">
        <v>4101</v>
      </c>
      <c r="D1076" t="s">
        <v>31</v>
      </c>
      <c r="E1076" t="s">
        <v>4102</v>
      </c>
      <c r="F1076" t="s">
        <v>4103</v>
      </c>
      <c r="G1076" t="s">
        <v>445</v>
      </c>
      <c r="H1076" t="s">
        <v>35</v>
      </c>
      <c r="I1076">
        <v>11746</v>
      </c>
    </row>
    <row r="1077" spans="1:9" x14ac:dyDescent="0.3">
      <c r="A1077">
        <v>1076</v>
      </c>
      <c r="B1077" t="s">
        <v>4104</v>
      </c>
      <c r="C1077" t="s">
        <v>680</v>
      </c>
      <c r="D1077" t="s">
        <v>31</v>
      </c>
      <c r="E1077" t="s">
        <v>4105</v>
      </c>
      <c r="F1077" t="s">
        <v>4106</v>
      </c>
      <c r="G1077" t="s">
        <v>1931</v>
      </c>
      <c r="H1077" t="s">
        <v>41</v>
      </c>
      <c r="I1077">
        <v>92083</v>
      </c>
    </row>
    <row r="1078" spans="1:9" x14ac:dyDescent="0.3">
      <c r="A1078">
        <v>1077</v>
      </c>
      <c r="B1078" t="s">
        <v>3851</v>
      </c>
      <c r="C1078" t="s">
        <v>1290</v>
      </c>
      <c r="D1078" t="s">
        <v>31</v>
      </c>
      <c r="E1078" t="s">
        <v>4107</v>
      </c>
      <c r="F1078" t="s">
        <v>4108</v>
      </c>
      <c r="G1078" t="s">
        <v>171</v>
      </c>
      <c r="H1078" t="s">
        <v>35</v>
      </c>
      <c r="I1078">
        <v>11104</v>
      </c>
    </row>
    <row r="1079" spans="1:9" x14ac:dyDescent="0.3">
      <c r="A1079">
        <v>1078</v>
      </c>
      <c r="B1079" t="s">
        <v>4109</v>
      </c>
      <c r="C1079" t="s">
        <v>2857</v>
      </c>
      <c r="D1079" t="s">
        <v>31</v>
      </c>
      <c r="E1079" t="s">
        <v>4110</v>
      </c>
      <c r="F1079" t="s">
        <v>4111</v>
      </c>
      <c r="G1079" t="s">
        <v>1512</v>
      </c>
      <c r="H1079" t="s">
        <v>35</v>
      </c>
      <c r="I1079">
        <v>11375</v>
      </c>
    </row>
    <row r="1080" spans="1:9" x14ac:dyDescent="0.3">
      <c r="A1080">
        <v>1079</v>
      </c>
      <c r="B1080" t="s">
        <v>1116</v>
      </c>
      <c r="C1080" t="s">
        <v>3623</v>
      </c>
      <c r="D1080" t="s">
        <v>31</v>
      </c>
      <c r="E1080" t="s">
        <v>4112</v>
      </c>
      <c r="F1080" t="s">
        <v>4113</v>
      </c>
      <c r="G1080" t="s">
        <v>553</v>
      </c>
      <c r="H1080" t="s">
        <v>35</v>
      </c>
      <c r="I1080">
        <v>11001</v>
      </c>
    </row>
    <row r="1081" spans="1:9" x14ac:dyDescent="0.3">
      <c r="A1081">
        <v>1080</v>
      </c>
      <c r="B1081" t="s">
        <v>4114</v>
      </c>
      <c r="C1081" t="s">
        <v>4115</v>
      </c>
      <c r="D1081" t="s">
        <v>31</v>
      </c>
      <c r="E1081" t="s">
        <v>4116</v>
      </c>
      <c r="F1081" t="s">
        <v>4117</v>
      </c>
      <c r="G1081" t="s">
        <v>99</v>
      </c>
      <c r="H1081" t="s">
        <v>100</v>
      </c>
      <c r="I1081">
        <v>75604</v>
      </c>
    </row>
    <row r="1082" spans="1:9" x14ac:dyDescent="0.3">
      <c r="A1082">
        <v>1081</v>
      </c>
      <c r="B1082" t="s">
        <v>375</v>
      </c>
      <c r="C1082" t="s">
        <v>4118</v>
      </c>
      <c r="D1082" t="s">
        <v>31</v>
      </c>
      <c r="E1082" t="s">
        <v>4119</v>
      </c>
      <c r="F1082" t="s">
        <v>4120</v>
      </c>
      <c r="G1082" t="s">
        <v>1857</v>
      </c>
      <c r="H1082" t="s">
        <v>35</v>
      </c>
      <c r="I1082">
        <v>10801</v>
      </c>
    </row>
    <row r="1083" spans="1:9" x14ac:dyDescent="0.3">
      <c r="A1083">
        <v>1082</v>
      </c>
      <c r="B1083" t="s">
        <v>4121</v>
      </c>
      <c r="C1083" t="s">
        <v>2075</v>
      </c>
      <c r="D1083" t="s">
        <v>4122</v>
      </c>
      <c r="E1083" t="s">
        <v>4123</v>
      </c>
      <c r="F1083" t="s">
        <v>4124</v>
      </c>
      <c r="G1083" t="s">
        <v>166</v>
      </c>
      <c r="H1083" t="s">
        <v>35</v>
      </c>
      <c r="I1083">
        <v>11561</v>
      </c>
    </row>
    <row r="1084" spans="1:9" x14ac:dyDescent="0.3">
      <c r="A1084">
        <v>1083</v>
      </c>
      <c r="B1084" t="s">
        <v>4125</v>
      </c>
      <c r="C1084" t="s">
        <v>3833</v>
      </c>
      <c r="D1084" t="s">
        <v>31</v>
      </c>
      <c r="E1084" t="s">
        <v>4126</v>
      </c>
      <c r="F1084" t="s">
        <v>4127</v>
      </c>
      <c r="G1084" t="s">
        <v>1591</v>
      </c>
      <c r="H1084" t="s">
        <v>35</v>
      </c>
      <c r="I1084">
        <v>11793</v>
      </c>
    </row>
    <row r="1085" spans="1:9" x14ac:dyDescent="0.3">
      <c r="A1085">
        <v>1084</v>
      </c>
      <c r="B1085" t="s">
        <v>825</v>
      </c>
      <c r="C1085" t="s">
        <v>748</v>
      </c>
      <c r="D1085" t="s">
        <v>31</v>
      </c>
      <c r="E1085" t="s">
        <v>4128</v>
      </c>
      <c r="F1085" t="s">
        <v>4129</v>
      </c>
      <c r="G1085" t="s">
        <v>469</v>
      </c>
      <c r="H1085" t="s">
        <v>35</v>
      </c>
      <c r="I1085">
        <v>11010</v>
      </c>
    </row>
    <row r="1086" spans="1:9" x14ac:dyDescent="0.3">
      <c r="A1086">
        <v>1085</v>
      </c>
      <c r="B1086" t="s">
        <v>2748</v>
      </c>
      <c r="C1086" t="s">
        <v>2354</v>
      </c>
      <c r="D1086" t="s">
        <v>31</v>
      </c>
      <c r="E1086" t="s">
        <v>4130</v>
      </c>
      <c r="F1086" t="s">
        <v>4131</v>
      </c>
      <c r="G1086" t="s">
        <v>320</v>
      </c>
      <c r="H1086" t="s">
        <v>35</v>
      </c>
      <c r="I1086">
        <v>11722</v>
      </c>
    </row>
    <row r="1087" spans="1:9" x14ac:dyDescent="0.3">
      <c r="A1087">
        <v>1086</v>
      </c>
      <c r="B1087" t="s">
        <v>4132</v>
      </c>
      <c r="C1087" t="s">
        <v>4133</v>
      </c>
      <c r="D1087" t="s">
        <v>31</v>
      </c>
      <c r="E1087" t="s">
        <v>4134</v>
      </c>
      <c r="F1087" t="s">
        <v>4135</v>
      </c>
      <c r="G1087" t="s">
        <v>977</v>
      </c>
      <c r="H1087" t="s">
        <v>35</v>
      </c>
      <c r="I1087">
        <v>11432</v>
      </c>
    </row>
    <row r="1088" spans="1:9" x14ac:dyDescent="0.3">
      <c r="A1088">
        <v>1087</v>
      </c>
      <c r="B1088" t="s">
        <v>4136</v>
      </c>
      <c r="C1088" t="s">
        <v>3151</v>
      </c>
      <c r="D1088" t="s">
        <v>31</v>
      </c>
      <c r="E1088" t="s">
        <v>4137</v>
      </c>
      <c r="F1088" t="s">
        <v>4138</v>
      </c>
      <c r="G1088" t="s">
        <v>1200</v>
      </c>
      <c r="H1088" t="s">
        <v>41</v>
      </c>
      <c r="I1088">
        <v>94566</v>
      </c>
    </row>
    <row r="1089" spans="1:9" x14ac:dyDescent="0.3">
      <c r="A1089">
        <v>1088</v>
      </c>
      <c r="B1089" t="s">
        <v>4139</v>
      </c>
      <c r="C1089" t="s">
        <v>2144</v>
      </c>
      <c r="D1089" t="s">
        <v>31</v>
      </c>
      <c r="E1089" t="s">
        <v>4140</v>
      </c>
      <c r="F1089" t="s">
        <v>4141</v>
      </c>
      <c r="G1089" t="s">
        <v>897</v>
      </c>
      <c r="H1089" t="s">
        <v>41</v>
      </c>
      <c r="I1089">
        <v>92307</v>
      </c>
    </row>
    <row r="1090" spans="1:9" x14ac:dyDescent="0.3">
      <c r="A1090">
        <v>1089</v>
      </c>
      <c r="B1090" t="s">
        <v>1445</v>
      </c>
      <c r="C1090" t="s">
        <v>4142</v>
      </c>
      <c r="D1090" t="s">
        <v>31</v>
      </c>
      <c r="E1090" t="s">
        <v>4143</v>
      </c>
      <c r="F1090" t="s">
        <v>4144</v>
      </c>
      <c r="G1090" t="s">
        <v>34</v>
      </c>
      <c r="H1090" t="s">
        <v>35</v>
      </c>
      <c r="I1090">
        <v>14127</v>
      </c>
    </row>
    <row r="1091" spans="1:9" x14ac:dyDescent="0.3">
      <c r="A1091">
        <v>1090</v>
      </c>
      <c r="B1091" t="s">
        <v>2751</v>
      </c>
      <c r="C1091" t="s">
        <v>1389</v>
      </c>
      <c r="D1091" t="s">
        <v>31</v>
      </c>
      <c r="E1091" t="s">
        <v>4145</v>
      </c>
      <c r="F1091" t="s">
        <v>4146</v>
      </c>
      <c r="G1091" t="s">
        <v>404</v>
      </c>
      <c r="H1091" t="s">
        <v>35</v>
      </c>
      <c r="I1091">
        <v>11776</v>
      </c>
    </row>
    <row r="1092" spans="1:9" x14ac:dyDescent="0.3">
      <c r="A1092">
        <v>1091</v>
      </c>
      <c r="B1092" t="s">
        <v>4147</v>
      </c>
      <c r="C1092" t="s">
        <v>4148</v>
      </c>
      <c r="D1092" t="s">
        <v>31</v>
      </c>
      <c r="E1092" t="s">
        <v>4149</v>
      </c>
      <c r="F1092" t="s">
        <v>4150</v>
      </c>
      <c r="G1092" t="s">
        <v>373</v>
      </c>
      <c r="H1092" t="s">
        <v>41</v>
      </c>
      <c r="I1092">
        <v>95677</v>
      </c>
    </row>
    <row r="1093" spans="1:9" x14ac:dyDescent="0.3">
      <c r="A1093">
        <v>1092</v>
      </c>
      <c r="B1093" t="s">
        <v>4151</v>
      </c>
      <c r="C1093" t="s">
        <v>1385</v>
      </c>
      <c r="D1093" t="s">
        <v>31</v>
      </c>
      <c r="E1093" t="s">
        <v>4152</v>
      </c>
      <c r="F1093" t="s">
        <v>4153</v>
      </c>
      <c r="G1093" t="s">
        <v>145</v>
      </c>
      <c r="H1093" t="s">
        <v>35</v>
      </c>
      <c r="I1093">
        <v>11731</v>
      </c>
    </row>
    <row r="1094" spans="1:9" x14ac:dyDescent="0.3">
      <c r="A1094">
        <v>1093</v>
      </c>
      <c r="B1094" t="s">
        <v>4154</v>
      </c>
      <c r="C1094" t="s">
        <v>4155</v>
      </c>
      <c r="D1094" t="s">
        <v>31</v>
      </c>
      <c r="E1094" t="s">
        <v>4156</v>
      </c>
      <c r="F1094" t="s">
        <v>4157</v>
      </c>
      <c r="G1094" t="s">
        <v>1088</v>
      </c>
      <c r="H1094" t="s">
        <v>35</v>
      </c>
      <c r="I1094">
        <v>11729</v>
      </c>
    </row>
    <row r="1095" spans="1:9" x14ac:dyDescent="0.3">
      <c r="A1095">
        <v>1094</v>
      </c>
      <c r="B1095" t="s">
        <v>4158</v>
      </c>
      <c r="C1095" t="s">
        <v>4159</v>
      </c>
      <c r="D1095" t="s">
        <v>31</v>
      </c>
      <c r="E1095" t="s">
        <v>4160</v>
      </c>
      <c r="F1095" t="s">
        <v>4161</v>
      </c>
      <c r="G1095" t="s">
        <v>440</v>
      </c>
      <c r="H1095" t="s">
        <v>35</v>
      </c>
      <c r="I1095">
        <v>11757</v>
      </c>
    </row>
    <row r="1096" spans="1:9" x14ac:dyDescent="0.3">
      <c r="A1096">
        <v>1095</v>
      </c>
      <c r="B1096" t="s">
        <v>151</v>
      </c>
      <c r="C1096" t="s">
        <v>2993</v>
      </c>
      <c r="D1096" t="s">
        <v>31</v>
      </c>
      <c r="E1096" t="s">
        <v>4162</v>
      </c>
      <c r="F1096" t="s">
        <v>4163</v>
      </c>
      <c r="G1096" t="s">
        <v>940</v>
      </c>
      <c r="H1096" t="s">
        <v>35</v>
      </c>
      <c r="I1096">
        <v>11374</v>
      </c>
    </row>
    <row r="1097" spans="1:9" x14ac:dyDescent="0.3">
      <c r="A1097">
        <v>1096</v>
      </c>
      <c r="B1097" t="s">
        <v>1572</v>
      </c>
      <c r="C1097" t="s">
        <v>4164</v>
      </c>
      <c r="D1097" t="s">
        <v>31</v>
      </c>
      <c r="E1097" t="s">
        <v>4165</v>
      </c>
      <c r="F1097" t="s">
        <v>4166</v>
      </c>
      <c r="G1097" t="s">
        <v>210</v>
      </c>
      <c r="H1097" t="s">
        <v>35</v>
      </c>
      <c r="I1097">
        <v>13027</v>
      </c>
    </row>
    <row r="1098" spans="1:9" x14ac:dyDescent="0.3">
      <c r="A1098">
        <v>1097</v>
      </c>
      <c r="B1098" t="s">
        <v>2002</v>
      </c>
      <c r="C1098" t="s">
        <v>4167</v>
      </c>
      <c r="D1098" t="s">
        <v>31</v>
      </c>
      <c r="E1098" t="s">
        <v>4168</v>
      </c>
      <c r="F1098" t="s">
        <v>4169</v>
      </c>
      <c r="G1098" t="s">
        <v>1141</v>
      </c>
      <c r="H1098" t="s">
        <v>41</v>
      </c>
      <c r="I1098">
        <v>94806</v>
      </c>
    </row>
    <row r="1099" spans="1:9" x14ac:dyDescent="0.3">
      <c r="A1099">
        <v>1098</v>
      </c>
      <c r="B1099" t="s">
        <v>4170</v>
      </c>
      <c r="C1099" t="s">
        <v>2484</v>
      </c>
      <c r="D1099" t="s">
        <v>31</v>
      </c>
      <c r="E1099" t="s">
        <v>4171</v>
      </c>
      <c r="F1099" t="s">
        <v>4172</v>
      </c>
      <c r="G1099" t="s">
        <v>324</v>
      </c>
      <c r="H1099" t="s">
        <v>35</v>
      </c>
      <c r="I1099">
        <v>11570</v>
      </c>
    </row>
    <row r="1100" spans="1:9" x14ac:dyDescent="0.3">
      <c r="A1100">
        <v>1099</v>
      </c>
      <c r="B1100" t="s">
        <v>4173</v>
      </c>
      <c r="C1100" t="s">
        <v>3208</v>
      </c>
      <c r="D1100" t="s">
        <v>31</v>
      </c>
      <c r="E1100" t="s">
        <v>4174</v>
      </c>
      <c r="F1100" t="s">
        <v>4175</v>
      </c>
      <c r="G1100" t="s">
        <v>73</v>
      </c>
      <c r="H1100" t="s">
        <v>35</v>
      </c>
      <c r="I1100">
        <v>11372</v>
      </c>
    </row>
    <row r="1101" spans="1:9" x14ac:dyDescent="0.3">
      <c r="A1101">
        <v>1100</v>
      </c>
      <c r="B1101" t="s">
        <v>4176</v>
      </c>
      <c r="C1101" t="s">
        <v>2281</v>
      </c>
      <c r="D1101" t="s">
        <v>31</v>
      </c>
      <c r="E1101" t="s">
        <v>4177</v>
      </c>
      <c r="F1101" t="s">
        <v>4178</v>
      </c>
      <c r="G1101" t="s">
        <v>958</v>
      </c>
      <c r="H1101" t="s">
        <v>35</v>
      </c>
      <c r="I1101">
        <v>12020</v>
      </c>
    </row>
    <row r="1102" spans="1:9" x14ac:dyDescent="0.3">
      <c r="A1102">
        <v>1101</v>
      </c>
      <c r="B1102" t="s">
        <v>4179</v>
      </c>
      <c r="C1102" t="s">
        <v>4180</v>
      </c>
      <c r="D1102" t="s">
        <v>31</v>
      </c>
      <c r="E1102" t="s">
        <v>4181</v>
      </c>
      <c r="F1102" t="s">
        <v>4182</v>
      </c>
      <c r="G1102" t="s">
        <v>1751</v>
      </c>
      <c r="H1102" t="s">
        <v>35</v>
      </c>
      <c r="I1102">
        <v>14043</v>
      </c>
    </row>
    <row r="1103" spans="1:9" x14ac:dyDescent="0.3">
      <c r="A1103">
        <v>1102</v>
      </c>
      <c r="B1103" t="s">
        <v>4183</v>
      </c>
      <c r="C1103" t="s">
        <v>2537</v>
      </c>
      <c r="D1103" t="s">
        <v>4184</v>
      </c>
      <c r="E1103" t="s">
        <v>4185</v>
      </c>
      <c r="F1103" t="s">
        <v>4186</v>
      </c>
      <c r="G1103" t="s">
        <v>2174</v>
      </c>
      <c r="H1103" t="s">
        <v>100</v>
      </c>
      <c r="I1103">
        <v>76110</v>
      </c>
    </row>
    <row r="1104" spans="1:9" x14ac:dyDescent="0.3">
      <c r="A1104">
        <v>1103</v>
      </c>
      <c r="B1104" t="s">
        <v>4187</v>
      </c>
      <c r="C1104" t="s">
        <v>3886</v>
      </c>
      <c r="D1104" t="s">
        <v>31</v>
      </c>
      <c r="E1104" t="s">
        <v>4188</v>
      </c>
      <c r="F1104" t="s">
        <v>4189</v>
      </c>
      <c r="G1104" t="s">
        <v>1123</v>
      </c>
      <c r="H1104" t="s">
        <v>41</v>
      </c>
      <c r="I1104">
        <v>91387</v>
      </c>
    </row>
    <row r="1105" spans="1:9" x14ac:dyDescent="0.3">
      <c r="A1105">
        <v>1104</v>
      </c>
      <c r="B1105" t="s">
        <v>4190</v>
      </c>
      <c r="C1105" t="s">
        <v>2214</v>
      </c>
      <c r="D1105" t="s">
        <v>31</v>
      </c>
      <c r="E1105" t="s">
        <v>4191</v>
      </c>
      <c r="F1105" t="s">
        <v>4192</v>
      </c>
      <c r="G1105" t="s">
        <v>693</v>
      </c>
      <c r="H1105" t="s">
        <v>35</v>
      </c>
      <c r="I1105">
        <v>10977</v>
      </c>
    </row>
    <row r="1106" spans="1:9" x14ac:dyDescent="0.3">
      <c r="A1106">
        <v>1105</v>
      </c>
      <c r="B1106" t="s">
        <v>4193</v>
      </c>
      <c r="C1106" t="s">
        <v>4159</v>
      </c>
      <c r="D1106" t="s">
        <v>31</v>
      </c>
      <c r="E1106" t="s">
        <v>4194</v>
      </c>
      <c r="F1106" t="s">
        <v>4195</v>
      </c>
      <c r="G1106" t="s">
        <v>409</v>
      </c>
      <c r="H1106" t="s">
        <v>100</v>
      </c>
      <c r="I1106">
        <v>75080</v>
      </c>
    </row>
    <row r="1107" spans="1:9" x14ac:dyDescent="0.3">
      <c r="A1107">
        <v>1106</v>
      </c>
      <c r="B1107" t="s">
        <v>4054</v>
      </c>
      <c r="C1107" t="s">
        <v>312</v>
      </c>
      <c r="D1107" t="s">
        <v>31</v>
      </c>
      <c r="E1107" t="s">
        <v>4196</v>
      </c>
      <c r="F1107" t="s">
        <v>4197</v>
      </c>
      <c r="G1107" t="s">
        <v>693</v>
      </c>
      <c r="H1107" t="s">
        <v>35</v>
      </c>
      <c r="I1107">
        <v>10977</v>
      </c>
    </row>
    <row r="1108" spans="1:9" x14ac:dyDescent="0.3">
      <c r="A1108">
        <v>1107</v>
      </c>
      <c r="B1108" t="s">
        <v>4198</v>
      </c>
      <c r="C1108" t="s">
        <v>80</v>
      </c>
      <c r="D1108" t="s">
        <v>31</v>
      </c>
      <c r="E1108" t="s">
        <v>4199</v>
      </c>
      <c r="F1108" t="s">
        <v>4200</v>
      </c>
      <c r="G1108" t="s">
        <v>495</v>
      </c>
      <c r="H1108" t="s">
        <v>35</v>
      </c>
      <c r="I1108">
        <v>12866</v>
      </c>
    </row>
    <row r="1109" spans="1:9" x14ac:dyDescent="0.3">
      <c r="A1109">
        <v>1108</v>
      </c>
      <c r="B1109" t="s">
        <v>4201</v>
      </c>
      <c r="C1109" t="s">
        <v>3096</v>
      </c>
      <c r="D1109" t="s">
        <v>31</v>
      </c>
      <c r="E1109" t="s">
        <v>4202</v>
      </c>
      <c r="F1109" t="s">
        <v>4203</v>
      </c>
      <c r="G1109" t="s">
        <v>348</v>
      </c>
      <c r="H1109" t="s">
        <v>100</v>
      </c>
      <c r="I1109">
        <v>75115</v>
      </c>
    </row>
    <row r="1110" spans="1:9" x14ac:dyDescent="0.3">
      <c r="A1110">
        <v>1109</v>
      </c>
      <c r="B1110" t="s">
        <v>4204</v>
      </c>
      <c r="C1110" t="s">
        <v>955</v>
      </c>
      <c r="D1110" t="s">
        <v>31</v>
      </c>
      <c r="E1110" t="s">
        <v>4205</v>
      </c>
      <c r="F1110" t="s">
        <v>4206</v>
      </c>
      <c r="G1110" t="s">
        <v>1088</v>
      </c>
      <c r="H1110" t="s">
        <v>35</v>
      </c>
      <c r="I1110">
        <v>11729</v>
      </c>
    </row>
    <row r="1111" spans="1:9" x14ac:dyDescent="0.3">
      <c r="A1111">
        <v>1110</v>
      </c>
      <c r="B1111" t="s">
        <v>2413</v>
      </c>
      <c r="C1111" t="s">
        <v>767</v>
      </c>
      <c r="D1111" t="s">
        <v>31</v>
      </c>
      <c r="E1111" t="s">
        <v>4207</v>
      </c>
      <c r="F1111" t="s">
        <v>4208</v>
      </c>
      <c r="G1111" t="s">
        <v>573</v>
      </c>
      <c r="H1111" t="s">
        <v>35</v>
      </c>
      <c r="I1111">
        <v>11552</v>
      </c>
    </row>
    <row r="1112" spans="1:9" x14ac:dyDescent="0.3">
      <c r="A1112">
        <v>1111</v>
      </c>
      <c r="B1112" t="s">
        <v>4209</v>
      </c>
      <c r="C1112" t="s">
        <v>1424</v>
      </c>
      <c r="D1112" t="s">
        <v>31</v>
      </c>
      <c r="E1112" t="s">
        <v>4210</v>
      </c>
      <c r="F1112" t="s">
        <v>4211</v>
      </c>
      <c r="G1112" t="s">
        <v>409</v>
      </c>
      <c r="H1112" t="s">
        <v>100</v>
      </c>
      <c r="I1112">
        <v>75080</v>
      </c>
    </row>
    <row r="1113" spans="1:9" x14ac:dyDescent="0.3">
      <c r="A1113">
        <v>1112</v>
      </c>
      <c r="B1113" t="s">
        <v>150</v>
      </c>
      <c r="C1113" t="s">
        <v>1090</v>
      </c>
      <c r="D1113" t="s">
        <v>31</v>
      </c>
      <c r="E1113" t="s">
        <v>4212</v>
      </c>
      <c r="F1113" t="s">
        <v>4213</v>
      </c>
      <c r="G1113" t="s">
        <v>683</v>
      </c>
      <c r="H1113" t="s">
        <v>35</v>
      </c>
      <c r="I1113">
        <v>11758</v>
      </c>
    </row>
    <row r="1114" spans="1:9" x14ac:dyDescent="0.3">
      <c r="A1114">
        <v>1113</v>
      </c>
      <c r="B1114" t="s">
        <v>4214</v>
      </c>
      <c r="C1114" t="s">
        <v>4215</v>
      </c>
      <c r="D1114" t="s">
        <v>31</v>
      </c>
      <c r="E1114" t="s">
        <v>4216</v>
      </c>
      <c r="F1114" t="s">
        <v>4217</v>
      </c>
      <c r="G1114" t="s">
        <v>2683</v>
      </c>
      <c r="H1114" t="s">
        <v>35</v>
      </c>
      <c r="I1114">
        <v>14701</v>
      </c>
    </row>
    <row r="1115" spans="1:9" x14ac:dyDescent="0.3">
      <c r="A1115">
        <v>1114</v>
      </c>
      <c r="B1115" t="s">
        <v>1877</v>
      </c>
      <c r="C1115" t="s">
        <v>984</v>
      </c>
      <c r="D1115" t="s">
        <v>4218</v>
      </c>
      <c r="E1115" t="s">
        <v>4219</v>
      </c>
      <c r="F1115" t="s">
        <v>4220</v>
      </c>
      <c r="G1115" t="s">
        <v>1000</v>
      </c>
      <c r="H1115" t="s">
        <v>35</v>
      </c>
      <c r="I1115">
        <v>12203</v>
      </c>
    </row>
    <row r="1116" spans="1:9" x14ac:dyDescent="0.3">
      <c r="A1116">
        <v>1115</v>
      </c>
      <c r="B1116" t="s">
        <v>4221</v>
      </c>
      <c r="C1116" t="s">
        <v>4222</v>
      </c>
      <c r="D1116" t="s">
        <v>31</v>
      </c>
      <c r="E1116" t="s">
        <v>4223</v>
      </c>
      <c r="F1116" t="s">
        <v>4224</v>
      </c>
      <c r="G1116" t="s">
        <v>2208</v>
      </c>
      <c r="H1116" t="s">
        <v>35</v>
      </c>
      <c r="I1116">
        <v>11542</v>
      </c>
    </row>
    <row r="1117" spans="1:9" x14ac:dyDescent="0.3">
      <c r="A1117">
        <v>1116</v>
      </c>
      <c r="B1117" t="s">
        <v>4225</v>
      </c>
      <c r="C1117" t="s">
        <v>4226</v>
      </c>
      <c r="D1117" t="s">
        <v>31</v>
      </c>
      <c r="E1117" t="s">
        <v>4227</v>
      </c>
      <c r="F1117" t="s">
        <v>4228</v>
      </c>
      <c r="G1117" t="s">
        <v>225</v>
      </c>
      <c r="H1117" t="s">
        <v>35</v>
      </c>
      <c r="I1117">
        <v>11102</v>
      </c>
    </row>
    <row r="1118" spans="1:9" x14ac:dyDescent="0.3">
      <c r="A1118">
        <v>1117</v>
      </c>
      <c r="B1118" t="s">
        <v>4229</v>
      </c>
      <c r="C1118" t="s">
        <v>618</v>
      </c>
      <c r="D1118" t="s">
        <v>31</v>
      </c>
      <c r="E1118" t="s">
        <v>4230</v>
      </c>
      <c r="F1118" t="s">
        <v>4231</v>
      </c>
      <c r="G1118" t="s">
        <v>1642</v>
      </c>
      <c r="H1118" t="s">
        <v>35</v>
      </c>
      <c r="I1118">
        <v>11422</v>
      </c>
    </row>
    <row r="1119" spans="1:9" x14ac:dyDescent="0.3">
      <c r="A1119">
        <v>1118</v>
      </c>
      <c r="B1119" t="s">
        <v>4232</v>
      </c>
      <c r="C1119" t="s">
        <v>600</v>
      </c>
      <c r="D1119" t="s">
        <v>31</v>
      </c>
      <c r="E1119" t="s">
        <v>4233</v>
      </c>
      <c r="F1119" t="s">
        <v>4234</v>
      </c>
      <c r="G1119" t="s">
        <v>1123</v>
      </c>
      <c r="H1119" t="s">
        <v>41</v>
      </c>
      <c r="I1119">
        <v>91387</v>
      </c>
    </row>
    <row r="1120" spans="1:9" x14ac:dyDescent="0.3">
      <c r="A1120">
        <v>1119</v>
      </c>
      <c r="B1120" t="s">
        <v>4235</v>
      </c>
      <c r="C1120" t="s">
        <v>4236</v>
      </c>
      <c r="D1120" t="s">
        <v>31</v>
      </c>
      <c r="E1120" t="s">
        <v>4237</v>
      </c>
      <c r="F1120" t="s">
        <v>4238</v>
      </c>
      <c r="G1120" t="s">
        <v>88</v>
      </c>
      <c r="H1120" t="s">
        <v>35</v>
      </c>
      <c r="I1120">
        <v>10952</v>
      </c>
    </row>
    <row r="1121" spans="1:9" x14ac:dyDescent="0.3">
      <c r="A1121">
        <v>1120</v>
      </c>
      <c r="B1121" t="s">
        <v>4239</v>
      </c>
      <c r="C1121" t="s">
        <v>1467</v>
      </c>
      <c r="D1121" t="s">
        <v>31</v>
      </c>
      <c r="E1121" t="s">
        <v>4240</v>
      </c>
      <c r="F1121" t="s">
        <v>4241</v>
      </c>
      <c r="G1121" t="s">
        <v>145</v>
      </c>
      <c r="H1121" t="s">
        <v>35</v>
      </c>
      <c r="I1121">
        <v>11731</v>
      </c>
    </row>
    <row r="1122" spans="1:9" x14ac:dyDescent="0.3">
      <c r="A1122">
        <v>1121</v>
      </c>
      <c r="B1122" t="s">
        <v>4242</v>
      </c>
      <c r="C1122" t="s">
        <v>4243</v>
      </c>
      <c r="D1122" t="s">
        <v>31</v>
      </c>
      <c r="E1122" t="s">
        <v>4244</v>
      </c>
      <c r="F1122" t="s">
        <v>4245</v>
      </c>
      <c r="G1122" t="s">
        <v>2556</v>
      </c>
      <c r="H1122" t="s">
        <v>35</v>
      </c>
      <c r="I1122">
        <v>10598</v>
      </c>
    </row>
    <row r="1123" spans="1:9" x14ac:dyDescent="0.3">
      <c r="A1123">
        <v>1122</v>
      </c>
      <c r="B1123" t="s">
        <v>4246</v>
      </c>
      <c r="C1123" t="s">
        <v>1124</v>
      </c>
      <c r="D1123" t="s">
        <v>31</v>
      </c>
      <c r="E1123" t="s">
        <v>4247</v>
      </c>
      <c r="F1123" t="s">
        <v>4248</v>
      </c>
      <c r="G1123" t="s">
        <v>1185</v>
      </c>
      <c r="H1123" t="s">
        <v>35</v>
      </c>
      <c r="I1123">
        <v>11762</v>
      </c>
    </row>
    <row r="1124" spans="1:9" x14ac:dyDescent="0.3">
      <c r="A1124">
        <v>1123</v>
      </c>
      <c r="B1124" t="s">
        <v>4249</v>
      </c>
      <c r="C1124" t="s">
        <v>3574</v>
      </c>
      <c r="D1124" t="s">
        <v>31</v>
      </c>
      <c r="E1124" t="s">
        <v>4250</v>
      </c>
      <c r="F1124" t="s">
        <v>4251</v>
      </c>
      <c r="G1124" t="s">
        <v>62</v>
      </c>
      <c r="H1124" t="s">
        <v>35</v>
      </c>
      <c r="I1124">
        <v>14450</v>
      </c>
    </row>
    <row r="1125" spans="1:9" x14ac:dyDescent="0.3">
      <c r="A1125">
        <v>1124</v>
      </c>
      <c r="B1125" t="s">
        <v>4252</v>
      </c>
      <c r="C1125" t="s">
        <v>4253</v>
      </c>
      <c r="D1125" t="s">
        <v>31</v>
      </c>
      <c r="E1125" t="s">
        <v>4254</v>
      </c>
      <c r="F1125" t="s">
        <v>4255</v>
      </c>
      <c r="G1125" t="s">
        <v>343</v>
      </c>
      <c r="H1125" t="s">
        <v>35</v>
      </c>
      <c r="I1125">
        <v>11701</v>
      </c>
    </row>
    <row r="1126" spans="1:9" x14ac:dyDescent="0.3">
      <c r="A1126">
        <v>1125</v>
      </c>
      <c r="B1126" t="s">
        <v>4256</v>
      </c>
      <c r="C1126" t="s">
        <v>4257</v>
      </c>
      <c r="D1126" t="s">
        <v>31</v>
      </c>
      <c r="E1126" t="s">
        <v>4258</v>
      </c>
      <c r="F1126" t="s">
        <v>4259</v>
      </c>
      <c r="G1126" t="s">
        <v>1200</v>
      </c>
      <c r="H1126" t="s">
        <v>41</v>
      </c>
      <c r="I1126">
        <v>94566</v>
      </c>
    </row>
    <row r="1127" spans="1:9" x14ac:dyDescent="0.3">
      <c r="A1127">
        <v>1126</v>
      </c>
      <c r="B1127" t="s">
        <v>4260</v>
      </c>
      <c r="C1127" t="s">
        <v>4261</v>
      </c>
      <c r="D1127" t="s">
        <v>31</v>
      </c>
      <c r="E1127" t="s">
        <v>4262</v>
      </c>
      <c r="F1127" t="s">
        <v>4263</v>
      </c>
      <c r="G1127" t="s">
        <v>693</v>
      </c>
      <c r="H1127" t="s">
        <v>35</v>
      </c>
      <c r="I1127">
        <v>10977</v>
      </c>
    </row>
    <row r="1128" spans="1:9" x14ac:dyDescent="0.3">
      <c r="A1128">
        <v>1127</v>
      </c>
      <c r="B1128" t="s">
        <v>4264</v>
      </c>
      <c r="C1128" t="s">
        <v>2897</v>
      </c>
      <c r="D1128" t="s">
        <v>31</v>
      </c>
      <c r="E1128" t="s">
        <v>4265</v>
      </c>
      <c r="F1128" t="s">
        <v>4266</v>
      </c>
      <c r="G1128" t="s">
        <v>241</v>
      </c>
      <c r="H1128" t="s">
        <v>35</v>
      </c>
      <c r="I1128">
        <v>12804</v>
      </c>
    </row>
    <row r="1129" spans="1:9" x14ac:dyDescent="0.3">
      <c r="A1129">
        <v>1128</v>
      </c>
      <c r="B1129" t="s">
        <v>4267</v>
      </c>
      <c r="C1129" t="s">
        <v>4268</v>
      </c>
      <c r="D1129" t="s">
        <v>31</v>
      </c>
      <c r="E1129" t="s">
        <v>4269</v>
      </c>
      <c r="F1129" t="s">
        <v>4270</v>
      </c>
      <c r="G1129" t="s">
        <v>160</v>
      </c>
      <c r="H1129" t="s">
        <v>35</v>
      </c>
      <c r="I1129">
        <v>10541</v>
      </c>
    </row>
    <row r="1130" spans="1:9" x14ac:dyDescent="0.3">
      <c r="A1130">
        <v>1129</v>
      </c>
      <c r="B1130" t="s">
        <v>1403</v>
      </c>
      <c r="C1130" t="s">
        <v>3195</v>
      </c>
      <c r="D1130" t="s">
        <v>31</v>
      </c>
      <c r="E1130" t="s">
        <v>4271</v>
      </c>
      <c r="F1130" t="s">
        <v>4272</v>
      </c>
      <c r="G1130" t="s">
        <v>803</v>
      </c>
      <c r="H1130" t="s">
        <v>35</v>
      </c>
      <c r="I1130">
        <v>11377</v>
      </c>
    </row>
    <row r="1131" spans="1:9" x14ac:dyDescent="0.3">
      <c r="A1131">
        <v>1130</v>
      </c>
      <c r="B1131" t="s">
        <v>4273</v>
      </c>
      <c r="C1131" t="s">
        <v>3695</v>
      </c>
      <c r="D1131" t="s">
        <v>31</v>
      </c>
      <c r="E1131" t="s">
        <v>4274</v>
      </c>
      <c r="F1131" t="s">
        <v>4275</v>
      </c>
      <c r="G1131" t="s">
        <v>257</v>
      </c>
      <c r="H1131" t="s">
        <v>35</v>
      </c>
      <c r="I1131">
        <v>11003</v>
      </c>
    </row>
    <row r="1132" spans="1:9" x14ac:dyDescent="0.3">
      <c r="A1132">
        <v>1131</v>
      </c>
      <c r="B1132" t="s">
        <v>4276</v>
      </c>
      <c r="C1132" t="s">
        <v>4277</v>
      </c>
      <c r="D1132" t="s">
        <v>31</v>
      </c>
      <c r="E1132" t="s">
        <v>4278</v>
      </c>
      <c r="F1132" t="s">
        <v>4279</v>
      </c>
      <c r="G1132" t="s">
        <v>1525</v>
      </c>
      <c r="H1132" t="s">
        <v>35</v>
      </c>
      <c r="I1132">
        <v>10550</v>
      </c>
    </row>
    <row r="1133" spans="1:9" x14ac:dyDescent="0.3">
      <c r="A1133">
        <v>1132</v>
      </c>
      <c r="B1133" t="s">
        <v>4024</v>
      </c>
      <c r="C1133" t="s">
        <v>4280</v>
      </c>
      <c r="D1133" t="s">
        <v>31</v>
      </c>
      <c r="E1133" t="s">
        <v>4281</v>
      </c>
      <c r="F1133" t="s">
        <v>4282</v>
      </c>
      <c r="G1133" t="s">
        <v>1617</v>
      </c>
      <c r="H1133" t="s">
        <v>35</v>
      </c>
      <c r="I1133">
        <v>14850</v>
      </c>
    </row>
    <row r="1134" spans="1:9" x14ac:dyDescent="0.3">
      <c r="A1134">
        <v>1133</v>
      </c>
      <c r="B1134" t="s">
        <v>4283</v>
      </c>
      <c r="C1134" t="s">
        <v>970</v>
      </c>
      <c r="D1134" t="s">
        <v>31</v>
      </c>
      <c r="E1134" t="s">
        <v>4284</v>
      </c>
      <c r="F1134" t="s">
        <v>4285</v>
      </c>
      <c r="G1134" t="s">
        <v>770</v>
      </c>
      <c r="H1134" t="s">
        <v>35</v>
      </c>
      <c r="I1134">
        <v>11795</v>
      </c>
    </row>
    <row r="1135" spans="1:9" x14ac:dyDescent="0.3">
      <c r="A1135">
        <v>1134</v>
      </c>
      <c r="B1135" t="s">
        <v>4286</v>
      </c>
      <c r="C1135" t="s">
        <v>2100</v>
      </c>
      <c r="D1135" t="s">
        <v>31</v>
      </c>
      <c r="E1135" t="s">
        <v>4287</v>
      </c>
      <c r="F1135" t="s">
        <v>4288</v>
      </c>
      <c r="G1135" t="s">
        <v>348</v>
      </c>
      <c r="H1135" t="s">
        <v>100</v>
      </c>
      <c r="I1135">
        <v>75115</v>
      </c>
    </row>
    <row r="1136" spans="1:9" x14ac:dyDescent="0.3">
      <c r="A1136">
        <v>1135</v>
      </c>
      <c r="B1136" t="s">
        <v>4289</v>
      </c>
      <c r="C1136" t="s">
        <v>182</v>
      </c>
      <c r="D1136" t="s">
        <v>31</v>
      </c>
      <c r="E1136" t="s">
        <v>4290</v>
      </c>
      <c r="F1136" t="s">
        <v>4291</v>
      </c>
      <c r="G1136" t="s">
        <v>358</v>
      </c>
      <c r="H1136" t="s">
        <v>100</v>
      </c>
      <c r="I1136">
        <v>75043</v>
      </c>
    </row>
    <row r="1137" spans="1:9" x14ac:dyDescent="0.3">
      <c r="A1137">
        <v>1136</v>
      </c>
      <c r="B1137" t="s">
        <v>4292</v>
      </c>
      <c r="C1137" t="s">
        <v>4293</v>
      </c>
      <c r="D1137" t="s">
        <v>4294</v>
      </c>
      <c r="E1137" t="s">
        <v>4295</v>
      </c>
      <c r="F1137" t="s">
        <v>4296</v>
      </c>
      <c r="G1137" t="s">
        <v>1937</v>
      </c>
      <c r="H1137" t="s">
        <v>35</v>
      </c>
      <c r="I1137">
        <v>14606</v>
      </c>
    </row>
    <row r="1138" spans="1:9" x14ac:dyDescent="0.3">
      <c r="A1138">
        <v>1137</v>
      </c>
      <c r="B1138" t="s">
        <v>4297</v>
      </c>
      <c r="C1138" t="s">
        <v>1792</v>
      </c>
      <c r="D1138" t="s">
        <v>31</v>
      </c>
      <c r="E1138" t="s">
        <v>4298</v>
      </c>
      <c r="F1138" t="s">
        <v>4299</v>
      </c>
      <c r="G1138" t="s">
        <v>78</v>
      </c>
      <c r="H1138" t="s">
        <v>35</v>
      </c>
      <c r="I1138">
        <v>11050</v>
      </c>
    </row>
    <row r="1139" spans="1:9" x14ac:dyDescent="0.3">
      <c r="A1139">
        <v>1138</v>
      </c>
      <c r="B1139" t="s">
        <v>4252</v>
      </c>
      <c r="C1139" t="s">
        <v>628</v>
      </c>
      <c r="D1139" t="s">
        <v>31</v>
      </c>
      <c r="E1139" t="s">
        <v>4300</v>
      </c>
      <c r="F1139" t="s">
        <v>4301</v>
      </c>
      <c r="G1139" t="s">
        <v>990</v>
      </c>
      <c r="H1139" t="s">
        <v>41</v>
      </c>
      <c r="I1139">
        <v>93555</v>
      </c>
    </row>
    <row r="1140" spans="1:9" x14ac:dyDescent="0.3">
      <c r="A1140">
        <v>1139</v>
      </c>
      <c r="B1140" t="s">
        <v>4302</v>
      </c>
      <c r="C1140" t="s">
        <v>3992</v>
      </c>
      <c r="D1140" t="s">
        <v>31</v>
      </c>
      <c r="E1140" t="s">
        <v>4303</v>
      </c>
      <c r="F1140" t="s">
        <v>4304</v>
      </c>
      <c r="G1140" t="s">
        <v>1525</v>
      </c>
      <c r="H1140" t="s">
        <v>35</v>
      </c>
      <c r="I1140">
        <v>10550</v>
      </c>
    </row>
    <row r="1141" spans="1:9" x14ac:dyDescent="0.3">
      <c r="A1141">
        <v>1140</v>
      </c>
      <c r="B1141" t="s">
        <v>4305</v>
      </c>
      <c r="C1141" t="s">
        <v>4306</v>
      </c>
      <c r="D1141" t="s">
        <v>31</v>
      </c>
      <c r="E1141" t="s">
        <v>4307</v>
      </c>
      <c r="F1141" t="s">
        <v>4308</v>
      </c>
      <c r="G1141" t="s">
        <v>215</v>
      </c>
      <c r="H1141" t="s">
        <v>35</v>
      </c>
      <c r="I1141">
        <v>13090</v>
      </c>
    </row>
    <row r="1142" spans="1:9" x14ac:dyDescent="0.3">
      <c r="A1142">
        <v>1141</v>
      </c>
      <c r="B1142" t="s">
        <v>4309</v>
      </c>
      <c r="C1142" t="s">
        <v>461</v>
      </c>
      <c r="D1142" t="s">
        <v>31</v>
      </c>
      <c r="E1142" t="s">
        <v>4310</v>
      </c>
      <c r="F1142" t="s">
        <v>4311</v>
      </c>
      <c r="G1142" t="s">
        <v>635</v>
      </c>
      <c r="H1142" t="s">
        <v>35</v>
      </c>
      <c r="I1142">
        <v>12550</v>
      </c>
    </row>
    <row r="1143" spans="1:9" x14ac:dyDescent="0.3">
      <c r="A1143">
        <v>1142</v>
      </c>
      <c r="B1143" t="s">
        <v>4312</v>
      </c>
      <c r="C1143" t="s">
        <v>2232</v>
      </c>
      <c r="D1143" t="s">
        <v>31</v>
      </c>
      <c r="E1143" t="s">
        <v>4313</v>
      </c>
      <c r="F1143" t="s">
        <v>4314</v>
      </c>
      <c r="G1143" t="s">
        <v>599</v>
      </c>
      <c r="H1143" t="s">
        <v>35</v>
      </c>
      <c r="I1143">
        <v>14534</v>
      </c>
    </row>
    <row r="1144" spans="1:9" x14ac:dyDescent="0.3">
      <c r="A1144">
        <v>1143</v>
      </c>
      <c r="B1144" t="s">
        <v>4315</v>
      </c>
      <c r="C1144" t="s">
        <v>488</v>
      </c>
      <c r="D1144" t="s">
        <v>31</v>
      </c>
      <c r="E1144" t="s">
        <v>4316</v>
      </c>
      <c r="F1144" t="s">
        <v>4317</v>
      </c>
      <c r="G1144" t="s">
        <v>4318</v>
      </c>
      <c r="H1144" t="s">
        <v>35</v>
      </c>
      <c r="I1144">
        <v>14150</v>
      </c>
    </row>
    <row r="1145" spans="1:9" x14ac:dyDescent="0.3">
      <c r="A1145">
        <v>1144</v>
      </c>
      <c r="B1145" t="s">
        <v>4319</v>
      </c>
      <c r="C1145" t="s">
        <v>4320</v>
      </c>
      <c r="D1145" t="s">
        <v>31</v>
      </c>
      <c r="E1145" t="s">
        <v>4321</v>
      </c>
      <c r="F1145" t="s">
        <v>4322</v>
      </c>
      <c r="G1145" t="s">
        <v>4087</v>
      </c>
      <c r="H1145" t="s">
        <v>35</v>
      </c>
      <c r="I1145">
        <v>11364</v>
      </c>
    </row>
    <row r="1146" spans="1:9" x14ac:dyDescent="0.3">
      <c r="A1146">
        <v>1145</v>
      </c>
      <c r="B1146" t="s">
        <v>4323</v>
      </c>
      <c r="C1146" t="s">
        <v>350</v>
      </c>
      <c r="D1146" t="s">
        <v>4324</v>
      </c>
      <c r="E1146" t="s">
        <v>4325</v>
      </c>
      <c r="F1146" t="s">
        <v>4326</v>
      </c>
      <c r="G1146" t="s">
        <v>1908</v>
      </c>
      <c r="H1146" t="s">
        <v>35</v>
      </c>
      <c r="I1146">
        <v>10701</v>
      </c>
    </row>
    <row r="1147" spans="1:9" x14ac:dyDescent="0.3">
      <c r="A1147">
        <v>1146</v>
      </c>
      <c r="B1147" t="s">
        <v>4327</v>
      </c>
      <c r="C1147" t="s">
        <v>375</v>
      </c>
      <c r="D1147" t="s">
        <v>31</v>
      </c>
      <c r="E1147" t="s">
        <v>4328</v>
      </c>
      <c r="F1147" t="s">
        <v>4329</v>
      </c>
      <c r="G1147" t="s">
        <v>702</v>
      </c>
      <c r="H1147" t="s">
        <v>35</v>
      </c>
      <c r="I1147">
        <v>11412</v>
      </c>
    </row>
    <row r="1148" spans="1:9" x14ac:dyDescent="0.3">
      <c r="A1148">
        <v>1147</v>
      </c>
      <c r="B1148" t="s">
        <v>1587</v>
      </c>
      <c r="C1148" t="s">
        <v>4330</v>
      </c>
      <c r="D1148" t="s">
        <v>31</v>
      </c>
      <c r="E1148" t="s">
        <v>4331</v>
      </c>
      <c r="F1148" t="s">
        <v>4332</v>
      </c>
      <c r="G1148" t="s">
        <v>2241</v>
      </c>
      <c r="H1148" t="s">
        <v>41</v>
      </c>
      <c r="I1148">
        <v>90403</v>
      </c>
    </row>
    <row r="1149" spans="1:9" x14ac:dyDescent="0.3">
      <c r="A1149">
        <v>1148</v>
      </c>
      <c r="B1149" t="s">
        <v>4333</v>
      </c>
      <c r="C1149" t="s">
        <v>4334</v>
      </c>
      <c r="D1149" t="s">
        <v>31</v>
      </c>
      <c r="E1149" t="s">
        <v>4335</v>
      </c>
      <c r="F1149" t="s">
        <v>4336</v>
      </c>
      <c r="G1149" t="s">
        <v>693</v>
      </c>
      <c r="H1149" t="s">
        <v>35</v>
      </c>
      <c r="I1149">
        <v>10977</v>
      </c>
    </row>
    <row r="1150" spans="1:9" x14ac:dyDescent="0.3">
      <c r="A1150">
        <v>1149</v>
      </c>
      <c r="B1150" t="s">
        <v>4337</v>
      </c>
      <c r="C1150" t="s">
        <v>788</v>
      </c>
      <c r="D1150" t="s">
        <v>31</v>
      </c>
      <c r="E1150" t="s">
        <v>4338</v>
      </c>
      <c r="F1150" t="s">
        <v>4339</v>
      </c>
      <c r="G1150" t="s">
        <v>838</v>
      </c>
      <c r="H1150" t="s">
        <v>41</v>
      </c>
      <c r="I1150">
        <v>95050</v>
      </c>
    </row>
    <row r="1151" spans="1:9" x14ac:dyDescent="0.3">
      <c r="A1151">
        <v>1150</v>
      </c>
      <c r="B1151" t="s">
        <v>1319</v>
      </c>
      <c r="C1151" t="s">
        <v>4340</v>
      </c>
      <c r="D1151" t="s">
        <v>4341</v>
      </c>
      <c r="E1151" t="s">
        <v>4342</v>
      </c>
      <c r="F1151" t="s">
        <v>4343</v>
      </c>
      <c r="G1151" t="s">
        <v>622</v>
      </c>
      <c r="H1151" t="s">
        <v>100</v>
      </c>
      <c r="I1151">
        <v>78418</v>
      </c>
    </row>
    <row r="1152" spans="1:9" x14ac:dyDescent="0.3">
      <c r="A1152">
        <v>1151</v>
      </c>
      <c r="B1152" t="s">
        <v>4344</v>
      </c>
      <c r="C1152" t="s">
        <v>3208</v>
      </c>
      <c r="D1152" t="s">
        <v>31</v>
      </c>
      <c r="E1152" t="s">
        <v>4345</v>
      </c>
      <c r="F1152" t="s">
        <v>4346</v>
      </c>
      <c r="G1152" t="s">
        <v>1330</v>
      </c>
      <c r="H1152" t="s">
        <v>35</v>
      </c>
      <c r="I1152">
        <v>11720</v>
      </c>
    </row>
    <row r="1153" spans="1:9" x14ac:dyDescent="0.3">
      <c r="A1153">
        <v>1152</v>
      </c>
      <c r="B1153" t="s">
        <v>4347</v>
      </c>
      <c r="C1153" t="s">
        <v>2189</v>
      </c>
      <c r="D1153" t="s">
        <v>31</v>
      </c>
      <c r="E1153" t="s">
        <v>4348</v>
      </c>
      <c r="F1153" t="s">
        <v>4349</v>
      </c>
      <c r="G1153" t="s">
        <v>386</v>
      </c>
      <c r="H1153" t="s">
        <v>41</v>
      </c>
      <c r="I1153">
        <v>91733</v>
      </c>
    </row>
    <row r="1154" spans="1:9" x14ac:dyDescent="0.3">
      <c r="A1154">
        <v>1153</v>
      </c>
      <c r="B1154" t="s">
        <v>4350</v>
      </c>
      <c r="C1154" t="s">
        <v>704</v>
      </c>
      <c r="D1154" t="s">
        <v>31</v>
      </c>
      <c r="E1154" t="s">
        <v>4351</v>
      </c>
      <c r="F1154" t="s">
        <v>4352</v>
      </c>
      <c r="G1154" t="s">
        <v>329</v>
      </c>
      <c r="H1154" t="s">
        <v>41</v>
      </c>
      <c r="I1154">
        <v>94070</v>
      </c>
    </row>
    <row r="1155" spans="1:9" x14ac:dyDescent="0.3">
      <c r="A1155">
        <v>1154</v>
      </c>
      <c r="B1155" t="s">
        <v>1326</v>
      </c>
      <c r="C1155" t="s">
        <v>182</v>
      </c>
      <c r="D1155" t="s">
        <v>31</v>
      </c>
      <c r="E1155" t="s">
        <v>4353</v>
      </c>
      <c r="F1155" t="s">
        <v>4354</v>
      </c>
      <c r="G1155" t="s">
        <v>2401</v>
      </c>
      <c r="H1155" t="s">
        <v>35</v>
      </c>
      <c r="I1155">
        <v>13021</v>
      </c>
    </row>
    <row r="1156" spans="1:9" x14ac:dyDescent="0.3">
      <c r="A1156">
        <v>1155</v>
      </c>
      <c r="B1156" t="s">
        <v>4355</v>
      </c>
      <c r="C1156" t="s">
        <v>428</v>
      </c>
      <c r="D1156" t="s">
        <v>31</v>
      </c>
      <c r="E1156" t="s">
        <v>4356</v>
      </c>
      <c r="F1156" t="s">
        <v>4357</v>
      </c>
      <c r="G1156" t="s">
        <v>4358</v>
      </c>
      <c r="H1156" t="s">
        <v>35</v>
      </c>
      <c r="I1156">
        <v>11691</v>
      </c>
    </row>
    <row r="1157" spans="1:9" x14ac:dyDescent="0.3">
      <c r="A1157">
        <v>1156</v>
      </c>
      <c r="B1157" t="s">
        <v>3060</v>
      </c>
      <c r="C1157" t="s">
        <v>3096</v>
      </c>
      <c r="D1157" t="s">
        <v>31</v>
      </c>
      <c r="E1157" t="s">
        <v>4359</v>
      </c>
      <c r="F1157" t="s">
        <v>4360</v>
      </c>
      <c r="G1157" t="s">
        <v>616</v>
      </c>
      <c r="H1157" t="s">
        <v>35</v>
      </c>
      <c r="I1157">
        <v>11414</v>
      </c>
    </row>
    <row r="1158" spans="1:9" x14ac:dyDescent="0.3">
      <c r="A1158">
        <v>1157</v>
      </c>
      <c r="B1158" t="s">
        <v>4361</v>
      </c>
      <c r="C1158" t="s">
        <v>1238</v>
      </c>
      <c r="D1158" t="s">
        <v>4362</v>
      </c>
      <c r="E1158" t="s">
        <v>4363</v>
      </c>
      <c r="F1158" t="s">
        <v>4364</v>
      </c>
      <c r="G1158" t="s">
        <v>68</v>
      </c>
      <c r="H1158" t="s">
        <v>35</v>
      </c>
      <c r="I1158">
        <v>14215</v>
      </c>
    </row>
    <row r="1159" spans="1:9" x14ac:dyDescent="0.3">
      <c r="A1159">
        <v>1158</v>
      </c>
      <c r="B1159" t="s">
        <v>4365</v>
      </c>
      <c r="C1159" t="s">
        <v>2162</v>
      </c>
      <c r="D1159" t="s">
        <v>31</v>
      </c>
      <c r="E1159" t="s">
        <v>4366</v>
      </c>
      <c r="F1159" t="s">
        <v>4367</v>
      </c>
      <c r="G1159" t="s">
        <v>126</v>
      </c>
      <c r="H1159" t="s">
        <v>35</v>
      </c>
      <c r="I1159">
        <v>14424</v>
      </c>
    </row>
    <row r="1160" spans="1:9" x14ac:dyDescent="0.3">
      <c r="A1160">
        <v>1159</v>
      </c>
      <c r="B1160" t="s">
        <v>4368</v>
      </c>
      <c r="C1160" t="s">
        <v>383</v>
      </c>
      <c r="D1160" t="s">
        <v>31</v>
      </c>
      <c r="E1160" t="s">
        <v>4369</v>
      </c>
      <c r="F1160" t="s">
        <v>4370</v>
      </c>
      <c r="G1160" t="s">
        <v>530</v>
      </c>
      <c r="H1160" t="s">
        <v>35</v>
      </c>
      <c r="I1160">
        <v>11791</v>
      </c>
    </row>
    <row r="1161" spans="1:9" x14ac:dyDescent="0.3">
      <c r="A1161">
        <v>1160</v>
      </c>
      <c r="B1161" t="s">
        <v>1984</v>
      </c>
      <c r="C1161" t="s">
        <v>4371</v>
      </c>
      <c r="D1161" t="s">
        <v>31</v>
      </c>
      <c r="E1161" t="s">
        <v>4372</v>
      </c>
      <c r="F1161" t="s">
        <v>4373</v>
      </c>
      <c r="G1161" t="s">
        <v>590</v>
      </c>
      <c r="H1161" t="s">
        <v>100</v>
      </c>
      <c r="I1161">
        <v>76039</v>
      </c>
    </row>
    <row r="1162" spans="1:9" x14ac:dyDescent="0.3">
      <c r="A1162">
        <v>1161</v>
      </c>
      <c r="B1162" t="s">
        <v>4374</v>
      </c>
      <c r="C1162" t="s">
        <v>800</v>
      </c>
      <c r="D1162" t="s">
        <v>31</v>
      </c>
      <c r="E1162" t="s">
        <v>4375</v>
      </c>
      <c r="F1162" t="s">
        <v>4376</v>
      </c>
      <c r="G1162" t="s">
        <v>1605</v>
      </c>
      <c r="H1162" t="s">
        <v>35</v>
      </c>
      <c r="I1162">
        <v>11580</v>
      </c>
    </row>
    <row r="1163" spans="1:9" x14ac:dyDescent="0.3">
      <c r="A1163">
        <v>1162</v>
      </c>
      <c r="B1163" t="s">
        <v>4377</v>
      </c>
      <c r="C1163" t="s">
        <v>4378</v>
      </c>
      <c r="D1163" t="s">
        <v>31</v>
      </c>
      <c r="E1163" t="s">
        <v>4379</v>
      </c>
      <c r="F1163" t="s">
        <v>4380</v>
      </c>
      <c r="G1163" t="s">
        <v>1617</v>
      </c>
      <c r="H1163" t="s">
        <v>35</v>
      </c>
      <c r="I1163">
        <v>14850</v>
      </c>
    </row>
    <row r="1164" spans="1:9" x14ac:dyDescent="0.3">
      <c r="A1164">
        <v>1163</v>
      </c>
      <c r="B1164" t="s">
        <v>4381</v>
      </c>
      <c r="C1164" t="s">
        <v>64</v>
      </c>
      <c r="D1164" t="s">
        <v>31</v>
      </c>
      <c r="E1164" t="s">
        <v>4382</v>
      </c>
      <c r="F1164" t="s">
        <v>4383</v>
      </c>
      <c r="G1164" t="s">
        <v>1061</v>
      </c>
      <c r="H1164" t="s">
        <v>41</v>
      </c>
      <c r="I1164">
        <v>90260</v>
      </c>
    </row>
    <row r="1165" spans="1:9" x14ac:dyDescent="0.3">
      <c r="A1165">
        <v>1164</v>
      </c>
      <c r="B1165" t="s">
        <v>4384</v>
      </c>
      <c r="C1165" t="s">
        <v>4385</v>
      </c>
      <c r="D1165" t="s">
        <v>31</v>
      </c>
      <c r="E1165" t="s">
        <v>4386</v>
      </c>
      <c r="F1165" t="s">
        <v>4387</v>
      </c>
      <c r="G1165" t="s">
        <v>121</v>
      </c>
      <c r="H1165" t="s">
        <v>35</v>
      </c>
      <c r="I1165">
        <v>10583</v>
      </c>
    </row>
    <row r="1166" spans="1:9" x14ac:dyDescent="0.3">
      <c r="A1166">
        <v>1165</v>
      </c>
      <c r="B1166" t="s">
        <v>4388</v>
      </c>
      <c r="C1166" t="s">
        <v>4389</v>
      </c>
      <c r="D1166" t="s">
        <v>4390</v>
      </c>
      <c r="E1166" t="s">
        <v>4391</v>
      </c>
      <c r="F1166" t="s">
        <v>4392</v>
      </c>
      <c r="G1166" t="s">
        <v>2174</v>
      </c>
      <c r="H1166" t="s">
        <v>100</v>
      </c>
      <c r="I1166">
        <v>76110</v>
      </c>
    </row>
    <row r="1167" spans="1:9" x14ac:dyDescent="0.3">
      <c r="A1167">
        <v>1166</v>
      </c>
      <c r="B1167" t="s">
        <v>4393</v>
      </c>
      <c r="C1167" t="s">
        <v>162</v>
      </c>
      <c r="D1167" t="s">
        <v>31</v>
      </c>
      <c r="E1167" t="s">
        <v>4394</v>
      </c>
      <c r="F1167" t="s">
        <v>4395</v>
      </c>
      <c r="G1167" t="s">
        <v>765</v>
      </c>
      <c r="H1167" t="s">
        <v>35</v>
      </c>
      <c r="I1167">
        <v>11706</v>
      </c>
    </row>
    <row r="1168" spans="1:9" x14ac:dyDescent="0.3">
      <c r="A1168">
        <v>1167</v>
      </c>
      <c r="B1168" t="s">
        <v>2809</v>
      </c>
      <c r="C1168" t="s">
        <v>248</v>
      </c>
      <c r="D1168" t="s">
        <v>31</v>
      </c>
      <c r="E1168" t="s">
        <v>4396</v>
      </c>
      <c r="F1168" t="s">
        <v>4397</v>
      </c>
      <c r="G1168" t="s">
        <v>1988</v>
      </c>
      <c r="H1168" t="s">
        <v>35</v>
      </c>
      <c r="I1168">
        <v>10954</v>
      </c>
    </row>
    <row r="1169" spans="1:9" x14ac:dyDescent="0.3">
      <c r="A1169">
        <v>1168</v>
      </c>
      <c r="B1169" t="s">
        <v>4398</v>
      </c>
      <c r="C1169" t="s">
        <v>2340</v>
      </c>
      <c r="D1169" t="s">
        <v>31</v>
      </c>
      <c r="E1169" t="s">
        <v>4399</v>
      </c>
      <c r="F1169" t="s">
        <v>4400</v>
      </c>
      <c r="G1169" t="s">
        <v>171</v>
      </c>
      <c r="H1169" t="s">
        <v>35</v>
      </c>
      <c r="I1169">
        <v>11104</v>
      </c>
    </row>
    <row r="1170" spans="1:9" x14ac:dyDescent="0.3">
      <c r="A1170">
        <v>1169</v>
      </c>
      <c r="B1170" t="s">
        <v>4401</v>
      </c>
      <c r="C1170" t="s">
        <v>428</v>
      </c>
      <c r="D1170" t="s">
        <v>31</v>
      </c>
      <c r="E1170" t="s">
        <v>4402</v>
      </c>
      <c r="F1170" t="s">
        <v>4403</v>
      </c>
      <c r="G1170" t="s">
        <v>693</v>
      </c>
      <c r="H1170" t="s">
        <v>35</v>
      </c>
      <c r="I1170">
        <v>10977</v>
      </c>
    </row>
    <row r="1171" spans="1:9" x14ac:dyDescent="0.3">
      <c r="A1171">
        <v>1170</v>
      </c>
      <c r="B1171" t="s">
        <v>4404</v>
      </c>
      <c r="C1171" t="s">
        <v>2873</v>
      </c>
      <c r="D1171" t="s">
        <v>31</v>
      </c>
      <c r="E1171" t="s">
        <v>4405</v>
      </c>
      <c r="F1171" t="s">
        <v>4406</v>
      </c>
      <c r="G1171" t="s">
        <v>246</v>
      </c>
      <c r="H1171" t="s">
        <v>35</v>
      </c>
      <c r="I1171">
        <v>11418</v>
      </c>
    </row>
    <row r="1172" spans="1:9" x14ac:dyDescent="0.3">
      <c r="A1172">
        <v>1171</v>
      </c>
      <c r="B1172" t="s">
        <v>4407</v>
      </c>
      <c r="C1172" t="s">
        <v>1682</v>
      </c>
      <c r="D1172" t="s">
        <v>31</v>
      </c>
      <c r="E1172" t="s">
        <v>4408</v>
      </c>
      <c r="F1172" t="s">
        <v>4409</v>
      </c>
      <c r="G1172" t="s">
        <v>353</v>
      </c>
      <c r="H1172" t="s">
        <v>35</v>
      </c>
      <c r="I1172">
        <v>13440</v>
      </c>
    </row>
    <row r="1173" spans="1:9" x14ac:dyDescent="0.3">
      <c r="A1173">
        <v>1172</v>
      </c>
      <c r="B1173" t="s">
        <v>4410</v>
      </c>
      <c r="C1173" t="s">
        <v>3260</v>
      </c>
      <c r="D1173" t="s">
        <v>31</v>
      </c>
      <c r="E1173" t="s">
        <v>4411</v>
      </c>
      <c r="F1173" t="s">
        <v>4412</v>
      </c>
      <c r="G1173" t="s">
        <v>599</v>
      </c>
      <c r="H1173" t="s">
        <v>35</v>
      </c>
      <c r="I1173">
        <v>14534</v>
      </c>
    </row>
    <row r="1174" spans="1:9" x14ac:dyDescent="0.3">
      <c r="A1174">
        <v>1173</v>
      </c>
      <c r="B1174" t="s">
        <v>4413</v>
      </c>
      <c r="C1174" t="s">
        <v>3030</v>
      </c>
      <c r="D1174" t="s">
        <v>31</v>
      </c>
      <c r="E1174" t="s">
        <v>4414</v>
      </c>
      <c r="F1174" t="s">
        <v>4415</v>
      </c>
      <c r="G1174" t="s">
        <v>1222</v>
      </c>
      <c r="H1174" t="s">
        <v>35</v>
      </c>
      <c r="I1174">
        <v>11530</v>
      </c>
    </row>
    <row r="1175" spans="1:9" x14ac:dyDescent="0.3">
      <c r="A1175">
        <v>1174</v>
      </c>
      <c r="B1175" t="s">
        <v>4416</v>
      </c>
      <c r="C1175" t="s">
        <v>1480</v>
      </c>
      <c r="D1175" t="s">
        <v>4417</v>
      </c>
      <c r="E1175" t="s">
        <v>4418</v>
      </c>
      <c r="F1175" t="s">
        <v>4419</v>
      </c>
      <c r="G1175" t="s">
        <v>1908</v>
      </c>
      <c r="H1175" t="s">
        <v>35</v>
      </c>
      <c r="I1175">
        <v>10701</v>
      </c>
    </row>
    <row r="1176" spans="1:9" x14ac:dyDescent="0.3">
      <c r="A1176">
        <v>1175</v>
      </c>
      <c r="B1176" t="s">
        <v>4420</v>
      </c>
      <c r="C1176" t="s">
        <v>1400</v>
      </c>
      <c r="D1176" t="s">
        <v>31</v>
      </c>
      <c r="E1176" t="s">
        <v>4421</v>
      </c>
      <c r="F1176" t="s">
        <v>4422</v>
      </c>
      <c r="G1176" t="s">
        <v>1596</v>
      </c>
      <c r="H1176" t="s">
        <v>41</v>
      </c>
      <c r="I1176">
        <v>91768</v>
      </c>
    </row>
    <row r="1177" spans="1:9" x14ac:dyDescent="0.3">
      <c r="A1177">
        <v>1176</v>
      </c>
      <c r="B1177" t="s">
        <v>2154</v>
      </c>
      <c r="C1177" t="s">
        <v>2395</v>
      </c>
      <c r="D1177" t="s">
        <v>31</v>
      </c>
      <c r="E1177" t="s">
        <v>4423</v>
      </c>
      <c r="F1177" t="s">
        <v>4424</v>
      </c>
      <c r="G1177" t="s">
        <v>241</v>
      </c>
      <c r="H1177" t="s">
        <v>35</v>
      </c>
      <c r="I1177">
        <v>12804</v>
      </c>
    </row>
    <row r="1178" spans="1:9" x14ac:dyDescent="0.3">
      <c r="A1178">
        <v>1177</v>
      </c>
      <c r="B1178" t="s">
        <v>4425</v>
      </c>
      <c r="C1178" t="s">
        <v>1022</v>
      </c>
      <c r="D1178" t="s">
        <v>31</v>
      </c>
      <c r="E1178" t="s">
        <v>4426</v>
      </c>
      <c r="F1178" t="s">
        <v>4427</v>
      </c>
      <c r="G1178" t="s">
        <v>1301</v>
      </c>
      <c r="H1178" t="s">
        <v>35</v>
      </c>
      <c r="I1178">
        <v>12601</v>
      </c>
    </row>
    <row r="1179" spans="1:9" x14ac:dyDescent="0.3">
      <c r="A1179">
        <v>1178</v>
      </c>
      <c r="B1179" t="s">
        <v>4428</v>
      </c>
      <c r="C1179" t="s">
        <v>3706</v>
      </c>
      <c r="D1179" t="s">
        <v>4429</v>
      </c>
      <c r="E1179" t="s">
        <v>4430</v>
      </c>
      <c r="F1179" t="s">
        <v>4431</v>
      </c>
      <c r="G1179" t="s">
        <v>830</v>
      </c>
      <c r="H1179" t="s">
        <v>41</v>
      </c>
      <c r="I1179">
        <v>93035</v>
      </c>
    </row>
    <row r="1180" spans="1:9" x14ac:dyDescent="0.3">
      <c r="A1180">
        <v>1179</v>
      </c>
      <c r="B1180" t="s">
        <v>4432</v>
      </c>
      <c r="C1180" t="s">
        <v>2980</v>
      </c>
      <c r="D1180" t="s">
        <v>31</v>
      </c>
      <c r="E1180" t="s">
        <v>4433</v>
      </c>
      <c r="F1180" t="s">
        <v>4434</v>
      </c>
      <c r="G1180" t="s">
        <v>982</v>
      </c>
      <c r="H1180" t="s">
        <v>35</v>
      </c>
      <c r="I1180">
        <v>11201</v>
      </c>
    </row>
    <row r="1181" spans="1:9" x14ac:dyDescent="0.3">
      <c r="A1181">
        <v>1180</v>
      </c>
      <c r="B1181" t="s">
        <v>4435</v>
      </c>
      <c r="C1181" t="s">
        <v>3151</v>
      </c>
      <c r="D1181" t="s">
        <v>31</v>
      </c>
      <c r="E1181" t="s">
        <v>4436</v>
      </c>
      <c r="F1181" t="s">
        <v>4437</v>
      </c>
      <c r="G1181" t="s">
        <v>480</v>
      </c>
      <c r="H1181" t="s">
        <v>35</v>
      </c>
      <c r="I1181">
        <v>11735</v>
      </c>
    </row>
    <row r="1182" spans="1:9" x14ac:dyDescent="0.3">
      <c r="A1182">
        <v>1181</v>
      </c>
      <c r="B1182" t="s">
        <v>4438</v>
      </c>
      <c r="C1182" t="s">
        <v>4439</v>
      </c>
      <c r="D1182" t="s">
        <v>31</v>
      </c>
      <c r="E1182" t="s">
        <v>4440</v>
      </c>
      <c r="F1182" t="s">
        <v>4441</v>
      </c>
      <c r="G1182" t="s">
        <v>982</v>
      </c>
      <c r="H1182" t="s">
        <v>35</v>
      </c>
      <c r="I1182">
        <v>11201</v>
      </c>
    </row>
    <row r="1183" spans="1:9" x14ac:dyDescent="0.3">
      <c r="A1183">
        <v>1182</v>
      </c>
      <c r="B1183" t="s">
        <v>3848</v>
      </c>
      <c r="C1183" t="s">
        <v>3827</v>
      </c>
      <c r="D1183" t="s">
        <v>31</v>
      </c>
      <c r="E1183" t="s">
        <v>4442</v>
      </c>
      <c r="F1183" t="s">
        <v>4443</v>
      </c>
      <c r="G1183" t="s">
        <v>1273</v>
      </c>
      <c r="H1183" t="s">
        <v>35</v>
      </c>
      <c r="I1183">
        <v>11779</v>
      </c>
    </row>
    <row r="1184" spans="1:9" x14ac:dyDescent="0.3">
      <c r="A1184">
        <v>1183</v>
      </c>
      <c r="B1184" t="s">
        <v>1347</v>
      </c>
      <c r="C1184" t="s">
        <v>3260</v>
      </c>
      <c r="D1184" t="s">
        <v>31</v>
      </c>
      <c r="E1184" t="s">
        <v>4444</v>
      </c>
      <c r="F1184" t="s">
        <v>4445</v>
      </c>
      <c r="G1184" t="s">
        <v>287</v>
      </c>
      <c r="H1184" t="s">
        <v>35</v>
      </c>
      <c r="I1184">
        <v>11566</v>
      </c>
    </row>
    <row r="1185" spans="1:9" x14ac:dyDescent="0.3">
      <c r="A1185">
        <v>1184</v>
      </c>
      <c r="B1185" t="s">
        <v>4446</v>
      </c>
      <c r="C1185" t="s">
        <v>917</v>
      </c>
      <c r="D1185" t="s">
        <v>31</v>
      </c>
      <c r="E1185" t="s">
        <v>4447</v>
      </c>
      <c r="F1185" t="s">
        <v>4448</v>
      </c>
      <c r="G1185" t="s">
        <v>693</v>
      </c>
      <c r="H1185" t="s">
        <v>35</v>
      </c>
      <c r="I1185">
        <v>10977</v>
      </c>
    </row>
    <row r="1186" spans="1:9" x14ac:dyDescent="0.3">
      <c r="A1186">
        <v>1185</v>
      </c>
      <c r="B1186" t="s">
        <v>4449</v>
      </c>
      <c r="C1186" t="s">
        <v>4450</v>
      </c>
      <c r="D1186" t="s">
        <v>31</v>
      </c>
      <c r="E1186" t="s">
        <v>4451</v>
      </c>
      <c r="F1186" t="s">
        <v>4452</v>
      </c>
      <c r="G1186" t="s">
        <v>2572</v>
      </c>
      <c r="H1186" t="s">
        <v>35</v>
      </c>
      <c r="I1186">
        <v>12065</v>
      </c>
    </row>
    <row r="1187" spans="1:9" x14ac:dyDescent="0.3">
      <c r="A1187">
        <v>1186</v>
      </c>
      <c r="B1187" t="s">
        <v>4453</v>
      </c>
      <c r="C1187" t="s">
        <v>1071</v>
      </c>
      <c r="D1187" t="s">
        <v>31</v>
      </c>
      <c r="E1187" t="s">
        <v>4454</v>
      </c>
      <c r="F1187" t="s">
        <v>4455</v>
      </c>
      <c r="G1187" t="s">
        <v>329</v>
      </c>
      <c r="H1187" t="s">
        <v>41</v>
      </c>
      <c r="I1187">
        <v>94070</v>
      </c>
    </row>
    <row r="1188" spans="1:9" x14ac:dyDescent="0.3">
      <c r="A1188">
        <v>1187</v>
      </c>
      <c r="B1188" t="s">
        <v>4456</v>
      </c>
      <c r="C1188" t="s">
        <v>4457</v>
      </c>
      <c r="D1188" t="s">
        <v>31</v>
      </c>
      <c r="E1188" t="s">
        <v>4458</v>
      </c>
      <c r="F1188" t="s">
        <v>4459</v>
      </c>
      <c r="G1188" t="s">
        <v>1689</v>
      </c>
      <c r="H1188" t="s">
        <v>35</v>
      </c>
      <c r="I1188">
        <v>11354</v>
      </c>
    </row>
    <row r="1189" spans="1:9" x14ac:dyDescent="0.3">
      <c r="A1189">
        <v>1188</v>
      </c>
      <c r="B1189" t="s">
        <v>4460</v>
      </c>
      <c r="C1189" t="s">
        <v>4461</v>
      </c>
      <c r="D1189" t="s">
        <v>4462</v>
      </c>
      <c r="E1189" t="s">
        <v>4463</v>
      </c>
      <c r="F1189" t="s">
        <v>4464</v>
      </c>
      <c r="G1189" t="s">
        <v>1908</v>
      </c>
      <c r="H1189" t="s">
        <v>35</v>
      </c>
      <c r="I1189">
        <v>10701</v>
      </c>
    </row>
    <row r="1190" spans="1:9" x14ac:dyDescent="0.3">
      <c r="A1190">
        <v>1189</v>
      </c>
      <c r="B1190" t="s">
        <v>2382</v>
      </c>
      <c r="C1190" t="s">
        <v>523</v>
      </c>
      <c r="D1190" t="s">
        <v>31</v>
      </c>
      <c r="E1190" t="s">
        <v>4465</v>
      </c>
      <c r="F1190" t="s">
        <v>4466</v>
      </c>
      <c r="G1190" t="s">
        <v>51</v>
      </c>
      <c r="H1190" t="s">
        <v>35</v>
      </c>
      <c r="I1190">
        <v>11553</v>
      </c>
    </row>
    <row r="1191" spans="1:9" x14ac:dyDescent="0.3">
      <c r="A1191">
        <v>1190</v>
      </c>
      <c r="B1191" t="s">
        <v>4467</v>
      </c>
      <c r="C1191" t="s">
        <v>867</v>
      </c>
      <c r="D1191" t="s">
        <v>31</v>
      </c>
      <c r="E1191" t="s">
        <v>4468</v>
      </c>
      <c r="F1191" t="s">
        <v>4469</v>
      </c>
      <c r="G1191" t="s">
        <v>404</v>
      </c>
      <c r="H1191" t="s">
        <v>35</v>
      </c>
      <c r="I1191">
        <v>11776</v>
      </c>
    </row>
    <row r="1192" spans="1:9" x14ac:dyDescent="0.3">
      <c r="A1192">
        <v>1191</v>
      </c>
      <c r="B1192" t="s">
        <v>4470</v>
      </c>
      <c r="C1192" t="s">
        <v>43</v>
      </c>
      <c r="D1192" t="s">
        <v>4471</v>
      </c>
      <c r="E1192" t="s">
        <v>4472</v>
      </c>
      <c r="F1192" t="s">
        <v>4473</v>
      </c>
      <c r="G1192" t="s">
        <v>1937</v>
      </c>
      <c r="H1192" t="s">
        <v>35</v>
      </c>
      <c r="I1192">
        <v>14606</v>
      </c>
    </row>
    <row r="1193" spans="1:9" x14ac:dyDescent="0.3">
      <c r="A1193">
        <v>1192</v>
      </c>
      <c r="B1193" t="s">
        <v>4474</v>
      </c>
      <c r="C1193" t="s">
        <v>4475</v>
      </c>
      <c r="D1193" t="s">
        <v>31</v>
      </c>
      <c r="E1193" t="s">
        <v>4476</v>
      </c>
      <c r="F1193" t="s">
        <v>4477</v>
      </c>
      <c r="G1193" t="s">
        <v>348</v>
      </c>
      <c r="H1193" t="s">
        <v>100</v>
      </c>
      <c r="I1193">
        <v>75115</v>
      </c>
    </row>
    <row r="1194" spans="1:9" x14ac:dyDescent="0.3">
      <c r="A1194">
        <v>1193</v>
      </c>
      <c r="B1194" t="s">
        <v>3456</v>
      </c>
      <c r="C1194" t="s">
        <v>1022</v>
      </c>
      <c r="D1194" t="s">
        <v>31</v>
      </c>
      <c r="E1194" t="s">
        <v>4478</v>
      </c>
      <c r="F1194" t="s">
        <v>4479</v>
      </c>
      <c r="G1194" t="s">
        <v>820</v>
      </c>
      <c r="H1194" t="s">
        <v>35</v>
      </c>
      <c r="I1194">
        <v>11420</v>
      </c>
    </row>
    <row r="1195" spans="1:9" x14ac:dyDescent="0.3">
      <c r="A1195">
        <v>1194</v>
      </c>
      <c r="B1195" t="s">
        <v>4480</v>
      </c>
      <c r="C1195" t="s">
        <v>4481</v>
      </c>
      <c r="D1195" t="s">
        <v>31</v>
      </c>
      <c r="E1195" t="s">
        <v>4482</v>
      </c>
      <c r="F1195" t="s">
        <v>4483</v>
      </c>
      <c r="G1195" t="s">
        <v>599</v>
      </c>
      <c r="H1195" t="s">
        <v>35</v>
      </c>
      <c r="I1195">
        <v>14534</v>
      </c>
    </row>
    <row r="1196" spans="1:9" x14ac:dyDescent="0.3">
      <c r="A1196">
        <v>1195</v>
      </c>
      <c r="B1196" t="s">
        <v>4484</v>
      </c>
      <c r="C1196" t="s">
        <v>406</v>
      </c>
      <c r="D1196" t="s">
        <v>4485</v>
      </c>
      <c r="E1196" t="s">
        <v>4486</v>
      </c>
      <c r="F1196" t="s">
        <v>4487</v>
      </c>
      <c r="G1196" t="s">
        <v>68</v>
      </c>
      <c r="H1196" t="s">
        <v>35</v>
      </c>
      <c r="I1196">
        <v>14215</v>
      </c>
    </row>
    <row r="1197" spans="1:9" x14ac:dyDescent="0.3">
      <c r="A1197">
        <v>1196</v>
      </c>
      <c r="B1197" t="s">
        <v>4488</v>
      </c>
      <c r="C1197" t="s">
        <v>1870</v>
      </c>
      <c r="D1197" t="s">
        <v>31</v>
      </c>
      <c r="E1197" t="s">
        <v>4489</v>
      </c>
      <c r="F1197" t="s">
        <v>4490</v>
      </c>
      <c r="G1197" t="s">
        <v>1056</v>
      </c>
      <c r="H1197" t="s">
        <v>35</v>
      </c>
      <c r="I1197">
        <v>11772</v>
      </c>
    </row>
    <row r="1198" spans="1:9" x14ac:dyDescent="0.3">
      <c r="A1198">
        <v>1197</v>
      </c>
      <c r="B1198" t="s">
        <v>4491</v>
      </c>
      <c r="C1198" t="s">
        <v>2256</v>
      </c>
      <c r="D1198" t="s">
        <v>31</v>
      </c>
      <c r="E1198" t="s">
        <v>4492</v>
      </c>
      <c r="F1198" t="s">
        <v>4493</v>
      </c>
      <c r="G1198" t="s">
        <v>78</v>
      </c>
      <c r="H1198" t="s">
        <v>35</v>
      </c>
      <c r="I1198">
        <v>11050</v>
      </c>
    </row>
    <row r="1199" spans="1:9" x14ac:dyDescent="0.3">
      <c r="A1199">
        <v>1198</v>
      </c>
      <c r="B1199" t="s">
        <v>4494</v>
      </c>
      <c r="C1199" t="s">
        <v>4481</v>
      </c>
      <c r="D1199" t="s">
        <v>31</v>
      </c>
      <c r="E1199" t="s">
        <v>4495</v>
      </c>
      <c r="F1199" t="s">
        <v>4496</v>
      </c>
      <c r="G1199" t="s">
        <v>982</v>
      </c>
      <c r="H1199" t="s">
        <v>35</v>
      </c>
      <c r="I1199">
        <v>11201</v>
      </c>
    </row>
    <row r="1200" spans="1:9" x14ac:dyDescent="0.3">
      <c r="A1200">
        <v>1199</v>
      </c>
      <c r="B1200" t="s">
        <v>4497</v>
      </c>
      <c r="C1200" t="s">
        <v>1026</v>
      </c>
      <c r="D1200" t="s">
        <v>31</v>
      </c>
      <c r="E1200" t="s">
        <v>4498</v>
      </c>
      <c r="F1200" t="s">
        <v>4499</v>
      </c>
      <c r="G1200" t="s">
        <v>395</v>
      </c>
      <c r="H1200" t="s">
        <v>35</v>
      </c>
      <c r="I1200">
        <v>14120</v>
      </c>
    </row>
    <row r="1201" spans="1:9" x14ac:dyDescent="0.3">
      <c r="A1201">
        <v>1200</v>
      </c>
      <c r="B1201" t="s">
        <v>4500</v>
      </c>
      <c r="C1201" t="s">
        <v>3419</v>
      </c>
      <c r="D1201" t="s">
        <v>31</v>
      </c>
      <c r="E1201" t="s">
        <v>4501</v>
      </c>
      <c r="F1201" t="s">
        <v>4502</v>
      </c>
      <c r="G1201" t="s">
        <v>78</v>
      </c>
      <c r="H1201" t="s">
        <v>35</v>
      </c>
      <c r="I1201">
        <v>11050</v>
      </c>
    </row>
    <row r="1202" spans="1:9" x14ac:dyDescent="0.3">
      <c r="A1202">
        <v>1201</v>
      </c>
      <c r="B1202" t="s">
        <v>4503</v>
      </c>
      <c r="C1202" t="s">
        <v>3376</v>
      </c>
      <c r="D1202" t="s">
        <v>31</v>
      </c>
      <c r="E1202" t="s">
        <v>4504</v>
      </c>
      <c r="F1202" t="s">
        <v>4505</v>
      </c>
      <c r="G1202" t="s">
        <v>715</v>
      </c>
      <c r="H1202" t="s">
        <v>35</v>
      </c>
      <c r="I1202">
        <v>10573</v>
      </c>
    </row>
    <row r="1203" spans="1:9" x14ac:dyDescent="0.3">
      <c r="A1203">
        <v>1202</v>
      </c>
      <c r="B1203" t="s">
        <v>4506</v>
      </c>
      <c r="C1203" t="s">
        <v>3297</v>
      </c>
      <c r="D1203" t="s">
        <v>31</v>
      </c>
      <c r="E1203" t="s">
        <v>4507</v>
      </c>
      <c r="F1203" t="s">
        <v>4508</v>
      </c>
      <c r="G1203" t="s">
        <v>775</v>
      </c>
      <c r="H1203" t="s">
        <v>41</v>
      </c>
      <c r="I1203">
        <v>92220</v>
      </c>
    </row>
    <row r="1204" spans="1:9" x14ac:dyDescent="0.3">
      <c r="A1204">
        <v>1203</v>
      </c>
      <c r="B1204" t="s">
        <v>391</v>
      </c>
      <c r="C1204" t="s">
        <v>1619</v>
      </c>
      <c r="D1204" t="s">
        <v>31</v>
      </c>
      <c r="E1204" t="s">
        <v>4509</v>
      </c>
      <c r="F1204" t="s">
        <v>4510</v>
      </c>
      <c r="G1204" t="s">
        <v>348</v>
      </c>
      <c r="H1204" t="s">
        <v>100</v>
      </c>
      <c r="I1204">
        <v>75115</v>
      </c>
    </row>
    <row r="1205" spans="1:9" x14ac:dyDescent="0.3">
      <c r="A1205">
        <v>1204</v>
      </c>
      <c r="B1205" t="s">
        <v>4511</v>
      </c>
      <c r="C1205" t="s">
        <v>497</v>
      </c>
      <c r="D1205" t="s">
        <v>31</v>
      </c>
      <c r="E1205" t="s">
        <v>4512</v>
      </c>
      <c r="F1205" t="s">
        <v>4513</v>
      </c>
      <c r="G1205" t="s">
        <v>495</v>
      </c>
      <c r="H1205" t="s">
        <v>35</v>
      </c>
      <c r="I1205">
        <v>12866</v>
      </c>
    </row>
    <row r="1206" spans="1:9" x14ac:dyDescent="0.3">
      <c r="A1206">
        <v>1205</v>
      </c>
      <c r="B1206" t="s">
        <v>4514</v>
      </c>
      <c r="C1206" t="s">
        <v>2310</v>
      </c>
      <c r="D1206" t="s">
        <v>31</v>
      </c>
      <c r="E1206" t="s">
        <v>4515</v>
      </c>
      <c r="F1206" t="s">
        <v>4516</v>
      </c>
      <c r="G1206" t="s">
        <v>1525</v>
      </c>
      <c r="H1206" t="s">
        <v>35</v>
      </c>
      <c r="I1206">
        <v>10550</v>
      </c>
    </row>
    <row r="1207" spans="1:9" x14ac:dyDescent="0.3">
      <c r="A1207">
        <v>1206</v>
      </c>
      <c r="B1207" t="s">
        <v>4517</v>
      </c>
      <c r="C1207" t="s">
        <v>3756</v>
      </c>
      <c r="D1207" t="s">
        <v>31</v>
      </c>
      <c r="E1207" t="s">
        <v>4518</v>
      </c>
      <c r="F1207" t="s">
        <v>4519</v>
      </c>
      <c r="G1207" t="s">
        <v>150</v>
      </c>
      <c r="H1207" t="s">
        <v>35</v>
      </c>
      <c r="I1207">
        <v>11423</v>
      </c>
    </row>
    <row r="1208" spans="1:9" x14ac:dyDescent="0.3">
      <c r="A1208">
        <v>1207</v>
      </c>
      <c r="B1208" t="s">
        <v>4520</v>
      </c>
      <c r="C1208" t="s">
        <v>1239</v>
      </c>
      <c r="D1208" t="s">
        <v>4521</v>
      </c>
      <c r="E1208" t="s">
        <v>4522</v>
      </c>
      <c r="F1208" t="s">
        <v>4523</v>
      </c>
      <c r="G1208" t="s">
        <v>1079</v>
      </c>
      <c r="H1208" t="s">
        <v>35</v>
      </c>
      <c r="I1208">
        <v>11717</v>
      </c>
    </row>
    <row r="1209" spans="1:9" x14ac:dyDescent="0.3">
      <c r="A1209">
        <v>1208</v>
      </c>
      <c r="B1209" t="s">
        <v>4524</v>
      </c>
      <c r="C1209" t="s">
        <v>4525</v>
      </c>
      <c r="D1209" t="s">
        <v>31</v>
      </c>
      <c r="E1209" t="s">
        <v>4526</v>
      </c>
      <c r="F1209" t="s">
        <v>4527</v>
      </c>
      <c r="G1209" t="s">
        <v>1782</v>
      </c>
      <c r="H1209" t="s">
        <v>35</v>
      </c>
      <c r="I1209">
        <v>10512</v>
      </c>
    </row>
    <row r="1210" spans="1:9" x14ac:dyDescent="0.3">
      <c r="A1210">
        <v>1209</v>
      </c>
      <c r="B1210" t="s">
        <v>4323</v>
      </c>
      <c r="C1210" t="s">
        <v>3787</v>
      </c>
      <c r="D1210" t="s">
        <v>31</v>
      </c>
      <c r="E1210" t="s">
        <v>4528</v>
      </c>
      <c r="F1210" t="s">
        <v>4529</v>
      </c>
      <c r="G1210" t="s">
        <v>742</v>
      </c>
      <c r="H1210" t="s">
        <v>35</v>
      </c>
      <c r="I1210">
        <v>11743</v>
      </c>
    </row>
    <row r="1211" spans="1:9" x14ac:dyDescent="0.3">
      <c r="A1211">
        <v>1210</v>
      </c>
      <c r="B1211" t="s">
        <v>4530</v>
      </c>
      <c r="C1211" t="s">
        <v>1476</v>
      </c>
      <c r="D1211" t="s">
        <v>31</v>
      </c>
      <c r="E1211" t="s">
        <v>4531</v>
      </c>
      <c r="F1211" t="s">
        <v>4532</v>
      </c>
      <c r="G1211" t="s">
        <v>803</v>
      </c>
      <c r="H1211" t="s">
        <v>35</v>
      </c>
      <c r="I1211">
        <v>11377</v>
      </c>
    </row>
    <row r="1212" spans="1:9" x14ac:dyDescent="0.3">
      <c r="A1212">
        <v>1211</v>
      </c>
      <c r="B1212" t="s">
        <v>4533</v>
      </c>
      <c r="C1212" t="s">
        <v>2852</v>
      </c>
      <c r="D1212" t="s">
        <v>31</v>
      </c>
      <c r="E1212" t="s">
        <v>4534</v>
      </c>
      <c r="F1212" t="s">
        <v>4535</v>
      </c>
      <c r="G1212" t="s">
        <v>1149</v>
      </c>
      <c r="H1212" t="s">
        <v>35</v>
      </c>
      <c r="I1212">
        <v>14304</v>
      </c>
    </row>
    <row r="1213" spans="1:9" x14ac:dyDescent="0.3">
      <c r="A1213">
        <v>1212</v>
      </c>
      <c r="B1213" t="s">
        <v>4536</v>
      </c>
      <c r="C1213" t="s">
        <v>4537</v>
      </c>
      <c r="D1213" t="s">
        <v>31</v>
      </c>
      <c r="E1213" t="s">
        <v>4538</v>
      </c>
      <c r="F1213" t="s">
        <v>4539</v>
      </c>
      <c r="G1213" t="s">
        <v>445</v>
      </c>
      <c r="H1213" t="s">
        <v>35</v>
      </c>
      <c r="I1213">
        <v>11746</v>
      </c>
    </row>
    <row r="1214" spans="1:9" x14ac:dyDescent="0.3">
      <c r="A1214">
        <v>1213</v>
      </c>
      <c r="B1214" t="s">
        <v>299</v>
      </c>
      <c r="C1214" t="s">
        <v>1588</v>
      </c>
      <c r="D1214" t="s">
        <v>31</v>
      </c>
      <c r="E1214" t="s">
        <v>4540</v>
      </c>
      <c r="F1214" t="s">
        <v>4541</v>
      </c>
      <c r="G1214" t="s">
        <v>334</v>
      </c>
      <c r="H1214" t="s">
        <v>100</v>
      </c>
      <c r="I1214">
        <v>76901</v>
      </c>
    </row>
    <row r="1215" spans="1:9" x14ac:dyDescent="0.3">
      <c r="A1215">
        <v>1214</v>
      </c>
      <c r="B1215" t="s">
        <v>4542</v>
      </c>
      <c r="C1215" t="s">
        <v>4543</v>
      </c>
      <c r="D1215" t="s">
        <v>31</v>
      </c>
      <c r="E1215" t="s">
        <v>4544</v>
      </c>
      <c r="F1215" t="s">
        <v>4545</v>
      </c>
      <c r="G1215" t="s">
        <v>838</v>
      </c>
      <c r="H1215" t="s">
        <v>41</v>
      </c>
      <c r="I1215">
        <v>95050</v>
      </c>
    </row>
    <row r="1216" spans="1:9" x14ac:dyDescent="0.3">
      <c r="A1216">
        <v>1215</v>
      </c>
      <c r="B1216" t="s">
        <v>4546</v>
      </c>
      <c r="C1216" t="s">
        <v>118</v>
      </c>
      <c r="D1216" t="s">
        <v>31</v>
      </c>
      <c r="E1216" t="s">
        <v>4547</v>
      </c>
      <c r="F1216" t="s">
        <v>4548</v>
      </c>
      <c r="G1216" t="s">
        <v>324</v>
      </c>
      <c r="H1216" t="s">
        <v>35</v>
      </c>
      <c r="I1216">
        <v>11570</v>
      </c>
    </row>
    <row r="1217" spans="1:9" x14ac:dyDescent="0.3">
      <c r="A1217">
        <v>1216</v>
      </c>
      <c r="B1217" t="s">
        <v>4549</v>
      </c>
      <c r="C1217" t="s">
        <v>4550</v>
      </c>
      <c r="D1217" t="s">
        <v>31</v>
      </c>
      <c r="E1217" t="s">
        <v>4551</v>
      </c>
      <c r="F1217" t="s">
        <v>4552</v>
      </c>
      <c r="G1217" t="s">
        <v>1200</v>
      </c>
      <c r="H1217" t="s">
        <v>41</v>
      </c>
      <c r="I1217">
        <v>94566</v>
      </c>
    </row>
    <row r="1218" spans="1:9" x14ac:dyDescent="0.3">
      <c r="A1218">
        <v>1217</v>
      </c>
      <c r="B1218" t="s">
        <v>4553</v>
      </c>
      <c r="C1218" t="s">
        <v>3063</v>
      </c>
      <c r="D1218" t="s">
        <v>4554</v>
      </c>
      <c r="E1218" t="s">
        <v>4555</v>
      </c>
      <c r="F1218" t="s">
        <v>4556</v>
      </c>
      <c r="G1218" t="s">
        <v>1908</v>
      </c>
      <c r="H1218" t="s">
        <v>35</v>
      </c>
      <c r="I1218">
        <v>10701</v>
      </c>
    </row>
    <row r="1219" spans="1:9" x14ac:dyDescent="0.3">
      <c r="A1219">
        <v>1218</v>
      </c>
      <c r="B1219" t="s">
        <v>4557</v>
      </c>
      <c r="C1219" t="s">
        <v>767</v>
      </c>
      <c r="D1219" t="s">
        <v>4558</v>
      </c>
      <c r="E1219" t="s">
        <v>4559</v>
      </c>
      <c r="F1219" t="s">
        <v>4560</v>
      </c>
      <c r="G1219" t="s">
        <v>191</v>
      </c>
      <c r="H1219" t="s">
        <v>41</v>
      </c>
      <c r="I1219">
        <v>94603</v>
      </c>
    </row>
    <row r="1220" spans="1:9" x14ac:dyDescent="0.3">
      <c r="A1220">
        <v>1219</v>
      </c>
      <c r="B1220" t="s">
        <v>4561</v>
      </c>
      <c r="C1220" t="s">
        <v>2474</v>
      </c>
      <c r="D1220" t="s">
        <v>31</v>
      </c>
      <c r="E1220" t="s">
        <v>4562</v>
      </c>
      <c r="F1220" t="s">
        <v>4563</v>
      </c>
      <c r="G1220" t="s">
        <v>1770</v>
      </c>
      <c r="H1220" t="s">
        <v>35</v>
      </c>
      <c r="I1220">
        <v>11967</v>
      </c>
    </row>
    <row r="1221" spans="1:9" x14ac:dyDescent="0.3">
      <c r="A1221">
        <v>1220</v>
      </c>
      <c r="B1221" t="s">
        <v>855</v>
      </c>
      <c r="C1221" t="s">
        <v>1373</v>
      </c>
      <c r="D1221" t="s">
        <v>31</v>
      </c>
      <c r="E1221" t="s">
        <v>4564</v>
      </c>
      <c r="F1221" t="s">
        <v>4565</v>
      </c>
      <c r="G1221" t="s">
        <v>445</v>
      </c>
      <c r="H1221" t="s">
        <v>35</v>
      </c>
      <c r="I1221">
        <v>11746</v>
      </c>
    </row>
    <row r="1222" spans="1:9" x14ac:dyDescent="0.3">
      <c r="A1222">
        <v>1221</v>
      </c>
      <c r="B1222" t="s">
        <v>4566</v>
      </c>
      <c r="C1222" t="s">
        <v>4567</v>
      </c>
      <c r="D1222" t="s">
        <v>31</v>
      </c>
      <c r="E1222" t="s">
        <v>4568</v>
      </c>
      <c r="F1222" t="s">
        <v>4569</v>
      </c>
      <c r="G1222" t="s">
        <v>897</v>
      </c>
      <c r="H1222" t="s">
        <v>41</v>
      </c>
      <c r="I1222">
        <v>92307</v>
      </c>
    </row>
    <row r="1223" spans="1:9" x14ac:dyDescent="0.3">
      <c r="A1223">
        <v>1222</v>
      </c>
      <c r="B1223" t="s">
        <v>4570</v>
      </c>
      <c r="C1223" t="s">
        <v>4571</v>
      </c>
      <c r="D1223" t="s">
        <v>31</v>
      </c>
      <c r="E1223" t="s">
        <v>4572</v>
      </c>
      <c r="F1223" t="s">
        <v>4573</v>
      </c>
      <c r="G1223" t="s">
        <v>1689</v>
      </c>
      <c r="H1223" t="s">
        <v>35</v>
      </c>
      <c r="I1223">
        <v>11354</v>
      </c>
    </row>
    <row r="1224" spans="1:9" x14ac:dyDescent="0.3">
      <c r="A1224">
        <v>1223</v>
      </c>
      <c r="B1224" t="s">
        <v>4574</v>
      </c>
      <c r="C1224" t="s">
        <v>447</v>
      </c>
      <c r="D1224" t="s">
        <v>31</v>
      </c>
      <c r="E1224" t="s">
        <v>4575</v>
      </c>
      <c r="F1224" t="s">
        <v>4576</v>
      </c>
      <c r="G1224" t="s">
        <v>949</v>
      </c>
      <c r="H1224" t="s">
        <v>35</v>
      </c>
      <c r="I1224">
        <v>12553</v>
      </c>
    </row>
    <row r="1225" spans="1:9" x14ac:dyDescent="0.3">
      <c r="A1225">
        <v>1224</v>
      </c>
      <c r="B1225" t="s">
        <v>4577</v>
      </c>
      <c r="C1225" t="s">
        <v>4578</v>
      </c>
      <c r="D1225" t="s">
        <v>31</v>
      </c>
      <c r="E1225" t="s">
        <v>4579</v>
      </c>
      <c r="F1225" t="s">
        <v>4580</v>
      </c>
      <c r="G1225" t="s">
        <v>1807</v>
      </c>
      <c r="H1225" t="s">
        <v>100</v>
      </c>
      <c r="I1225">
        <v>78552</v>
      </c>
    </row>
    <row r="1226" spans="1:9" x14ac:dyDescent="0.3">
      <c r="A1226">
        <v>1225</v>
      </c>
      <c r="B1226" t="s">
        <v>1223</v>
      </c>
      <c r="C1226" t="s">
        <v>3736</v>
      </c>
      <c r="D1226" t="s">
        <v>31</v>
      </c>
      <c r="E1226" t="s">
        <v>4581</v>
      </c>
      <c r="F1226" t="s">
        <v>4582</v>
      </c>
      <c r="G1226" t="s">
        <v>1715</v>
      </c>
      <c r="H1226" t="s">
        <v>41</v>
      </c>
      <c r="I1226">
        <v>93635</v>
      </c>
    </row>
    <row r="1227" spans="1:9" x14ac:dyDescent="0.3">
      <c r="A1227">
        <v>1226</v>
      </c>
      <c r="B1227" t="s">
        <v>4583</v>
      </c>
      <c r="C1227" t="s">
        <v>273</v>
      </c>
      <c r="D1227" t="s">
        <v>31</v>
      </c>
      <c r="E1227" t="s">
        <v>4584</v>
      </c>
      <c r="F1227" t="s">
        <v>4585</v>
      </c>
      <c r="G1227" t="s">
        <v>145</v>
      </c>
      <c r="H1227" t="s">
        <v>35</v>
      </c>
      <c r="I1227">
        <v>11731</v>
      </c>
    </row>
    <row r="1228" spans="1:9" x14ac:dyDescent="0.3">
      <c r="A1228">
        <v>1227</v>
      </c>
      <c r="B1228" t="s">
        <v>4586</v>
      </c>
      <c r="C1228" t="s">
        <v>1850</v>
      </c>
      <c r="D1228" t="s">
        <v>4587</v>
      </c>
      <c r="E1228" t="s">
        <v>4588</v>
      </c>
      <c r="F1228" t="s">
        <v>4589</v>
      </c>
      <c r="G1228" t="s">
        <v>486</v>
      </c>
      <c r="H1228" t="s">
        <v>35</v>
      </c>
      <c r="I1228">
        <v>12180</v>
      </c>
    </row>
    <row r="1229" spans="1:9" x14ac:dyDescent="0.3">
      <c r="A1229">
        <v>1228</v>
      </c>
      <c r="B1229" t="s">
        <v>2599</v>
      </c>
      <c r="C1229" t="s">
        <v>1725</v>
      </c>
      <c r="D1229" t="s">
        <v>4590</v>
      </c>
      <c r="E1229" t="s">
        <v>4591</v>
      </c>
      <c r="F1229" t="s">
        <v>4592</v>
      </c>
      <c r="G1229" t="s">
        <v>191</v>
      </c>
      <c r="H1229" t="s">
        <v>41</v>
      </c>
      <c r="I1229">
        <v>94603</v>
      </c>
    </row>
    <row r="1230" spans="1:9" x14ac:dyDescent="0.3">
      <c r="A1230">
        <v>1229</v>
      </c>
      <c r="B1230" t="s">
        <v>4593</v>
      </c>
      <c r="C1230" t="s">
        <v>4594</v>
      </c>
      <c r="D1230" t="s">
        <v>31</v>
      </c>
      <c r="E1230" t="s">
        <v>4595</v>
      </c>
      <c r="F1230" t="s">
        <v>4596</v>
      </c>
      <c r="G1230" t="s">
        <v>1647</v>
      </c>
      <c r="H1230" t="s">
        <v>35</v>
      </c>
      <c r="I1230">
        <v>12590</v>
      </c>
    </row>
    <row r="1231" spans="1:9" x14ac:dyDescent="0.3">
      <c r="A1231">
        <v>1230</v>
      </c>
      <c r="B1231" t="s">
        <v>4597</v>
      </c>
      <c r="C1231" t="s">
        <v>805</v>
      </c>
      <c r="D1231" t="s">
        <v>31</v>
      </c>
      <c r="E1231" t="s">
        <v>4598</v>
      </c>
      <c r="F1231" t="s">
        <v>4599</v>
      </c>
      <c r="G1231" t="s">
        <v>348</v>
      </c>
      <c r="H1231" t="s">
        <v>100</v>
      </c>
      <c r="I1231">
        <v>75115</v>
      </c>
    </row>
    <row r="1232" spans="1:9" x14ac:dyDescent="0.3">
      <c r="A1232">
        <v>1231</v>
      </c>
      <c r="B1232" t="s">
        <v>2242</v>
      </c>
      <c r="C1232" t="s">
        <v>350</v>
      </c>
      <c r="D1232" t="s">
        <v>31</v>
      </c>
      <c r="E1232" t="s">
        <v>4600</v>
      </c>
      <c r="F1232" t="s">
        <v>4601</v>
      </c>
      <c r="G1232" t="s">
        <v>40</v>
      </c>
      <c r="H1232" t="s">
        <v>41</v>
      </c>
      <c r="I1232">
        <v>95008</v>
      </c>
    </row>
    <row r="1233" spans="1:9" x14ac:dyDescent="0.3">
      <c r="A1233">
        <v>1232</v>
      </c>
      <c r="B1233" t="s">
        <v>4602</v>
      </c>
      <c r="C1233" t="s">
        <v>4055</v>
      </c>
      <c r="D1233" t="s">
        <v>31</v>
      </c>
      <c r="E1233" t="s">
        <v>4603</v>
      </c>
      <c r="F1233" t="s">
        <v>4604</v>
      </c>
      <c r="G1233" t="s">
        <v>262</v>
      </c>
      <c r="H1233" t="s">
        <v>35</v>
      </c>
      <c r="I1233">
        <v>11714</v>
      </c>
    </row>
    <row r="1234" spans="1:9" x14ac:dyDescent="0.3">
      <c r="A1234">
        <v>1233</v>
      </c>
      <c r="B1234" t="s">
        <v>2099</v>
      </c>
      <c r="C1234" t="s">
        <v>917</v>
      </c>
      <c r="D1234" t="s">
        <v>31</v>
      </c>
      <c r="E1234" t="s">
        <v>4605</v>
      </c>
      <c r="F1234" t="s">
        <v>4606</v>
      </c>
      <c r="G1234" t="s">
        <v>1931</v>
      </c>
      <c r="H1234" t="s">
        <v>41</v>
      </c>
      <c r="I1234">
        <v>92083</v>
      </c>
    </row>
    <row r="1235" spans="1:9" x14ac:dyDescent="0.3">
      <c r="A1235">
        <v>1234</v>
      </c>
      <c r="B1235" t="s">
        <v>2213</v>
      </c>
      <c r="C1235" t="s">
        <v>264</v>
      </c>
      <c r="D1235" t="s">
        <v>31</v>
      </c>
      <c r="E1235" t="s">
        <v>4607</v>
      </c>
      <c r="F1235" t="s">
        <v>4608</v>
      </c>
      <c r="G1235" t="s">
        <v>176</v>
      </c>
      <c r="H1235" t="s">
        <v>35</v>
      </c>
      <c r="I1235">
        <v>10562</v>
      </c>
    </row>
    <row r="1236" spans="1:9" x14ac:dyDescent="0.3">
      <c r="A1236">
        <v>1235</v>
      </c>
      <c r="B1236" t="s">
        <v>4609</v>
      </c>
      <c r="C1236" t="s">
        <v>826</v>
      </c>
      <c r="D1236" t="s">
        <v>31</v>
      </c>
      <c r="E1236" t="s">
        <v>4610</v>
      </c>
      <c r="F1236" t="s">
        <v>4611</v>
      </c>
      <c r="G1236" t="s">
        <v>2910</v>
      </c>
      <c r="H1236" t="s">
        <v>35</v>
      </c>
      <c r="I1236">
        <v>13760</v>
      </c>
    </row>
    <row r="1237" spans="1:9" x14ac:dyDescent="0.3">
      <c r="A1237">
        <v>1236</v>
      </c>
      <c r="B1237" t="s">
        <v>4612</v>
      </c>
      <c r="C1237" t="s">
        <v>3519</v>
      </c>
      <c r="D1237" t="s">
        <v>31</v>
      </c>
      <c r="E1237" t="s">
        <v>4613</v>
      </c>
      <c r="F1237" t="s">
        <v>4614</v>
      </c>
      <c r="G1237" t="s">
        <v>1525</v>
      </c>
      <c r="H1237" t="s">
        <v>35</v>
      </c>
      <c r="I1237">
        <v>10550</v>
      </c>
    </row>
    <row r="1238" spans="1:9" x14ac:dyDescent="0.3">
      <c r="A1238">
        <v>1237</v>
      </c>
      <c r="B1238" t="s">
        <v>1808</v>
      </c>
      <c r="C1238" t="s">
        <v>1998</v>
      </c>
      <c r="D1238" t="s">
        <v>31</v>
      </c>
      <c r="E1238" t="s">
        <v>4615</v>
      </c>
      <c r="F1238" t="s">
        <v>4616</v>
      </c>
      <c r="G1238" t="s">
        <v>262</v>
      </c>
      <c r="H1238" t="s">
        <v>35</v>
      </c>
      <c r="I1238">
        <v>11714</v>
      </c>
    </row>
    <row r="1239" spans="1:9" x14ac:dyDescent="0.3">
      <c r="A1239">
        <v>1238</v>
      </c>
      <c r="B1239" t="s">
        <v>3160</v>
      </c>
      <c r="C1239" t="s">
        <v>243</v>
      </c>
      <c r="D1239" t="s">
        <v>31</v>
      </c>
      <c r="E1239" t="s">
        <v>4617</v>
      </c>
      <c r="F1239" t="s">
        <v>4618</v>
      </c>
      <c r="G1239" t="s">
        <v>1807</v>
      </c>
      <c r="H1239" t="s">
        <v>100</v>
      </c>
      <c r="I1239">
        <v>78552</v>
      </c>
    </row>
    <row r="1240" spans="1:9" x14ac:dyDescent="0.3">
      <c r="A1240">
        <v>1239</v>
      </c>
      <c r="B1240" t="s">
        <v>4619</v>
      </c>
      <c r="C1240" t="s">
        <v>3164</v>
      </c>
      <c r="D1240" t="s">
        <v>31</v>
      </c>
      <c r="E1240" t="s">
        <v>4620</v>
      </c>
      <c r="F1240" t="s">
        <v>4621</v>
      </c>
      <c r="G1240" t="s">
        <v>440</v>
      </c>
      <c r="H1240" t="s">
        <v>35</v>
      </c>
      <c r="I1240">
        <v>11757</v>
      </c>
    </row>
    <row r="1241" spans="1:9" x14ac:dyDescent="0.3">
      <c r="A1241">
        <v>1240</v>
      </c>
      <c r="B1241" t="s">
        <v>4622</v>
      </c>
      <c r="C1241" t="s">
        <v>2779</v>
      </c>
      <c r="D1241" t="s">
        <v>31</v>
      </c>
      <c r="E1241" t="s">
        <v>4623</v>
      </c>
      <c r="F1241" t="s">
        <v>4624</v>
      </c>
      <c r="G1241" t="s">
        <v>455</v>
      </c>
      <c r="H1241" t="s">
        <v>41</v>
      </c>
      <c r="I1241">
        <v>91010</v>
      </c>
    </row>
    <row r="1242" spans="1:9" x14ac:dyDescent="0.3">
      <c r="A1242">
        <v>1241</v>
      </c>
      <c r="B1242" t="s">
        <v>3503</v>
      </c>
      <c r="C1242" t="s">
        <v>4625</v>
      </c>
      <c r="D1242" t="s">
        <v>31</v>
      </c>
      <c r="E1242" t="s">
        <v>4626</v>
      </c>
      <c r="F1242" t="s">
        <v>4627</v>
      </c>
      <c r="G1242" t="s">
        <v>353</v>
      </c>
      <c r="H1242" t="s">
        <v>35</v>
      </c>
      <c r="I1242">
        <v>13440</v>
      </c>
    </row>
    <row r="1243" spans="1:9" x14ac:dyDescent="0.3">
      <c r="A1243">
        <v>1242</v>
      </c>
      <c r="B1243" t="s">
        <v>4628</v>
      </c>
      <c r="C1243" t="s">
        <v>4629</v>
      </c>
      <c r="D1243" t="s">
        <v>31</v>
      </c>
      <c r="E1243" t="s">
        <v>4630</v>
      </c>
      <c r="F1243" t="s">
        <v>4631</v>
      </c>
      <c r="G1243" t="s">
        <v>469</v>
      </c>
      <c r="H1243" t="s">
        <v>35</v>
      </c>
      <c r="I1243">
        <v>11010</v>
      </c>
    </row>
    <row r="1244" spans="1:9" x14ac:dyDescent="0.3">
      <c r="A1244">
        <v>1243</v>
      </c>
      <c r="B1244" t="s">
        <v>4632</v>
      </c>
      <c r="C1244" t="s">
        <v>1497</v>
      </c>
      <c r="D1244" t="s">
        <v>31</v>
      </c>
      <c r="E1244" t="s">
        <v>4633</v>
      </c>
      <c r="F1244" t="s">
        <v>4634</v>
      </c>
      <c r="G1244" t="s">
        <v>553</v>
      </c>
      <c r="H1244" t="s">
        <v>35</v>
      </c>
      <c r="I1244">
        <v>11001</v>
      </c>
    </row>
    <row r="1245" spans="1:9" x14ac:dyDescent="0.3">
      <c r="A1245">
        <v>1244</v>
      </c>
      <c r="B1245" t="s">
        <v>4635</v>
      </c>
      <c r="C1245" t="s">
        <v>123</v>
      </c>
      <c r="D1245" t="s">
        <v>31</v>
      </c>
      <c r="E1245" t="s">
        <v>4636</v>
      </c>
      <c r="F1245" t="s">
        <v>4637</v>
      </c>
      <c r="G1245" t="s">
        <v>1751</v>
      </c>
      <c r="H1245" t="s">
        <v>35</v>
      </c>
      <c r="I1245">
        <v>14043</v>
      </c>
    </row>
    <row r="1246" spans="1:9" x14ac:dyDescent="0.3">
      <c r="A1246">
        <v>1245</v>
      </c>
      <c r="B1246" t="s">
        <v>4638</v>
      </c>
      <c r="C1246" t="s">
        <v>3807</v>
      </c>
      <c r="D1246" t="s">
        <v>4639</v>
      </c>
      <c r="E1246" t="s">
        <v>4640</v>
      </c>
      <c r="F1246" t="s">
        <v>4641</v>
      </c>
      <c r="G1246" t="s">
        <v>166</v>
      </c>
      <c r="H1246" t="s">
        <v>35</v>
      </c>
      <c r="I1246">
        <v>11561</v>
      </c>
    </row>
    <row r="1247" spans="1:9" x14ac:dyDescent="0.3">
      <c r="A1247">
        <v>1246</v>
      </c>
      <c r="B1247" t="s">
        <v>3896</v>
      </c>
      <c r="C1247" t="s">
        <v>1090</v>
      </c>
      <c r="D1247" t="s">
        <v>31</v>
      </c>
      <c r="E1247" t="s">
        <v>4642</v>
      </c>
      <c r="F1247" t="s">
        <v>4643</v>
      </c>
      <c r="G1247" t="s">
        <v>1247</v>
      </c>
      <c r="H1247" t="s">
        <v>35</v>
      </c>
      <c r="I1247">
        <v>12401</v>
      </c>
    </row>
    <row r="1248" spans="1:9" x14ac:dyDescent="0.3">
      <c r="A1248">
        <v>1247</v>
      </c>
      <c r="B1248" t="s">
        <v>4644</v>
      </c>
      <c r="C1248" t="s">
        <v>1960</v>
      </c>
      <c r="D1248" t="s">
        <v>31</v>
      </c>
      <c r="E1248" t="s">
        <v>4645</v>
      </c>
      <c r="F1248" t="s">
        <v>4646</v>
      </c>
      <c r="G1248" t="s">
        <v>683</v>
      </c>
      <c r="H1248" t="s">
        <v>35</v>
      </c>
      <c r="I1248">
        <v>11758</v>
      </c>
    </row>
    <row r="1249" spans="1:9" x14ac:dyDescent="0.3">
      <c r="A1249">
        <v>1248</v>
      </c>
      <c r="B1249" t="s">
        <v>4647</v>
      </c>
      <c r="C1249" t="s">
        <v>4648</v>
      </c>
      <c r="D1249" t="s">
        <v>31</v>
      </c>
      <c r="E1249" t="s">
        <v>4649</v>
      </c>
      <c r="F1249" t="s">
        <v>4650</v>
      </c>
      <c r="G1249" t="s">
        <v>404</v>
      </c>
      <c r="H1249" t="s">
        <v>35</v>
      </c>
      <c r="I1249">
        <v>11776</v>
      </c>
    </row>
    <row r="1250" spans="1:9" x14ac:dyDescent="0.3">
      <c r="A1250">
        <v>1249</v>
      </c>
      <c r="B1250" t="s">
        <v>4651</v>
      </c>
      <c r="C1250" t="s">
        <v>2484</v>
      </c>
      <c r="D1250" t="s">
        <v>31</v>
      </c>
      <c r="E1250" t="s">
        <v>4652</v>
      </c>
      <c r="F1250" t="s">
        <v>4653</v>
      </c>
      <c r="G1250" t="s">
        <v>990</v>
      </c>
      <c r="H1250" t="s">
        <v>41</v>
      </c>
      <c r="I1250">
        <v>93555</v>
      </c>
    </row>
    <row r="1251" spans="1:9" x14ac:dyDescent="0.3">
      <c r="A1251">
        <v>1250</v>
      </c>
      <c r="B1251" t="s">
        <v>4654</v>
      </c>
      <c r="C1251" t="s">
        <v>4655</v>
      </c>
      <c r="D1251" t="s">
        <v>31</v>
      </c>
      <c r="E1251" t="s">
        <v>4656</v>
      </c>
      <c r="F1251" t="s">
        <v>4657</v>
      </c>
      <c r="G1251" t="s">
        <v>1525</v>
      </c>
      <c r="H1251" t="s">
        <v>35</v>
      </c>
      <c r="I1251">
        <v>10550</v>
      </c>
    </row>
    <row r="1252" spans="1:9" x14ac:dyDescent="0.3">
      <c r="A1252">
        <v>1251</v>
      </c>
      <c r="B1252" t="s">
        <v>4658</v>
      </c>
      <c r="C1252" t="s">
        <v>1644</v>
      </c>
      <c r="D1252" t="s">
        <v>31</v>
      </c>
      <c r="E1252" t="s">
        <v>4659</v>
      </c>
      <c r="F1252" t="s">
        <v>4660</v>
      </c>
      <c r="G1252" t="s">
        <v>297</v>
      </c>
      <c r="H1252" t="s">
        <v>41</v>
      </c>
      <c r="I1252">
        <v>91740</v>
      </c>
    </row>
    <row r="1253" spans="1:9" x14ac:dyDescent="0.3">
      <c r="A1253">
        <v>1252</v>
      </c>
      <c r="B1253" t="s">
        <v>2406</v>
      </c>
      <c r="C1253" t="s">
        <v>1535</v>
      </c>
      <c r="D1253" t="s">
        <v>31</v>
      </c>
      <c r="E1253" t="s">
        <v>4661</v>
      </c>
      <c r="F1253" t="s">
        <v>4662</v>
      </c>
      <c r="G1253" t="s">
        <v>751</v>
      </c>
      <c r="H1253" t="s">
        <v>35</v>
      </c>
      <c r="I1253">
        <v>11803</v>
      </c>
    </row>
    <row r="1254" spans="1:9" x14ac:dyDescent="0.3">
      <c r="A1254">
        <v>1253</v>
      </c>
      <c r="B1254" t="s">
        <v>4663</v>
      </c>
      <c r="C1254" t="s">
        <v>1531</v>
      </c>
      <c r="D1254" t="s">
        <v>31</v>
      </c>
      <c r="E1254" t="s">
        <v>4664</v>
      </c>
      <c r="F1254" t="s">
        <v>4665</v>
      </c>
      <c r="G1254" t="s">
        <v>4358</v>
      </c>
      <c r="H1254" t="s">
        <v>35</v>
      </c>
      <c r="I1254">
        <v>11691</v>
      </c>
    </row>
    <row r="1255" spans="1:9" x14ac:dyDescent="0.3">
      <c r="A1255">
        <v>1254</v>
      </c>
      <c r="B1255" t="s">
        <v>4283</v>
      </c>
      <c r="C1255" t="s">
        <v>4340</v>
      </c>
      <c r="D1255" t="s">
        <v>31</v>
      </c>
      <c r="E1255" t="s">
        <v>4666</v>
      </c>
      <c r="F1255" t="s">
        <v>4667</v>
      </c>
      <c r="G1255" t="s">
        <v>1123</v>
      </c>
      <c r="H1255" t="s">
        <v>41</v>
      </c>
      <c r="I1255">
        <v>91387</v>
      </c>
    </row>
    <row r="1256" spans="1:9" x14ac:dyDescent="0.3">
      <c r="A1256">
        <v>1255</v>
      </c>
      <c r="B1256" t="s">
        <v>4668</v>
      </c>
      <c r="C1256" t="s">
        <v>628</v>
      </c>
      <c r="D1256" t="s">
        <v>31</v>
      </c>
      <c r="E1256" t="s">
        <v>4669</v>
      </c>
      <c r="F1256" t="s">
        <v>4670</v>
      </c>
      <c r="G1256" t="s">
        <v>1617</v>
      </c>
      <c r="H1256" t="s">
        <v>35</v>
      </c>
      <c r="I1256">
        <v>14850</v>
      </c>
    </row>
    <row r="1257" spans="1:9" x14ac:dyDescent="0.3">
      <c r="A1257">
        <v>1256</v>
      </c>
      <c r="B1257" t="s">
        <v>4671</v>
      </c>
      <c r="C1257" t="s">
        <v>1400</v>
      </c>
      <c r="D1257" t="s">
        <v>31</v>
      </c>
      <c r="E1257" t="s">
        <v>4672</v>
      </c>
      <c r="F1257" t="s">
        <v>4673</v>
      </c>
      <c r="G1257" t="s">
        <v>1273</v>
      </c>
      <c r="H1257" t="s">
        <v>35</v>
      </c>
      <c r="I1257">
        <v>11779</v>
      </c>
    </row>
    <row r="1258" spans="1:9" x14ac:dyDescent="0.3">
      <c r="A1258">
        <v>1257</v>
      </c>
      <c r="B1258" t="s">
        <v>4674</v>
      </c>
      <c r="C1258" t="s">
        <v>4675</v>
      </c>
      <c r="D1258" t="s">
        <v>31</v>
      </c>
      <c r="E1258" t="s">
        <v>4676</v>
      </c>
      <c r="F1258" t="s">
        <v>4677</v>
      </c>
      <c r="G1258" t="s">
        <v>884</v>
      </c>
      <c r="H1258" t="s">
        <v>35</v>
      </c>
      <c r="I1258">
        <v>14580</v>
      </c>
    </row>
    <row r="1259" spans="1:9" x14ac:dyDescent="0.3">
      <c r="A1259">
        <v>1258</v>
      </c>
      <c r="B1259" t="s">
        <v>37</v>
      </c>
      <c r="C1259" t="s">
        <v>4678</v>
      </c>
      <c r="D1259" t="s">
        <v>31</v>
      </c>
      <c r="E1259" t="s">
        <v>4679</v>
      </c>
      <c r="F1259" t="s">
        <v>4680</v>
      </c>
      <c r="G1259" t="s">
        <v>765</v>
      </c>
      <c r="H1259" t="s">
        <v>35</v>
      </c>
      <c r="I1259">
        <v>11706</v>
      </c>
    </row>
    <row r="1260" spans="1:9" x14ac:dyDescent="0.3">
      <c r="A1260">
        <v>1259</v>
      </c>
      <c r="B1260" t="s">
        <v>4681</v>
      </c>
      <c r="C1260" t="s">
        <v>1874</v>
      </c>
      <c r="D1260" t="s">
        <v>31</v>
      </c>
      <c r="E1260" t="s">
        <v>4682</v>
      </c>
      <c r="F1260" t="s">
        <v>4683</v>
      </c>
      <c r="G1260" t="s">
        <v>329</v>
      </c>
      <c r="H1260" t="s">
        <v>41</v>
      </c>
      <c r="I1260">
        <v>94070</v>
      </c>
    </row>
    <row r="1261" spans="1:9" x14ac:dyDescent="0.3">
      <c r="A1261">
        <v>1260</v>
      </c>
      <c r="B1261" t="s">
        <v>4684</v>
      </c>
      <c r="C1261" t="s">
        <v>4685</v>
      </c>
      <c r="D1261" t="s">
        <v>31</v>
      </c>
      <c r="E1261" t="s">
        <v>4686</v>
      </c>
      <c r="F1261" t="s">
        <v>4687</v>
      </c>
      <c r="G1261" t="s">
        <v>1454</v>
      </c>
      <c r="H1261" t="s">
        <v>35</v>
      </c>
      <c r="I1261">
        <v>12302</v>
      </c>
    </row>
    <row r="1262" spans="1:9" x14ac:dyDescent="0.3">
      <c r="A1262">
        <v>1261</v>
      </c>
      <c r="B1262" t="s">
        <v>4688</v>
      </c>
      <c r="C1262" t="s">
        <v>3070</v>
      </c>
      <c r="D1262" t="s">
        <v>31</v>
      </c>
      <c r="E1262" t="s">
        <v>4689</v>
      </c>
      <c r="F1262" t="s">
        <v>4690</v>
      </c>
      <c r="G1262" t="s">
        <v>1141</v>
      </c>
      <c r="H1262" t="s">
        <v>41</v>
      </c>
      <c r="I1262">
        <v>94806</v>
      </c>
    </row>
    <row r="1263" spans="1:9" x14ac:dyDescent="0.3">
      <c r="A1263">
        <v>1262</v>
      </c>
      <c r="B1263" t="s">
        <v>4691</v>
      </c>
      <c r="C1263" t="s">
        <v>64</v>
      </c>
      <c r="D1263" t="s">
        <v>31</v>
      </c>
      <c r="E1263" t="s">
        <v>4692</v>
      </c>
      <c r="F1263" t="s">
        <v>4693</v>
      </c>
      <c r="G1263" t="s">
        <v>1141</v>
      </c>
      <c r="H1263" t="s">
        <v>41</v>
      </c>
      <c r="I1263">
        <v>94806</v>
      </c>
    </row>
    <row r="1264" spans="1:9" x14ac:dyDescent="0.3">
      <c r="A1264">
        <v>1263</v>
      </c>
      <c r="B1264" t="s">
        <v>4694</v>
      </c>
      <c r="C1264" t="s">
        <v>4695</v>
      </c>
      <c r="D1264" t="s">
        <v>31</v>
      </c>
      <c r="E1264" t="s">
        <v>4696</v>
      </c>
      <c r="F1264" t="s">
        <v>4697</v>
      </c>
      <c r="G1264" t="s">
        <v>2512</v>
      </c>
      <c r="H1264" t="s">
        <v>35</v>
      </c>
      <c r="I1264">
        <v>11040</v>
      </c>
    </row>
    <row r="1265" spans="1:9" x14ac:dyDescent="0.3">
      <c r="A1265">
        <v>1264</v>
      </c>
      <c r="B1265" t="s">
        <v>2911</v>
      </c>
      <c r="C1265" t="s">
        <v>1197</v>
      </c>
      <c r="D1265" t="s">
        <v>4698</v>
      </c>
      <c r="E1265" t="s">
        <v>4699</v>
      </c>
      <c r="F1265" t="s">
        <v>4700</v>
      </c>
      <c r="G1265" t="s">
        <v>1079</v>
      </c>
      <c r="H1265" t="s">
        <v>35</v>
      </c>
      <c r="I1265">
        <v>11717</v>
      </c>
    </row>
    <row r="1266" spans="1:9" x14ac:dyDescent="0.3">
      <c r="A1266">
        <v>1265</v>
      </c>
      <c r="B1266" t="s">
        <v>4701</v>
      </c>
      <c r="C1266" t="s">
        <v>1822</v>
      </c>
      <c r="D1266" t="s">
        <v>31</v>
      </c>
      <c r="E1266" t="s">
        <v>4702</v>
      </c>
      <c r="F1266" t="s">
        <v>4703</v>
      </c>
      <c r="G1266" t="s">
        <v>2910</v>
      </c>
      <c r="H1266" t="s">
        <v>35</v>
      </c>
      <c r="I1266">
        <v>13760</v>
      </c>
    </row>
    <row r="1267" spans="1:9" x14ac:dyDescent="0.3">
      <c r="A1267">
        <v>1266</v>
      </c>
      <c r="B1267" t="s">
        <v>4704</v>
      </c>
      <c r="C1267" t="s">
        <v>4705</v>
      </c>
      <c r="D1267" t="s">
        <v>31</v>
      </c>
      <c r="E1267" t="s">
        <v>4706</v>
      </c>
      <c r="F1267" t="s">
        <v>4707</v>
      </c>
      <c r="G1267" t="s">
        <v>358</v>
      </c>
      <c r="H1267" t="s">
        <v>100</v>
      </c>
      <c r="I1267">
        <v>75043</v>
      </c>
    </row>
    <row r="1268" spans="1:9" x14ac:dyDescent="0.3">
      <c r="A1268">
        <v>1267</v>
      </c>
      <c r="B1268" t="s">
        <v>1918</v>
      </c>
      <c r="C1268" t="s">
        <v>1170</v>
      </c>
      <c r="D1268" t="s">
        <v>31</v>
      </c>
      <c r="E1268" t="s">
        <v>4708</v>
      </c>
      <c r="F1268" t="s">
        <v>4709</v>
      </c>
      <c r="G1268" t="s">
        <v>1273</v>
      </c>
      <c r="H1268" t="s">
        <v>35</v>
      </c>
      <c r="I1268">
        <v>11779</v>
      </c>
    </row>
    <row r="1269" spans="1:9" x14ac:dyDescent="0.3">
      <c r="A1269">
        <v>1268</v>
      </c>
      <c r="B1269" t="s">
        <v>4710</v>
      </c>
      <c r="C1269" t="s">
        <v>3050</v>
      </c>
      <c r="D1269" t="s">
        <v>31</v>
      </c>
      <c r="E1269" t="s">
        <v>4711</v>
      </c>
      <c r="F1269" t="s">
        <v>4712</v>
      </c>
      <c r="G1269" t="s">
        <v>1247</v>
      </c>
      <c r="H1269" t="s">
        <v>35</v>
      </c>
      <c r="I1269">
        <v>12401</v>
      </c>
    </row>
    <row r="1270" spans="1:9" x14ac:dyDescent="0.3">
      <c r="A1270">
        <v>1269</v>
      </c>
      <c r="B1270" t="s">
        <v>4713</v>
      </c>
      <c r="C1270" t="s">
        <v>397</v>
      </c>
      <c r="D1270" t="s">
        <v>31</v>
      </c>
      <c r="E1270" t="s">
        <v>4714</v>
      </c>
      <c r="F1270" t="s">
        <v>4715</v>
      </c>
      <c r="G1270" t="s">
        <v>78</v>
      </c>
      <c r="H1270" t="s">
        <v>35</v>
      </c>
      <c r="I1270">
        <v>11050</v>
      </c>
    </row>
    <row r="1271" spans="1:9" x14ac:dyDescent="0.3">
      <c r="A1271">
        <v>1270</v>
      </c>
      <c r="B1271" t="s">
        <v>3720</v>
      </c>
      <c r="C1271" t="s">
        <v>4164</v>
      </c>
      <c r="D1271" t="s">
        <v>31</v>
      </c>
      <c r="E1271" t="s">
        <v>4716</v>
      </c>
      <c r="F1271" t="s">
        <v>4717</v>
      </c>
      <c r="G1271" t="s">
        <v>34</v>
      </c>
      <c r="H1271" t="s">
        <v>35</v>
      </c>
      <c r="I1271">
        <v>14127</v>
      </c>
    </row>
    <row r="1272" spans="1:9" x14ac:dyDescent="0.3">
      <c r="A1272">
        <v>1271</v>
      </c>
      <c r="B1272" t="s">
        <v>3564</v>
      </c>
      <c r="C1272" t="s">
        <v>2873</v>
      </c>
      <c r="D1272" t="s">
        <v>31</v>
      </c>
      <c r="E1272" t="s">
        <v>4718</v>
      </c>
      <c r="F1272" t="s">
        <v>4719</v>
      </c>
      <c r="G1272" t="s">
        <v>1596</v>
      </c>
      <c r="H1272" t="s">
        <v>41</v>
      </c>
      <c r="I1272">
        <v>91768</v>
      </c>
    </row>
    <row r="1273" spans="1:9" x14ac:dyDescent="0.3">
      <c r="A1273">
        <v>1272</v>
      </c>
      <c r="B1273" t="s">
        <v>252</v>
      </c>
      <c r="C1273" t="s">
        <v>4720</v>
      </c>
      <c r="D1273" t="s">
        <v>31</v>
      </c>
      <c r="E1273" t="s">
        <v>4721</v>
      </c>
      <c r="F1273" t="s">
        <v>4722</v>
      </c>
      <c r="G1273" t="s">
        <v>196</v>
      </c>
      <c r="H1273" t="s">
        <v>41</v>
      </c>
      <c r="I1273">
        <v>92831</v>
      </c>
    </row>
    <row r="1274" spans="1:9" x14ac:dyDescent="0.3">
      <c r="A1274">
        <v>1273</v>
      </c>
      <c r="B1274" t="s">
        <v>4723</v>
      </c>
      <c r="C1274" t="s">
        <v>4724</v>
      </c>
      <c r="D1274" t="s">
        <v>31</v>
      </c>
      <c r="E1274" t="s">
        <v>4725</v>
      </c>
      <c r="F1274" t="s">
        <v>4726</v>
      </c>
      <c r="G1274" t="s">
        <v>450</v>
      </c>
      <c r="H1274" t="s">
        <v>35</v>
      </c>
      <c r="I1274">
        <v>13126</v>
      </c>
    </row>
    <row r="1275" spans="1:9" x14ac:dyDescent="0.3">
      <c r="A1275">
        <v>1274</v>
      </c>
      <c r="B1275" t="s">
        <v>4727</v>
      </c>
      <c r="C1275" t="s">
        <v>1057</v>
      </c>
      <c r="D1275" t="s">
        <v>31</v>
      </c>
      <c r="E1275" t="s">
        <v>4728</v>
      </c>
      <c r="F1275" t="s">
        <v>4729</v>
      </c>
      <c r="G1275" t="s">
        <v>635</v>
      </c>
      <c r="H1275" t="s">
        <v>35</v>
      </c>
      <c r="I1275">
        <v>12550</v>
      </c>
    </row>
    <row r="1276" spans="1:9" x14ac:dyDescent="0.3">
      <c r="A1276">
        <v>1275</v>
      </c>
      <c r="B1276" t="s">
        <v>4730</v>
      </c>
      <c r="C1276" t="s">
        <v>424</v>
      </c>
      <c r="D1276" t="s">
        <v>31</v>
      </c>
      <c r="E1276" t="s">
        <v>4731</v>
      </c>
      <c r="F1276" t="s">
        <v>4732</v>
      </c>
      <c r="G1276" t="s">
        <v>1715</v>
      </c>
      <c r="H1276" t="s">
        <v>41</v>
      </c>
      <c r="I1276">
        <v>93635</v>
      </c>
    </row>
    <row r="1277" spans="1:9" x14ac:dyDescent="0.3">
      <c r="A1277">
        <v>1276</v>
      </c>
      <c r="B1277" t="s">
        <v>4733</v>
      </c>
      <c r="C1277" t="s">
        <v>1351</v>
      </c>
      <c r="D1277" t="s">
        <v>31</v>
      </c>
      <c r="E1277" t="s">
        <v>4734</v>
      </c>
      <c r="F1277" t="s">
        <v>4735</v>
      </c>
      <c r="G1277" t="s">
        <v>897</v>
      </c>
      <c r="H1277" t="s">
        <v>41</v>
      </c>
      <c r="I1277">
        <v>92307</v>
      </c>
    </row>
    <row r="1278" spans="1:9" x14ac:dyDescent="0.3">
      <c r="A1278">
        <v>1277</v>
      </c>
      <c r="B1278" t="s">
        <v>4736</v>
      </c>
      <c r="C1278" t="s">
        <v>658</v>
      </c>
      <c r="D1278" t="s">
        <v>31</v>
      </c>
      <c r="E1278" t="s">
        <v>4737</v>
      </c>
      <c r="F1278" t="s">
        <v>4738</v>
      </c>
      <c r="G1278" t="s">
        <v>666</v>
      </c>
      <c r="H1278" t="s">
        <v>35</v>
      </c>
      <c r="I1278">
        <v>11727</v>
      </c>
    </row>
    <row r="1279" spans="1:9" x14ac:dyDescent="0.3">
      <c r="A1279">
        <v>1278</v>
      </c>
      <c r="B1279" t="s">
        <v>4739</v>
      </c>
      <c r="C1279" t="s">
        <v>1428</v>
      </c>
      <c r="D1279" t="s">
        <v>31</v>
      </c>
      <c r="E1279" t="s">
        <v>4740</v>
      </c>
      <c r="F1279" t="s">
        <v>4741</v>
      </c>
      <c r="G1279" t="s">
        <v>73</v>
      </c>
      <c r="H1279" t="s">
        <v>35</v>
      </c>
      <c r="I1279">
        <v>11372</v>
      </c>
    </row>
    <row r="1280" spans="1:9" x14ac:dyDescent="0.3">
      <c r="A1280">
        <v>1279</v>
      </c>
      <c r="B1280" t="s">
        <v>4742</v>
      </c>
      <c r="C1280" t="s">
        <v>1833</v>
      </c>
      <c r="D1280" t="s">
        <v>31</v>
      </c>
      <c r="E1280" t="s">
        <v>4743</v>
      </c>
      <c r="F1280" t="s">
        <v>4744</v>
      </c>
      <c r="G1280" t="s">
        <v>126</v>
      </c>
      <c r="H1280" t="s">
        <v>35</v>
      </c>
      <c r="I1280">
        <v>14424</v>
      </c>
    </row>
    <row r="1281" spans="1:9" x14ac:dyDescent="0.3">
      <c r="A1281">
        <v>1280</v>
      </c>
      <c r="B1281" t="s">
        <v>4745</v>
      </c>
      <c r="C1281" t="s">
        <v>2577</v>
      </c>
      <c r="D1281" t="s">
        <v>31</v>
      </c>
      <c r="E1281" t="s">
        <v>4746</v>
      </c>
      <c r="F1281" t="s">
        <v>4747</v>
      </c>
      <c r="G1281" t="s">
        <v>1647</v>
      </c>
      <c r="H1281" t="s">
        <v>35</v>
      </c>
      <c r="I1281">
        <v>12590</v>
      </c>
    </row>
    <row r="1282" spans="1:9" x14ac:dyDescent="0.3">
      <c r="A1282">
        <v>1281</v>
      </c>
      <c r="B1282" t="s">
        <v>4748</v>
      </c>
      <c r="C1282" t="s">
        <v>840</v>
      </c>
      <c r="D1282" t="s">
        <v>31</v>
      </c>
      <c r="E1282" t="s">
        <v>4749</v>
      </c>
      <c r="F1282" t="s">
        <v>4750</v>
      </c>
      <c r="G1282" t="s">
        <v>803</v>
      </c>
      <c r="H1282" t="s">
        <v>35</v>
      </c>
      <c r="I1282">
        <v>11377</v>
      </c>
    </row>
    <row r="1283" spans="1:9" x14ac:dyDescent="0.3">
      <c r="A1283">
        <v>1282</v>
      </c>
      <c r="B1283" t="s">
        <v>4751</v>
      </c>
      <c r="C1283" t="s">
        <v>1483</v>
      </c>
      <c r="D1283" t="s">
        <v>4752</v>
      </c>
      <c r="E1283" t="s">
        <v>4753</v>
      </c>
      <c r="F1283" t="s">
        <v>4754</v>
      </c>
      <c r="G1283" t="s">
        <v>2236</v>
      </c>
      <c r="H1283" t="s">
        <v>35</v>
      </c>
      <c r="I1283">
        <v>10956</v>
      </c>
    </row>
    <row r="1284" spans="1:9" x14ac:dyDescent="0.3">
      <c r="A1284">
        <v>1283</v>
      </c>
      <c r="B1284" t="s">
        <v>4755</v>
      </c>
      <c r="C1284" t="s">
        <v>1326</v>
      </c>
      <c r="D1284" t="s">
        <v>31</v>
      </c>
      <c r="E1284" t="s">
        <v>4756</v>
      </c>
      <c r="F1284" t="s">
        <v>4757</v>
      </c>
      <c r="G1284" t="s">
        <v>1265</v>
      </c>
      <c r="H1284" t="s">
        <v>35</v>
      </c>
      <c r="I1284">
        <v>12533</v>
      </c>
    </row>
    <row r="1285" spans="1:9" x14ac:dyDescent="0.3">
      <c r="A1285">
        <v>1284</v>
      </c>
      <c r="B1285" t="s">
        <v>4758</v>
      </c>
      <c r="C1285" t="s">
        <v>2886</v>
      </c>
      <c r="D1285" t="s">
        <v>31</v>
      </c>
      <c r="E1285" t="s">
        <v>4759</v>
      </c>
      <c r="F1285" t="s">
        <v>4760</v>
      </c>
      <c r="G1285" t="s">
        <v>982</v>
      </c>
      <c r="H1285" t="s">
        <v>35</v>
      </c>
      <c r="I1285">
        <v>11201</v>
      </c>
    </row>
    <row r="1286" spans="1:9" x14ac:dyDescent="0.3">
      <c r="A1286">
        <v>1285</v>
      </c>
      <c r="B1286" t="s">
        <v>4761</v>
      </c>
      <c r="C1286" t="s">
        <v>4101</v>
      </c>
      <c r="D1286" t="s">
        <v>31</v>
      </c>
      <c r="E1286" t="s">
        <v>4762</v>
      </c>
      <c r="F1286" t="s">
        <v>4763</v>
      </c>
      <c r="G1286" t="s">
        <v>297</v>
      </c>
      <c r="H1286" t="s">
        <v>41</v>
      </c>
      <c r="I1286">
        <v>91740</v>
      </c>
    </row>
    <row r="1287" spans="1:9" x14ac:dyDescent="0.3">
      <c r="A1287">
        <v>1286</v>
      </c>
      <c r="B1287" t="s">
        <v>4764</v>
      </c>
      <c r="C1287" t="s">
        <v>907</v>
      </c>
      <c r="D1287" t="s">
        <v>31</v>
      </c>
      <c r="E1287" t="s">
        <v>4765</v>
      </c>
      <c r="F1287" t="s">
        <v>4766</v>
      </c>
      <c r="G1287" t="s">
        <v>1200</v>
      </c>
      <c r="H1287" t="s">
        <v>41</v>
      </c>
      <c r="I1287">
        <v>94566</v>
      </c>
    </row>
    <row r="1288" spans="1:9" x14ac:dyDescent="0.3">
      <c r="A1288">
        <v>1287</v>
      </c>
      <c r="B1288" t="s">
        <v>4767</v>
      </c>
      <c r="C1288" t="s">
        <v>974</v>
      </c>
      <c r="D1288" t="s">
        <v>31</v>
      </c>
      <c r="E1288" t="s">
        <v>4768</v>
      </c>
      <c r="F1288" t="s">
        <v>4769</v>
      </c>
      <c r="G1288" t="s">
        <v>225</v>
      </c>
      <c r="H1288" t="s">
        <v>35</v>
      </c>
      <c r="I1288">
        <v>11102</v>
      </c>
    </row>
    <row r="1289" spans="1:9" x14ac:dyDescent="0.3">
      <c r="A1289">
        <v>1288</v>
      </c>
      <c r="B1289" t="s">
        <v>4770</v>
      </c>
      <c r="C1289" t="s">
        <v>3000</v>
      </c>
      <c r="D1289" t="s">
        <v>31</v>
      </c>
      <c r="E1289" t="s">
        <v>4771</v>
      </c>
      <c r="F1289" t="s">
        <v>4772</v>
      </c>
      <c r="G1289" t="s">
        <v>1061</v>
      </c>
      <c r="H1289" t="s">
        <v>41</v>
      </c>
      <c r="I1289">
        <v>90260</v>
      </c>
    </row>
    <row r="1290" spans="1:9" x14ac:dyDescent="0.3">
      <c r="A1290">
        <v>1289</v>
      </c>
      <c r="B1290" t="s">
        <v>4773</v>
      </c>
      <c r="C1290" t="s">
        <v>1400</v>
      </c>
      <c r="D1290" t="s">
        <v>31</v>
      </c>
      <c r="E1290" t="s">
        <v>4774</v>
      </c>
      <c r="F1290" t="s">
        <v>4775</v>
      </c>
      <c r="G1290" t="s">
        <v>262</v>
      </c>
      <c r="H1290" t="s">
        <v>35</v>
      </c>
      <c r="I1290">
        <v>11714</v>
      </c>
    </row>
    <row r="1291" spans="1:9" x14ac:dyDescent="0.3">
      <c r="A1291">
        <v>1290</v>
      </c>
      <c r="B1291" t="s">
        <v>4776</v>
      </c>
      <c r="C1291" t="s">
        <v>1915</v>
      </c>
      <c r="D1291" t="s">
        <v>31</v>
      </c>
      <c r="E1291" t="s">
        <v>4777</v>
      </c>
      <c r="F1291" t="s">
        <v>4778</v>
      </c>
      <c r="G1291" t="s">
        <v>2168</v>
      </c>
      <c r="H1291" t="s">
        <v>35</v>
      </c>
      <c r="I1291">
        <v>11419</v>
      </c>
    </row>
    <row r="1292" spans="1:9" x14ac:dyDescent="0.3">
      <c r="A1292">
        <v>1291</v>
      </c>
      <c r="B1292" t="s">
        <v>3857</v>
      </c>
      <c r="C1292" t="s">
        <v>532</v>
      </c>
      <c r="D1292" t="s">
        <v>31</v>
      </c>
      <c r="E1292" t="s">
        <v>4779</v>
      </c>
      <c r="F1292" t="s">
        <v>4780</v>
      </c>
      <c r="G1292" t="s">
        <v>88</v>
      </c>
      <c r="H1292" t="s">
        <v>35</v>
      </c>
      <c r="I1292">
        <v>10952</v>
      </c>
    </row>
    <row r="1293" spans="1:9" x14ac:dyDescent="0.3">
      <c r="A1293">
        <v>1292</v>
      </c>
      <c r="B1293" t="s">
        <v>4781</v>
      </c>
      <c r="C1293" t="s">
        <v>1985</v>
      </c>
      <c r="D1293" t="s">
        <v>31</v>
      </c>
      <c r="E1293" t="s">
        <v>4782</v>
      </c>
      <c r="F1293" t="s">
        <v>4783</v>
      </c>
      <c r="G1293" t="s">
        <v>271</v>
      </c>
      <c r="H1293" t="s">
        <v>41</v>
      </c>
      <c r="I1293">
        <v>94580</v>
      </c>
    </row>
    <row r="1294" spans="1:9" x14ac:dyDescent="0.3">
      <c r="A1294">
        <v>1293</v>
      </c>
      <c r="B1294" t="s">
        <v>4784</v>
      </c>
      <c r="C1294" t="s">
        <v>2190</v>
      </c>
      <c r="D1294" t="s">
        <v>31</v>
      </c>
      <c r="E1294" t="s">
        <v>4785</v>
      </c>
      <c r="F1294" t="s">
        <v>4786</v>
      </c>
      <c r="G1294" t="s">
        <v>553</v>
      </c>
      <c r="H1294" t="s">
        <v>35</v>
      </c>
      <c r="I1294">
        <v>11001</v>
      </c>
    </row>
    <row r="1295" spans="1:9" x14ac:dyDescent="0.3">
      <c r="A1295">
        <v>1294</v>
      </c>
      <c r="B1295" t="s">
        <v>4787</v>
      </c>
      <c r="C1295" t="s">
        <v>690</v>
      </c>
      <c r="D1295" t="s">
        <v>31</v>
      </c>
      <c r="E1295" t="s">
        <v>4788</v>
      </c>
      <c r="F1295" t="s">
        <v>4789</v>
      </c>
      <c r="G1295" t="s">
        <v>2287</v>
      </c>
      <c r="H1295" t="s">
        <v>41</v>
      </c>
      <c r="I1295">
        <v>91762</v>
      </c>
    </row>
    <row r="1296" spans="1:9" x14ac:dyDescent="0.3">
      <c r="A1296">
        <v>1295</v>
      </c>
      <c r="B1296" t="s">
        <v>4790</v>
      </c>
      <c r="C1296" t="s">
        <v>4791</v>
      </c>
      <c r="D1296" t="s">
        <v>31</v>
      </c>
      <c r="E1296" t="s">
        <v>4792</v>
      </c>
      <c r="F1296" t="s">
        <v>4793</v>
      </c>
      <c r="G1296" t="s">
        <v>395</v>
      </c>
      <c r="H1296" t="s">
        <v>35</v>
      </c>
      <c r="I1296">
        <v>14120</v>
      </c>
    </row>
    <row r="1297" spans="1:9" x14ac:dyDescent="0.3">
      <c r="A1297">
        <v>1296</v>
      </c>
      <c r="B1297" t="s">
        <v>2107</v>
      </c>
      <c r="C1297" t="s">
        <v>4794</v>
      </c>
      <c r="D1297" t="s">
        <v>31</v>
      </c>
      <c r="E1297" t="s">
        <v>4795</v>
      </c>
      <c r="F1297" t="s">
        <v>4796</v>
      </c>
      <c r="G1297" t="s">
        <v>702</v>
      </c>
      <c r="H1297" t="s">
        <v>35</v>
      </c>
      <c r="I1297">
        <v>11412</v>
      </c>
    </row>
    <row r="1298" spans="1:9" x14ac:dyDescent="0.3">
      <c r="A1298">
        <v>1297</v>
      </c>
      <c r="B1298" t="s">
        <v>4797</v>
      </c>
      <c r="C1298" t="s">
        <v>4798</v>
      </c>
      <c r="D1298" t="s">
        <v>31</v>
      </c>
      <c r="E1298" t="s">
        <v>4799</v>
      </c>
      <c r="F1298" t="s">
        <v>4800</v>
      </c>
      <c r="G1298" t="s">
        <v>1857</v>
      </c>
      <c r="H1298" t="s">
        <v>35</v>
      </c>
      <c r="I1298">
        <v>10801</v>
      </c>
    </row>
    <row r="1299" spans="1:9" x14ac:dyDescent="0.3">
      <c r="A1299">
        <v>1298</v>
      </c>
      <c r="B1299" t="s">
        <v>4801</v>
      </c>
      <c r="C1299" t="s">
        <v>979</v>
      </c>
      <c r="D1299" t="s">
        <v>31</v>
      </c>
      <c r="E1299" t="s">
        <v>4802</v>
      </c>
      <c r="F1299" t="s">
        <v>4803</v>
      </c>
      <c r="G1299" t="s">
        <v>1454</v>
      </c>
      <c r="H1299" t="s">
        <v>35</v>
      </c>
      <c r="I1299">
        <v>12302</v>
      </c>
    </row>
    <row r="1300" spans="1:9" x14ac:dyDescent="0.3">
      <c r="A1300">
        <v>1299</v>
      </c>
      <c r="B1300" t="s">
        <v>4804</v>
      </c>
      <c r="C1300" t="s">
        <v>1796</v>
      </c>
      <c r="D1300" t="s">
        <v>31</v>
      </c>
      <c r="E1300" t="s">
        <v>4805</v>
      </c>
      <c r="F1300" t="s">
        <v>4806</v>
      </c>
      <c r="G1300" t="s">
        <v>2556</v>
      </c>
      <c r="H1300" t="s">
        <v>35</v>
      </c>
      <c r="I1300">
        <v>10598</v>
      </c>
    </row>
    <row r="1301" spans="1:9" x14ac:dyDescent="0.3">
      <c r="A1301">
        <v>1300</v>
      </c>
      <c r="B1301" t="s">
        <v>4807</v>
      </c>
      <c r="C1301" t="s">
        <v>4557</v>
      </c>
      <c r="D1301" t="s">
        <v>31</v>
      </c>
      <c r="E1301" t="s">
        <v>4808</v>
      </c>
      <c r="F1301" t="s">
        <v>4809</v>
      </c>
      <c r="G1301" t="s">
        <v>2683</v>
      </c>
      <c r="H1301" t="s">
        <v>35</v>
      </c>
      <c r="I1301">
        <v>14701</v>
      </c>
    </row>
    <row r="1302" spans="1:9" x14ac:dyDescent="0.3">
      <c r="A1302">
        <v>1301</v>
      </c>
      <c r="B1302" t="s">
        <v>4810</v>
      </c>
      <c r="C1302" t="s">
        <v>4461</v>
      </c>
      <c r="D1302" t="s">
        <v>31</v>
      </c>
      <c r="E1302" t="s">
        <v>4811</v>
      </c>
      <c r="F1302" t="s">
        <v>4812</v>
      </c>
      <c r="G1302" t="s">
        <v>1061</v>
      </c>
      <c r="H1302" t="s">
        <v>41</v>
      </c>
      <c r="I1302">
        <v>90260</v>
      </c>
    </row>
    <row r="1303" spans="1:9" x14ac:dyDescent="0.3">
      <c r="A1303">
        <v>1302</v>
      </c>
      <c r="B1303" t="s">
        <v>4813</v>
      </c>
      <c r="C1303" t="s">
        <v>2193</v>
      </c>
      <c r="D1303" t="s">
        <v>31</v>
      </c>
      <c r="E1303" t="s">
        <v>4814</v>
      </c>
      <c r="F1303" t="s">
        <v>4815</v>
      </c>
      <c r="G1303" t="s">
        <v>145</v>
      </c>
      <c r="H1303" t="s">
        <v>35</v>
      </c>
      <c r="I1303">
        <v>11731</v>
      </c>
    </row>
    <row r="1304" spans="1:9" x14ac:dyDescent="0.3">
      <c r="A1304">
        <v>1303</v>
      </c>
      <c r="B1304" t="s">
        <v>4816</v>
      </c>
      <c r="C1304" t="s">
        <v>4817</v>
      </c>
      <c r="D1304" t="s">
        <v>31</v>
      </c>
      <c r="E1304" t="s">
        <v>4818</v>
      </c>
      <c r="F1304" t="s">
        <v>4819</v>
      </c>
      <c r="G1304" t="s">
        <v>803</v>
      </c>
      <c r="H1304" t="s">
        <v>35</v>
      </c>
      <c r="I1304">
        <v>11377</v>
      </c>
    </row>
    <row r="1305" spans="1:9" x14ac:dyDescent="0.3">
      <c r="A1305">
        <v>1304</v>
      </c>
      <c r="B1305" t="s">
        <v>4820</v>
      </c>
      <c r="C1305" t="s">
        <v>264</v>
      </c>
      <c r="D1305" t="s">
        <v>31</v>
      </c>
      <c r="E1305" t="s">
        <v>4821</v>
      </c>
      <c r="F1305" t="s">
        <v>4822</v>
      </c>
      <c r="G1305" t="s">
        <v>150</v>
      </c>
      <c r="H1305" t="s">
        <v>35</v>
      </c>
      <c r="I1305">
        <v>11423</v>
      </c>
    </row>
    <row r="1306" spans="1:9" x14ac:dyDescent="0.3">
      <c r="A1306">
        <v>1305</v>
      </c>
      <c r="B1306" t="s">
        <v>4823</v>
      </c>
      <c r="C1306" t="s">
        <v>375</v>
      </c>
      <c r="D1306" t="s">
        <v>4824</v>
      </c>
      <c r="E1306" t="s">
        <v>4825</v>
      </c>
      <c r="F1306" t="s">
        <v>4826</v>
      </c>
      <c r="G1306" t="s">
        <v>1937</v>
      </c>
      <c r="H1306" t="s">
        <v>35</v>
      </c>
      <c r="I1306">
        <v>14606</v>
      </c>
    </row>
    <row r="1307" spans="1:9" x14ac:dyDescent="0.3">
      <c r="A1307">
        <v>1306</v>
      </c>
      <c r="B1307" t="s">
        <v>4827</v>
      </c>
      <c r="C1307" t="s">
        <v>2993</v>
      </c>
      <c r="D1307" t="s">
        <v>31</v>
      </c>
      <c r="E1307" t="s">
        <v>4828</v>
      </c>
      <c r="F1307" t="s">
        <v>4829</v>
      </c>
      <c r="G1307" t="s">
        <v>884</v>
      </c>
      <c r="H1307" t="s">
        <v>35</v>
      </c>
      <c r="I1307">
        <v>14580</v>
      </c>
    </row>
    <row r="1308" spans="1:9" x14ac:dyDescent="0.3">
      <c r="A1308">
        <v>1307</v>
      </c>
      <c r="B1308" t="s">
        <v>4830</v>
      </c>
      <c r="C1308" t="s">
        <v>2702</v>
      </c>
      <c r="D1308" t="s">
        <v>31</v>
      </c>
      <c r="E1308" t="s">
        <v>4831</v>
      </c>
      <c r="F1308" t="s">
        <v>4832</v>
      </c>
      <c r="G1308" t="s">
        <v>1715</v>
      </c>
      <c r="H1308" t="s">
        <v>41</v>
      </c>
      <c r="I1308">
        <v>93635</v>
      </c>
    </row>
    <row r="1309" spans="1:9" x14ac:dyDescent="0.3">
      <c r="A1309">
        <v>1308</v>
      </c>
      <c r="B1309" t="s">
        <v>4833</v>
      </c>
      <c r="C1309" t="s">
        <v>519</v>
      </c>
      <c r="D1309" t="s">
        <v>31</v>
      </c>
      <c r="E1309" t="s">
        <v>4834</v>
      </c>
      <c r="F1309" t="s">
        <v>4835</v>
      </c>
      <c r="G1309" t="s">
        <v>386</v>
      </c>
      <c r="H1309" t="s">
        <v>41</v>
      </c>
      <c r="I1309">
        <v>91733</v>
      </c>
    </row>
    <row r="1310" spans="1:9" x14ac:dyDescent="0.3">
      <c r="A1310">
        <v>1309</v>
      </c>
      <c r="B1310" t="s">
        <v>4836</v>
      </c>
      <c r="C1310" t="s">
        <v>4837</v>
      </c>
      <c r="D1310" t="s">
        <v>31</v>
      </c>
      <c r="E1310" t="s">
        <v>4838</v>
      </c>
      <c r="F1310" t="s">
        <v>4839</v>
      </c>
      <c r="G1310" t="s">
        <v>1330</v>
      </c>
      <c r="H1310" t="s">
        <v>35</v>
      </c>
      <c r="I1310">
        <v>11720</v>
      </c>
    </row>
    <row r="1311" spans="1:9" x14ac:dyDescent="0.3">
      <c r="A1311">
        <v>1310</v>
      </c>
      <c r="B1311" t="s">
        <v>4840</v>
      </c>
      <c r="C1311" t="s">
        <v>419</v>
      </c>
      <c r="D1311" t="s">
        <v>31</v>
      </c>
      <c r="E1311" t="s">
        <v>4841</v>
      </c>
      <c r="F1311" t="s">
        <v>4842</v>
      </c>
      <c r="G1311" t="s">
        <v>1454</v>
      </c>
      <c r="H1311" t="s">
        <v>35</v>
      </c>
      <c r="I1311">
        <v>12302</v>
      </c>
    </row>
    <row r="1312" spans="1:9" x14ac:dyDescent="0.3">
      <c r="A1312">
        <v>1311</v>
      </c>
      <c r="B1312" t="s">
        <v>4794</v>
      </c>
      <c r="C1312" t="s">
        <v>3480</v>
      </c>
      <c r="D1312" t="s">
        <v>31</v>
      </c>
      <c r="E1312" t="s">
        <v>4843</v>
      </c>
      <c r="F1312" t="s">
        <v>4844</v>
      </c>
      <c r="G1312" t="s">
        <v>666</v>
      </c>
      <c r="H1312" t="s">
        <v>35</v>
      </c>
      <c r="I1312">
        <v>11727</v>
      </c>
    </row>
    <row r="1313" spans="1:9" x14ac:dyDescent="0.3">
      <c r="A1313">
        <v>1312</v>
      </c>
      <c r="B1313" t="s">
        <v>4845</v>
      </c>
      <c r="C1313" t="s">
        <v>4846</v>
      </c>
      <c r="D1313" t="s">
        <v>31</v>
      </c>
      <c r="E1313" t="s">
        <v>4847</v>
      </c>
      <c r="F1313" t="s">
        <v>4848</v>
      </c>
      <c r="G1313" t="s">
        <v>1273</v>
      </c>
      <c r="H1313" t="s">
        <v>35</v>
      </c>
      <c r="I1313">
        <v>11779</v>
      </c>
    </row>
    <row r="1314" spans="1:9" x14ac:dyDescent="0.3">
      <c r="A1314">
        <v>1313</v>
      </c>
      <c r="B1314" t="s">
        <v>4849</v>
      </c>
      <c r="C1314" t="s">
        <v>4850</v>
      </c>
      <c r="D1314" t="s">
        <v>31</v>
      </c>
      <c r="E1314" t="s">
        <v>4851</v>
      </c>
      <c r="F1314" t="s">
        <v>4852</v>
      </c>
      <c r="G1314" t="s">
        <v>455</v>
      </c>
      <c r="H1314" t="s">
        <v>41</v>
      </c>
      <c r="I1314">
        <v>91010</v>
      </c>
    </row>
    <row r="1315" spans="1:9" x14ac:dyDescent="0.3">
      <c r="A1315">
        <v>1314</v>
      </c>
      <c r="B1315" t="s">
        <v>4853</v>
      </c>
      <c r="C1315" t="s">
        <v>2730</v>
      </c>
      <c r="D1315" t="s">
        <v>31</v>
      </c>
      <c r="E1315" t="s">
        <v>4854</v>
      </c>
      <c r="F1315" t="s">
        <v>4855</v>
      </c>
      <c r="G1315" t="s">
        <v>2287</v>
      </c>
      <c r="H1315" t="s">
        <v>41</v>
      </c>
      <c r="I1315">
        <v>91762</v>
      </c>
    </row>
    <row r="1316" spans="1:9" x14ac:dyDescent="0.3">
      <c r="A1316">
        <v>1315</v>
      </c>
      <c r="B1316" t="s">
        <v>4856</v>
      </c>
      <c r="C1316" t="s">
        <v>814</v>
      </c>
      <c r="D1316" t="s">
        <v>31</v>
      </c>
      <c r="E1316" t="s">
        <v>4857</v>
      </c>
      <c r="F1316" t="s">
        <v>4858</v>
      </c>
      <c r="G1316" t="s">
        <v>1123</v>
      </c>
      <c r="H1316" t="s">
        <v>41</v>
      </c>
      <c r="I1316">
        <v>91387</v>
      </c>
    </row>
    <row r="1317" spans="1:9" x14ac:dyDescent="0.3">
      <c r="A1317">
        <v>1316</v>
      </c>
      <c r="B1317" t="s">
        <v>4859</v>
      </c>
      <c r="C1317" t="s">
        <v>4860</v>
      </c>
      <c r="D1317" t="s">
        <v>31</v>
      </c>
      <c r="E1317" t="s">
        <v>4861</v>
      </c>
      <c r="F1317" t="s">
        <v>4862</v>
      </c>
      <c r="G1317" t="s">
        <v>683</v>
      </c>
      <c r="H1317" t="s">
        <v>35</v>
      </c>
      <c r="I1317">
        <v>11758</v>
      </c>
    </row>
    <row r="1318" spans="1:9" x14ac:dyDescent="0.3">
      <c r="A1318">
        <v>1317</v>
      </c>
      <c r="B1318" t="s">
        <v>4863</v>
      </c>
      <c r="C1318" t="s">
        <v>4864</v>
      </c>
      <c r="D1318" t="s">
        <v>31</v>
      </c>
      <c r="E1318" t="s">
        <v>4865</v>
      </c>
      <c r="F1318" t="s">
        <v>4866</v>
      </c>
      <c r="G1318" t="s">
        <v>530</v>
      </c>
      <c r="H1318" t="s">
        <v>35</v>
      </c>
      <c r="I1318">
        <v>11791</v>
      </c>
    </row>
    <row r="1319" spans="1:9" x14ac:dyDescent="0.3">
      <c r="A1319">
        <v>1318</v>
      </c>
      <c r="B1319" t="s">
        <v>4867</v>
      </c>
      <c r="C1319" t="s">
        <v>4868</v>
      </c>
      <c r="D1319" t="s">
        <v>4869</v>
      </c>
      <c r="E1319" t="s">
        <v>4870</v>
      </c>
      <c r="F1319" t="s">
        <v>4871</v>
      </c>
      <c r="G1319" t="s">
        <v>2923</v>
      </c>
      <c r="H1319" t="s">
        <v>100</v>
      </c>
      <c r="I1319">
        <v>78213</v>
      </c>
    </row>
    <row r="1320" spans="1:9" x14ac:dyDescent="0.3">
      <c r="A1320">
        <v>1319</v>
      </c>
      <c r="B1320" t="s">
        <v>4872</v>
      </c>
      <c r="C1320" t="s">
        <v>4873</v>
      </c>
      <c r="D1320" t="s">
        <v>31</v>
      </c>
      <c r="E1320" t="s">
        <v>4874</v>
      </c>
      <c r="F1320" t="s">
        <v>4875</v>
      </c>
      <c r="G1320" t="s">
        <v>635</v>
      </c>
      <c r="H1320" t="s">
        <v>35</v>
      </c>
      <c r="I1320">
        <v>12550</v>
      </c>
    </row>
    <row r="1321" spans="1:9" x14ac:dyDescent="0.3">
      <c r="A1321">
        <v>1320</v>
      </c>
      <c r="B1321" t="s">
        <v>4876</v>
      </c>
      <c r="C1321" t="s">
        <v>912</v>
      </c>
      <c r="D1321" t="s">
        <v>31</v>
      </c>
      <c r="E1321" t="s">
        <v>4877</v>
      </c>
      <c r="F1321" t="s">
        <v>4878</v>
      </c>
      <c r="G1321" t="s">
        <v>635</v>
      </c>
      <c r="H1321" t="s">
        <v>35</v>
      </c>
      <c r="I1321">
        <v>12550</v>
      </c>
    </row>
    <row r="1322" spans="1:9" x14ac:dyDescent="0.3">
      <c r="A1322">
        <v>1321</v>
      </c>
      <c r="B1322" t="s">
        <v>4879</v>
      </c>
      <c r="C1322" t="s">
        <v>3119</v>
      </c>
      <c r="D1322" t="s">
        <v>31</v>
      </c>
      <c r="E1322" t="s">
        <v>4880</v>
      </c>
      <c r="F1322" t="s">
        <v>4881</v>
      </c>
      <c r="G1322" t="s">
        <v>770</v>
      </c>
      <c r="H1322" t="s">
        <v>35</v>
      </c>
      <c r="I1322">
        <v>11795</v>
      </c>
    </row>
    <row r="1323" spans="1:9" x14ac:dyDescent="0.3">
      <c r="A1323">
        <v>1322</v>
      </c>
      <c r="B1323" t="s">
        <v>4882</v>
      </c>
      <c r="C1323" t="s">
        <v>4883</v>
      </c>
      <c r="D1323" t="s">
        <v>31</v>
      </c>
      <c r="E1323" t="s">
        <v>4884</v>
      </c>
      <c r="F1323" t="s">
        <v>4885</v>
      </c>
      <c r="G1323" t="s">
        <v>469</v>
      </c>
      <c r="H1323" t="s">
        <v>35</v>
      </c>
      <c r="I1323">
        <v>11010</v>
      </c>
    </row>
    <row r="1324" spans="1:9" x14ac:dyDescent="0.3">
      <c r="A1324">
        <v>1323</v>
      </c>
      <c r="B1324" t="s">
        <v>4886</v>
      </c>
      <c r="C1324" t="s">
        <v>1385</v>
      </c>
      <c r="D1324" t="s">
        <v>31</v>
      </c>
      <c r="E1324" t="s">
        <v>4887</v>
      </c>
      <c r="F1324" t="s">
        <v>4888</v>
      </c>
      <c r="G1324" t="s">
        <v>2772</v>
      </c>
      <c r="H1324" t="s">
        <v>35</v>
      </c>
      <c r="I1324">
        <v>11704</v>
      </c>
    </row>
    <row r="1325" spans="1:9" x14ac:dyDescent="0.3">
      <c r="A1325">
        <v>1324</v>
      </c>
      <c r="B1325" t="s">
        <v>4889</v>
      </c>
      <c r="C1325" t="s">
        <v>3623</v>
      </c>
      <c r="D1325" t="s">
        <v>31</v>
      </c>
      <c r="E1325" t="s">
        <v>4890</v>
      </c>
      <c r="F1325" t="s">
        <v>4891</v>
      </c>
      <c r="G1325" t="s">
        <v>302</v>
      </c>
      <c r="H1325" t="s">
        <v>35</v>
      </c>
      <c r="I1325">
        <v>13501</v>
      </c>
    </row>
    <row r="1326" spans="1:9" x14ac:dyDescent="0.3">
      <c r="A1326">
        <v>1325</v>
      </c>
      <c r="B1326" t="s">
        <v>4892</v>
      </c>
      <c r="C1326" t="s">
        <v>1040</v>
      </c>
      <c r="D1326" t="s">
        <v>31</v>
      </c>
      <c r="E1326" t="s">
        <v>4893</v>
      </c>
      <c r="F1326" t="s">
        <v>4894</v>
      </c>
      <c r="G1326" t="s">
        <v>450</v>
      </c>
      <c r="H1326" t="s">
        <v>35</v>
      </c>
      <c r="I1326">
        <v>13126</v>
      </c>
    </row>
    <row r="1327" spans="1:9" x14ac:dyDescent="0.3">
      <c r="A1327">
        <v>1326</v>
      </c>
      <c r="B1327" t="s">
        <v>4895</v>
      </c>
      <c r="C1327" t="s">
        <v>1772</v>
      </c>
      <c r="D1327" t="s">
        <v>31</v>
      </c>
      <c r="E1327" t="s">
        <v>4896</v>
      </c>
      <c r="F1327" t="s">
        <v>4897</v>
      </c>
      <c r="G1327" t="s">
        <v>2401</v>
      </c>
      <c r="H1327" t="s">
        <v>35</v>
      </c>
      <c r="I1327">
        <v>13021</v>
      </c>
    </row>
    <row r="1328" spans="1:9" x14ac:dyDescent="0.3">
      <c r="A1328">
        <v>1327</v>
      </c>
      <c r="B1328" t="s">
        <v>4497</v>
      </c>
      <c r="C1328" t="s">
        <v>4898</v>
      </c>
      <c r="D1328" t="s">
        <v>31</v>
      </c>
      <c r="E1328" t="s">
        <v>4899</v>
      </c>
      <c r="F1328" t="s">
        <v>4900</v>
      </c>
      <c r="G1328" t="s">
        <v>83</v>
      </c>
      <c r="H1328" t="s">
        <v>35</v>
      </c>
      <c r="I1328">
        <v>10950</v>
      </c>
    </row>
    <row r="1329" spans="1:9" x14ac:dyDescent="0.3">
      <c r="A1329">
        <v>1328</v>
      </c>
      <c r="B1329" t="s">
        <v>4901</v>
      </c>
      <c r="C1329" t="s">
        <v>4902</v>
      </c>
      <c r="D1329" t="s">
        <v>31</v>
      </c>
      <c r="E1329" t="s">
        <v>4903</v>
      </c>
      <c r="F1329" t="s">
        <v>4904</v>
      </c>
      <c r="G1329" t="s">
        <v>1061</v>
      </c>
      <c r="H1329" t="s">
        <v>41</v>
      </c>
      <c r="I1329">
        <v>90260</v>
      </c>
    </row>
    <row r="1330" spans="1:9" x14ac:dyDescent="0.3">
      <c r="A1330">
        <v>1329</v>
      </c>
      <c r="B1330" t="s">
        <v>487</v>
      </c>
      <c r="C1330" t="s">
        <v>4905</v>
      </c>
      <c r="D1330" t="s">
        <v>31</v>
      </c>
      <c r="E1330" t="s">
        <v>4906</v>
      </c>
      <c r="F1330" t="s">
        <v>4907</v>
      </c>
      <c r="G1330" t="s">
        <v>150</v>
      </c>
      <c r="H1330" t="s">
        <v>35</v>
      </c>
      <c r="I1330">
        <v>11423</v>
      </c>
    </row>
    <row r="1331" spans="1:9" x14ac:dyDescent="0.3">
      <c r="A1331">
        <v>1330</v>
      </c>
      <c r="B1331" t="s">
        <v>4908</v>
      </c>
      <c r="C1331" t="s">
        <v>3702</v>
      </c>
      <c r="D1331" t="s">
        <v>31</v>
      </c>
      <c r="E1331" t="s">
        <v>4909</v>
      </c>
      <c r="F1331" t="s">
        <v>4910</v>
      </c>
      <c r="G1331" t="s">
        <v>329</v>
      </c>
      <c r="H1331" t="s">
        <v>41</v>
      </c>
      <c r="I1331">
        <v>94070</v>
      </c>
    </row>
    <row r="1332" spans="1:9" x14ac:dyDescent="0.3">
      <c r="A1332">
        <v>1331</v>
      </c>
      <c r="B1332" t="s">
        <v>4121</v>
      </c>
      <c r="C1332" t="s">
        <v>2498</v>
      </c>
      <c r="D1332" t="s">
        <v>31</v>
      </c>
      <c r="E1332" t="s">
        <v>4911</v>
      </c>
      <c r="F1332" t="s">
        <v>4912</v>
      </c>
      <c r="G1332" t="s">
        <v>635</v>
      </c>
      <c r="H1332" t="s">
        <v>35</v>
      </c>
      <c r="I1332">
        <v>12550</v>
      </c>
    </row>
    <row r="1333" spans="1:9" x14ac:dyDescent="0.3">
      <c r="A1333">
        <v>1332</v>
      </c>
      <c r="B1333" t="s">
        <v>3749</v>
      </c>
      <c r="C1333" t="s">
        <v>1012</v>
      </c>
      <c r="D1333" t="s">
        <v>31</v>
      </c>
      <c r="E1333" t="s">
        <v>4913</v>
      </c>
      <c r="F1333" t="s">
        <v>4914</v>
      </c>
      <c r="G1333" t="s">
        <v>297</v>
      </c>
      <c r="H1333" t="s">
        <v>41</v>
      </c>
      <c r="I1333">
        <v>91740</v>
      </c>
    </row>
    <row r="1334" spans="1:9" x14ac:dyDescent="0.3">
      <c r="A1334">
        <v>1333</v>
      </c>
      <c r="B1334" t="s">
        <v>4856</v>
      </c>
      <c r="C1334" t="s">
        <v>4101</v>
      </c>
      <c r="D1334" t="s">
        <v>31</v>
      </c>
      <c r="E1334" t="s">
        <v>4915</v>
      </c>
      <c r="F1334" t="s">
        <v>4916</v>
      </c>
      <c r="G1334" t="s">
        <v>2241</v>
      </c>
      <c r="H1334" t="s">
        <v>41</v>
      </c>
      <c r="I1334">
        <v>90403</v>
      </c>
    </row>
    <row r="1335" spans="1:9" x14ac:dyDescent="0.3">
      <c r="A1335">
        <v>1334</v>
      </c>
      <c r="B1335" t="s">
        <v>2533</v>
      </c>
      <c r="C1335" t="s">
        <v>4917</v>
      </c>
      <c r="D1335" t="s">
        <v>31</v>
      </c>
      <c r="E1335" t="s">
        <v>4918</v>
      </c>
      <c r="F1335" t="s">
        <v>4919</v>
      </c>
      <c r="G1335" t="s">
        <v>635</v>
      </c>
      <c r="H1335" t="s">
        <v>35</v>
      </c>
      <c r="I1335">
        <v>12550</v>
      </c>
    </row>
    <row r="1336" spans="1:9" x14ac:dyDescent="0.3">
      <c r="A1336">
        <v>1335</v>
      </c>
      <c r="B1336" t="s">
        <v>4920</v>
      </c>
      <c r="C1336" t="s">
        <v>4594</v>
      </c>
      <c r="D1336" t="s">
        <v>31</v>
      </c>
      <c r="E1336" t="s">
        <v>4921</v>
      </c>
      <c r="F1336" t="s">
        <v>4922</v>
      </c>
      <c r="G1336" t="s">
        <v>1642</v>
      </c>
      <c r="H1336" t="s">
        <v>35</v>
      </c>
      <c r="I1336">
        <v>11422</v>
      </c>
    </row>
    <row r="1337" spans="1:9" x14ac:dyDescent="0.3">
      <c r="A1337">
        <v>1336</v>
      </c>
      <c r="B1337" t="s">
        <v>4923</v>
      </c>
      <c r="C1337" t="s">
        <v>360</v>
      </c>
      <c r="D1337" t="s">
        <v>31</v>
      </c>
      <c r="E1337" t="s">
        <v>4924</v>
      </c>
      <c r="F1337" t="s">
        <v>4925</v>
      </c>
      <c r="G1337" t="s">
        <v>949</v>
      </c>
      <c r="H1337" t="s">
        <v>35</v>
      </c>
      <c r="I1337">
        <v>12553</v>
      </c>
    </row>
    <row r="1338" spans="1:9" x14ac:dyDescent="0.3">
      <c r="A1338">
        <v>1337</v>
      </c>
      <c r="B1338" t="s">
        <v>725</v>
      </c>
      <c r="C1338" t="s">
        <v>2020</v>
      </c>
      <c r="D1338" t="s">
        <v>31</v>
      </c>
      <c r="E1338" t="s">
        <v>4926</v>
      </c>
      <c r="F1338" t="s">
        <v>4927</v>
      </c>
      <c r="G1338" t="s">
        <v>99</v>
      </c>
      <c r="H1338" t="s">
        <v>100</v>
      </c>
      <c r="I1338">
        <v>75604</v>
      </c>
    </row>
    <row r="1339" spans="1:9" x14ac:dyDescent="0.3">
      <c r="A1339">
        <v>1338</v>
      </c>
      <c r="B1339" t="s">
        <v>4928</v>
      </c>
      <c r="C1339" t="s">
        <v>4929</v>
      </c>
      <c r="D1339" t="s">
        <v>31</v>
      </c>
      <c r="E1339" t="s">
        <v>4930</v>
      </c>
      <c r="F1339" t="s">
        <v>4931</v>
      </c>
      <c r="G1339" t="s">
        <v>1273</v>
      </c>
      <c r="H1339" t="s">
        <v>35</v>
      </c>
      <c r="I1339">
        <v>11779</v>
      </c>
    </row>
    <row r="1340" spans="1:9" x14ac:dyDescent="0.3">
      <c r="A1340">
        <v>1339</v>
      </c>
      <c r="B1340" t="s">
        <v>4932</v>
      </c>
      <c r="C1340" t="s">
        <v>970</v>
      </c>
      <c r="D1340" t="s">
        <v>4933</v>
      </c>
      <c r="E1340" t="s">
        <v>4934</v>
      </c>
      <c r="F1340" t="s">
        <v>4935</v>
      </c>
      <c r="G1340" t="s">
        <v>1038</v>
      </c>
      <c r="H1340" t="s">
        <v>35</v>
      </c>
      <c r="I1340">
        <v>11572</v>
      </c>
    </row>
    <row r="1341" spans="1:9" x14ac:dyDescent="0.3">
      <c r="A1341">
        <v>1340</v>
      </c>
      <c r="B1341" t="s">
        <v>4936</v>
      </c>
      <c r="C1341" t="s">
        <v>4937</v>
      </c>
      <c r="D1341" t="s">
        <v>31</v>
      </c>
      <c r="E1341" t="s">
        <v>4938</v>
      </c>
      <c r="F1341" t="s">
        <v>4939</v>
      </c>
      <c r="G1341" t="s">
        <v>1020</v>
      </c>
      <c r="H1341" t="s">
        <v>35</v>
      </c>
      <c r="I1341">
        <v>11357</v>
      </c>
    </row>
    <row r="1342" spans="1:9" x14ac:dyDescent="0.3">
      <c r="A1342">
        <v>1341</v>
      </c>
      <c r="B1342" t="s">
        <v>4940</v>
      </c>
      <c r="C1342" t="s">
        <v>3208</v>
      </c>
      <c r="D1342" t="s">
        <v>31</v>
      </c>
      <c r="E1342" t="s">
        <v>4941</v>
      </c>
      <c r="F1342" t="s">
        <v>4942</v>
      </c>
      <c r="G1342" t="s">
        <v>1222</v>
      </c>
      <c r="H1342" t="s">
        <v>35</v>
      </c>
      <c r="I1342">
        <v>11530</v>
      </c>
    </row>
    <row r="1343" spans="1:9" x14ac:dyDescent="0.3">
      <c r="A1343">
        <v>1342</v>
      </c>
      <c r="B1343" t="s">
        <v>4943</v>
      </c>
      <c r="C1343" t="s">
        <v>1058</v>
      </c>
      <c r="D1343" t="s">
        <v>31</v>
      </c>
      <c r="E1343" t="s">
        <v>4944</v>
      </c>
      <c r="F1343" t="s">
        <v>4945</v>
      </c>
      <c r="G1343" t="s">
        <v>2023</v>
      </c>
      <c r="H1343" t="s">
        <v>35</v>
      </c>
      <c r="I1343">
        <v>11520</v>
      </c>
    </row>
    <row r="1344" spans="1:9" x14ac:dyDescent="0.3">
      <c r="A1344">
        <v>1343</v>
      </c>
      <c r="B1344" t="s">
        <v>4946</v>
      </c>
      <c r="C1344" t="s">
        <v>772</v>
      </c>
      <c r="D1344" t="s">
        <v>31</v>
      </c>
      <c r="E1344" t="s">
        <v>4947</v>
      </c>
      <c r="F1344" t="s">
        <v>4948</v>
      </c>
      <c r="G1344" t="s">
        <v>464</v>
      </c>
      <c r="H1344" t="s">
        <v>41</v>
      </c>
      <c r="I1344">
        <v>91784</v>
      </c>
    </row>
    <row r="1345" spans="1:9" x14ac:dyDescent="0.3">
      <c r="A1345">
        <v>1344</v>
      </c>
      <c r="B1345" t="s">
        <v>4949</v>
      </c>
      <c r="C1345" t="s">
        <v>4950</v>
      </c>
      <c r="D1345" t="s">
        <v>31</v>
      </c>
      <c r="E1345" t="s">
        <v>4951</v>
      </c>
      <c r="F1345" t="s">
        <v>4952</v>
      </c>
      <c r="G1345" t="s">
        <v>616</v>
      </c>
      <c r="H1345" t="s">
        <v>35</v>
      </c>
      <c r="I1345">
        <v>11414</v>
      </c>
    </row>
    <row r="1346" spans="1:9" x14ac:dyDescent="0.3">
      <c r="A1346">
        <v>1345</v>
      </c>
      <c r="B1346" t="s">
        <v>4953</v>
      </c>
      <c r="C1346" t="s">
        <v>336</v>
      </c>
      <c r="D1346" t="s">
        <v>31</v>
      </c>
      <c r="E1346" t="s">
        <v>4954</v>
      </c>
      <c r="F1346" t="s">
        <v>4955</v>
      </c>
      <c r="G1346" t="s">
        <v>1689</v>
      </c>
      <c r="H1346" t="s">
        <v>35</v>
      </c>
      <c r="I1346">
        <v>11354</v>
      </c>
    </row>
    <row r="1347" spans="1:9" x14ac:dyDescent="0.3">
      <c r="A1347">
        <v>1346</v>
      </c>
      <c r="B1347" t="s">
        <v>4956</v>
      </c>
      <c r="C1347" t="s">
        <v>884</v>
      </c>
      <c r="D1347" t="s">
        <v>4957</v>
      </c>
      <c r="E1347" t="s">
        <v>4958</v>
      </c>
      <c r="F1347" t="s">
        <v>4959</v>
      </c>
      <c r="G1347" t="s">
        <v>2430</v>
      </c>
      <c r="H1347" t="s">
        <v>41</v>
      </c>
      <c r="I1347">
        <v>90008</v>
      </c>
    </row>
    <row r="1348" spans="1:9" x14ac:dyDescent="0.3">
      <c r="A1348">
        <v>1347</v>
      </c>
      <c r="B1348" t="s">
        <v>4960</v>
      </c>
      <c r="C1348" t="s">
        <v>912</v>
      </c>
      <c r="D1348" t="s">
        <v>31</v>
      </c>
      <c r="E1348" t="s">
        <v>4961</v>
      </c>
      <c r="F1348" t="s">
        <v>4962</v>
      </c>
      <c r="G1348" t="s">
        <v>495</v>
      </c>
      <c r="H1348" t="s">
        <v>35</v>
      </c>
      <c r="I1348">
        <v>12866</v>
      </c>
    </row>
    <row r="1349" spans="1:9" x14ac:dyDescent="0.3">
      <c r="A1349">
        <v>1348</v>
      </c>
      <c r="B1349" t="s">
        <v>3077</v>
      </c>
      <c r="C1349" t="s">
        <v>1772</v>
      </c>
      <c r="D1349" t="s">
        <v>31</v>
      </c>
      <c r="E1349" t="s">
        <v>4963</v>
      </c>
      <c r="F1349" t="s">
        <v>4964</v>
      </c>
      <c r="G1349" t="s">
        <v>287</v>
      </c>
      <c r="H1349" t="s">
        <v>35</v>
      </c>
      <c r="I1349">
        <v>11566</v>
      </c>
    </row>
    <row r="1350" spans="1:9" x14ac:dyDescent="0.3">
      <c r="A1350">
        <v>1349</v>
      </c>
      <c r="B1350" t="s">
        <v>4965</v>
      </c>
      <c r="C1350" t="s">
        <v>1990</v>
      </c>
      <c r="D1350" t="s">
        <v>31</v>
      </c>
      <c r="E1350" t="s">
        <v>4966</v>
      </c>
      <c r="F1350" t="s">
        <v>4967</v>
      </c>
      <c r="G1350" t="s">
        <v>236</v>
      </c>
      <c r="H1350" t="s">
        <v>41</v>
      </c>
      <c r="I1350">
        <v>91316</v>
      </c>
    </row>
    <row r="1351" spans="1:9" x14ac:dyDescent="0.3">
      <c r="A1351">
        <v>1350</v>
      </c>
      <c r="B1351" t="s">
        <v>1369</v>
      </c>
      <c r="C1351" t="s">
        <v>4968</v>
      </c>
      <c r="D1351" t="s">
        <v>31</v>
      </c>
      <c r="E1351" t="s">
        <v>4969</v>
      </c>
      <c r="F1351" t="s">
        <v>4970</v>
      </c>
      <c r="G1351" t="s">
        <v>1642</v>
      </c>
      <c r="H1351" t="s">
        <v>35</v>
      </c>
      <c r="I1351">
        <v>11422</v>
      </c>
    </row>
    <row r="1352" spans="1:9" x14ac:dyDescent="0.3">
      <c r="A1352">
        <v>1351</v>
      </c>
      <c r="B1352" t="s">
        <v>4971</v>
      </c>
      <c r="C1352" t="s">
        <v>4972</v>
      </c>
      <c r="D1352" t="s">
        <v>31</v>
      </c>
      <c r="E1352" t="s">
        <v>4973</v>
      </c>
      <c r="F1352" t="s">
        <v>4974</v>
      </c>
      <c r="G1352" t="s">
        <v>2683</v>
      </c>
      <c r="H1352" t="s">
        <v>35</v>
      </c>
      <c r="I1352">
        <v>14701</v>
      </c>
    </row>
    <row r="1353" spans="1:9" x14ac:dyDescent="0.3">
      <c r="A1353">
        <v>1352</v>
      </c>
      <c r="B1353" t="s">
        <v>2819</v>
      </c>
      <c r="C1353" t="s">
        <v>3023</v>
      </c>
      <c r="D1353" t="s">
        <v>31</v>
      </c>
      <c r="E1353" t="s">
        <v>4975</v>
      </c>
      <c r="F1353" t="s">
        <v>4976</v>
      </c>
      <c r="G1353" t="s">
        <v>464</v>
      </c>
      <c r="H1353" t="s">
        <v>41</v>
      </c>
      <c r="I1353">
        <v>91784</v>
      </c>
    </row>
    <row r="1354" spans="1:9" x14ac:dyDescent="0.3">
      <c r="A1354">
        <v>1353</v>
      </c>
      <c r="B1354" t="s">
        <v>3080</v>
      </c>
      <c r="C1354" t="s">
        <v>2359</v>
      </c>
      <c r="D1354" t="s">
        <v>31</v>
      </c>
      <c r="E1354" t="s">
        <v>4977</v>
      </c>
      <c r="F1354" t="s">
        <v>4978</v>
      </c>
      <c r="G1354" t="s">
        <v>386</v>
      </c>
      <c r="H1354" t="s">
        <v>41</v>
      </c>
      <c r="I1354">
        <v>91733</v>
      </c>
    </row>
    <row r="1355" spans="1:9" x14ac:dyDescent="0.3">
      <c r="A1355">
        <v>1354</v>
      </c>
      <c r="B1355" t="s">
        <v>4979</v>
      </c>
      <c r="C1355" t="s">
        <v>1380</v>
      </c>
      <c r="D1355" t="s">
        <v>31</v>
      </c>
      <c r="E1355" t="s">
        <v>4980</v>
      </c>
      <c r="F1355" t="s">
        <v>4981</v>
      </c>
      <c r="G1355" t="s">
        <v>1454</v>
      </c>
      <c r="H1355" t="s">
        <v>35</v>
      </c>
      <c r="I1355">
        <v>12302</v>
      </c>
    </row>
    <row r="1356" spans="1:9" x14ac:dyDescent="0.3">
      <c r="A1356">
        <v>1355</v>
      </c>
      <c r="B1356" t="s">
        <v>2305</v>
      </c>
      <c r="C1356" t="s">
        <v>788</v>
      </c>
      <c r="D1356" t="s">
        <v>31</v>
      </c>
      <c r="E1356" t="s">
        <v>4982</v>
      </c>
      <c r="F1356" t="s">
        <v>4983</v>
      </c>
      <c r="G1356" t="s">
        <v>1313</v>
      </c>
      <c r="H1356" t="s">
        <v>35</v>
      </c>
      <c r="I1356">
        <v>11756</v>
      </c>
    </row>
    <row r="1357" spans="1:9" x14ac:dyDescent="0.3">
      <c r="A1357">
        <v>1356</v>
      </c>
      <c r="B1357" t="s">
        <v>4984</v>
      </c>
      <c r="C1357" t="s">
        <v>4985</v>
      </c>
      <c r="D1357" t="s">
        <v>31</v>
      </c>
      <c r="E1357" t="s">
        <v>4986</v>
      </c>
      <c r="F1357" t="s">
        <v>4987</v>
      </c>
      <c r="G1357" t="s">
        <v>1056</v>
      </c>
      <c r="H1357" t="s">
        <v>35</v>
      </c>
      <c r="I1357">
        <v>11772</v>
      </c>
    </row>
    <row r="1358" spans="1:9" x14ac:dyDescent="0.3">
      <c r="A1358">
        <v>1357</v>
      </c>
      <c r="B1358" t="s">
        <v>4908</v>
      </c>
      <c r="C1358" t="s">
        <v>3178</v>
      </c>
      <c r="D1358" t="s">
        <v>4988</v>
      </c>
      <c r="E1358" t="s">
        <v>4989</v>
      </c>
      <c r="F1358" t="s">
        <v>4990</v>
      </c>
      <c r="G1358" t="s">
        <v>608</v>
      </c>
      <c r="H1358" t="s">
        <v>41</v>
      </c>
      <c r="I1358">
        <v>93706</v>
      </c>
    </row>
    <row r="1359" spans="1:9" x14ac:dyDescent="0.3">
      <c r="A1359">
        <v>1358</v>
      </c>
      <c r="B1359" t="s">
        <v>207</v>
      </c>
      <c r="C1359" t="s">
        <v>1472</v>
      </c>
      <c r="D1359" t="s">
        <v>31</v>
      </c>
      <c r="E1359" t="s">
        <v>4991</v>
      </c>
      <c r="F1359" t="s">
        <v>4992</v>
      </c>
      <c r="G1359" t="s">
        <v>34</v>
      </c>
      <c r="H1359" t="s">
        <v>35</v>
      </c>
      <c r="I1359">
        <v>14127</v>
      </c>
    </row>
    <row r="1360" spans="1:9" x14ac:dyDescent="0.3">
      <c r="A1360">
        <v>1359</v>
      </c>
      <c r="B1360" t="s">
        <v>1786</v>
      </c>
      <c r="C1360" t="s">
        <v>4629</v>
      </c>
      <c r="D1360" t="s">
        <v>31</v>
      </c>
      <c r="E1360" t="s">
        <v>4993</v>
      </c>
      <c r="F1360" t="s">
        <v>4994</v>
      </c>
      <c r="G1360" t="s">
        <v>1313</v>
      </c>
      <c r="H1360" t="s">
        <v>35</v>
      </c>
      <c r="I1360">
        <v>11756</v>
      </c>
    </row>
    <row r="1361" spans="1:9" x14ac:dyDescent="0.3">
      <c r="A1361">
        <v>1360</v>
      </c>
      <c r="B1361" t="s">
        <v>4995</v>
      </c>
      <c r="C1361" t="s">
        <v>2107</v>
      </c>
      <c r="D1361" t="s">
        <v>31</v>
      </c>
      <c r="E1361" t="s">
        <v>4996</v>
      </c>
      <c r="F1361" t="s">
        <v>4997</v>
      </c>
      <c r="G1361" t="s">
        <v>464</v>
      </c>
      <c r="H1361" t="s">
        <v>41</v>
      </c>
      <c r="I1361">
        <v>91784</v>
      </c>
    </row>
    <row r="1362" spans="1:9" x14ac:dyDescent="0.3">
      <c r="A1362">
        <v>1361</v>
      </c>
      <c r="B1362" t="s">
        <v>4998</v>
      </c>
      <c r="C1362" t="s">
        <v>523</v>
      </c>
      <c r="D1362" t="s">
        <v>31</v>
      </c>
      <c r="E1362" t="s">
        <v>4999</v>
      </c>
      <c r="F1362" t="s">
        <v>5000</v>
      </c>
      <c r="G1362" t="s">
        <v>5001</v>
      </c>
      <c r="H1362" t="s">
        <v>35</v>
      </c>
      <c r="I1362">
        <v>11590</v>
      </c>
    </row>
    <row r="1363" spans="1:9" x14ac:dyDescent="0.3">
      <c r="A1363">
        <v>1362</v>
      </c>
      <c r="B1363" t="s">
        <v>5002</v>
      </c>
      <c r="C1363" t="s">
        <v>3892</v>
      </c>
      <c r="D1363" t="s">
        <v>31</v>
      </c>
      <c r="E1363" t="s">
        <v>5003</v>
      </c>
      <c r="F1363" t="s">
        <v>5004</v>
      </c>
      <c r="G1363" t="s">
        <v>34</v>
      </c>
      <c r="H1363" t="s">
        <v>35</v>
      </c>
      <c r="I1363">
        <v>14127</v>
      </c>
    </row>
    <row r="1364" spans="1:9" x14ac:dyDescent="0.3">
      <c r="A1364">
        <v>1363</v>
      </c>
      <c r="B1364" t="s">
        <v>5005</v>
      </c>
      <c r="C1364" t="s">
        <v>5006</v>
      </c>
      <c r="D1364" t="s">
        <v>5007</v>
      </c>
      <c r="E1364" t="s">
        <v>5008</v>
      </c>
      <c r="F1364" t="s">
        <v>5009</v>
      </c>
      <c r="G1364" t="s">
        <v>252</v>
      </c>
      <c r="H1364" t="s">
        <v>100</v>
      </c>
      <c r="I1364">
        <v>77016</v>
      </c>
    </row>
    <row r="1365" spans="1:9" x14ac:dyDescent="0.3">
      <c r="A1365">
        <v>1364</v>
      </c>
      <c r="B1365" t="s">
        <v>5010</v>
      </c>
      <c r="C1365" t="s">
        <v>3164</v>
      </c>
      <c r="D1365" t="s">
        <v>31</v>
      </c>
      <c r="E1365" t="s">
        <v>5011</v>
      </c>
      <c r="F1365" t="s">
        <v>5012</v>
      </c>
      <c r="G1365" t="s">
        <v>958</v>
      </c>
      <c r="H1365" t="s">
        <v>35</v>
      </c>
      <c r="I1365">
        <v>12020</v>
      </c>
    </row>
    <row r="1366" spans="1:9" x14ac:dyDescent="0.3">
      <c r="A1366">
        <v>1365</v>
      </c>
      <c r="B1366" t="s">
        <v>3907</v>
      </c>
      <c r="C1366" t="s">
        <v>102</v>
      </c>
      <c r="D1366" t="s">
        <v>31</v>
      </c>
      <c r="E1366" t="s">
        <v>5013</v>
      </c>
      <c r="F1366" t="s">
        <v>5014</v>
      </c>
      <c r="G1366" t="s">
        <v>241</v>
      </c>
      <c r="H1366" t="s">
        <v>35</v>
      </c>
      <c r="I1366">
        <v>12804</v>
      </c>
    </row>
    <row r="1367" spans="1:9" x14ac:dyDescent="0.3">
      <c r="A1367">
        <v>1366</v>
      </c>
      <c r="B1367" t="s">
        <v>2708</v>
      </c>
      <c r="C1367" t="s">
        <v>2606</v>
      </c>
      <c r="D1367" t="s">
        <v>31</v>
      </c>
      <c r="E1367" t="s">
        <v>5015</v>
      </c>
      <c r="F1367" t="s">
        <v>5016</v>
      </c>
      <c r="G1367" t="s">
        <v>40</v>
      </c>
      <c r="H1367" t="s">
        <v>41</v>
      </c>
      <c r="I1367">
        <v>95008</v>
      </c>
    </row>
    <row r="1368" spans="1:9" x14ac:dyDescent="0.3">
      <c r="A1368">
        <v>1367</v>
      </c>
      <c r="B1368" t="s">
        <v>5017</v>
      </c>
      <c r="C1368" t="s">
        <v>2989</v>
      </c>
      <c r="D1368" t="s">
        <v>31</v>
      </c>
      <c r="E1368" t="s">
        <v>5018</v>
      </c>
      <c r="F1368" t="s">
        <v>5019</v>
      </c>
      <c r="G1368" t="s">
        <v>40</v>
      </c>
      <c r="H1368" t="s">
        <v>41</v>
      </c>
      <c r="I1368">
        <v>95008</v>
      </c>
    </row>
    <row r="1369" spans="1:9" x14ac:dyDescent="0.3">
      <c r="A1369">
        <v>1368</v>
      </c>
      <c r="B1369" t="s">
        <v>5020</v>
      </c>
      <c r="C1369" t="s">
        <v>5021</v>
      </c>
      <c r="D1369" t="s">
        <v>31</v>
      </c>
      <c r="E1369" t="s">
        <v>5022</v>
      </c>
      <c r="F1369" t="s">
        <v>5023</v>
      </c>
      <c r="G1369" t="s">
        <v>958</v>
      </c>
      <c r="H1369" t="s">
        <v>35</v>
      </c>
      <c r="I1369">
        <v>12020</v>
      </c>
    </row>
    <row r="1370" spans="1:9" x14ac:dyDescent="0.3">
      <c r="A1370">
        <v>1369</v>
      </c>
      <c r="B1370" t="s">
        <v>5024</v>
      </c>
      <c r="C1370" t="s">
        <v>1826</v>
      </c>
      <c r="D1370" t="s">
        <v>31</v>
      </c>
      <c r="E1370" t="s">
        <v>5025</v>
      </c>
      <c r="F1370" t="s">
        <v>5026</v>
      </c>
      <c r="G1370" t="s">
        <v>1770</v>
      </c>
      <c r="H1370" t="s">
        <v>35</v>
      </c>
      <c r="I1370">
        <v>11967</v>
      </c>
    </row>
    <row r="1371" spans="1:9" x14ac:dyDescent="0.3">
      <c r="A1371">
        <v>1370</v>
      </c>
      <c r="B1371" t="s">
        <v>5027</v>
      </c>
      <c r="C1371" t="s">
        <v>1619</v>
      </c>
      <c r="D1371" t="s">
        <v>5028</v>
      </c>
      <c r="E1371" t="s">
        <v>5029</v>
      </c>
      <c r="F1371" t="s">
        <v>5030</v>
      </c>
      <c r="G1371" t="s">
        <v>559</v>
      </c>
      <c r="H1371" t="s">
        <v>41</v>
      </c>
      <c r="I1371">
        <v>95127</v>
      </c>
    </row>
    <row r="1372" spans="1:9" x14ac:dyDescent="0.3">
      <c r="A1372">
        <v>1371</v>
      </c>
      <c r="B1372" t="s">
        <v>5031</v>
      </c>
      <c r="C1372" t="s">
        <v>1075</v>
      </c>
      <c r="D1372" t="s">
        <v>31</v>
      </c>
      <c r="E1372" t="s">
        <v>5032</v>
      </c>
      <c r="F1372" t="s">
        <v>5033</v>
      </c>
      <c r="G1372" t="s">
        <v>2512</v>
      </c>
      <c r="H1372" t="s">
        <v>35</v>
      </c>
      <c r="I1372">
        <v>11040</v>
      </c>
    </row>
    <row r="1373" spans="1:9" x14ac:dyDescent="0.3">
      <c r="A1373">
        <v>1372</v>
      </c>
      <c r="B1373" t="s">
        <v>5034</v>
      </c>
      <c r="C1373" t="s">
        <v>3488</v>
      </c>
      <c r="D1373" t="s">
        <v>31</v>
      </c>
      <c r="E1373" t="s">
        <v>5035</v>
      </c>
      <c r="F1373" t="s">
        <v>5036</v>
      </c>
      <c r="G1373" t="s">
        <v>820</v>
      </c>
      <c r="H1373" t="s">
        <v>35</v>
      </c>
      <c r="I1373">
        <v>11420</v>
      </c>
    </row>
    <row r="1374" spans="1:9" x14ac:dyDescent="0.3">
      <c r="A1374">
        <v>1373</v>
      </c>
      <c r="B1374" t="s">
        <v>5037</v>
      </c>
      <c r="C1374" t="s">
        <v>753</v>
      </c>
      <c r="D1374" t="s">
        <v>31</v>
      </c>
      <c r="E1374" t="s">
        <v>5038</v>
      </c>
      <c r="F1374" t="s">
        <v>5039</v>
      </c>
      <c r="G1374" t="s">
        <v>2772</v>
      </c>
      <c r="H1374" t="s">
        <v>35</v>
      </c>
      <c r="I1374">
        <v>11704</v>
      </c>
    </row>
    <row r="1375" spans="1:9" x14ac:dyDescent="0.3">
      <c r="A1375">
        <v>1374</v>
      </c>
      <c r="B1375" t="s">
        <v>5040</v>
      </c>
      <c r="C1375" t="s">
        <v>600</v>
      </c>
      <c r="D1375" t="s">
        <v>31</v>
      </c>
      <c r="E1375" t="s">
        <v>5041</v>
      </c>
      <c r="F1375" t="s">
        <v>5042</v>
      </c>
      <c r="G1375" t="s">
        <v>297</v>
      </c>
      <c r="H1375" t="s">
        <v>41</v>
      </c>
      <c r="I1375">
        <v>91740</v>
      </c>
    </row>
    <row r="1376" spans="1:9" x14ac:dyDescent="0.3">
      <c r="A1376">
        <v>1375</v>
      </c>
      <c r="B1376" t="s">
        <v>5043</v>
      </c>
      <c r="C1376" t="s">
        <v>1187</v>
      </c>
      <c r="D1376" t="s">
        <v>31</v>
      </c>
      <c r="E1376" t="s">
        <v>5044</v>
      </c>
      <c r="F1376" t="s">
        <v>5045</v>
      </c>
      <c r="G1376" t="s">
        <v>977</v>
      </c>
      <c r="H1376" t="s">
        <v>35</v>
      </c>
      <c r="I1376">
        <v>11432</v>
      </c>
    </row>
    <row r="1377" spans="1:9" x14ac:dyDescent="0.3">
      <c r="A1377">
        <v>1376</v>
      </c>
      <c r="B1377" t="s">
        <v>5046</v>
      </c>
      <c r="C1377" t="s">
        <v>852</v>
      </c>
      <c r="D1377" t="s">
        <v>31</v>
      </c>
      <c r="E1377" t="s">
        <v>5047</v>
      </c>
      <c r="F1377" t="s">
        <v>5048</v>
      </c>
      <c r="G1377" t="s">
        <v>78</v>
      </c>
      <c r="H1377" t="s">
        <v>35</v>
      </c>
      <c r="I1377">
        <v>11050</v>
      </c>
    </row>
    <row r="1378" spans="1:9" x14ac:dyDescent="0.3">
      <c r="A1378">
        <v>1377</v>
      </c>
      <c r="B1378" t="s">
        <v>5049</v>
      </c>
      <c r="C1378" t="s">
        <v>3132</v>
      </c>
      <c r="D1378" t="s">
        <v>5050</v>
      </c>
      <c r="E1378" t="s">
        <v>5051</v>
      </c>
      <c r="F1378" t="s">
        <v>5052</v>
      </c>
      <c r="G1378" t="s">
        <v>1937</v>
      </c>
      <c r="H1378" t="s">
        <v>35</v>
      </c>
      <c r="I1378">
        <v>14606</v>
      </c>
    </row>
    <row r="1379" spans="1:9" x14ac:dyDescent="0.3">
      <c r="A1379">
        <v>1378</v>
      </c>
      <c r="B1379" t="s">
        <v>5053</v>
      </c>
      <c r="C1379" t="s">
        <v>1579</v>
      </c>
      <c r="D1379" t="s">
        <v>5054</v>
      </c>
      <c r="E1379" t="s">
        <v>5055</v>
      </c>
      <c r="F1379" t="s">
        <v>5056</v>
      </c>
      <c r="G1379" t="s">
        <v>608</v>
      </c>
      <c r="H1379" t="s">
        <v>41</v>
      </c>
      <c r="I1379">
        <v>93706</v>
      </c>
    </row>
    <row r="1380" spans="1:9" x14ac:dyDescent="0.3">
      <c r="A1380">
        <v>1379</v>
      </c>
      <c r="B1380" t="s">
        <v>924</v>
      </c>
      <c r="C1380" t="s">
        <v>2354</v>
      </c>
      <c r="D1380" t="s">
        <v>31</v>
      </c>
      <c r="E1380" t="s">
        <v>5057</v>
      </c>
      <c r="F1380" t="s">
        <v>5058</v>
      </c>
      <c r="G1380" t="s">
        <v>171</v>
      </c>
      <c r="H1380" t="s">
        <v>35</v>
      </c>
      <c r="I1380">
        <v>11104</v>
      </c>
    </row>
    <row r="1381" spans="1:9" x14ac:dyDescent="0.3">
      <c r="A1381">
        <v>1380</v>
      </c>
      <c r="B1381" t="s">
        <v>1433</v>
      </c>
      <c r="C1381" t="s">
        <v>4594</v>
      </c>
      <c r="D1381" t="s">
        <v>31</v>
      </c>
      <c r="E1381" t="s">
        <v>5059</v>
      </c>
      <c r="F1381" t="s">
        <v>5060</v>
      </c>
      <c r="G1381" t="s">
        <v>51</v>
      </c>
      <c r="H1381" t="s">
        <v>35</v>
      </c>
      <c r="I1381">
        <v>11553</v>
      </c>
    </row>
    <row r="1382" spans="1:9" x14ac:dyDescent="0.3">
      <c r="A1382">
        <v>1381</v>
      </c>
      <c r="B1382" t="s">
        <v>5061</v>
      </c>
      <c r="C1382" t="s">
        <v>5062</v>
      </c>
      <c r="D1382" t="s">
        <v>31</v>
      </c>
      <c r="E1382" t="s">
        <v>5063</v>
      </c>
      <c r="F1382" t="s">
        <v>5064</v>
      </c>
      <c r="G1382" t="s">
        <v>455</v>
      </c>
      <c r="H1382" t="s">
        <v>41</v>
      </c>
      <c r="I1382">
        <v>91010</v>
      </c>
    </row>
    <row r="1383" spans="1:9" x14ac:dyDescent="0.3">
      <c r="A1383">
        <v>1382</v>
      </c>
      <c r="B1383" t="s">
        <v>5065</v>
      </c>
      <c r="C1383" t="s">
        <v>3201</v>
      </c>
      <c r="D1383" t="s">
        <v>31</v>
      </c>
      <c r="E1383" t="s">
        <v>5066</v>
      </c>
      <c r="F1383" t="s">
        <v>5067</v>
      </c>
      <c r="G1383" t="s">
        <v>1807</v>
      </c>
      <c r="H1383" t="s">
        <v>100</v>
      </c>
      <c r="I1383">
        <v>78552</v>
      </c>
    </row>
    <row r="1384" spans="1:9" x14ac:dyDescent="0.3">
      <c r="A1384">
        <v>1383</v>
      </c>
      <c r="B1384" t="s">
        <v>5068</v>
      </c>
      <c r="C1384" t="s">
        <v>452</v>
      </c>
      <c r="D1384" t="s">
        <v>5069</v>
      </c>
      <c r="E1384" t="s">
        <v>5070</v>
      </c>
      <c r="F1384" t="s">
        <v>5071</v>
      </c>
      <c r="G1384" t="s">
        <v>1975</v>
      </c>
      <c r="H1384" t="s">
        <v>41</v>
      </c>
      <c r="I1384">
        <v>93306</v>
      </c>
    </row>
    <row r="1385" spans="1:9" x14ac:dyDescent="0.3">
      <c r="A1385">
        <v>1384</v>
      </c>
      <c r="B1385" t="s">
        <v>2316</v>
      </c>
      <c r="C1385" t="s">
        <v>5072</v>
      </c>
      <c r="D1385" t="s">
        <v>31</v>
      </c>
      <c r="E1385" t="s">
        <v>5073</v>
      </c>
      <c r="F1385" t="s">
        <v>5074</v>
      </c>
      <c r="G1385" t="s">
        <v>329</v>
      </c>
      <c r="H1385" t="s">
        <v>41</v>
      </c>
      <c r="I1385">
        <v>94070</v>
      </c>
    </row>
    <row r="1386" spans="1:9" x14ac:dyDescent="0.3">
      <c r="A1386">
        <v>1385</v>
      </c>
      <c r="B1386" t="s">
        <v>5075</v>
      </c>
      <c r="C1386" t="s">
        <v>2362</v>
      </c>
      <c r="D1386" t="s">
        <v>31</v>
      </c>
      <c r="E1386" t="s">
        <v>5076</v>
      </c>
      <c r="F1386" t="s">
        <v>5077</v>
      </c>
      <c r="G1386" t="s">
        <v>126</v>
      </c>
      <c r="H1386" t="s">
        <v>35</v>
      </c>
      <c r="I1386">
        <v>14424</v>
      </c>
    </row>
    <row r="1387" spans="1:9" x14ac:dyDescent="0.3">
      <c r="A1387">
        <v>1386</v>
      </c>
      <c r="B1387" t="s">
        <v>272</v>
      </c>
      <c r="C1387" t="s">
        <v>663</v>
      </c>
      <c r="D1387" t="s">
        <v>5078</v>
      </c>
      <c r="E1387" t="s">
        <v>5079</v>
      </c>
      <c r="F1387" t="s">
        <v>5080</v>
      </c>
      <c r="G1387" t="s">
        <v>475</v>
      </c>
      <c r="H1387" t="s">
        <v>41</v>
      </c>
      <c r="I1387">
        <v>92111</v>
      </c>
    </row>
    <row r="1388" spans="1:9" x14ac:dyDescent="0.3">
      <c r="A1388">
        <v>1387</v>
      </c>
      <c r="B1388" t="s">
        <v>5081</v>
      </c>
      <c r="C1388" t="s">
        <v>5082</v>
      </c>
      <c r="D1388" t="s">
        <v>31</v>
      </c>
      <c r="E1388" t="s">
        <v>5083</v>
      </c>
      <c r="F1388" t="s">
        <v>5084</v>
      </c>
      <c r="G1388" t="s">
        <v>126</v>
      </c>
      <c r="H1388" t="s">
        <v>35</v>
      </c>
      <c r="I1388">
        <v>14424</v>
      </c>
    </row>
    <row r="1389" spans="1:9" x14ac:dyDescent="0.3">
      <c r="A1389">
        <v>1388</v>
      </c>
      <c r="B1389" t="s">
        <v>4658</v>
      </c>
      <c r="C1389" t="s">
        <v>973</v>
      </c>
      <c r="D1389" t="s">
        <v>31</v>
      </c>
      <c r="E1389" t="s">
        <v>5085</v>
      </c>
      <c r="F1389" t="s">
        <v>5086</v>
      </c>
      <c r="G1389" t="s">
        <v>1105</v>
      </c>
      <c r="H1389" t="s">
        <v>35</v>
      </c>
      <c r="I1389">
        <v>11554</v>
      </c>
    </row>
    <row r="1390" spans="1:9" x14ac:dyDescent="0.3">
      <c r="A1390">
        <v>1389</v>
      </c>
      <c r="B1390" t="s">
        <v>5087</v>
      </c>
      <c r="C1390" t="s">
        <v>2873</v>
      </c>
      <c r="D1390" t="s">
        <v>31</v>
      </c>
      <c r="E1390" t="s">
        <v>5088</v>
      </c>
      <c r="F1390" t="s">
        <v>5089</v>
      </c>
      <c r="G1390" t="s">
        <v>715</v>
      </c>
      <c r="H1390" t="s">
        <v>35</v>
      </c>
      <c r="I1390">
        <v>10573</v>
      </c>
    </row>
    <row r="1391" spans="1:9" x14ac:dyDescent="0.3">
      <c r="A1391">
        <v>1390</v>
      </c>
      <c r="B1391" t="s">
        <v>74</v>
      </c>
      <c r="C1391" t="s">
        <v>1232</v>
      </c>
      <c r="D1391" t="s">
        <v>31</v>
      </c>
      <c r="E1391" t="s">
        <v>5090</v>
      </c>
      <c r="F1391" t="s">
        <v>5091</v>
      </c>
      <c r="G1391" t="s">
        <v>500</v>
      </c>
      <c r="H1391" t="s">
        <v>35</v>
      </c>
      <c r="I1391">
        <v>11361</v>
      </c>
    </row>
    <row r="1392" spans="1:9" x14ac:dyDescent="0.3">
      <c r="A1392">
        <v>1391</v>
      </c>
      <c r="B1392" t="s">
        <v>5092</v>
      </c>
      <c r="C1392" t="s">
        <v>1294</v>
      </c>
      <c r="D1392" t="s">
        <v>31</v>
      </c>
      <c r="E1392" t="s">
        <v>5093</v>
      </c>
      <c r="F1392" t="s">
        <v>5094</v>
      </c>
      <c r="G1392" t="s">
        <v>553</v>
      </c>
      <c r="H1392" t="s">
        <v>35</v>
      </c>
      <c r="I1392">
        <v>11001</v>
      </c>
    </row>
    <row r="1393" spans="1:9" x14ac:dyDescent="0.3">
      <c r="A1393">
        <v>1392</v>
      </c>
      <c r="B1393" t="s">
        <v>5095</v>
      </c>
      <c r="C1393" t="s">
        <v>5096</v>
      </c>
      <c r="D1393" t="s">
        <v>31</v>
      </c>
      <c r="E1393" t="s">
        <v>5097</v>
      </c>
      <c r="F1393" t="s">
        <v>5098</v>
      </c>
      <c r="G1393" t="s">
        <v>62</v>
      </c>
      <c r="H1393" t="s">
        <v>35</v>
      </c>
      <c r="I1393">
        <v>14450</v>
      </c>
    </row>
    <row r="1394" spans="1:9" x14ac:dyDescent="0.3">
      <c r="A1394">
        <v>1393</v>
      </c>
      <c r="B1394" t="s">
        <v>5099</v>
      </c>
      <c r="C1394" t="s">
        <v>1124</v>
      </c>
      <c r="D1394" t="s">
        <v>31</v>
      </c>
      <c r="E1394" t="s">
        <v>5100</v>
      </c>
      <c r="F1394" t="s">
        <v>5101</v>
      </c>
      <c r="G1394" t="s">
        <v>977</v>
      </c>
      <c r="H1394" t="s">
        <v>35</v>
      </c>
      <c r="I1394">
        <v>11432</v>
      </c>
    </row>
    <row r="1395" spans="1:9" x14ac:dyDescent="0.3">
      <c r="A1395">
        <v>1394</v>
      </c>
      <c r="B1395" t="s">
        <v>2968</v>
      </c>
      <c r="C1395" t="s">
        <v>1531</v>
      </c>
      <c r="D1395" t="s">
        <v>31</v>
      </c>
      <c r="E1395" t="s">
        <v>5102</v>
      </c>
      <c r="F1395" t="s">
        <v>5103</v>
      </c>
      <c r="G1395" t="s">
        <v>343</v>
      </c>
      <c r="H1395" t="s">
        <v>35</v>
      </c>
      <c r="I1395">
        <v>11701</v>
      </c>
    </row>
    <row r="1396" spans="1:9" x14ac:dyDescent="0.3">
      <c r="A1396">
        <v>1395</v>
      </c>
      <c r="B1396" t="s">
        <v>5104</v>
      </c>
      <c r="C1396" t="s">
        <v>5105</v>
      </c>
      <c r="D1396" t="s">
        <v>31</v>
      </c>
      <c r="E1396" t="s">
        <v>5106</v>
      </c>
      <c r="F1396" t="s">
        <v>5107</v>
      </c>
      <c r="G1396" t="s">
        <v>539</v>
      </c>
      <c r="H1396" t="s">
        <v>35</v>
      </c>
      <c r="I1396">
        <v>11421</v>
      </c>
    </row>
    <row r="1397" spans="1:9" x14ac:dyDescent="0.3">
      <c r="A1397">
        <v>1396</v>
      </c>
      <c r="B1397" t="s">
        <v>5108</v>
      </c>
      <c r="C1397" t="s">
        <v>2670</v>
      </c>
      <c r="D1397" t="s">
        <v>5109</v>
      </c>
      <c r="E1397" t="s">
        <v>5110</v>
      </c>
      <c r="F1397" t="s">
        <v>5111</v>
      </c>
      <c r="G1397" t="s">
        <v>565</v>
      </c>
      <c r="H1397" t="s">
        <v>41</v>
      </c>
      <c r="I1397">
        <v>92806</v>
      </c>
    </row>
    <row r="1398" spans="1:9" x14ac:dyDescent="0.3">
      <c r="A1398">
        <v>1397</v>
      </c>
      <c r="B1398" t="s">
        <v>5112</v>
      </c>
      <c r="C1398" t="s">
        <v>4648</v>
      </c>
      <c r="D1398" t="s">
        <v>31</v>
      </c>
      <c r="E1398" t="s">
        <v>5113</v>
      </c>
      <c r="F1398" t="s">
        <v>5114</v>
      </c>
      <c r="G1398" t="s">
        <v>884</v>
      </c>
      <c r="H1398" t="s">
        <v>35</v>
      </c>
      <c r="I1398">
        <v>14580</v>
      </c>
    </row>
    <row r="1399" spans="1:9" x14ac:dyDescent="0.3">
      <c r="A1399">
        <v>1398</v>
      </c>
      <c r="B1399" t="s">
        <v>5115</v>
      </c>
      <c r="C1399" t="s">
        <v>2715</v>
      </c>
      <c r="D1399" t="s">
        <v>31</v>
      </c>
      <c r="E1399" t="s">
        <v>5116</v>
      </c>
      <c r="F1399" t="s">
        <v>5117</v>
      </c>
      <c r="G1399" t="s">
        <v>1265</v>
      </c>
      <c r="H1399" t="s">
        <v>35</v>
      </c>
      <c r="I1399">
        <v>12533</v>
      </c>
    </row>
    <row r="1400" spans="1:9" x14ac:dyDescent="0.3">
      <c r="A1400">
        <v>1399</v>
      </c>
      <c r="B1400" t="s">
        <v>5118</v>
      </c>
      <c r="C1400" t="s">
        <v>1290</v>
      </c>
      <c r="D1400" t="s">
        <v>31</v>
      </c>
      <c r="E1400" t="s">
        <v>5119</v>
      </c>
      <c r="F1400" t="s">
        <v>5120</v>
      </c>
      <c r="G1400" t="s">
        <v>126</v>
      </c>
      <c r="H1400" t="s">
        <v>35</v>
      </c>
      <c r="I1400">
        <v>14424</v>
      </c>
    </row>
    <row r="1401" spans="1:9" x14ac:dyDescent="0.3">
      <c r="A1401">
        <v>1400</v>
      </c>
      <c r="B1401" t="s">
        <v>5121</v>
      </c>
      <c r="C1401" t="s">
        <v>2897</v>
      </c>
      <c r="D1401" t="s">
        <v>31</v>
      </c>
      <c r="E1401" t="s">
        <v>5122</v>
      </c>
      <c r="F1401" t="s">
        <v>5123</v>
      </c>
      <c r="G1401" t="s">
        <v>539</v>
      </c>
      <c r="H1401" t="s">
        <v>35</v>
      </c>
      <c r="I1401">
        <v>11421</v>
      </c>
    </row>
    <row r="1402" spans="1:9" x14ac:dyDescent="0.3">
      <c r="A1402">
        <v>1401</v>
      </c>
      <c r="B1402" t="s">
        <v>5124</v>
      </c>
      <c r="C1402" t="s">
        <v>5125</v>
      </c>
      <c r="D1402" t="s">
        <v>31</v>
      </c>
      <c r="E1402" t="s">
        <v>5126</v>
      </c>
      <c r="F1402" t="s">
        <v>5127</v>
      </c>
      <c r="G1402" t="s">
        <v>292</v>
      </c>
      <c r="H1402" t="s">
        <v>35</v>
      </c>
      <c r="I1402">
        <v>11369</v>
      </c>
    </row>
    <row r="1403" spans="1:9" x14ac:dyDescent="0.3">
      <c r="A1403">
        <v>1402</v>
      </c>
      <c r="B1403" t="s">
        <v>5128</v>
      </c>
      <c r="C1403" t="s">
        <v>2100</v>
      </c>
      <c r="D1403" t="s">
        <v>31</v>
      </c>
      <c r="E1403" t="s">
        <v>5129</v>
      </c>
      <c r="F1403" t="s">
        <v>5130</v>
      </c>
      <c r="G1403" t="s">
        <v>1751</v>
      </c>
      <c r="H1403" t="s">
        <v>35</v>
      </c>
      <c r="I1403">
        <v>14043</v>
      </c>
    </row>
    <row r="1404" spans="1:9" x14ac:dyDescent="0.3">
      <c r="A1404">
        <v>1403</v>
      </c>
      <c r="B1404" t="s">
        <v>3437</v>
      </c>
      <c r="C1404" t="s">
        <v>2170</v>
      </c>
      <c r="D1404" t="s">
        <v>5131</v>
      </c>
      <c r="E1404" t="s">
        <v>5132</v>
      </c>
      <c r="F1404" t="s">
        <v>5133</v>
      </c>
      <c r="G1404" t="s">
        <v>486</v>
      </c>
      <c r="H1404" t="s">
        <v>35</v>
      </c>
      <c r="I1404">
        <v>12180</v>
      </c>
    </row>
    <row r="1405" spans="1:9" x14ac:dyDescent="0.3">
      <c r="A1405">
        <v>1404</v>
      </c>
      <c r="B1405" t="s">
        <v>5134</v>
      </c>
      <c r="C1405" t="s">
        <v>5135</v>
      </c>
      <c r="D1405" t="s">
        <v>31</v>
      </c>
      <c r="E1405" t="s">
        <v>5136</v>
      </c>
      <c r="F1405" t="s">
        <v>5137</v>
      </c>
      <c r="G1405" t="s">
        <v>320</v>
      </c>
      <c r="H1405" t="s">
        <v>35</v>
      </c>
      <c r="I1405">
        <v>11722</v>
      </c>
    </row>
    <row r="1406" spans="1:9" x14ac:dyDescent="0.3">
      <c r="A1406">
        <v>1405</v>
      </c>
      <c r="B1406" t="s">
        <v>5138</v>
      </c>
      <c r="C1406" t="s">
        <v>3393</v>
      </c>
      <c r="D1406" t="s">
        <v>31</v>
      </c>
      <c r="E1406" t="s">
        <v>5139</v>
      </c>
      <c r="F1406" t="s">
        <v>5140</v>
      </c>
      <c r="G1406" t="s">
        <v>1525</v>
      </c>
      <c r="H1406" t="s">
        <v>35</v>
      </c>
      <c r="I1406">
        <v>10550</v>
      </c>
    </row>
    <row r="1407" spans="1:9" x14ac:dyDescent="0.3">
      <c r="A1407">
        <v>1406</v>
      </c>
      <c r="B1407" t="s">
        <v>5141</v>
      </c>
      <c r="C1407" t="s">
        <v>2032</v>
      </c>
      <c r="D1407" t="s">
        <v>31</v>
      </c>
      <c r="E1407" t="s">
        <v>5142</v>
      </c>
      <c r="F1407" t="s">
        <v>5143</v>
      </c>
      <c r="G1407" t="s">
        <v>2512</v>
      </c>
      <c r="H1407" t="s">
        <v>35</v>
      </c>
      <c r="I1407">
        <v>11040</v>
      </c>
    </row>
    <row r="1408" spans="1:9" x14ac:dyDescent="0.3">
      <c r="A1408">
        <v>1407</v>
      </c>
      <c r="B1408" t="s">
        <v>5144</v>
      </c>
      <c r="C1408" t="s">
        <v>2794</v>
      </c>
      <c r="D1408" t="s">
        <v>31</v>
      </c>
      <c r="E1408" t="s">
        <v>5145</v>
      </c>
      <c r="F1408" t="s">
        <v>5146</v>
      </c>
      <c r="G1408" t="s">
        <v>1330</v>
      </c>
      <c r="H1408" t="s">
        <v>35</v>
      </c>
      <c r="I1408">
        <v>11720</v>
      </c>
    </row>
    <row r="1409" spans="1:9" x14ac:dyDescent="0.3">
      <c r="A1409">
        <v>1408</v>
      </c>
      <c r="B1409" t="s">
        <v>5147</v>
      </c>
      <c r="C1409" t="s">
        <v>2299</v>
      </c>
      <c r="D1409" t="s">
        <v>31</v>
      </c>
      <c r="E1409" t="s">
        <v>5148</v>
      </c>
      <c r="F1409" t="s">
        <v>5149</v>
      </c>
      <c r="G1409" t="s">
        <v>715</v>
      </c>
      <c r="H1409" t="s">
        <v>35</v>
      </c>
      <c r="I1409">
        <v>10573</v>
      </c>
    </row>
    <row r="1410" spans="1:9" x14ac:dyDescent="0.3">
      <c r="A1410">
        <v>1409</v>
      </c>
      <c r="B1410" t="s">
        <v>3038</v>
      </c>
      <c r="C1410" t="s">
        <v>1717</v>
      </c>
      <c r="D1410" t="s">
        <v>5150</v>
      </c>
      <c r="E1410" t="s">
        <v>5151</v>
      </c>
      <c r="F1410" t="s">
        <v>5152</v>
      </c>
      <c r="G1410" t="s">
        <v>68</v>
      </c>
      <c r="H1410" t="s">
        <v>35</v>
      </c>
      <c r="I1410">
        <v>14215</v>
      </c>
    </row>
    <row r="1411" spans="1:9" x14ac:dyDescent="0.3">
      <c r="A1411">
        <v>1410</v>
      </c>
      <c r="B1411" t="s">
        <v>5153</v>
      </c>
      <c r="C1411" t="s">
        <v>4917</v>
      </c>
      <c r="D1411" t="s">
        <v>5154</v>
      </c>
      <c r="E1411" t="s">
        <v>5155</v>
      </c>
      <c r="F1411" t="s">
        <v>5156</v>
      </c>
      <c r="G1411" t="s">
        <v>1908</v>
      </c>
      <c r="H1411" t="s">
        <v>35</v>
      </c>
      <c r="I1411">
        <v>10701</v>
      </c>
    </row>
    <row r="1412" spans="1:9" x14ac:dyDescent="0.3">
      <c r="A1412">
        <v>1411</v>
      </c>
      <c r="B1412" t="s">
        <v>5157</v>
      </c>
      <c r="C1412" t="s">
        <v>3702</v>
      </c>
      <c r="D1412" t="s">
        <v>31</v>
      </c>
      <c r="E1412" t="s">
        <v>5158</v>
      </c>
      <c r="F1412" t="s">
        <v>5159</v>
      </c>
      <c r="G1412" t="s">
        <v>2023</v>
      </c>
      <c r="H1412" t="s">
        <v>35</v>
      </c>
      <c r="I1412">
        <v>11520</v>
      </c>
    </row>
    <row r="1413" spans="1:9" x14ac:dyDescent="0.3">
      <c r="A1413">
        <v>1412</v>
      </c>
      <c r="B1413" t="s">
        <v>5160</v>
      </c>
      <c r="C1413" t="s">
        <v>336</v>
      </c>
      <c r="D1413" t="s">
        <v>31</v>
      </c>
      <c r="E1413" t="s">
        <v>5161</v>
      </c>
      <c r="F1413" t="s">
        <v>5162</v>
      </c>
      <c r="G1413" t="s">
        <v>940</v>
      </c>
      <c r="H1413" t="s">
        <v>35</v>
      </c>
      <c r="I1413">
        <v>11374</v>
      </c>
    </row>
    <row r="1414" spans="1:9" x14ac:dyDescent="0.3">
      <c r="A1414">
        <v>1413</v>
      </c>
      <c r="B1414" t="s">
        <v>3190</v>
      </c>
      <c r="C1414" t="s">
        <v>965</v>
      </c>
      <c r="D1414" t="s">
        <v>31</v>
      </c>
      <c r="E1414" t="s">
        <v>5163</v>
      </c>
      <c r="F1414" t="s">
        <v>5164</v>
      </c>
      <c r="G1414" t="s">
        <v>949</v>
      </c>
      <c r="H1414" t="s">
        <v>35</v>
      </c>
      <c r="I1414">
        <v>12553</v>
      </c>
    </row>
    <row r="1415" spans="1:9" x14ac:dyDescent="0.3">
      <c r="A1415">
        <v>1414</v>
      </c>
      <c r="B1415" t="s">
        <v>5165</v>
      </c>
      <c r="C1415" t="s">
        <v>5166</v>
      </c>
      <c r="D1415" t="s">
        <v>31</v>
      </c>
      <c r="E1415" t="s">
        <v>5167</v>
      </c>
      <c r="F1415" t="s">
        <v>5168</v>
      </c>
      <c r="G1415" t="s">
        <v>241</v>
      </c>
      <c r="H1415" t="s">
        <v>35</v>
      </c>
      <c r="I1415">
        <v>12804</v>
      </c>
    </row>
    <row r="1416" spans="1:9" x14ac:dyDescent="0.3">
      <c r="A1416">
        <v>1415</v>
      </c>
      <c r="B1416" t="s">
        <v>5169</v>
      </c>
      <c r="C1416" t="s">
        <v>3650</v>
      </c>
      <c r="D1416" t="s">
        <v>31</v>
      </c>
      <c r="E1416" t="s">
        <v>5170</v>
      </c>
      <c r="F1416" t="s">
        <v>5171</v>
      </c>
      <c r="G1416" t="s">
        <v>928</v>
      </c>
      <c r="H1416" t="s">
        <v>41</v>
      </c>
      <c r="I1416">
        <v>95060</v>
      </c>
    </row>
    <row r="1417" spans="1:9" x14ac:dyDescent="0.3">
      <c r="A1417">
        <v>1416</v>
      </c>
      <c r="B1417" t="s">
        <v>3023</v>
      </c>
      <c r="C1417" t="s">
        <v>370</v>
      </c>
      <c r="D1417" t="s">
        <v>31</v>
      </c>
      <c r="E1417" t="s">
        <v>5172</v>
      </c>
      <c r="F1417" t="s">
        <v>5173</v>
      </c>
      <c r="G1417" t="s">
        <v>225</v>
      </c>
      <c r="H1417" t="s">
        <v>35</v>
      </c>
      <c r="I1417">
        <v>11102</v>
      </c>
    </row>
    <row r="1418" spans="1:9" x14ac:dyDescent="0.3">
      <c r="A1418">
        <v>1417</v>
      </c>
      <c r="B1418" t="s">
        <v>5174</v>
      </c>
      <c r="C1418" t="s">
        <v>2306</v>
      </c>
      <c r="D1418" t="s">
        <v>31</v>
      </c>
      <c r="E1418" t="s">
        <v>5175</v>
      </c>
      <c r="F1418" t="s">
        <v>5176</v>
      </c>
      <c r="G1418" t="s">
        <v>105</v>
      </c>
      <c r="H1418" t="s">
        <v>100</v>
      </c>
      <c r="I1418">
        <v>75126</v>
      </c>
    </row>
    <row r="1419" spans="1:9" x14ac:dyDescent="0.3">
      <c r="A1419">
        <v>1418</v>
      </c>
      <c r="B1419" t="s">
        <v>5177</v>
      </c>
      <c r="C1419" t="s">
        <v>4293</v>
      </c>
      <c r="D1419" t="s">
        <v>5178</v>
      </c>
      <c r="E1419" t="s">
        <v>5179</v>
      </c>
      <c r="F1419" t="s">
        <v>5180</v>
      </c>
      <c r="G1419" t="s">
        <v>565</v>
      </c>
      <c r="H1419" t="s">
        <v>41</v>
      </c>
      <c r="I1419">
        <v>92806</v>
      </c>
    </row>
    <row r="1420" spans="1:9" x14ac:dyDescent="0.3">
      <c r="A1420">
        <v>1419</v>
      </c>
      <c r="B1420" t="s">
        <v>5153</v>
      </c>
      <c r="C1420" t="s">
        <v>1385</v>
      </c>
      <c r="D1420" t="s">
        <v>31</v>
      </c>
      <c r="E1420" t="s">
        <v>5181</v>
      </c>
      <c r="F1420" t="s">
        <v>5182</v>
      </c>
      <c r="G1420" t="s">
        <v>1200</v>
      </c>
      <c r="H1420" t="s">
        <v>41</v>
      </c>
      <c r="I1420">
        <v>94566</v>
      </c>
    </row>
    <row r="1421" spans="1:9" x14ac:dyDescent="0.3">
      <c r="A1421">
        <v>1420</v>
      </c>
      <c r="B1421" t="s">
        <v>5183</v>
      </c>
      <c r="C1421" t="s">
        <v>207</v>
      </c>
      <c r="D1421" t="s">
        <v>31</v>
      </c>
      <c r="E1421" t="s">
        <v>5184</v>
      </c>
      <c r="F1421" t="s">
        <v>5185</v>
      </c>
      <c r="G1421" t="s">
        <v>1525</v>
      </c>
      <c r="H1421" t="s">
        <v>35</v>
      </c>
      <c r="I1421">
        <v>10550</v>
      </c>
    </row>
    <row r="1422" spans="1:9" x14ac:dyDescent="0.3">
      <c r="A1422">
        <v>1421</v>
      </c>
      <c r="B1422" t="s">
        <v>5186</v>
      </c>
      <c r="C1422" t="s">
        <v>3194</v>
      </c>
      <c r="D1422" t="s">
        <v>31</v>
      </c>
      <c r="E1422" t="s">
        <v>5187</v>
      </c>
      <c r="F1422" t="s">
        <v>5188</v>
      </c>
      <c r="G1422" t="s">
        <v>110</v>
      </c>
      <c r="H1422" t="s">
        <v>35</v>
      </c>
      <c r="I1422">
        <v>12901</v>
      </c>
    </row>
    <row r="1423" spans="1:9" x14ac:dyDescent="0.3">
      <c r="A1423">
        <v>1422</v>
      </c>
      <c r="B1423" t="s">
        <v>5189</v>
      </c>
      <c r="C1423" t="s">
        <v>3132</v>
      </c>
      <c r="D1423" t="s">
        <v>31</v>
      </c>
      <c r="E1423" t="s">
        <v>5190</v>
      </c>
      <c r="F1423" t="s">
        <v>5191</v>
      </c>
      <c r="G1423" t="s">
        <v>729</v>
      </c>
      <c r="H1423" t="s">
        <v>35</v>
      </c>
      <c r="I1423">
        <v>11787</v>
      </c>
    </row>
    <row r="1424" spans="1:9" x14ac:dyDescent="0.3">
      <c r="A1424">
        <v>1423</v>
      </c>
      <c r="B1424" t="s">
        <v>5192</v>
      </c>
      <c r="C1424" t="s">
        <v>5193</v>
      </c>
      <c r="D1424" t="s">
        <v>5194</v>
      </c>
      <c r="E1424" t="s">
        <v>5195</v>
      </c>
      <c r="F1424" t="s">
        <v>5196</v>
      </c>
      <c r="G1424" t="s">
        <v>2174</v>
      </c>
      <c r="H1424" t="s">
        <v>100</v>
      </c>
      <c r="I1424">
        <v>76110</v>
      </c>
    </row>
    <row r="1425" spans="1:9" x14ac:dyDescent="0.3">
      <c r="A1425">
        <v>1424</v>
      </c>
      <c r="B1425" t="s">
        <v>5197</v>
      </c>
      <c r="C1425" t="s">
        <v>1583</v>
      </c>
      <c r="D1425" t="s">
        <v>31</v>
      </c>
      <c r="E1425" t="s">
        <v>5198</v>
      </c>
      <c r="F1425" t="s">
        <v>5199</v>
      </c>
      <c r="G1425" t="s">
        <v>88</v>
      </c>
      <c r="H1425" t="s">
        <v>35</v>
      </c>
      <c r="I1425">
        <v>10952</v>
      </c>
    </row>
    <row r="1426" spans="1:9" x14ac:dyDescent="0.3">
      <c r="A1426">
        <v>1425</v>
      </c>
      <c r="B1426" t="s">
        <v>1282</v>
      </c>
      <c r="C1426" t="s">
        <v>1424</v>
      </c>
      <c r="D1426" t="s">
        <v>31</v>
      </c>
      <c r="E1426" t="s">
        <v>5200</v>
      </c>
      <c r="F1426" t="s">
        <v>5201</v>
      </c>
      <c r="G1426" t="s">
        <v>1770</v>
      </c>
      <c r="H1426" t="s">
        <v>35</v>
      </c>
      <c r="I1426">
        <v>11967</v>
      </c>
    </row>
    <row r="1427" spans="1:9" x14ac:dyDescent="0.3">
      <c r="A1427">
        <v>1426</v>
      </c>
      <c r="B1427" t="s">
        <v>5202</v>
      </c>
      <c r="C1427" t="s">
        <v>1307</v>
      </c>
      <c r="D1427" t="s">
        <v>5203</v>
      </c>
      <c r="E1427" t="s">
        <v>5204</v>
      </c>
      <c r="F1427" t="s">
        <v>5205</v>
      </c>
      <c r="G1427" t="s">
        <v>622</v>
      </c>
      <c r="H1427" t="s">
        <v>100</v>
      </c>
      <c r="I1427">
        <v>78418</v>
      </c>
    </row>
    <row r="1428" spans="1:9" x14ac:dyDescent="0.3">
      <c r="A1428">
        <v>1427</v>
      </c>
      <c r="B1428" t="s">
        <v>5206</v>
      </c>
      <c r="C1428" t="s">
        <v>527</v>
      </c>
      <c r="D1428" t="s">
        <v>31</v>
      </c>
      <c r="E1428" t="s">
        <v>5207</v>
      </c>
      <c r="F1428" t="s">
        <v>5208</v>
      </c>
      <c r="G1428" t="s">
        <v>155</v>
      </c>
      <c r="H1428" t="s">
        <v>41</v>
      </c>
      <c r="I1428">
        <v>95301</v>
      </c>
    </row>
    <row r="1429" spans="1:9" x14ac:dyDescent="0.3">
      <c r="A1429">
        <v>1428</v>
      </c>
      <c r="B1429" t="s">
        <v>771</v>
      </c>
      <c r="C1429" t="s">
        <v>254</v>
      </c>
      <c r="D1429" t="s">
        <v>31</v>
      </c>
      <c r="E1429" t="s">
        <v>5209</v>
      </c>
      <c r="F1429" t="s">
        <v>5210</v>
      </c>
      <c r="G1429" t="s">
        <v>928</v>
      </c>
      <c r="H1429" t="s">
        <v>41</v>
      </c>
      <c r="I1429">
        <v>95060</v>
      </c>
    </row>
    <row r="1430" spans="1:9" x14ac:dyDescent="0.3">
      <c r="A1430">
        <v>1429</v>
      </c>
      <c r="B1430" t="s">
        <v>354</v>
      </c>
      <c r="C1430" t="s">
        <v>5211</v>
      </c>
      <c r="D1430" t="s">
        <v>31</v>
      </c>
      <c r="E1430" t="s">
        <v>5212</v>
      </c>
      <c r="F1430" t="s">
        <v>5213</v>
      </c>
      <c r="G1430" t="s">
        <v>1596</v>
      </c>
      <c r="H1430" t="s">
        <v>41</v>
      </c>
      <c r="I1430">
        <v>91768</v>
      </c>
    </row>
    <row r="1431" spans="1:9" x14ac:dyDescent="0.3">
      <c r="A1431">
        <v>1430</v>
      </c>
      <c r="B1431" t="s">
        <v>5214</v>
      </c>
      <c r="C1431" t="s">
        <v>3096</v>
      </c>
      <c r="D1431" t="s">
        <v>5215</v>
      </c>
      <c r="E1431" t="s">
        <v>5216</v>
      </c>
      <c r="F1431" t="s">
        <v>5217</v>
      </c>
      <c r="G1431" t="s">
        <v>1975</v>
      </c>
      <c r="H1431" t="s">
        <v>41</v>
      </c>
      <c r="I1431">
        <v>93306</v>
      </c>
    </row>
    <row r="1432" spans="1:9" x14ac:dyDescent="0.3">
      <c r="A1432">
        <v>1431</v>
      </c>
      <c r="B1432" t="s">
        <v>1274</v>
      </c>
      <c r="C1432" t="s">
        <v>3908</v>
      </c>
      <c r="D1432" t="s">
        <v>31</v>
      </c>
      <c r="E1432" t="s">
        <v>5218</v>
      </c>
      <c r="F1432" t="s">
        <v>5219</v>
      </c>
      <c r="G1432" t="s">
        <v>292</v>
      </c>
      <c r="H1432" t="s">
        <v>35</v>
      </c>
      <c r="I1432">
        <v>11369</v>
      </c>
    </row>
    <row r="1433" spans="1:9" x14ac:dyDescent="0.3">
      <c r="A1433">
        <v>1432</v>
      </c>
      <c r="B1433" t="s">
        <v>5220</v>
      </c>
      <c r="C1433" t="s">
        <v>1413</v>
      </c>
      <c r="D1433" t="s">
        <v>31</v>
      </c>
      <c r="E1433" t="s">
        <v>5221</v>
      </c>
      <c r="F1433" t="s">
        <v>5222</v>
      </c>
      <c r="G1433" t="s">
        <v>145</v>
      </c>
      <c r="H1433" t="s">
        <v>35</v>
      </c>
      <c r="I1433">
        <v>11731</v>
      </c>
    </row>
    <row r="1434" spans="1:9" x14ac:dyDescent="0.3">
      <c r="A1434">
        <v>1433</v>
      </c>
      <c r="B1434" t="s">
        <v>5223</v>
      </c>
      <c r="C1434" t="s">
        <v>5105</v>
      </c>
      <c r="D1434" t="s">
        <v>31</v>
      </c>
      <c r="E1434" t="s">
        <v>5224</v>
      </c>
      <c r="F1434" t="s">
        <v>5225</v>
      </c>
      <c r="G1434" t="s">
        <v>121</v>
      </c>
      <c r="H1434" t="s">
        <v>35</v>
      </c>
      <c r="I1434">
        <v>10583</v>
      </c>
    </row>
    <row r="1435" spans="1:9" x14ac:dyDescent="0.3">
      <c r="A1435">
        <v>1434</v>
      </c>
      <c r="B1435" t="s">
        <v>5226</v>
      </c>
      <c r="C1435" t="s">
        <v>2068</v>
      </c>
      <c r="D1435" t="s">
        <v>31</v>
      </c>
      <c r="E1435" t="s">
        <v>5227</v>
      </c>
      <c r="F1435" t="s">
        <v>5228</v>
      </c>
      <c r="G1435" t="s">
        <v>215</v>
      </c>
      <c r="H1435" t="s">
        <v>35</v>
      </c>
      <c r="I1435">
        <v>13090</v>
      </c>
    </row>
    <row r="1436" spans="1:9" x14ac:dyDescent="0.3">
      <c r="A1436">
        <v>1435</v>
      </c>
      <c r="B1436" t="s">
        <v>5229</v>
      </c>
      <c r="C1436" t="s">
        <v>2115</v>
      </c>
      <c r="D1436" t="s">
        <v>31</v>
      </c>
      <c r="E1436" t="s">
        <v>5230</v>
      </c>
      <c r="F1436" t="s">
        <v>5231</v>
      </c>
      <c r="G1436" t="s">
        <v>121</v>
      </c>
      <c r="H1436" t="s">
        <v>35</v>
      </c>
      <c r="I1436">
        <v>10583</v>
      </c>
    </row>
    <row r="1437" spans="1:9" x14ac:dyDescent="0.3">
      <c r="A1437">
        <v>1436</v>
      </c>
      <c r="B1437" t="s">
        <v>5232</v>
      </c>
      <c r="C1437" t="s">
        <v>4330</v>
      </c>
      <c r="D1437" t="s">
        <v>31</v>
      </c>
      <c r="E1437" t="s">
        <v>5233</v>
      </c>
      <c r="F1437" t="s">
        <v>5234</v>
      </c>
      <c r="G1437" t="s">
        <v>1242</v>
      </c>
      <c r="H1437" t="s">
        <v>35</v>
      </c>
      <c r="I1437">
        <v>11710</v>
      </c>
    </row>
    <row r="1438" spans="1:9" x14ac:dyDescent="0.3">
      <c r="A1438">
        <v>1437</v>
      </c>
      <c r="B1438" t="s">
        <v>5235</v>
      </c>
      <c r="C1438" t="s">
        <v>3768</v>
      </c>
      <c r="D1438" t="s">
        <v>31</v>
      </c>
      <c r="E1438" t="s">
        <v>5236</v>
      </c>
      <c r="F1438" t="s">
        <v>5237</v>
      </c>
      <c r="G1438" t="s">
        <v>324</v>
      </c>
      <c r="H1438" t="s">
        <v>35</v>
      </c>
      <c r="I1438">
        <v>11570</v>
      </c>
    </row>
    <row r="1439" spans="1:9" x14ac:dyDescent="0.3">
      <c r="A1439">
        <v>1438</v>
      </c>
      <c r="B1439" t="s">
        <v>886</v>
      </c>
      <c r="C1439" t="s">
        <v>2827</v>
      </c>
      <c r="D1439" t="s">
        <v>5238</v>
      </c>
      <c r="E1439" t="s">
        <v>5239</v>
      </c>
      <c r="F1439" t="s">
        <v>5240</v>
      </c>
      <c r="G1439" t="s">
        <v>559</v>
      </c>
      <c r="H1439" t="s">
        <v>41</v>
      </c>
      <c r="I1439">
        <v>95127</v>
      </c>
    </row>
    <row r="1440" spans="1:9" x14ac:dyDescent="0.3">
      <c r="A1440">
        <v>1439</v>
      </c>
      <c r="B1440" t="s">
        <v>5241</v>
      </c>
      <c r="C1440" t="s">
        <v>137</v>
      </c>
      <c r="D1440" t="s">
        <v>31</v>
      </c>
      <c r="E1440" t="s">
        <v>5242</v>
      </c>
      <c r="F1440" t="s">
        <v>5243</v>
      </c>
      <c r="G1440" t="s">
        <v>1857</v>
      </c>
      <c r="H1440" t="s">
        <v>35</v>
      </c>
      <c r="I1440">
        <v>10801</v>
      </c>
    </row>
    <row r="1441" spans="1:9" x14ac:dyDescent="0.3">
      <c r="A1441">
        <v>1440</v>
      </c>
      <c r="B1441" t="s">
        <v>5244</v>
      </c>
      <c r="C1441" t="s">
        <v>1535</v>
      </c>
      <c r="D1441" t="s">
        <v>31</v>
      </c>
      <c r="E1441" t="s">
        <v>5245</v>
      </c>
      <c r="F1441" t="s">
        <v>5246</v>
      </c>
      <c r="G1441" t="s">
        <v>4087</v>
      </c>
      <c r="H1441" t="s">
        <v>35</v>
      </c>
      <c r="I1441">
        <v>11364</v>
      </c>
    </row>
    <row r="1442" spans="1:9" x14ac:dyDescent="0.3">
      <c r="A1442">
        <v>1441</v>
      </c>
      <c r="B1442" t="s">
        <v>181</v>
      </c>
      <c r="C1442" t="s">
        <v>5247</v>
      </c>
      <c r="D1442" t="s">
        <v>31</v>
      </c>
      <c r="E1442" t="s">
        <v>5248</v>
      </c>
      <c r="F1442" t="s">
        <v>5249</v>
      </c>
      <c r="G1442" t="s">
        <v>720</v>
      </c>
      <c r="H1442" t="s">
        <v>35</v>
      </c>
      <c r="I1442">
        <v>10301</v>
      </c>
    </row>
    <row r="1443" spans="1:9" x14ac:dyDescent="0.3">
      <c r="A1443">
        <v>1442</v>
      </c>
      <c r="B1443" t="s">
        <v>5250</v>
      </c>
      <c r="C1443" t="s">
        <v>4837</v>
      </c>
      <c r="D1443" t="s">
        <v>31</v>
      </c>
      <c r="E1443" t="s">
        <v>5251</v>
      </c>
      <c r="F1443" t="s">
        <v>5252</v>
      </c>
      <c r="G1443" t="s">
        <v>982</v>
      </c>
      <c r="H1443" t="s">
        <v>35</v>
      </c>
      <c r="I1443">
        <v>11201</v>
      </c>
    </row>
    <row r="1444" spans="1:9" x14ac:dyDescent="0.3">
      <c r="A1444">
        <v>1443</v>
      </c>
      <c r="B1444" t="s">
        <v>3361</v>
      </c>
      <c r="C1444" t="s">
        <v>3178</v>
      </c>
      <c r="D1444" t="s">
        <v>31</v>
      </c>
      <c r="E1444" t="s">
        <v>5253</v>
      </c>
      <c r="F1444" t="s">
        <v>5254</v>
      </c>
      <c r="G1444" t="s">
        <v>320</v>
      </c>
      <c r="H1444" t="s">
        <v>35</v>
      </c>
      <c r="I1444">
        <v>11722</v>
      </c>
    </row>
    <row r="1445" spans="1:9" x14ac:dyDescent="0.3">
      <c r="A1445">
        <v>1444</v>
      </c>
      <c r="B1445" t="s">
        <v>3806</v>
      </c>
      <c r="C1445" t="s">
        <v>1075</v>
      </c>
      <c r="D1445" t="s">
        <v>31</v>
      </c>
      <c r="E1445" t="s">
        <v>5255</v>
      </c>
      <c r="F1445" t="s">
        <v>5256</v>
      </c>
      <c r="G1445" t="s">
        <v>126</v>
      </c>
      <c r="H1445" t="s">
        <v>35</v>
      </c>
      <c r="I1445">
        <v>14424</v>
      </c>
    </row>
    <row r="1446" spans="1:9" x14ac:dyDescent="0.3">
      <c r="A1446">
        <v>1445</v>
      </c>
      <c r="B1446" t="s">
        <v>5257</v>
      </c>
      <c r="C1446" t="s">
        <v>2281</v>
      </c>
      <c r="D1446" t="s">
        <v>31</v>
      </c>
      <c r="E1446" t="s">
        <v>5258</v>
      </c>
      <c r="F1446" t="s">
        <v>5259</v>
      </c>
      <c r="G1446" t="s">
        <v>271</v>
      </c>
      <c r="H1446" t="s">
        <v>41</v>
      </c>
      <c r="I1446">
        <v>94580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94C90-AE49-42D2-842B-5E2A2F42087B}">
  <sheetPr codeName="Sheet5"/>
  <dimension ref="A1:K4723"/>
  <sheetViews>
    <sheetView workbookViewId="0">
      <selection activeCell="I2" sqref="I1:I1048576"/>
    </sheetView>
  </sheetViews>
  <sheetFormatPr defaultRowHeight="14.4" x14ac:dyDescent="0.3"/>
  <cols>
    <col min="1" max="1" width="10.33203125" bestFit="1" customWidth="1"/>
    <col min="2" max="2" width="9.5546875" bestFit="1" customWidth="1"/>
    <col min="3" max="3" width="12.44140625" bestFit="1" customWidth="1"/>
    <col min="4" max="4" width="30.88671875" bestFit="1" customWidth="1"/>
    <col min="5" max="5" width="10.33203125" bestFit="1" customWidth="1"/>
    <col min="6" max="6" width="10.6640625" bestFit="1" customWidth="1"/>
    <col min="7" max="7" width="10.44140625" bestFit="1" customWidth="1"/>
    <col min="8" max="8" width="12.5546875" bestFit="1" customWidth="1"/>
    <col min="9" max="9" width="12.5546875" customWidth="1"/>
    <col min="10" max="10" width="13" bestFit="1" customWidth="1"/>
  </cols>
  <sheetData>
    <row r="1" spans="1:11" x14ac:dyDescent="0.3">
      <c r="A1" t="s">
        <v>5260</v>
      </c>
      <c r="B1" t="s">
        <v>5261</v>
      </c>
      <c r="C1" t="s">
        <v>5262</v>
      </c>
      <c r="D1" t="s">
        <v>5618</v>
      </c>
      <c r="E1" t="s">
        <v>5263</v>
      </c>
      <c r="F1" t="s">
        <v>5264</v>
      </c>
      <c r="G1" t="s">
        <v>5265</v>
      </c>
      <c r="H1" t="s">
        <v>5625</v>
      </c>
      <c r="I1" t="s">
        <v>5266</v>
      </c>
      <c r="J1" t="s">
        <v>5622</v>
      </c>
      <c r="K1" t="s">
        <v>5623</v>
      </c>
    </row>
    <row r="2" spans="1:11" x14ac:dyDescent="0.3">
      <c r="A2">
        <v>1</v>
      </c>
      <c r="B2">
        <v>1</v>
      </c>
      <c r="C2">
        <v>20</v>
      </c>
      <c r="D2" t="str">
        <f>VLOOKUP(B2, Products!$A$2:$C$100, 2, FALSE)</f>
        <v>Trek 820 - 2016</v>
      </c>
      <c r="E2">
        <v>1</v>
      </c>
      <c r="F2">
        <v>599.99</v>
      </c>
      <c r="G2">
        <v>0.2</v>
      </c>
      <c r="H2">
        <v>119.998</v>
      </c>
      <c r="I2">
        <f>order_items[[#This Row],[list_price]]-order_items[[#This Row],[Discounted_price]]</f>
        <v>479.99200000000002</v>
      </c>
      <c r="J2">
        <f>VLOOKUP(B2, Products!$A$2:$E$100, 3, FALSE)</f>
        <v>9</v>
      </c>
      <c r="K2">
        <f>VLOOKUP(B2, Products!$A$2:$F$100, 4, FALSE)</f>
        <v>6</v>
      </c>
    </row>
    <row r="3" spans="1:11" x14ac:dyDescent="0.3">
      <c r="A3">
        <v>1</v>
      </c>
      <c r="B3">
        <v>2</v>
      </c>
      <c r="C3">
        <v>8</v>
      </c>
      <c r="D3" t="str">
        <f>VLOOKUP(B3, Products!$A$2:$C$100, 2, FALSE)</f>
        <v>Ritchey Timberwolf Frameset - 2016</v>
      </c>
      <c r="E3">
        <v>2</v>
      </c>
      <c r="F3">
        <v>1799.99</v>
      </c>
      <c r="G3">
        <v>7.0000000000000007E-2</v>
      </c>
      <c r="H3">
        <v>125.99930000000002</v>
      </c>
      <c r="I3">
        <f>order_items[[#This Row],[list_price]]-order_items[[#This Row],[Discounted_price]]</f>
        <v>1673.9907000000001</v>
      </c>
      <c r="J3">
        <f>VLOOKUP(B3, Products!$A$2:$E$100, 3, FALSE)</f>
        <v>5</v>
      </c>
      <c r="K3">
        <f>VLOOKUP(B3, Products!$A$2:$F$100, 4, FALSE)</f>
        <v>6</v>
      </c>
    </row>
    <row r="4" spans="1:11" x14ac:dyDescent="0.3">
      <c r="A4">
        <v>1</v>
      </c>
      <c r="B4">
        <v>3</v>
      </c>
      <c r="C4">
        <v>10</v>
      </c>
      <c r="D4" t="str">
        <f>VLOOKUP(B4, Products!$A$2:$C$100, 2, FALSE)</f>
        <v>Surly Wednesday Frameset - 2016</v>
      </c>
      <c r="E4">
        <v>2</v>
      </c>
      <c r="F4">
        <v>1549</v>
      </c>
      <c r="G4">
        <v>0.05</v>
      </c>
      <c r="H4">
        <v>77.45</v>
      </c>
      <c r="I4">
        <f>order_items[[#This Row],[list_price]]-order_items[[#This Row],[Discounted_price]]</f>
        <v>1471.55</v>
      </c>
      <c r="J4">
        <f>VLOOKUP(B4, Products!$A$2:$E$100, 3, FALSE)</f>
        <v>8</v>
      </c>
      <c r="K4">
        <f>VLOOKUP(B4, Products!$A$2:$F$100, 4, FALSE)</f>
        <v>6</v>
      </c>
    </row>
    <row r="5" spans="1:11" x14ac:dyDescent="0.3">
      <c r="A5">
        <v>1</v>
      </c>
      <c r="B5">
        <v>4</v>
      </c>
      <c r="C5">
        <v>16</v>
      </c>
      <c r="D5" t="str">
        <f>VLOOKUP(B5, Products!$A$2:$C$100, 2, FALSE)</f>
        <v>Trek Fuel EX 8 29 - 2016</v>
      </c>
      <c r="E5">
        <v>2</v>
      </c>
      <c r="F5">
        <v>599.99</v>
      </c>
      <c r="G5">
        <v>0.05</v>
      </c>
      <c r="H5">
        <v>29.999500000000001</v>
      </c>
      <c r="I5">
        <f>order_items[[#This Row],[list_price]]-order_items[[#This Row],[Discounted_price]]</f>
        <v>569.9905</v>
      </c>
      <c r="J5">
        <f>VLOOKUP(B5, Products!$A$2:$E$100, 3, FALSE)</f>
        <v>9</v>
      </c>
      <c r="K5">
        <f>VLOOKUP(B5, Products!$A$2:$F$100, 4, FALSE)</f>
        <v>6</v>
      </c>
    </row>
    <row r="6" spans="1:11" x14ac:dyDescent="0.3">
      <c r="A6">
        <v>1</v>
      </c>
      <c r="B6">
        <v>5</v>
      </c>
      <c r="C6">
        <v>4</v>
      </c>
      <c r="D6" t="str">
        <f>VLOOKUP(B6, Products!$A$2:$C$100, 2, FALSE)</f>
        <v>Heller Shagamaw Frame - 2016</v>
      </c>
      <c r="E6">
        <v>1</v>
      </c>
      <c r="F6">
        <v>2899.99</v>
      </c>
      <c r="G6">
        <v>0.2</v>
      </c>
      <c r="H6">
        <v>579.99799999999993</v>
      </c>
      <c r="I6">
        <f>order_items[[#This Row],[list_price]]-order_items[[#This Row],[Discounted_price]]</f>
        <v>2319.9919999999997</v>
      </c>
      <c r="J6">
        <f>VLOOKUP(B6, Products!$A$2:$E$100, 3, FALSE)</f>
        <v>3</v>
      </c>
      <c r="K6">
        <f>VLOOKUP(B6, Products!$A$2:$F$100, 4, FALSE)</f>
        <v>6</v>
      </c>
    </row>
    <row r="7" spans="1:11" x14ac:dyDescent="0.3">
      <c r="A7">
        <v>2</v>
      </c>
      <c r="B7">
        <v>1</v>
      </c>
      <c r="C7">
        <v>20</v>
      </c>
      <c r="D7" t="str">
        <f>VLOOKUP(B7, Products!$A$2:$C$100, 2, FALSE)</f>
        <v>Trek 820 - 2016</v>
      </c>
      <c r="E7">
        <v>1</v>
      </c>
      <c r="F7">
        <v>599.99</v>
      </c>
      <c r="G7">
        <v>7.0000000000000007E-2</v>
      </c>
      <c r="H7">
        <v>41.999300000000005</v>
      </c>
      <c r="I7">
        <f>order_items[[#This Row],[list_price]]-order_items[[#This Row],[Discounted_price]]</f>
        <v>557.99070000000006</v>
      </c>
      <c r="J7">
        <f>VLOOKUP(B7, Products!$A$2:$E$100, 3, FALSE)</f>
        <v>9</v>
      </c>
      <c r="K7">
        <f>VLOOKUP(B7, Products!$A$2:$F$100, 4, FALSE)</f>
        <v>6</v>
      </c>
    </row>
    <row r="8" spans="1:11" x14ac:dyDescent="0.3">
      <c r="A8">
        <v>2</v>
      </c>
      <c r="B8">
        <v>2</v>
      </c>
      <c r="C8">
        <v>16</v>
      </c>
      <c r="D8" t="str">
        <f>VLOOKUP(B8, Products!$A$2:$C$100, 2, FALSE)</f>
        <v>Ritchey Timberwolf Frameset - 2016</v>
      </c>
      <c r="E8">
        <v>2</v>
      </c>
      <c r="F8">
        <v>599.99</v>
      </c>
      <c r="G8">
        <v>0.05</v>
      </c>
      <c r="H8">
        <v>29.999500000000001</v>
      </c>
      <c r="I8">
        <f>order_items[[#This Row],[list_price]]-order_items[[#This Row],[Discounted_price]]</f>
        <v>569.9905</v>
      </c>
      <c r="J8">
        <f>VLOOKUP(B8, Products!$A$2:$E$100, 3, FALSE)</f>
        <v>5</v>
      </c>
      <c r="K8">
        <f>VLOOKUP(B8, Products!$A$2:$F$100, 4, FALSE)</f>
        <v>6</v>
      </c>
    </row>
    <row r="9" spans="1:11" x14ac:dyDescent="0.3">
      <c r="A9">
        <v>3</v>
      </c>
      <c r="B9">
        <v>1</v>
      </c>
      <c r="C9">
        <v>3</v>
      </c>
      <c r="D9" t="str">
        <f>VLOOKUP(B9, Products!$A$2:$C$100, 2, FALSE)</f>
        <v>Trek 820 - 2016</v>
      </c>
      <c r="E9">
        <v>1</v>
      </c>
      <c r="F9">
        <v>999.99</v>
      </c>
      <c r="G9">
        <v>0.05</v>
      </c>
      <c r="H9">
        <v>49.999500000000005</v>
      </c>
      <c r="I9">
        <f>order_items[[#This Row],[list_price]]-order_items[[#This Row],[Discounted_price]]</f>
        <v>949.9905</v>
      </c>
      <c r="J9">
        <f>VLOOKUP(B9, Products!$A$2:$E$100, 3, FALSE)</f>
        <v>9</v>
      </c>
      <c r="K9">
        <f>VLOOKUP(B9, Products!$A$2:$F$100, 4, FALSE)</f>
        <v>6</v>
      </c>
    </row>
    <row r="10" spans="1:11" x14ac:dyDescent="0.3">
      <c r="A10">
        <v>3</v>
      </c>
      <c r="B10">
        <v>2</v>
      </c>
      <c r="C10">
        <v>20</v>
      </c>
      <c r="D10" t="str">
        <f>VLOOKUP(B10, Products!$A$2:$C$100, 2, FALSE)</f>
        <v>Ritchey Timberwolf Frameset - 2016</v>
      </c>
      <c r="E10">
        <v>1</v>
      </c>
      <c r="F10">
        <v>599.99</v>
      </c>
      <c r="G10">
        <v>0.05</v>
      </c>
      <c r="H10">
        <v>29.999500000000001</v>
      </c>
      <c r="I10">
        <f>order_items[[#This Row],[list_price]]-order_items[[#This Row],[Discounted_price]]</f>
        <v>569.9905</v>
      </c>
      <c r="J10">
        <f>VLOOKUP(B10, Products!$A$2:$E$100, 3, FALSE)</f>
        <v>5</v>
      </c>
      <c r="K10">
        <f>VLOOKUP(B10, Products!$A$2:$F$100, 4, FALSE)</f>
        <v>6</v>
      </c>
    </row>
    <row r="11" spans="1:11" x14ac:dyDescent="0.3">
      <c r="A11">
        <v>4</v>
      </c>
      <c r="B11">
        <v>1</v>
      </c>
      <c r="C11">
        <v>2</v>
      </c>
      <c r="D11" t="str">
        <f>VLOOKUP(B11, Products!$A$2:$C$100, 2, FALSE)</f>
        <v>Trek 820 - 2016</v>
      </c>
      <c r="E11">
        <v>2</v>
      </c>
      <c r="F11">
        <v>749.99</v>
      </c>
      <c r="G11">
        <v>0.1</v>
      </c>
      <c r="H11">
        <v>74.999000000000009</v>
      </c>
      <c r="I11">
        <f>order_items[[#This Row],[list_price]]-order_items[[#This Row],[Discounted_price]]</f>
        <v>674.99099999999999</v>
      </c>
      <c r="J11">
        <f>VLOOKUP(B11, Products!$A$2:$E$100, 3, FALSE)</f>
        <v>9</v>
      </c>
      <c r="K11">
        <f>VLOOKUP(B11, Products!$A$2:$F$100, 4, FALSE)</f>
        <v>6</v>
      </c>
    </row>
    <row r="12" spans="1:11" x14ac:dyDescent="0.3">
      <c r="A12">
        <v>5</v>
      </c>
      <c r="B12">
        <v>1</v>
      </c>
      <c r="C12">
        <v>10</v>
      </c>
      <c r="D12" t="str">
        <f>VLOOKUP(B12, Products!$A$2:$C$100, 2, FALSE)</f>
        <v>Trek 820 - 2016</v>
      </c>
      <c r="E12">
        <v>2</v>
      </c>
      <c r="F12">
        <v>1549</v>
      </c>
      <c r="G12">
        <v>0.05</v>
      </c>
      <c r="H12">
        <v>77.45</v>
      </c>
      <c r="I12">
        <f>order_items[[#This Row],[list_price]]-order_items[[#This Row],[Discounted_price]]</f>
        <v>1471.55</v>
      </c>
      <c r="J12">
        <f>VLOOKUP(B12, Products!$A$2:$E$100, 3, FALSE)</f>
        <v>9</v>
      </c>
      <c r="K12">
        <f>VLOOKUP(B12, Products!$A$2:$F$100, 4, FALSE)</f>
        <v>6</v>
      </c>
    </row>
    <row r="13" spans="1:11" x14ac:dyDescent="0.3">
      <c r="A13">
        <v>5</v>
      </c>
      <c r="B13">
        <v>2</v>
      </c>
      <c r="C13">
        <v>17</v>
      </c>
      <c r="D13" t="str">
        <f>VLOOKUP(B13, Products!$A$2:$C$100, 2, FALSE)</f>
        <v>Ritchey Timberwolf Frameset - 2016</v>
      </c>
      <c r="E13">
        <v>1</v>
      </c>
      <c r="F13">
        <v>429</v>
      </c>
      <c r="G13">
        <v>7.0000000000000007E-2</v>
      </c>
      <c r="H13">
        <v>30.03</v>
      </c>
      <c r="I13">
        <f>order_items[[#This Row],[list_price]]-order_items[[#This Row],[Discounted_price]]</f>
        <v>398.97</v>
      </c>
      <c r="J13">
        <f>VLOOKUP(B13, Products!$A$2:$E$100, 3, FALSE)</f>
        <v>5</v>
      </c>
      <c r="K13">
        <f>VLOOKUP(B13, Products!$A$2:$F$100, 4, FALSE)</f>
        <v>6</v>
      </c>
    </row>
    <row r="14" spans="1:11" x14ac:dyDescent="0.3">
      <c r="A14">
        <v>5</v>
      </c>
      <c r="B14">
        <v>3</v>
      </c>
      <c r="C14">
        <v>26</v>
      </c>
      <c r="D14" t="str">
        <f>VLOOKUP(B14, Products!$A$2:$C$100, 2, FALSE)</f>
        <v>Surly Wednesday Frameset - 2016</v>
      </c>
      <c r="E14">
        <v>1</v>
      </c>
      <c r="F14">
        <v>599.99</v>
      </c>
      <c r="G14">
        <v>7.0000000000000007E-2</v>
      </c>
      <c r="H14">
        <v>41.999300000000005</v>
      </c>
      <c r="I14">
        <f>order_items[[#This Row],[list_price]]-order_items[[#This Row],[Discounted_price]]</f>
        <v>557.99070000000006</v>
      </c>
      <c r="J14">
        <f>VLOOKUP(B14, Products!$A$2:$E$100, 3, FALSE)</f>
        <v>8</v>
      </c>
      <c r="K14">
        <f>VLOOKUP(B14, Products!$A$2:$F$100, 4, FALSE)</f>
        <v>6</v>
      </c>
    </row>
    <row r="15" spans="1:11" x14ac:dyDescent="0.3">
      <c r="A15">
        <v>6</v>
      </c>
      <c r="B15">
        <v>1</v>
      </c>
      <c r="C15">
        <v>18</v>
      </c>
      <c r="D15" t="str">
        <f>VLOOKUP(B15, Products!$A$2:$C$100, 2, FALSE)</f>
        <v>Trek 820 - 2016</v>
      </c>
      <c r="E15">
        <v>1</v>
      </c>
      <c r="F15">
        <v>449</v>
      </c>
      <c r="G15">
        <v>7.0000000000000007E-2</v>
      </c>
      <c r="H15">
        <v>31.430000000000003</v>
      </c>
      <c r="I15">
        <f>order_items[[#This Row],[list_price]]-order_items[[#This Row],[Discounted_price]]</f>
        <v>417.57</v>
      </c>
      <c r="J15">
        <f>VLOOKUP(B15, Products!$A$2:$E$100, 3, FALSE)</f>
        <v>9</v>
      </c>
      <c r="K15">
        <f>VLOOKUP(B15, Products!$A$2:$F$100, 4, FALSE)</f>
        <v>6</v>
      </c>
    </row>
    <row r="16" spans="1:11" x14ac:dyDescent="0.3">
      <c r="A16">
        <v>6</v>
      </c>
      <c r="B16">
        <v>2</v>
      </c>
      <c r="C16">
        <v>12</v>
      </c>
      <c r="D16" t="str">
        <f>VLOOKUP(B16, Products!$A$2:$C$100, 2, FALSE)</f>
        <v>Ritchey Timberwolf Frameset - 2016</v>
      </c>
      <c r="E16">
        <v>2</v>
      </c>
      <c r="F16">
        <v>549.99</v>
      </c>
      <c r="G16">
        <v>0.05</v>
      </c>
      <c r="H16">
        <v>27.499500000000001</v>
      </c>
      <c r="I16">
        <f>order_items[[#This Row],[list_price]]-order_items[[#This Row],[Discounted_price]]</f>
        <v>522.4905</v>
      </c>
      <c r="J16">
        <f>VLOOKUP(B16, Products!$A$2:$E$100, 3, FALSE)</f>
        <v>5</v>
      </c>
      <c r="K16">
        <f>VLOOKUP(B16, Products!$A$2:$F$100, 4, FALSE)</f>
        <v>6</v>
      </c>
    </row>
    <row r="17" spans="1:11" x14ac:dyDescent="0.3">
      <c r="A17">
        <v>6</v>
      </c>
      <c r="B17">
        <v>3</v>
      </c>
      <c r="C17">
        <v>20</v>
      </c>
      <c r="D17" t="str">
        <f>VLOOKUP(B17, Products!$A$2:$C$100, 2, FALSE)</f>
        <v>Surly Wednesday Frameset - 2016</v>
      </c>
      <c r="E17">
        <v>1</v>
      </c>
      <c r="F17">
        <v>599.99</v>
      </c>
      <c r="G17">
        <v>0.1</v>
      </c>
      <c r="H17">
        <v>59.999000000000002</v>
      </c>
      <c r="I17">
        <f>order_items[[#This Row],[list_price]]-order_items[[#This Row],[Discounted_price]]</f>
        <v>539.99099999999999</v>
      </c>
      <c r="J17">
        <f>VLOOKUP(B17, Products!$A$2:$E$100, 3, FALSE)</f>
        <v>8</v>
      </c>
      <c r="K17">
        <f>VLOOKUP(B17, Products!$A$2:$F$100, 4, FALSE)</f>
        <v>6</v>
      </c>
    </row>
    <row r="18" spans="1:11" x14ac:dyDescent="0.3">
      <c r="A18">
        <v>6</v>
      </c>
      <c r="B18">
        <v>4</v>
      </c>
      <c r="C18">
        <v>3</v>
      </c>
      <c r="D18" t="str">
        <f>VLOOKUP(B18, Products!$A$2:$C$100, 2, FALSE)</f>
        <v>Trek Fuel EX 8 29 - 2016</v>
      </c>
      <c r="E18">
        <v>2</v>
      </c>
      <c r="F18">
        <v>999.99</v>
      </c>
      <c r="G18">
        <v>7.0000000000000007E-2</v>
      </c>
      <c r="H18">
        <v>69.999300000000005</v>
      </c>
      <c r="I18">
        <f>order_items[[#This Row],[list_price]]-order_items[[#This Row],[Discounted_price]]</f>
        <v>929.99070000000006</v>
      </c>
      <c r="J18">
        <f>VLOOKUP(B18, Products!$A$2:$E$100, 3, FALSE)</f>
        <v>9</v>
      </c>
      <c r="K18">
        <f>VLOOKUP(B18, Products!$A$2:$F$100, 4, FALSE)</f>
        <v>6</v>
      </c>
    </row>
    <row r="19" spans="1:11" x14ac:dyDescent="0.3">
      <c r="A19">
        <v>6</v>
      </c>
      <c r="B19">
        <v>5</v>
      </c>
      <c r="C19">
        <v>9</v>
      </c>
      <c r="D19" t="str">
        <f>VLOOKUP(B19, Products!$A$2:$C$100, 2, FALSE)</f>
        <v>Heller Shagamaw Frame - 2016</v>
      </c>
      <c r="E19">
        <v>2</v>
      </c>
      <c r="F19">
        <v>2999.99</v>
      </c>
      <c r="G19">
        <v>7.0000000000000007E-2</v>
      </c>
      <c r="H19">
        <v>209.99930000000001</v>
      </c>
      <c r="I19">
        <f>order_items[[#This Row],[list_price]]-order_items[[#This Row],[Discounted_price]]</f>
        <v>2789.9906999999998</v>
      </c>
      <c r="J19">
        <f>VLOOKUP(B19, Products!$A$2:$E$100, 3, FALSE)</f>
        <v>3</v>
      </c>
      <c r="K19">
        <f>VLOOKUP(B19, Products!$A$2:$F$100, 4, FALSE)</f>
        <v>6</v>
      </c>
    </row>
    <row r="20" spans="1:11" x14ac:dyDescent="0.3">
      <c r="A20">
        <v>7</v>
      </c>
      <c r="B20">
        <v>1</v>
      </c>
      <c r="C20">
        <v>15</v>
      </c>
      <c r="D20" t="str">
        <f>VLOOKUP(B20, Products!$A$2:$C$100, 2, FALSE)</f>
        <v>Trek 820 - 2016</v>
      </c>
      <c r="E20">
        <v>1</v>
      </c>
      <c r="F20">
        <v>529.99</v>
      </c>
      <c r="G20">
        <v>7.0000000000000007E-2</v>
      </c>
      <c r="H20">
        <v>37.099300000000007</v>
      </c>
      <c r="I20">
        <f>order_items[[#This Row],[list_price]]-order_items[[#This Row],[Discounted_price]]</f>
        <v>492.89069999999998</v>
      </c>
      <c r="J20">
        <f>VLOOKUP(B20, Products!$A$2:$E$100, 3, FALSE)</f>
        <v>9</v>
      </c>
      <c r="K20">
        <f>VLOOKUP(B20, Products!$A$2:$F$100, 4, FALSE)</f>
        <v>6</v>
      </c>
    </row>
    <row r="21" spans="1:11" x14ac:dyDescent="0.3">
      <c r="A21">
        <v>7</v>
      </c>
      <c r="B21">
        <v>2</v>
      </c>
      <c r="C21">
        <v>3</v>
      </c>
      <c r="D21" t="str">
        <f>VLOOKUP(B21, Products!$A$2:$C$100, 2, FALSE)</f>
        <v>Ritchey Timberwolf Frameset - 2016</v>
      </c>
      <c r="E21">
        <v>1</v>
      </c>
      <c r="F21">
        <v>999.99</v>
      </c>
      <c r="G21">
        <v>0.1</v>
      </c>
      <c r="H21">
        <v>99.999000000000009</v>
      </c>
      <c r="I21">
        <f>order_items[[#This Row],[list_price]]-order_items[[#This Row],[Discounted_price]]</f>
        <v>899.99099999999999</v>
      </c>
      <c r="J21">
        <f>VLOOKUP(B21, Products!$A$2:$E$100, 3, FALSE)</f>
        <v>5</v>
      </c>
      <c r="K21">
        <f>VLOOKUP(B21, Products!$A$2:$F$100, 4, FALSE)</f>
        <v>6</v>
      </c>
    </row>
    <row r="22" spans="1:11" x14ac:dyDescent="0.3">
      <c r="A22">
        <v>7</v>
      </c>
      <c r="B22">
        <v>3</v>
      </c>
      <c r="C22">
        <v>17</v>
      </c>
      <c r="D22" t="str">
        <f>VLOOKUP(B22, Products!$A$2:$C$100, 2, FALSE)</f>
        <v>Surly Wednesday Frameset - 2016</v>
      </c>
      <c r="E22">
        <v>2</v>
      </c>
      <c r="F22">
        <v>429</v>
      </c>
      <c r="G22">
        <v>0.1</v>
      </c>
      <c r="H22">
        <v>42.900000000000006</v>
      </c>
      <c r="I22">
        <f>order_items[[#This Row],[list_price]]-order_items[[#This Row],[Discounted_price]]</f>
        <v>386.1</v>
      </c>
      <c r="J22">
        <f>VLOOKUP(B22, Products!$A$2:$E$100, 3, FALSE)</f>
        <v>8</v>
      </c>
      <c r="K22">
        <f>VLOOKUP(B22, Products!$A$2:$F$100, 4, FALSE)</f>
        <v>6</v>
      </c>
    </row>
    <row r="23" spans="1:11" x14ac:dyDescent="0.3">
      <c r="A23">
        <v>8</v>
      </c>
      <c r="B23">
        <v>1</v>
      </c>
      <c r="C23">
        <v>22</v>
      </c>
      <c r="D23" t="str">
        <f>VLOOKUP(B23, Products!$A$2:$C$100, 2, FALSE)</f>
        <v>Trek 820 - 2016</v>
      </c>
      <c r="E23">
        <v>1</v>
      </c>
      <c r="F23">
        <v>269.99</v>
      </c>
      <c r="G23">
        <v>0.05</v>
      </c>
      <c r="H23">
        <v>13.499500000000001</v>
      </c>
      <c r="I23">
        <f>order_items[[#This Row],[list_price]]-order_items[[#This Row],[Discounted_price]]</f>
        <v>256.4905</v>
      </c>
      <c r="J23">
        <f>VLOOKUP(B23, Products!$A$2:$E$100, 3, FALSE)</f>
        <v>9</v>
      </c>
      <c r="K23">
        <f>VLOOKUP(B23, Products!$A$2:$F$100, 4, FALSE)</f>
        <v>6</v>
      </c>
    </row>
    <row r="24" spans="1:11" x14ac:dyDescent="0.3">
      <c r="A24">
        <v>8</v>
      </c>
      <c r="B24">
        <v>2</v>
      </c>
      <c r="C24">
        <v>20</v>
      </c>
      <c r="D24" t="str">
        <f>VLOOKUP(B24, Products!$A$2:$C$100, 2, FALSE)</f>
        <v>Ritchey Timberwolf Frameset - 2016</v>
      </c>
      <c r="E24">
        <v>2</v>
      </c>
      <c r="F24">
        <v>599.99</v>
      </c>
      <c r="G24">
        <v>7.0000000000000007E-2</v>
      </c>
      <c r="H24">
        <v>41.999300000000005</v>
      </c>
      <c r="I24">
        <f>order_items[[#This Row],[list_price]]-order_items[[#This Row],[Discounted_price]]</f>
        <v>557.99070000000006</v>
      </c>
      <c r="J24">
        <f>VLOOKUP(B24, Products!$A$2:$E$100, 3, FALSE)</f>
        <v>5</v>
      </c>
      <c r="K24">
        <f>VLOOKUP(B24, Products!$A$2:$F$100, 4, FALSE)</f>
        <v>6</v>
      </c>
    </row>
    <row r="25" spans="1:11" x14ac:dyDescent="0.3">
      <c r="A25">
        <v>9</v>
      </c>
      <c r="B25">
        <v>1</v>
      </c>
      <c r="C25">
        <v>7</v>
      </c>
      <c r="D25" t="str">
        <f>VLOOKUP(B25, Products!$A$2:$C$100, 2, FALSE)</f>
        <v>Trek 820 - 2016</v>
      </c>
      <c r="E25">
        <v>2</v>
      </c>
      <c r="F25">
        <v>3999.99</v>
      </c>
      <c r="G25">
        <v>0.1</v>
      </c>
      <c r="H25">
        <v>399.99900000000002</v>
      </c>
      <c r="I25">
        <f>order_items[[#This Row],[list_price]]-order_items[[#This Row],[Discounted_price]]</f>
        <v>3599.991</v>
      </c>
      <c r="J25">
        <f>VLOOKUP(B25, Products!$A$2:$E$100, 3, FALSE)</f>
        <v>9</v>
      </c>
      <c r="K25">
        <f>VLOOKUP(B25, Products!$A$2:$F$100, 4, FALSE)</f>
        <v>6</v>
      </c>
    </row>
    <row r="26" spans="1:11" x14ac:dyDescent="0.3">
      <c r="A26">
        <v>10</v>
      </c>
      <c r="B26">
        <v>1</v>
      </c>
      <c r="C26">
        <v>14</v>
      </c>
      <c r="D26" t="str">
        <f>VLOOKUP(B26, Products!$A$2:$C$100, 2, FALSE)</f>
        <v>Trek 820 - 2016</v>
      </c>
      <c r="E26">
        <v>1</v>
      </c>
      <c r="F26">
        <v>269.99</v>
      </c>
      <c r="G26">
        <v>0.1</v>
      </c>
      <c r="H26">
        <v>26.999000000000002</v>
      </c>
      <c r="I26">
        <f>order_items[[#This Row],[list_price]]-order_items[[#This Row],[Discounted_price]]</f>
        <v>242.99100000000001</v>
      </c>
      <c r="J26">
        <f>VLOOKUP(B26, Products!$A$2:$E$100, 3, FALSE)</f>
        <v>9</v>
      </c>
      <c r="K26">
        <f>VLOOKUP(B26, Products!$A$2:$F$100, 4, FALSE)</f>
        <v>6</v>
      </c>
    </row>
    <row r="27" spans="1:11" x14ac:dyDescent="0.3">
      <c r="A27">
        <v>11</v>
      </c>
      <c r="B27">
        <v>1</v>
      </c>
      <c r="C27">
        <v>8</v>
      </c>
      <c r="D27" t="str">
        <f>VLOOKUP(B27, Products!$A$2:$C$100, 2, FALSE)</f>
        <v>Trek 820 - 2016</v>
      </c>
      <c r="E27">
        <v>1</v>
      </c>
      <c r="F27">
        <v>1799.99</v>
      </c>
      <c r="G27">
        <v>0.05</v>
      </c>
      <c r="H27">
        <v>89.999500000000012</v>
      </c>
      <c r="I27">
        <f>order_items[[#This Row],[list_price]]-order_items[[#This Row],[Discounted_price]]</f>
        <v>1709.9904999999999</v>
      </c>
      <c r="J27">
        <f>VLOOKUP(B27, Products!$A$2:$E$100, 3, FALSE)</f>
        <v>9</v>
      </c>
      <c r="K27">
        <f>VLOOKUP(B27, Products!$A$2:$F$100, 4, FALSE)</f>
        <v>6</v>
      </c>
    </row>
    <row r="28" spans="1:11" x14ac:dyDescent="0.3">
      <c r="A28">
        <v>11</v>
      </c>
      <c r="B28">
        <v>2</v>
      </c>
      <c r="C28">
        <v>22</v>
      </c>
      <c r="D28" t="str">
        <f>VLOOKUP(B28, Products!$A$2:$C$100, 2, FALSE)</f>
        <v>Ritchey Timberwolf Frameset - 2016</v>
      </c>
      <c r="E28">
        <v>2</v>
      </c>
      <c r="F28">
        <v>269.99</v>
      </c>
      <c r="G28">
        <v>0.1</v>
      </c>
      <c r="H28">
        <v>26.999000000000002</v>
      </c>
      <c r="I28">
        <f>order_items[[#This Row],[list_price]]-order_items[[#This Row],[Discounted_price]]</f>
        <v>242.99100000000001</v>
      </c>
      <c r="J28">
        <f>VLOOKUP(B28, Products!$A$2:$E$100, 3, FALSE)</f>
        <v>5</v>
      </c>
      <c r="K28">
        <f>VLOOKUP(B28, Products!$A$2:$F$100, 4, FALSE)</f>
        <v>6</v>
      </c>
    </row>
    <row r="29" spans="1:11" x14ac:dyDescent="0.3">
      <c r="A29">
        <v>11</v>
      </c>
      <c r="B29">
        <v>3</v>
      </c>
      <c r="C29">
        <v>16</v>
      </c>
      <c r="D29" t="str">
        <f>VLOOKUP(B29, Products!$A$2:$C$100, 2, FALSE)</f>
        <v>Surly Wednesday Frameset - 2016</v>
      </c>
      <c r="E29">
        <v>2</v>
      </c>
      <c r="F29">
        <v>599.99</v>
      </c>
      <c r="G29">
        <v>0.2</v>
      </c>
      <c r="H29">
        <v>119.998</v>
      </c>
      <c r="I29">
        <f>order_items[[#This Row],[list_price]]-order_items[[#This Row],[Discounted_price]]</f>
        <v>479.99200000000002</v>
      </c>
      <c r="J29">
        <f>VLOOKUP(B29, Products!$A$2:$E$100, 3, FALSE)</f>
        <v>8</v>
      </c>
      <c r="K29">
        <f>VLOOKUP(B29, Products!$A$2:$F$100, 4, FALSE)</f>
        <v>6</v>
      </c>
    </row>
    <row r="30" spans="1:11" x14ac:dyDescent="0.3">
      <c r="A30">
        <v>12</v>
      </c>
      <c r="B30">
        <v>1</v>
      </c>
      <c r="C30">
        <v>4</v>
      </c>
      <c r="D30" t="str">
        <f>VLOOKUP(B30, Products!$A$2:$C$100, 2, FALSE)</f>
        <v>Trek 820 - 2016</v>
      </c>
      <c r="E30">
        <v>2</v>
      </c>
      <c r="F30">
        <v>2899.99</v>
      </c>
      <c r="G30">
        <v>0.1</v>
      </c>
      <c r="H30">
        <v>289.99899999999997</v>
      </c>
      <c r="I30">
        <f>order_items[[#This Row],[list_price]]-order_items[[#This Row],[Discounted_price]]</f>
        <v>2609.991</v>
      </c>
      <c r="J30">
        <f>VLOOKUP(B30, Products!$A$2:$E$100, 3, FALSE)</f>
        <v>9</v>
      </c>
      <c r="K30">
        <f>VLOOKUP(B30, Products!$A$2:$F$100, 4, FALSE)</f>
        <v>6</v>
      </c>
    </row>
    <row r="31" spans="1:11" x14ac:dyDescent="0.3">
      <c r="A31">
        <v>12</v>
      </c>
      <c r="B31">
        <v>2</v>
      </c>
      <c r="C31">
        <v>11</v>
      </c>
      <c r="D31" t="str">
        <f>VLOOKUP(B31, Products!$A$2:$C$100, 2, FALSE)</f>
        <v>Ritchey Timberwolf Frameset - 2016</v>
      </c>
      <c r="E31">
        <v>1</v>
      </c>
      <c r="F31">
        <v>1680.99</v>
      </c>
      <c r="G31">
        <v>0.05</v>
      </c>
      <c r="H31">
        <v>84.049500000000009</v>
      </c>
      <c r="I31">
        <f>order_items[[#This Row],[list_price]]-order_items[[#This Row],[Discounted_price]]</f>
        <v>1596.9404999999999</v>
      </c>
      <c r="J31">
        <f>VLOOKUP(B31, Products!$A$2:$E$100, 3, FALSE)</f>
        <v>5</v>
      </c>
      <c r="K31">
        <f>VLOOKUP(B31, Products!$A$2:$F$100, 4, FALSE)</f>
        <v>6</v>
      </c>
    </row>
    <row r="32" spans="1:11" x14ac:dyDescent="0.3">
      <c r="A32">
        <v>13</v>
      </c>
      <c r="B32">
        <v>1</v>
      </c>
      <c r="C32">
        <v>13</v>
      </c>
      <c r="D32" t="str">
        <f>VLOOKUP(B32, Products!$A$2:$C$100, 2, FALSE)</f>
        <v>Trek 820 - 2016</v>
      </c>
      <c r="E32">
        <v>1</v>
      </c>
      <c r="F32">
        <v>269.99</v>
      </c>
      <c r="G32">
        <v>0.1</v>
      </c>
      <c r="H32">
        <v>26.999000000000002</v>
      </c>
      <c r="I32">
        <f>order_items[[#This Row],[list_price]]-order_items[[#This Row],[Discounted_price]]</f>
        <v>242.99100000000001</v>
      </c>
      <c r="J32">
        <f>VLOOKUP(B32, Products!$A$2:$E$100, 3, FALSE)</f>
        <v>9</v>
      </c>
      <c r="K32">
        <f>VLOOKUP(B32, Products!$A$2:$F$100, 4, FALSE)</f>
        <v>6</v>
      </c>
    </row>
    <row r="33" spans="1:11" x14ac:dyDescent="0.3">
      <c r="A33">
        <v>13</v>
      </c>
      <c r="B33">
        <v>2</v>
      </c>
      <c r="C33">
        <v>17</v>
      </c>
      <c r="D33" t="str">
        <f>VLOOKUP(B33, Products!$A$2:$C$100, 2, FALSE)</f>
        <v>Ritchey Timberwolf Frameset - 2016</v>
      </c>
      <c r="E33">
        <v>2</v>
      </c>
      <c r="F33">
        <v>429</v>
      </c>
      <c r="G33">
        <v>0.05</v>
      </c>
      <c r="H33">
        <v>21.450000000000003</v>
      </c>
      <c r="I33">
        <f>order_items[[#This Row],[list_price]]-order_items[[#This Row],[Discounted_price]]</f>
        <v>407.55</v>
      </c>
      <c r="J33">
        <f>VLOOKUP(B33, Products!$A$2:$E$100, 3, FALSE)</f>
        <v>5</v>
      </c>
      <c r="K33">
        <f>VLOOKUP(B33, Products!$A$2:$F$100, 4, FALSE)</f>
        <v>6</v>
      </c>
    </row>
    <row r="34" spans="1:11" x14ac:dyDescent="0.3">
      <c r="A34">
        <v>13</v>
      </c>
      <c r="B34">
        <v>3</v>
      </c>
      <c r="C34">
        <v>20</v>
      </c>
      <c r="D34" t="str">
        <f>VLOOKUP(B34, Products!$A$2:$C$100, 2, FALSE)</f>
        <v>Surly Wednesday Frameset - 2016</v>
      </c>
      <c r="E34">
        <v>2</v>
      </c>
      <c r="F34">
        <v>599.99</v>
      </c>
      <c r="G34">
        <v>0.1</v>
      </c>
      <c r="H34">
        <v>59.999000000000002</v>
      </c>
      <c r="I34">
        <f>order_items[[#This Row],[list_price]]-order_items[[#This Row],[Discounted_price]]</f>
        <v>539.99099999999999</v>
      </c>
      <c r="J34">
        <f>VLOOKUP(B34, Products!$A$2:$E$100, 3, FALSE)</f>
        <v>8</v>
      </c>
      <c r="K34">
        <f>VLOOKUP(B34, Products!$A$2:$F$100, 4, FALSE)</f>
        <v>6</v>
      </c>
    </row>
    <row r="35" spans="1:11" x14ac:dyDescent="0.3">
      <c r="A35">
        <v>13</v>
      </c>
      <c r="B35">
        <v>4</v>
      </c>
      <c r="C35">
        <v>16</v>
      </c>
      <c r="D35" t="str">
        <f>VLOOKUP(B35, Products!$A$2:$C$100, 2, FALSE)</f>
        <v>Trek Fuel EX 8 29 - 2016</v>
      </c>
      <c r="E35">
        <v>2</v>
      </c>
      <c r="F35">
        <v>599.99</v>
      </c>
      <c r="G35">
        <v>0.05</v>
      </c>
      <c r="H35">
        <v>29.999500000000001</v>
      </c>
      <c r="I35">
        <f>order_items[[#This Row],[list_price]]-order_items[[#This Row],[Discounted_price]]</f>
        <v>569.9905</v>
      </c>
      <c r="J35">
        <f>VLOOKUP(B35, Products!$A$2:$E$100, 3, FALSE)</f>
        <v>9</v>
      </c>
      <c r="K35">
        <f>VLOOKUP(B35, Products!$A$2:$F$100, 4, FALSE)</f>
        <v>6</v>
      </c>
    </row>
    <row r="36" spans="1:11" x14ac:dyDescent="0.3">
      <c r="A36">
        <v>14</v>
      </c>
      <c r="B36">
        <v>1</v>
      </c>
      <c r="C36">
        <v>6</v>
      </c>
      <c r="D36" t="str">
        <f>VLOOKUP(B36, Products!$A$2:$C$100, 2, FALSE)</f>
        <v>Trek 820 - 2016</v>
      </c>
      <c r="E36">
        <v>1</v>
      </c>
      <c r="F36">
        <v>469.99</v>
      </c>
      <c r="G36">
        <v>7.0000000000000007E-2</v>
      </c>
      <c r="H36">
        <v>32.899300000000004</v>
      </c>
      <c r="I36">
        <f>order_items[[#This Row],[list_price]]-order_items[[#This Row],[Discounted_price]]</f>
        <v>437.09070000000003</v>
      </c>
      <c r="J36">
        <f>VLOOKUP(B36, Products!$A$2:$E$100, 3, FALSE)</f>
        <v>9</v>
      </c>
      <c r="K36">
        <f>VLOOKUP(B36, Products!$A$2:$F$100, 4, FALSE)</f>
        <v>6</v>
      </c>
    </row>
    <row r="37" spans="1:11" x14ac:dyDescent="0.3">
      <c r="A37">
        <v>15</v>
      </c>
      <c r="B37">
        <v>1</v>
      </c>
      <c r="C37">
        <v>12</v>
      </c>
      <c r="D37" t="str">
        <f>VLOOKUP(B37, Products!$A$2:$C$100, 2, FALSE)</f>
        <v>Trek 820 - 2016</v>
      </c>
      <c r="E37">
        <v>2</v>
      </c>
      <c r="F37">
        <v>549.99</v>
      </c>
      <c r="G37">
        <v>7.0000000000000007E-2</v>
      </c>
      <c r="H37">
        <v>38.499300000000005</v>
      </c>
      <c r="I37">
        <f>order_items[[#This Row],[list_price]]-order_items[[#This Row],[Discounted_price]]</f>
        <v>511.4907</v>
      </c>
      <c r="J37">
        <f>VLOOKUP(B37, Products!$A$2:$E$100, 3, FALSE)</f>
        <v>9</v>
      </c>
      <c r="K37">
        <f>VLOOKUP(B37, Products!$A$2:$F$100, 4, FALSE)</f>
        <v>6</v>
      </c>
    </row>
    <row r="38" spans="1:11" x14ac:dyDescent="0.3">
      <c r="A38">
        <v>15</v>
      </c>
      <c r="B38">
        <v>2</v>
      </c>
      <c r="C38">
        <v>8</v>
      </c>
      <c r="D38" t="str">
        <f>VLOOKUP(B38, Products!$A$2:$C$100, 2, FALSE)</f>
        <v>Ritchey Timberwolf Frameset - 2016</v>
      </c>
      <c r="E38">
        <v>1</v>
      </c>
      <c r="F38">
        <v>1799.99</v>
      </c>
      <c r="G38">
        <v>7.0000000000000007E-2</v>
      </c>
      <c r="H38">
        <v>125.99930000000002</v>
      </c>
      <c r="I38">
        <f>order_items[[#This Row],[list_price]]-order_items[[#This Row],[Discounted_price]]</f>
        <v>1673.9907000000001</v>
      </c>
      <c r="J38">
        <f>VLOOKUP(B38, Products!$A$2:$E$100, 3, FALSE)</f>
        <v>5</v>
      </c>
      <c r="K38">
        <f>VLOOKUP(B38, Products!$A$2:$F$100, 4, FALSE)</f>
        <v>6</v>
      </c>
    </row>
    <row r="39" spans="1:11" x14ac:dyDescent="0.3">
      <c r="A39">
        <v>15</v>
      </c>
      <c r="B39">
        <v>3</v>
      </c>
      <c r="C39">
        <v>18</v>
      </c>
      <c r="D39" t="str">
        <f>VLOOKUP(B39, Products!$A$2:$C$100, 2, FALSE)</f>
        <v>Surly Wednesday Frameset - 2016</v>
      </c>
      <c r="E39">
        <v>2</v>
      </c>
      <c r="F39">
        <v>449</v>
      </c>
      <c r="G39">
        <v>0.05</v>
      </c>
      <c r="H39">
        <v>22.450000000000003</v>
      </c>
      <c r="I39">
        <f>order_items[[#This Row],[list_price]]-order_items[[#This Row],[Discounted_price]]</f>
        <v>426.55</v>
      </c>
      <c r="J39">
        <f>VLOOKUP(B39, Products!$A$2:$E$100, 3, FALSE)</f>
        <v>8</v>
      </c>
      <c r="K39">
        <f>VLOOKUP(B39, Products!$A$2:$F$100, 4, FALSE)</f>
        <v>6</v>
      </c>
    </row>
    <row r="40" spans="1:11" x14ac:dyDescent="0.3">
      <c r="A40">
        <v>15</v>
      </c>
      <c r="B40">
        <v>4</v>
      </c>
      <c r="C40">
        <v>23</v>
      </c>
      <c r="D40" t="str">
        <f>VLOOKUP(B40, Products!$A$2:$C$100, 2, FALSE)</f>
        <v>Trek Fuel EX 8 29 - 2016</v>
      </c>
      <c r="E40">
        <v>2</v>
      </c>
      <c r="F40">
        <v>299.99</v>
      </c>
      <c r="G40">
        <v>0.2</v>
      </c>
      <c r="H40">
        <v>59.998000000000005</v>
      </c>
      <c r="I40">
        <f>order_items[[#This Row],[list_price]]-order_items[[#This Row],[Discounted_price]]</f>
        <v>239.99200000000002</v>
      </c>
      <c r="J40">
        <f>VLOOKUP(B40, Products!$A$2:$E$100, 3, FALSE)</f>
        <v>9</v>
      </c>
      <c r="K40">
        <f>VLOOKUP(B40, Products!$A$2:$F$100, 4, FALSE)</f>
        <v>6</v>
      </c>
    </row>
    <row r="41" spans="1:11" x14ac:dyDescent="0.3">
      <c r="A41">
        <v>16</v>
      </c>
      <c r="B41">
        <v>1</v>
      </c>
      <c r="C41">
        <v>8</v>
      </c>
      <c r="D41" t="str">
        <f>VLOOKUP(B41, Products!$A$2:$C$100, 2, FALSE)</f>
        <v>Trek 820 - 2016</v>
      </c>
      <c r="E41">
        <v>1</v>
      </c>
      <c r="F41">
        <v>1799.99</v>
      </c>
      <c r="G41">
        <v>0.2</v>
      </c>
      <c r="H41">
        <v>359.99800000000005</v>
      </c>
      <c r="I41">
        <f>order_items[[#This Row],[list_price]]-order_items[[#This Row],[Discounted_price]]</f>
        <v>1439.992</v>
      </c>
      <c r="J41">
        <f>VLOOKUP(B41, Products!$A$2:$E$100, 3, FALSE)</f>
        <v>9</v>
      </c>
      <c r="K41">
        <f>VLOOKUP(B41, Products!$A$2:$F$100, 4, FALSE)</f>
        <v>6</v>
      </c>
    </row>
    <row r="42" spans="1:11" x14ac:dyDescent="0.3">
      <c r="A42">
        <v>16</v>
      </c>
      <c r="B42">
        <v>2</v>
      </c>
      <c r="C42">
        <v>21</v>
      </c>
      <c r="D42" t="str">
        <f>VLOOKUP(B42, Products!$A$2:$C$100, 2, FALSE)</f>
        <v>Ritchey Timberwolf Frameset - 2016</v>
      </c>
      <c r="E42">
        <v>1</v>
      </c>
      <c r="F42">
        <v>269.99</v>
      </c>
      <c r="G42">
        <v>0.05</v>
      </c>
      <c r="H42">
        <v>13.499500000000001</v>
      </c>
      <c r="I42">
        <f>order_items[[#This Row],[list_price]]-order_items[[#This Row],[Discounted_price]]</f>
        <v>256.4905</v>
      </c>
      <c r="J42">
        <f>VLOOKUP(B42, Products!$A$2:$E$100, 3, FALSE)</f>
        <v>5</v>
      </c>
      <c r="K42">
        <f>VLOOKUP(B42, Products!$A$2:$F$100, 4, FALSE)</f>
        <v>6</v>
      </c>
    </row>
    <row r="43" spans="1:11" x14ac:dyDescent="0.3">
      <c r="A43">
        <v>16</v>
      </c>
      <c r="B43">
        <v>3</v>
      </c>
      <c r="C43">
        <v>13</v>
      </c>
      <c r="D43" t="str">
        <f>VLOOKUP(B43, Products!$A$2:$C$100, 2, FALSE)</f>
        <v>Surly Wednesday Frameset - 2016</v>
      </c>
      <c r="E43">
        <v>2</v>
      </c>
      <c r="F43">
        <v>269.99</v>
      </c>
      <c r="G43">
        <v>7.0000000000000007E-2</v>
      </c>
      <c r="H43">
        <v>18.899300000000004</v>
      </c>
      <c r="I43">
        <f>order_items[[#This Row],[list_price]]-order_items[[#This Row],[Discounted_price]]</f>
        <v>251.0907</v>
      </c>
      <c r="J43">
        <f>VLOOKUP(B43, Products!$A$2:$E$100, 3, FALSE)</f>
        <v>8</v>
      </c>
      <c r="K43">
        <f>VLOOKUP(B43, Products!$A$2:$F$100, 4, FALSE)</f>
        <v>6</v>
      </c>
    </row>
    <row r="44" spans="1:11" x14ac:dyDescent="0.3">
      <c r="A44">
        <v>16</v>
      </c>
      <c r="B44">
        <v>4</v>
      </c>
      <c r="C44">
        <v>14</v>
      </c>
      <c r="D44" t="str">
        <f>VLOOKUP(B44, Products!$A$2:$C$100, 2, FALSE)</f>
        <v>Trek Fuel EX 8 29 - 2016</v>
      </c>
      <c r="E44">
        <v>1</v>
      </c>
      <c r="F44">
        <v>269.99</v>
      </c>
      <c r="G44">
        <v>7.0000000000000007E-2</v>
      </c>
      <c r="H44">
        <v>18.899300000000004</v>
      </c>
      <c r="I44">
        <f>order_items[[#This Row],[list_price]]-order_items[[#This Row],[Discounted_price]]</f>
        <v>251.0907</v>
      </c>
      <c r="J44">
        <f>VLOOKUP(B44, Products!$A$2:$E$100, 3, FALSE)</f>
        <v>9</v>
      </c>
      <c r="K44">
        <f>VLOOKUP(B44, Products!$A$2:$F$100, 4, FALSE)</f>
        <v>6</v>
      </c>
    </row>
    <row r="45" spans="1:11" x14ac:dyDescent="0.3">
      <c r="A45">
        <v>17</v>
      </c>
      <c r="B45">
        <v>1</v>
      </c>
      <c r="C45">
        <v>8</v>
      </c>
      <c r="D45" t="str">
        <f>VLOOKUP(B45, Products!$A$2:$C$100, 2, FALSE)</f>
        <v>Trek 820 - 2016</v>
      </c>
      <c r="E45">
        <v>1</v>
      </c>
      <c r="F45">
        <v>1799.99</v>
      </c>
      <c r="G45">
        <v>7.0000000000000007E-2</v>
      </c>
      <c r="H45">
        <v>125.99930000000002</v>
      </c>
      <c r="I45">
        <f>order_items[[#This Row],[list_price]]-order_items[[#This Row],[Discounted_price]]</f>
        <v>1673.9907000000001</v>
      </c>
      <c r="J45">
        <f>VLOOKUP(B45, Products!$A$2:$E$100, 3, FALSE)</f>
        <v>9</v>
      </c>
      <c r="K45">
        <f>VLOOKUP(B45, Products!$A$2:$F$100, 4, FALSE)</f>
        <v>6</v>
      </c>
    </row>
    <row r="46" spans="1:11" x14ac:dyDescent="0.3">
      <c r="A46">
        <v>17</v>
      </c>
      <c r="B46">
        <v>2</v>
      </c>
      <c r="C46">
        <v>23</v>
      </c>
      <c r="D46" t="str">
        <f>VLOOKUP(B46, Products!$A$2:$C$100, 2, FALSE)</f>
        <v>Ritchey Timberwolf Frameset - 2016</v>
      </c>
      <c r="E46">
        <v>1</v>
      </c>
      <c r="F46">
        <v>299.99</v>
      </c>
      <c r="G46">
        <v>0.1</v>
      </c>
      <c r="H46">
        <v>29.999000000000002</v>
      </c>
      <c r="I46">
        <f>order_items[[#This Row],[list_price]]-order_items[[#This Row],[Discounted_price]]</f>
        <v>269.99099999999999</v>
      </c>
      <c r="J46">
        <f>VLOOKUP(B46, Products!$A$2:$E$100, 3, FALSE)</f>
        <v>5</v>
      </c>
      <c r="K46">
        <f>VLOOKUP(B46, Products!$A$2:$F$100, 4, FALSE)</f>
        <v>6</v>
      </c>
    </row>
    <row r="47" spans="1:11" x14ac:dyDescent="0.3">
      <c r="A47">
        <v>17</v>
      </c>
      <c r="B47">
        <v>3</v>
      </c>
      <c r="C47">
        <v>5</v>
      </c>
      <c r="D47" t="str">
        <f>VLOOKUP(B47, Products!$A$2:$C$100, 2, FALSE)</f>
        <v>Surly Wednesday Frameset - 2016</v>
      </c>
      <c r="E47">
        <v>1</v>
      </c>
      <c r="F47">
        <v>1320.99</v>
      </c>
      <c r="G47">
        <v>0.1</v>
      </c>
      <c r="H47">
        <v>132.09900000000002</v>
      </c>
      <c r="I47">
        <f>order_items[[#This Row],[list_price]]-order_items[[#This Row],[Discounted_price]]</f>
        <v>1188.8910000000001</v>
      </c>
      <c r="J47">
        <f>VLOOKUP(B47, Products!$A$2:$E$100, 3, FALSE)</f>
        <v>8</v>
      </c>
      <c r="K47">
        <f>VLOOKUP(B47, Products!$A$2:$F$100, 4, FALSE)</f>
        <v>6</v>
      </c>
    </row>
    <row r="48" spans="1:11" x14ac:dyDescent="0.3">
      <c r="A48">
        <v>17</v>
      </c>
      <c r="B48">
        <v>4</v>
      </c>
      <c r="C48">
        <v>20</v>
      </c>
      <c r="D48" t="str">
        <f>VLOOKUP(B48, Products!$A$2:$C$100, 2, FALSE)</f>
        <v>Trek Fuel EX 8 29 - 2016</v>
      </c>
      <c r="E48">
        <v>2</v>
      </c>
      <c r="F48">
        <v>599.99</v>
      </c>
      <c r="G48">
        <v>0.2</v>
      </c>
      <c r="H48">
        <v>119.998</v>
      </c>
      <c r="I48">
        <f>order_items[[#This Row],[list_price]]-order_items[[#This Row],[Discounted_price]]</f>
        <v>479.99200000000002</v>
      </c>
      <c r="J48">
        <f>VLOOKUP(B48, Products!$A$2:$E$100, 3, FALSE)</f>
        <v>9</v>
      </c>
      <c r="K48">
        <f>VLOOKUP(B48, Products!$A$2:$F$100, 4, FALSE)</f>
        <v>6</v>
      </c>
    </row>
    <row r="49" spans="1:11" x14ac:dyDescent="0.3">
      <c r="A49">
        <v>18</v>
      </c>
      <c r="B49">
        <v>1</v>
      </c>
      <c r="C49">
        <v>2</v>
      </c>
      <c r="D49" t="str">
        <f>VLOOKUP(B49, Products!$A$2:$C$100, 2, FALSE)</f>
        <v>Trek 820 - 2016</v>
      </c>
      <c r="E49">
        <v>2</v>
      </c>
      <c r="F49">
        <v>749.99</v>
      </c>
      <c r="G49">
        <v>0.2</v>
      </c>
      <c r="H49">
        <v>149.99800000000002</v>
      </c>
      <c r="I49">
        <f>order_items[[#This Row],[list_price]]-order_items[[#This Row],[Discounted_price]]</f>
        <v>599.99199999999996</v>
      </c>
      <c r="J49">
        <f>VLOOKUP(B49, Products!$A$2:$E$100, 3, FALSE)</f>
        <v>9</v>
      </c>
      <c r="K49">
        <f>VLOOKUP(B49, Products!$A$2:$F$100, 4, FALSE)</f>
        <v>6</v>
      </c>
    </row>
    <row r="50" spans="1:11" x14ac:dyDescent="0.3">
      <c r="A50">
        <v>18</v>
      </c>
      <c r="B50">
        <v>2</v>
      </c>
      <c r="C50">
        <v>22</v>
      </c>
      <c r="D50" t="str">
        <f>VLOOKUP(B50, Products!$A$2:$C$100, 2, FALSE)</f>
        <v>Ritchey Timberwolf Frameset - 2016</v>
      </c>
      <c r="E50">
        <v>1</v>
      </c>
      <c r="F50">
        <v>269.99</v>
      </c>
      <c r="G50">
        <v>0.05</v>
      </c>
      <c r="H50">
        <v>13.499500000000001</v>
      </c>
      <c r="I50">
        <f>order_items[[#This Row],[list_price]]-order_items[[#This Row],[Discounted_price]]</f>
        <v>256.4905</v>
      </c>
      <c r="J50">
        <f>VLOOKUP(B50, Products!$A$2:$E$100, 3, FALSE)</f>
        <v>5</v>
      </c>
      <c r="K50">
        <f>VLOOKUP(B50, Products!$A$2:$F$100, 4, FALSE)</f>
        <v>6</v>
      </c>
    </row>
    <row r="51" spans="1:11" x14ac:dyDescent="0.3">
      <c r="A51">
        <v>18</v>
      </c>
      <c r="B51">
        <v>3</v>
      </c>
      <c r="C51">
        <v>7</v>
      </c>
      <c r="D51" t="str">
        <f>VLOOKUP(B51, Products!$A$2:$C$100, 2, FALSE)</f>
        <v>Surly Wednesday Frameset - 2016</v>
      </c>
      <c r="E51">
        <v>1</v>
      </c>
      <c r="F51">
        <v>3999.99</v>
      </c>
      <c r="G51">
        <v>0.1</v>
      </c>
      <c r="H51">
        <v>399.99900000000002</v>
      </c>
      <c r="I51">
        <f>order_items[[#This Row],[list_price]]-order_items[[#This Row],[Discounted_price]]</f>
        <v>3599.991</v>
      </c>
      <c r="J51">
        <f>VLOOKUP(B51, Products!$A$2:$E$100, 3, FALSE)</f>
        <v>8</v>
      </c>
      <c r="K51">
        <f>VLOOKUP(B51, Products!$A$2:$F$100, 4, FALSE)</f>
        <v>6</v>
      </c>
    </row>
    <row r="52" spans="1:11" x14ac:dyDescent="0.3">
      <c r="A52">
        <v>18</v>
      </c>
      <c r="B52">
        <v>4</v>
      </c>
      <c r="C52">
        <v>25</v>
      </c>
      <c r="D52" t="str">
        <f>VLOOKUP(B52, Products!$A$2:$C$100, 2, FALSE)</f>
        <v>Trek Fuel EX 8 29 - 2016</v>
      </c>
      <c r="E52">
        <v>2</v>
      </c>
      <c r="F52">
        <v>499.99</v>
      </c>
      <c r="G52">
        <v>0.05</v>
      </c>
      <c r="H52">
        <v>24.999500000000001</v>
      </c>
      <c r="I52">
        <f>order_items[[#This Row],[list_price]]-order_items[[#This Row],[Discounted_price]]</f>
        <v>474.9905</v>
      </c>
      <c r="J52">
        <f>VLOOKUP(B52, Products!$A$2:$E$100, 3, FALSE)</f>
        <v>9</v>
      </c>
      <c r="K52">
        <f>VLOOKUP(B52, Products!$A$2:$F$100, 4, FALSE)</f>
        <v>6</v>
      </c>
    </row>
    <row r="53" spans="1:11" x14ac:dyDescent="0.3">
      <c r="A53">
        <v>18</v>
      </c>
      <c r="B53">
        <v>5</v>
      </c>
      <c r="C53">
        <v>9</v>
      </c>
      <c r="D53" t="str">
        <f>VLOOKUP(B53, Products!$A$2:$C$100, 2, FALSE)</f>
        <v>Heller Shagamaw Frame - 2016</v>
      </c>
      <c r="E53">
        <v>2</v>
      </c>
      <c r="F53">
        <v>2999.99</v>
      </c>
      <c r="G53">
        <v>0.1</v>
      </c>
      <c r="H53">
        <v>299.99899999999997</v>
      </c>
      <c r="I53">
        <f>order_items[[#This Row],[list_price]]-order_items[[#This Row],[Discounted_price]]</f>
        <v>2699.991</v>
      </c>
      <c r="J53">
        <f>VLOOKUP(B53, Products!$A$2:$E$100, 3, FALSE)</f>
        <v>3</v>
      </c>
      <c r="K53">
        <f>VLOOKUP(B53, Products!$A$2:$F$100, 4, FALSE)</f>
        <v>6</v>
      </c>
    </row>
    <row r="54" spans="1:11" x14ac:dyDescent="0.3">
      <c r="A54">
        <v>19</v>
      </c>
      <c r="B54">
        <v>1</v>
      </c>
      <c r="C54">
        <v>10</v>
      </c>
      <c r="D54" t="str">
        <f>VLOOKUP(B54, Products!$A$2:$C$100, 2, FALSE)</f>
        <v>Trek 820 - 2016</v>
      </c>
      <c r="E54">
        <v>1</v>
      </c>
      <c r="F54">
        <v>1549</v>
      </c>
      <c r="G54">
        <v>7.0000000000000007E-2</v>
      </c>
      <c r="H54">
        <v>108.43</v>
      </c>
      <c r="I54">
        <f>order_items[[#This Row],[list_price]]-order_items[[#This Row],[Discounted_price]]</f>
        <v>1440.57</v>
      </c>
      <c r="J54">
        <f>VLOOKUP(B54, Products!$A$2:$E$100, 3, FALSE)</f>
        <v>9</v>
      </c>
      <c r="K54">
        <f>VLOOKUP(B54, Products!$A$2:$F$100, 4, FALSE)</f>
        <v>6</v>
      </c>
    </row>
    <row r="55" spans="1:11" x14ac:dyDescent="0.3">
      <c r="A55">
        <v>19</v>
      </c>
      <c r="B55">
        <v>2</v>
      </c>
      <c r="C55">
        <v>9</v>
      </c>
      <c r="D55" t="str">
        <f>VLOOKUP(B55, Products!$A$2:$C$100, 2, FALSE)</f>
        <v>Ritchey Timberwolf Frameset - 2016</v>
      </c>
      <c r="E55">
        <v>2</v>
      </c>
      <c r="F55">
        <v>2999.99</v>
      </c>
      <c r="G55">
        <v>0.2</v>
      </c>
      <c r="H55">
        <v>599.99799999999993</v>
      </c>
      <c r="I55">
        <f>order_items[[#This Row],[list_price]]-order_items[[#This Row],[Discounted_price]]</f>
        <v>2399.9919999999997</v>
      </c>
      <c r="J55">
        <f>VLOOKUP(B55, Products!$A$2:$E$100, 3, FALSE)</f>
        <v>5</v>
      </c>
      <c r="K55">
        <f>VLOOKUP(B55, Products!$A$2:$F$100, 4, FALSE)</f>
        <v>6</v>
      </c>
    </row>
    <row r="56" spans="1:11" x14ac:dyDescent="0.3">
      <c r="A56">
        <v>20</v>
      </c>
      <c r="B56">
        <v>1</v>
      </c>
      <c r="C56">
        <v>9</v>
      </c>
      <c r="D56" t="str">
        <f>VLOOKUP(B56, Products!$A$2:$C$100, 2, FALSE)</f>
        <v>Trek 820 - 2016</v>
      </c>
      <c r="E56">
        <v>1</v>
      </c>
      <c r="F56">
        <v>2999.99</v>
      </c>
      <c r="G56">
        <v>7.0000000000000007E-2</v>
      </c>
      <c r="H56">
        <v>209.99930000000001</v>
      </c>
      <c r="I56">
        <f>order_items[[#This Row],[list_price]]-order_items[[#This Row],[Discounted_price]]</f>
        <v>2789.9906999999998</v>
      </c>
      <c r="J56">
        <f>VLOOKUP(B56, Products!$A$2:$E$100, 3, FALSE)</f>
        <v>9</v>
      </c>
      <c r="K56">
        <f>VLOOKUP(B56, Products!$A$2:$F$100, 4, FALSE)</f>
        <v>6</v>
      </c>
    </row>
    <row r="57" spans="1:11" x14ac:dyDescent="0.3">
      <c r="A57">
        <v>20</v>
      </c>
      <c r="B57">
        <v>2</v>
      </c>
      <c r="C57">
        <v>10</v>
      </c>
      <c r="D57" t="str">
        <f>VLOOKUP(B57, Products!$A$2:$C$100, 2, FALSE)</f>
        <v>Ritchey Timberwolf Frameset - 2016</v>
      </c>
      <c r="E57">
        <v>2</v>
      </c>
      <c r="F57">
        <v>1549</v>
      </c>
      <c r="G57">
        <v>7.0000000000000007E-2</v>
      </c>
      <c r="H57">
        <v>108.43</v>
      </c>
      <c r="I57">
        <f>order_items[[#This Row],[list_price]]-order_items[[#This Row],[Discounted_price]]</f>
        <v>1440.57</v>
      </c>
      <c r="J57">
        <f>VLOOKUP(B57, Products!$A$2:$E$100, 3, FALSE)</f>
        <v>5</v>
      </c>
      <c r="K57">
        <f>VLOOKUP(B57, Products!$A$2:$F$100, 4, FALSE)</f>
        <v>6</v>
      </c>
    </row>
    <row r="58" spans="1:11" x14ac:dyDescent="0.3">
      <c r="A58">
        <v>21</v>
      </c>
      <c r="B58">
        <v>1</v>
      </c>
      <c r="C58">
        <v>14</v>
      </c>
      <c r="D58" t="str">
        <f>VLOOKUP(B58, Products!$A$2:$C$100, 2, FALSE)</f>
        <v>Trek 820 - 2016</v>
      </c>
      <c r="E58">
        <v>1</v>
      </c>
      <c r="F58">
        <v>269.99</v>
      </c>
      <c r="G58">
        <v>0.05</v>
      </c>
      <c r="H58">
        <v>13.499500000000001</v>
      </c>
      <c r="I58">
        <f>order_items[[#This Row],[list_price]]-order_items[[#This Row],[Discounted_price]]</f>
        <v>256.4905</v>
      </c>
      <c r="J58">
        <f>VLOOKUP(B58, Products!$A$2:$E$100, 3, FALSE)</f>
        <v>9</v>
      </c>
      <c r="K58">
        <f>VLOOKUP(B58, Products!$A$2:$F$100, 4, FALSE)</f>
        <v>6</v>
      </c>
    </row>
    <row r="59" spans="1:11" x14ac:dyDescent="0.3">
      <c r="A59">
        <v>21</v>
      </c>
      <c r="B59">
        <v>2</v>
      </c>
      <c r="C59">
        <v>17</v>
      </c>
      <c r="D59" t="str">
        <f>VLOOKUP(B59, Products!$A$2:$C$100, 2, FALSE)</f>
        <v>Ritchey Timberwolf Frameset - 2016</v>
      </c>
      <c r="E59">
        <v>1</v>
      </c>
      <c r="F59">
        <v>429</v>
      </c>
      <c r="G59">
        <v>0.1</v>
      </c>
      <c r="H59">
        <v>42.900000000000006</v>
      </c>
      <c r="I59">
        <f>order_items[[#This Row],[list_price]]-order_items[[#This Row],[Discounted_price]]</f>
        <v>386.1</v>
      </c>
      <c r="J59">
        <f>VLOOKUP(B59, Products!$A$2:$E$100, 3, FALSE)</f>
        <v>5</v>
      </c>
      <c r="K59">
        <f>VLOOKUP(B59, Products!$A$2:$F$100, 4, FALSE)</f>
        <v>6</v>
      </c>
    </row>
    <row r="60" spans="1:11" x14ac:dyDescent="0.3">
      <c r="A60">
        <v>21</v>
      </c>
      <c r="B60">
        <v>3</v>
      </c>
      <c r="C60">
        <v>10</v>
      </c>
      <c r="D60" t="str">
        <f>VLOOKUP(B60, Products!$A$2:$C$100, 2, FALSE)</f>
        <v>Surly Wednesday Frameset - 2016</v>
      </c>
      <c r="E60">
        <v>1</v>
      </c>
      <c r="F60">
        <v>1549</v>
      </c>
      <c r="G60">
        <v>7.0000000000000007E-2</v>
      </c>
      <c r="H60">
        <v>108.43</v>
      </c>
      <c r="I60">
        <f>order_items[[#This Row],[list_price]]-order_items[[#This Row],[Discounted_price]]</f>
        <v>1440.57</v>
      </c>
      <c r="J60">
        <f>VLOOKUP(B60, Products!$A$2:$E$100, 3, FALSE)</f>
        <v>8</v>
      </c>
      <c r="K60">
        <f>VLOOKUP(B60, Products!$A$2:$F$100, 4, FALSE)</f>
        <v>6</v>
      </c>
    </row>
    <row r="61" spans="1:11" x14ac:dyDescent="0.3">
      <c r="A61">
        <v>22</v>
      </c>
      <c r="B61">
        <v>1</v>
      </c>
      <c r="C61">
        <v>15</v>
      </c>
      <c r="D61" t="str">
        <f>VLOOKUP(B61, Products!$A$2:$C$100, 2, FALSE)</f>
        <v>Trek 820 - 2016</v>
      </c>
      <c r="E61">
        <v>2</v>
      </c>
      <c r="F61">
        <v>529.99</v>
      </c>
      <c r="G61">
        <v>0.2</v>
      </c>
      <c r="H61">
        <v>105.998</v>
      </c>
      <c r="I61">
        <f>order_items[[#This Row],[list_price]]-order_items[[#This Row],[Discounted_price]]</f>
        <v>423.99200000000002</v>
      </c>
      <c r="J61">
        <f>VLOOKUP(B61, Products!$A$2:$E$100, 3, FALSE)</f>
        <v>9</v>
      </c>
      <c r="K61">
        <f>VLOOKUP(B61, Products!$A$2:$F$100, 4, FALSE)</f>
        <v>6</v>
      </c>
    </row>
    <row r="62" spans="1:11" x14ac:dyDescent="0.3">
      <c r="A62">
        <v>22</v>
      </c>
      <c r="B62">
        <v>2</v>
      </c>
      <c r="C62">
        <v>22</v>
      </c>
      <c r="D62" t="str">
        <f>VLOOKUP(B62, Products!$A$2:$C$100, 2, FALSE)</f>
        <v>Ritchey Timberwolf Frameset - 2016</v>
      </c>
      <c r="E62">
        <v>1</v>
      </c>
      <c r="F62">
        <v>269.99</v>
      </c>
      <c r="G62">
        <v>0.05</v>
      </c>
      <c r="H62">
        <v>13.499500000000001</v>
      </c>
      <c r="I62">
        <f>order_items[[#This Row],[list_price]]-order_items[[#This Row],[Discounted_price]]</f>
        <v>256.4905</v>
      </c>
      <c r="J62">
        <f>VLOOKUP(B62, Products!$A$2:$E$100, 3, FALSE)</f>
        <v>5</v>
      </c>
      <c r="K62">
        <f>VLOOKUP(B62, Products!$A$2:$F$100, 4, FALSE)</f>
        <v>6</v>
      </c>
    </row>
    <row r="63" spans="1:11" x14ac:dyDescent="0.3">
      <c r="A63">
        <v>23</v>
      </c>
      <c r="B63">
        <v>1</v>
      </c>
      <c r="C63">
        <v>4</v>
      </c>
      <c r="D63" t="str">
        <f>VLOOKUP(B63, Products!$A$2:$C$100, 2, FALSE)</f>
        <v>Trek 820 - 2016</v>
      </c>
      <c r="E63">
        <v>2</v>
      </c>
      <c r="F63">
        <v>2899.99</v>
      </c>
      <c r="G63">
        <v>0.05</v>
      </c>
      <c r="H63">
        <v>144.99949999999998</v>
      </c>
      <c r="I63">
        <f>order_items[[#This Row],[list_price]]-order_items[[#This Row],[Discounted_price]]</f>
        <v>2754.9904999999999</v>
      </c>
      <c r="J63">
        <f>VLOOKUP(B63, Products!$A$2:$E$100, 3, FALSE)</f>
        <v>9</v>
      </c>
      <c r="K63">
        <f>VLOOKUP(B63, Products!$A$2:$F$100, 4, FALSE)</f>
        <v>6</v>
      </c>
    </row>
    <row r="64" spans="1:11" x14ac:dyDescent="0.3">
      <c r="A64">
        <v>23</v>
      </c>
      <c r="B64">
        <v>2</v>
      </c>
      <c r="C64">
        <v>23</v>
      </c>
      <c r="D64" t="str">
        <f>VLOOKUP(B64, Products!$A$2:$C$100, 2, FALSE)</f>
        <v>Ritchey Timberwolf Frameset - 2016</v>
      </c>
      <c r="E64">
        <v>2</v>
      </c>
      <c r="F64">
        <v>299.99</v>
      </c>
      <c r="G64">
        <v>0.1</v>
      </c>
      <c r="H64">
        <v>29.999000000000002</v>
      </c>
      <c r="I64">
        <f>order_items[[#This Row],[list_price]]-order_items[[#This Row],[Discounted_price]]</f>
        <v>269.99099999999999</v>
      </c>
      <c r="J64">
        <f>VLOOKUP(B64, Products!$A$2:$E$100, 3, FALSE)</f>
        <v>5</v>
      </c>
      <c r="K64">
        <f>VLOOKUP(B64, Products!$A$2:$F$100, 4, FALSE)</f>
        <v>6</v>
      </c>
    </row>
    <row r="65" spans="1:11" x14ac:dyDescent="0.3">
      <c r="A65">
        <v>23</v>
      </c>
      <c r="B65">
        <v>3</v>
      </c>
      <c r="C65">
        <v>13</v>
      </c>
      <c r="D65" t="str">
        <f>VLOOKUP(B65, Products!$A$2:$C$100, 2, FALSE)</f>
        <v>Surly Wednesday Frameset - 2016</v>
      </c>
      <c r="E65">
        <v>1</v>
      </c>
      <c r="F65">
        <v>269.99</v>
      </c>
      <c r="G65">
        <v>0.2</v>
      </c>
      <c r="H65">
        <v>53.998000000000005</v>
      </c>
      <c r="I65">
        <f>order_items[[#This Row],[list_price]]-order_items[[#This Row],[Discounted_price]]</f>
        <v>215.99200000000002</v>
      </c>
      <c r="J65">
        <f>VLOOKUP(B65, Products!$A$2:$E$100, 3, FALSE)</f>
        <v>8</v>
      </c>
      <c r="K65">
        <f>VLOOKUP(B65, Products!$A$2:$F$100, 4, FALSE)</f>
        <v>6</v>
      </c>
    </row>
    <row r="66" spans="1:11" x14ac:dyDescent="0.3">
      <c r="A66">
        <v>24</v>
      </c>
      <c r="B66">
        <v>1</v>
      </c>
      <c r="C66">
        <v>3</v>
      </c>
      <c r="D66" t="str">
        <f>VLOOKUP(B66, Products!$A$2:$C$100, 2, FALSE)</f>
        <v>Trek 820 - 2016</v>
      </c>
      <c r="E66">
        <v>2</v>
      </c>
      <c r="F66">
        <v>999.99</v>
      </c>
      <c r="G66">
        <v>0.1</v>
      </c>
      <c r="H66">
        <v>99.999000000000009</v>
      </c>
      <c r="I66">
        <f>order_items[[#This Row],[list_price]]-order_items[[#This Row],[Discounted_price]]</f>
        <v>899.99099999999999</v>
      </c>
      <c r="J66">
        <f>VLOOKUP(B66, Products!$A$2:$E$100, 3, FALSE)</f>
        <v>9</v>
      </c>
      <c r="K66">
        <f>VLOOKUP(B66, Products!$A$2:$F$100, 4, FALSE)</f>
        <v>6</v>
      </c>
    </row>
    <row r="67" spans="1:11" x14ac:dyDescent="0.3">
      <c r="A67">
        <v>24</v>
      </c>
      <c r="B67">
        <v>2</v>
      </c>
      <c r="C67">
        <v>18</v>
      </c>
      <c r="D67" t="str">
        <f>VLOOKUP(B67, Products!$A$2:$C$100, 2, FALSE)</f>
        <v>Ritchey Timberwolf Frameset - 2016</v>
      </c>
      <c r="E67">
        <v>2</v>
      </c>
      <c r="F67">
        <v>449</v>
      </c>
      <c r="G67">
        <v>7.0000000000000007E-2</v>
      </c>
      <c r="H67">
        <v>31.430000000000003</v>
      </c>
      <c r="I67">
        <f>order_items[[#This Row],[list_price]]-order_items[[#This Row],[Discounted_price]]</f>
        <v>417.57</v>
      </c>
      <c r="J67">
        <f>VLOOKUP(B67, Products!$A$2:$E$100, 3, FALSE)</f>
        <v>5</v>
      </c>
      <c r="K67">
        <f>VLOOKUP(B67, Products!$A$2:$F$100, 4, FALSE)</f>
        <v>6</v>
      </c>
    </row>
    <row r="68" spans="1:11" x14ac:dyDescent="0.3">
      <c r="A68">
        <v>25</v>
      </c>
      <c r="B68">
        <v>1</v>
      </c>
      <c r="C68">
        <v>23</v>
      </c>
      <c r="D68" t="str">
        <f>VLOOKUP(B68, Products!$A$2:$C$100, 2, FALSE)</f>
        <v>Trek 820 - 2016</v>
      </c>
      <c r="E68">
        <v>2</v>
      </c>
      <c r="F68">
        <v>299.99</v>
      </c>
      <c r="G68">
        <v>0.2</v>
      </c>
      <c r="H68">
        <v>59.998000000000005</v>
      </c>
      <c r="I68">
        <f>order_items[[#This Row],[list_price]]-order_items[[#This Row],[Discounted_price]]</f>
        <v>239.99200000000002</v>
      </c>
      <c r="J68">
        <f>VLOOKUP(B68, Products!$A$2:$E$100, 3, FALSE)</f>
        <v>9</v>
      </c>
      <c r="K68">
        <f>VLOOKUP(B68, Products!$A$2:$F$100, 4, FALSE)</f>
        <v>6</v>
      </c>
    </row>
    <row r="69" spans="1:11" x14ac:dyDescent="0.3">
      <c r="A69">
        <v>25</v>
      </c>
      <c r="B69">
        <v>2</v>
      </c>
      <c r="C69">
        <v>10</v>
      </c>
      <c r="D69" t="str">
        <f>VLOOKUP(B69, Products!$A$2:$C$100, 2, FALSE)</f>
        <v>Ritchey Timberwolf Frameset - 2016</v>
      </c>
      <c r="E69">
        <v>2</v>
      </c>
      <c r="F69">
        <v>1549</v>
      </c>
      <c r="G69">
        <v>0.2</v>
      </c>
      <c r="H69">
        <v>309.8</v>
      </c>
      <c r="I69">
        <f>order_items[[#This Row],[list_price]]-order_items[[#This Row],[Discounted_price]]</f>
        <v>1239.2</v>
      </c>
      <c r="J69">
        <f>VLOOKUP(B69, Products!$A$2:$E$100, 3, FALSE)</f>
        <v>5</v>
      </c>
      <c r="K69">
        <f>VLOOKUP(B69, Products!$A$2:$F$100, 4, FALSE)</f>
        <v>6</v>
      </c>
    </row>
    <row r="70" spans="1:11" x14ac:dyDescent="0.3">
      <c r="A70">
        <v>25</v>
      </c>
      <c r="B70">
        <v>3</v>
      </c>
      <c r="C70">
        <v>22</v>
      </c>
      <c r="D70" t="str">
        <f>VLOOKUP(B70, Products!$A$2:$C$100, 2, FALSE)</f>
        <v>Surly Wednesday Frameset - 2016</v>
      </c>
      <c r="E70">
        <v>1</v>
      </c>
      <c r="F70">
        <v>269.99</v>
      </c>
      <c r="G70">
        <v>0.2</v>
      </c>
      <c r="H70">
        <v>53.998000000000005</v>
      </c>
      <c r="I70">
        <f>order_items[[#This Row],[list_price]]-order_items[[#This Row],[Discounted_price]]</f>
        <v>215.99200000000002</v>
      </c>
      <c r="J70">
        <f>VLOOKUP(B70, Products!$A$2:$E$100, 3, FALSE)</f>
        <v>8</v>
      </c>
      <c r="K70">
        <f>VLOOKUP(B70, Products!$A$2:$F$100, 4, FALSE)</f>
        <v>6</v>
      </c>
    </row>
    <row r="71" spans="1:11" x14ac:dyDescent="0.3">
      <c r="A71">
        <v>25</v>
      </c>
      <c r="B71">
        <v>4</v>
      </c>
      <c r="C71">
        <v>14</v>
      </c>
      <c r="D71" t="str">
        <f>VLOOKUP(B71, Products!$A$2:$C$100, 2, FALSE)</f>
        <v>Trek Fuel EX 8 29 - 2016</v>
      </c>
      <c r="E71">
        <v>1</v>
      </c>
      <c r="F71">
        <v>269.99</v>
      </c>
      <c r="G71">
        <v>0.2</v>
      </c>
      <c r="H71">
        <v>53.998000000000005</v>
      </c>
      <c r="I71">
        <f>order_items[[#This Row],[list_price]]-order_items[[#This Row],[Discounted_price]]</f>
        <v>215.99200000000002</v>
      </c>
      <c r="J71">
        <f>VLOOKUP(B71, Products!$A$2:$E$100, 3, FALSE)</f>
        <v>9</v>
      </c>
      <c r="K71">
        <f>VLOOKUP(B71, Products!$A$2:$F$100, 4, FALSE)</f>
        <v>6</v>
      </c>
    </row>
    <row r="72" spans="1:11" x14ac:dyDescent="0.3">
      <c r="A72">
        <v>25</v>
      </c>
      <c r="B72">
        <v>5</v>
      </c>
      <c r="C72">
        <v>21</v>
      </c>
      <c r="D72" t="str">
        <f>VLOOKUP(B72, Products!$A$2:$C$100, 2, FALSE)</f>
        <v>Heller Shagamaw Frame - 2016</v>
      </c>
      <c r="E72">
        <v>1</v>
      </c>
      <c r="F72">
        <v>269.99</v>
      </c>
      <c r="G72">
        <v>0.1</v>
      </c>
      <c r="H72">
        <v>26.999000000000002</v>
      </c>
      <c r="I72">
        <f>order_items[[#This Row],[list_price]]-order_items[[#This Row],[Discounted_price]]</f>
        <v>242.99100000000001</v>
      </c>
      <c r="J72">
        <f>VLOOKUP(B72, Products!$A$2:$E$100, 3, FALSE)</f>
        <v>3</v>
      </c>
      <c r="K72">
        <f>VLOOKUP(B72, Products!$A$2:$F$100, 4, FALSE)</f>
        <v>6</v>
      </c>
    </row>
    <row r="73" spans="1:11" x14ac:dyDescent="0.3">
      <c r="A73">
        <v>26</v>
      </c>
      <c r="B73">
        <v>1</v>
      </c>
      <c r="C73">
        <v>7</v>
      </c>
      <c r="D73" t="str">
        <f>VLOOKUP(B73, Products!$A$2:$C$100, 2, FALSE)</f>
        <v>Trek 820 - 2016</v>
      </c>
      <c r="E73">
        <v>1</v>
      </c>
      <c r="F73">
        <v>3999.99</v>
      </c>
      <c r="G73">
        <v>0.05</v>
      </c>
      <c r="H73">
        <v>199.99950000000001</v>
      </c>
      <c r="I73">
        <f>order_items[[#This Row],[list_price]]-order_items[[#This Row],[Discounted_price]]</f>
        <v>3799.9904999999999</v>
      </c>
      <c r="J73">
        <f>VLOOKUP(B73, Products!$A$2:$E$100, 3, FALSE)</f>
        <v>9</v>
      </c>
      <c r="K73">
        <f>VLOOKUP(B73, Products!$A$2:$F$100, 4, FALSE)</f>
        <v>6</v>
      </c>
    </row>
    <row r="74" spans="1:11" x14ac:dyDescent="0.3">
      <c r="A74">
        <v>26</v>
      </c>
      <c r="B74">
        <v>2</v>
      </c>
      <c r="C74">
        <v>2</v>
      </c>
      <c r="D74" t="str">
        <f>VLOOKUP(B74, Products!$A$2:$C$100, 2, FALSE)</f>
        <v>Ritchey Timberwolf Frameset - 2016</v>
      </c>
      <c r="E74">
        <v>1</v>
      </c>
      <c r="F74">
        <v>749.99</v>
      </c>
      <c r="G74">
        <v>0.2</v>
      </c>
      <c r="H74">
        <v>149.99800000000002</v>
      </c>
      <c r="I74">
        <f>order_items[[#This Row],[list_price]]-order_items[[#This Row],[Discounted_price]]</f>
        <v>599.99199999999996</v>
      </c>
      <c r="J74">
        <f>VLOOKUP(B74, Products!$A$2:$E$100, 3, FALSE)</f>
        <v>5</v>
      </c>
      <c r="K74">
        <f>VLOOKUP(B74, Products!$A$2:$F$100, 4, FALSE)</f>
        <v>6</v>
      </c>
    </row>
    <row r="75" spans="1:11" x14ac:dyDescent="0.3">
      <c r="A75">
        <v>26</v>
      </c>
      <c r="B75">
        <v>3</v>
      </c>
      <c r="C75">
        <v>12</v>
      </c>
      <c r="D75" t="str">
        <f>VLOOKUP(B75, Products!$A$2:$C$100, 2, FALSE)</f>
        <v>Surly Wednesday Frameset - 2016</v>
      </c>
      <c r="E75">
        <v>1</v>
      </c>
      <c r="F75">
        <v>549.99</v>
      </c>
      <c r="G75">
        <v>0.2</v>
      </c>
      <c r="H75">
        <v>109.998</v>
      </c>
      <c r="I75">
        <f>order_items[[#This Row],[list_price]]-order_items[[#This Row],[Discounted_price]]</f>
        <v>439.99200000000002</v>
      </c>
      <c r="J75">
        <f>VLOOKUP(B75, Products!$A$2:$E$100, 3, FALSE)</f>
        <v>8</v>
      </c>
      <c r="K75">
        <f>VLOOKUP(B75, Products!$A$2:$F$100, 4, FALSE)</f>
        <v>6</v>
      </c>
    </row>
    <row r="76" spans="1:11" x14ac:dyDescent="0.3">
      <c r="A76">
        <v>26</v>
      </c>
      <c r="B76">
        <v>4</v>
      </c>
      <c r="C76">
        <v>21</v>
      </c>
      <c r="D76" t="str">
        <f>VLOOKUP(B76, Products!$A$2:$C$100, 2, FALSE)</f>
        <v>Trek Fuel EX 8 29 - 2016</v>
      </c>
      <c r="E76">
        <v>2</v>
      </c>
      <c r="F76">
        <v>269.99</v>
      </c>
      <c r="G76">
        <v>7.0000000000000007E-2</v>
      </c>
      <c r="H76">
        <v>18.899300000000004</v>
      </c>
      <c r="I76">
        <f>order_items[[#This Row],[list_price]]-order_items[[#This Row],[Discounted_price]]</f>
        <v>251.0907</v>
      </c>
      <c r="J76">
        <f>VLOOKUP(B76, Products!$A$2:$E$100, 3, FALSE)</f>
        <v>9</v>
      </c>
      <c r="K76">
        <f>VLOOKUP(B76, Products!$A$2:$F$100, 4, FALSE)</f>
        <v>6</v>
      </c>
    </row>
    <row r="77" spans="1:11" x14ac:dyDescent="0.3">
      <c r="A77">
        <v>27</v>
      </c>
      <c r="B77">
        <v>1</v>
      </c>
      <c r="C77">
        <v>5</v>
      </c>
      <c r="D77" t="str">
        <f>VLOOKUP(B77, Products!$A$2:$C$100, 2, FALSE)</f>
        <v>Trek 820 - 2016</v>
      </c>
      <c r="E77">
        <v>1</v>
      </c>
      <c r="F77">
        <v>1320.99</v>
      </c>
      <c r="G77">
        <v>0.2</v>
      </c>
      <c r="H77">
        <v>264.19800000000004</v>
      </c>
      <c r="I77">
        <f>order_items[[#This Row],[list_price]]-order_items[[#This Row],[Discounted_price]]</f>
        <v>1056.7919999999999</v>
      </c>
      <c r="J77">
        <f>VLOOKUP(B77, Products!$A$2:$E$100, 3, FALSE)</f>
        <v>9</v>
      </c>
      <c r="K77">
        <f>VLOOKUP(B77, Products!$A$2:$F$100, 4, FALSE)</f>
        <v>6</v>
      </c>
    </row>
    <row r="78" spans="1:11" x14ac:dyDescent="0.3">
      <c r="A78">
        <v>27</v>
      </c>
      <c r="B78">
        <v>2</v>
      </c>
      <c r="C78">
        <v>19</v>
      </c>
      <c r="D78" t="str">
        <f>VLOOKUP(B78, Products!$A$2:$C$100, 2, FALSE)</f>
        <v>Ritchey Timberwolf Frameset - 2016</v>
      </c>
      <c r="E78">
        <v>1</v>
      </c>
      <c r="F78">
        <v>449</v>
      </c>
      <c r="G78">
        <v>0.2</v>
      </c>
      <c r="H78">
        <v>89.800000000000011</v>
      </c>
      <c r="I78">
        <f>order_items[[#This Row],[list_price]]-order_items[[#This Row],[Discounted_price]]</f>
        <v>359.2</v>
      </c>
      <c r="J78">
        <f>VLOOKUP(B78, Products!$A$2:$E$100, 3, FALSE)</f>
        <v>5</v>
      </c>
      <c r="K78">
        <f>VLOOKUP(B78, Products!$A$2:$F$100, 4, FALSE)</f>
        <v>6</v>
      </c>
    </row>
    <row r="79" spans="1:11" x14ac:dyDescent="0.3">
      <c r="A79">
        <v>27</v>
      </c>
      <c r="B79">
        <v>3</v>
      </c>
      <c r="C79">
        <v>26</v>
      </c>
      <c r="D79" t="str">
        <f>VLOOKUP(B79, Products!$A$2:$C$100, 2, FALSE)</f>
        <v>Surly Wednesday Frameset - 2016</v>
      </c>
      <c r="E79">
        <v>2</v>
      </c>
      <c r="F79">
        <v>599.99</v>
      </c>
      <c r="G79">
        <v>7.0000000000000007E-2</v>
      </c>
      <c r="H79">
        <v>41.999300000000005</v>
      </c>
      <c r="I79">
        <f>order_items[[#This Row],[list_price]]-order_items[[#This Row],[Discounted_price]]</f>
        <v>557.99070000000006</v>
      </c>
      <c r="J79">
        <f>VLOOKUP(B79, Products!$A$2:$E$100, 3, FALSE)</f>
        <v>8</v>
      </c>
      <c r="K79">
        <f>VLOOKUP(B79, Products!$A$2:$F$100, 4, FALSE)</f>
        <v>6</v>
      </c>
    </row>
    <row r="80" spans="1:11" x14ac:dyDescent="0.3">
      <c r="A80">
        <v>27</v>
      </c>
      <c r="B80">
        <v>4</v>
      </c>
      <c r="C80">
        <v>8</v>
      </c>
      <c r="D80" t="str">
        <f>VLOOKUP(B80, Products!$A$2:$C$100, 2, FALSE)</f>
        <v>Trek Fuel EX 8 29 - 2016</v>
      </c>
      <c r="E80">
        <v>1</v>
      </c>
      <c r="F80">
        <v>1799.99</v>
      </c>
      <c r="G80">
        <v>7.0000000000000007E-2</v>
      </c>
      <c r="H80">
        <v>125.99930000000002</v>
      </c>
      <c r="I80">
        <f>order_items[[#This Row],[list_price]]-order_items[[#This Row],[Discounted_price]]</f>
        <v>1673.9907000000001</v>
      </c>
      <c r="J80">
        <f>VLOOKUP(B80, Products!$A$2:$E$100, 3, FALSE)</f>
        <v>9</v>
      </c>
      <c r="K80">
        <f>VLOOKUP(B80, Products!$A$2:$F$100, 4, FALSE)</f>
        <v>6</v>
      </c>
    </row>
    <row r="81" spans="1:11" x14ac:dyDescent="0.3">
      <c r="A81">
        <v>28</v>
      </c>
      <c r="B81">
        <v>1</v>
      </c>
      <c r="C81">
        <v>5</v>
      </c>
      <c r="D81" t="str">
        <f>VLOOKUP(B81, Products!$A$2:$C$100, 2, FALSE)</f>
        <v>Trek 820 - 2016</v>
      </c>
      <c r="E81">
        <v>1</v>
      </c>
      <c r="F81">
        <v>1320.99</v>
      </c>
      <c r="G81">
        <v>0.05</v>
      </c>
      <c r="H81">
        <v>66.049500000000009</v>
      </c>
      <c r="I81">
        <f>order_items[[#This Row],[list_price]]-order_items[[#This Row],[Discounted_price]]</f>
        <v>1254.9404999999999</v>
      </c>
      <c r="J81">
        <f>VLOOKUP(B81, Products!$A$2:$E$100, 3, FALSE)</f>
        <v>9</v>
      </c>
      <c r="K81">
        <f>VLOOKUP(B81, Products!$A$2:$F$100, 4, FALSE)</f>
        <v>6</v>
      </c>
    </row>
    <row r="82" spans="1:11" x14ac:dyDescent="0.3">
      <c r="A82">
        <v>28</v>
      </c>
      <c r="B82">
        <v>2</v>
      </c>
      <c r="C82">
        <v>7</v>
      </c>
      <c r="D82" t="str">
        <f>VLOOKUP(B82, Products!$A$2:$C$100, 2, FALSE)</f>
        <v>Ritchey Timberwolf Frameset - 2016</v>
      </c>
      <c r="E82">
        <v>2</v>
      </c>
      <c r="F82">
        <v>3999.99</v>
      </c>
      <c r="G82">
        <v>0.2</v>
      </c>
      <c r="H82">
        <v>799.99800000000005</v>
      </c>
      <c r="I82">
        <f>order_items[[#This Row],[list_price]]-order_items[[#This Row],[Discounted_price]]</f>
        <v>3199.9919999999997</v>
      </c>
      <c r="J82">
        <f>VLOOKUP(B82, Products!$A$2:$E$100, 3, FALSE)</f>
        <v>5</v>
      </c>
      <c r="K82">
        <f>VLOOKUP(B82, Products!$A$2:$F$100, 4, FALSE)</f>
        <v>6</v>
      </c>
    </row>
    <row r="83" spans="1:11" x14ac:dyDescent="0.3">
      <c r="A83">
        <v>28</v>
      </c>
      <c r="B83">
        <v>3</v>
      </c>
      <c r="C83">
        <v>14</v>
      </c>
      <c r="D83" t="str">
        <f>VLOOKUP(B83, Products!$A$2:$C$100, 2, FALSE)</f>
        <v>Surly Wednesday Frameset - 2016</v>
      </c>
      <c r="E83">
        <v>2</v>
      </c>
      <c r="F83">
        <v>269.99</v>
      </c>
      <c r="G83">
        <v>0.1</v>
      </c>
      <c r="H83">
        <v>26.999000000000002</v>
      </c>
      <c r="I83">
        <f>order_items[[#This Row],[list_price]]-order_items[[#This Row],[Discounted_price]]</f>
        <v>242.99100000000001</v>
      </c>
      <c r="J83">
        <f>VLOOKUP(B83, Products!$A$2:$E$100, 3, FALSE)</f>
        <v>8</v>
      </c>
      <c r="K83">
        <f>VLOOKUP(B83, Products!$A$2:$F$100, 4, FALSE)</f>
        <v>6</v>
      </c>
    </row>
    <row r="84" spans="1:11" x14ac:dyDescent="0.3">
      <c r="A84">
        <v>28</v>
      </c>
      <c r="B84">
        <v>4</v>
      </c>
      <c r="C84">
        <v>6</v>
      </c>
      <c r="D84" t="str">
        <f>VLOOKUP(B84, Products!$A$2:$C$100, 2, FALSE)</f>
        <v>Trek Fuel EX 8 29 - 2016</v>
      </c>
      <c r="E84">
        <v>1</v>
      </c>
      <c r="F84">
        <v>469.99</v>
      </c>
      <c r="G84">
        <v>0.05</v>
      </c>
      <c r="H84">
        <v>23.499500000000001</v>
      </c>
      <c r="I84">
        <f>order_items[[#This Row],[list_price]]-order_items[[#This Row],[Discounted_price]]</f>
        <v>446.4905</v>
      </c>
      <c r="J84">
        <f>VLOOKUP(B84, Products!$A$2:$E$100, 3, FALSE)</f>
        <v>9</v>
      </c>
      <c r="K84">
        <f>VLOOKUP(B84, Products!$A$2:$F$100, 4, FALSE)</f>
        <v>6</v>
      </c>
    </row>
    <row r="85" spans="1:11" x14ac:dyDescent="0.3">
      <c r="A85">
        <v>29</v>
      </c>
      <c r="B85">
        <v>1</v>
      </c>
      <c r="C85">
        <v>24</v>
      </c>
      <c r="D85" t="str">
        <f>VLOOKUP(B85, Products!$A$2:$C$100, 2, FALSE)</f>
        <v>Trek 820 - 2016</v>
      </c>
      <c r="E85">
        <v>2</v>
      </c>
      <c r="F85">
        <v>549.99</v>
      </c>
      <c r="G85">
        <v>0.05</v>
      </c>
      <c r="H85">
        <v>27.499500000000001</v>
      </c>
      <c r="I85">
        <f>order_items[[#This Row],[list_price]]-order_items[[#This Row],[Discounted_price]]</f>
        <v>522.4905</v>
      </c>
      <c r="J85">
        <f>VLOOKUP(B85, Products!$A$2:$E$100, 3, FALSE)</f>
        <v>9</v>
      </c>
      <c r="K85">
        <f>VLOOKUP(B85, Products!$A$2:$F$100, 4, FALSE)</f>
        <v>6</v>
      </c>
    </row>
    <row r="86" spans="1:11" x14ac:dyDescent="0.3">
      <c r="A86">
        <v>29</v>
      </c>
      <c r="B86">
        <v>2</v>
      </c>
      <c r="C86">
        <v>6</v>
      </c>
      <c r="D86" t="str">
        <f>VLOOKUP(B86, Products!$A$2:$C$100, 2, FALSE)</f>
        <v>Ritchey Timberwolf Frameset - 2016</v>
      </c>
      <c r="E86">
        <v>1</v>
      </c>
      <c r="F86">
        <v>469.99</v>
      </c>
      <c r="G86">
        <v>0.2</v>
      </c>
      <c r="H86">
        <v>93.998000000000005</v>
      </c>
      <c r="I86">
        <f>order_items[[#This Row],[list_price]]-order_items[[#This Row],[Discounted_price]]</f>
        <v>375.99200000000002</v>
      </c>
      <c r="J86">
        <f>VLOOKUP(B86, Products!$A$2:$E$100, 3, FALSE)</f>
        <v>5</v>
      </c>
      <c r="K86">
        <f>VLOOKUP(B86, Products!$A$2:$F$100, 4, FALSE)</f>
        <v>6</v>
      </c>
    </row>
    <row r="87" spans="1:11" x14ac:dyDescent="0.3">
      <c r="A87">
        <v>29</v>
      </c>
      <c r="B87">
        <v>3</v>
      </c>
      <c r="C87">
        <v>21</v>
      </c>
      <c r="D87" t="str">
        <f>VLOOKUP(B87, Products!$A$2:$C$100, 2, FALSE)</f>
        <v>Surly Wednesday Frameset - 2016</v>
      </c>
      <c r="E87">
        <v>2</v>
      </c>
      <c r="F87">
        <v>269.99</v>
      </c>
      <c r="G87">
        <v>0.1</v>
      </c>
      <c r="H87">
        <v>26.999000000000002</v>
      </c>
      <c r="I87">
        <f>order_items[[#This Row],[list_price]]-order_items[[#This Row],[Discounted_price]]</f>
        <v>242.99100000000001</v>
      </c>
      <c r="J87">
        <f>VLOOKUP(B87, Products!$A$2:$E$100, 3, FALSE)</f>
        <v>8</v>
      </c>
      <c r="K87">
        <f>VLOOKUP(B87, Products!$A$2:$F$100, 4, FALSE)</f>
        <v>6</v>
      </c>
    </row>
    <row r="88" spans="1:11" x14ac:dyDescent="0.3">
      <c r="A88">
        <v>29</v>
      </c>
      <c r="B88">
        <v>4</v>
      </c>
      <c r="C88">
        <v>8</v>
      </c>
      <c r="D88" t="str">
        <f>VLOOKUP(B88, Products!$A$2:$C$100, 2, FALSE)</f>
        <v>Trek Fuel EX 8 29 - 2016</v>
      </c>
      <c r="E88">
        <v>1</v>
      </c>
      <c r="F88">
        <v>1799.99</v>
      </c>
      <c r="G88">
        <v>0.2</v>
      </c>
      <c r="H88">
        <v>359.99800000000005</v>
      </c>
      <c r="I88">
        <f>order_items[[#This Row],[list_price]]-order_items[[#This Row],[Discounted_price]]</f>
        <v>1439.992</v>
      </c>
      <c r="J88">
        <f>VLOOKUP(B88, Products!$A$2:$E$100, 3, FALSE)</f>
        <v>9</v>
      </c>
      <c r="K88">
        <f>VLOOKUP(B88, Products!$A$2:$F$100, 4, FALSE)</f>
        <v>6</v>
      </c>
    </row>
    <row r="89" spans="1:11" x14ac:dyDescent="0.3">
      <c r="A89">
        <v>29</v>
      </c>
      <c r="B89">
        <v>5</v>
      </c>
      <c r="C89">
        <v>14</v>
      </c>
      <c r="D89" t="str">
        <f>VLOOKUP(B89, Products!$A$2:$C$100, 2, FALSE)</f>
        <v>Heller Shagamaw Frame - 2016</v>
      </c>
      <c r="E89">
        <v>2</v>
      </c>
      <c r="F89">
        <v>269.99</v>
      </c>
      <c r="G89">
        <v>0.05</v>
      </c>
      <c r="H89">
        <v>13.499500000000001</v>
      </c>
      <c r="I89">
        <f>order_items[[#This Row],[list_price]]-order_items[[#This Row],[Discounted_price]]</f>
        <v>256.4905</v>
      </c>
      <c r="J89">
        <f>VLOOKUP(B89, Products!$A$2:$E$100, 3, FALSE)</f>
        <v>3</v>
      </c>
      <c r="K89">
        <f>VLOOKUP(B89, Products!$A$2:$F$100, 4, FALSE)</f>
        <v>6</v>
      </c>
    </row>
    <row r="90" spans="1:11" x14ac:dyDescent="0.3">
      <c r="A90">
        <v>30</v>
      </c>
      <c r="B90">
        <v>1</v>
      </c>
      <c r="C90">
        <v>26</v>
      </c>
      <c r="D90" t="str">
        <f>VLOOKUP(B90, Products!$A$2:$C$100, 2, FALSE)</f>
        <v>Trek 820 - 2016</v>
      </c>
      <c r="E90">
        <v>1</v>
      </c>
      <c r="F90">
        <v>599.99</v>
      </c>
      <c r="G90">
        <v>0.05</v>
      </c>
      <c r="H90">
        <v>29.999500000000001</v>
      </c>
      <c r="I90">
        <f>order_items[[#This Row],[list_price]]-order_items[[#This Row],[Discounted_price]]</f>
        <v>569.9905</v>
      </c>
      <c r="J90">
        <f>VLOOKUP(B90, Products!$A$2:$E$100, 3, FALSE)</f>
        <v>9</v>
      </c>
      <c r="K90">
        <f>VLOOKUP(B90, Products!$A$2:$F$100, 4, FALSE)</f>
        <v>6</v>
      </c>
    </row>
    <row r="91" spans="1:11" x14ac:dyDescent="0.3">
      <c r="A91">
        <v>30</v>
      </c>
      <c r="B91">
        <v>2</v>
      </c>
      <c r="C91">
        <v>17</v>
      </c>
      <c r="D91" t="str">
        <f>VLOOKUP(B91, Products!$A$2:$C$100, 2, FALSE)</f>
        <v>Ritchey Timberwolf Frameset - 2016</v>
      </c>
      <c r="E91">
        <v>1</v>
      </c>
      <c r="F91">
        <v>429</v>
      </c>
      <c r="G91">
        <v>7.0000000000000007E-2</v>
      </c>
      <c r="H91">
        <v>30.03</v>
      </c>
      <c r="I91">
        <f>order_items[[#This Row],[list_price]]-order_items[[#This Row],[Discounted_price]]</f>
        <v>398.97</v>
      </c>
      <c r="J91">
        <f>VLOOKUP(B91, Products!$A$2:$E$100, 3, FALSE)</f>
        <v>5</v>
      </c>
      <c r="K91">
        <f>VLOOKUP(B91, Products!$A$2:$F$100, 4, FALSE)</f>
        <v>6</v>
      </c>
    </row>
    <row r="92" spans="1:11" x14ac:dyDescent="0.3">
      <c r="A92">
        <v>30</v>
      </c>
      <c r="B92">
        <v>3</v>
      </c>
      <c r="C92">
        <v>19</v>
      </c>
      <c r="D92" t="str">
        <f>VLOOKUP(B92, Products!$A$2:$C$100, 2, FALSE)</f>
        <v>Surly Wednesday Frameset - 2016</v>
      </c>
      <c r="E92">
        <v>1</v>
      </c>
      <c r="F92">
        <v>449</v>
      </c>
      <c r="G92">
        <v>0.1</v>
      </c>
      <c r="H92">
        <v>44.900000000000006</v>
      </c>
      <c r="I92">
        <f>order_items[[#This Row],[list_price]]-order_items[[#This Row],[Discounted_price]]</f>
        <v>404.1</v>
      </c>
      <c r="J92">
        <f>VLOOKUP(B92, Products!$A$2:$E$100, 3, FALSE)</f>
        <v>8</v>
      </c>
      <c r="K92">
        <f>VLOOKUP(B92, Products!$A$2:$F$100, 4, FALSE)</f>
        <v>6</v>
      </c>
    </row>
    <row r="93" spans="1:11" x14ac:dyDescent="0.3">
      <c r="A93">
        <v>30</v>
      </c>
      <c r="B93">
        <v>4</v>
      </c>
      <c r="C93">
        <v>4</v>
      </c>
      <c r="D93" t="str">
        <f>VLOOKUP(B93, Products!$A$2:$C$100, 2, FALSE)</f>
        <v>Trek Fuel EX 8 29 - 2016</v>
      </c>
      <c r="E93">
        <v>1</v>
      </c>
      <c r="F93">
        <v>2899.99</v>
      </c>
      <c r="G93">
        <v>0.1</v>
      </c>
      <c r="H93">
        <v>289.99899999999997</v>
      </c>
      <c r="I93">
        <f>order_items[[#This Row],[list_price]]-order_items[[#This Row],[Discounted_price]]</f>
        <v>2609.991</v>
      </c>
      <c r="J93">
        <f>VLOOKUP(B93, Products!$A$2:$E$100, 3, FALSE)</f>
        <v>9</v>
      </c>
      <c r="K93">
        <f>VLOOKUP(B93, Products!$A$2:$F$100, 4, FALSE)</f>
        <v>6</v>
      </c>
    </row>
    <row r="94" spans="1:11" x14ac:dyDescent="0.3">
      <c r="A94">
        <v>30</v>
      </c>
      <c r="B94">
        <v>5</v>
      </c>
      <c r="C94">
        <v>7</v>
      </c>
      <c r="D94" t="str">
        <f>VLOOKUP(B94, Products!$A$2:$C$100, 2, FALSE)</f>
        <v>Heller Shagamaw Frame - 2016</v>
      </c>
      <c r="E94">
        <v>2</v>
      </c>
      <c r="F94">
        <v>3999.99</v>
      </c>
      <c r="G94">
        <v>0.1</v>
      </c>
      <c r="H94">
        <v>399.99900000000002</v>
      </c>
      <c r="I94">
        <f>order_items[[#This Row],[list_price]]-order_items[[#This Row],[Discounted_price]]</f>
        <v>3599.991</v>
      </c>
      <c r="J94">
        <f>VLOOKUP(B94, Products!$A$2:$E$100, 3, FALSE)</f>
        <v>3</v>
      </c>
      <c r="K94">
        <f>VLOOKUP(B94, Products!$A$2:$F$100, 4, FALSE)</f>
        <v>6</v>
      </c>
    </row>
    <row r="95" spans="1:11" x14ac:dyDescent="0.3">
      <c r="A95">
        <v>31</v>
      </c>
      <c r="B95">
        <v>1</v>
      </c>
      <c r="C95">
        <v>11</v>
      </c>
      <c r="D95" t="str">
        <f>VLOOKUP(B95, Products!$A$2:$C$100, 2, FALSE)</f>
        <v>Trek 820 - 2016</v>
      </c>
      <c r="E95">
        <v>2</v>
      </c>
      <c r="F95">
        <v>1680.99</v>
      </c>
      <c r="G95">
        <v>0.05</v>
      </c>
      <c r="H95">
        <v>84.049500000000009</v>
      </c>
      <c r="I95">
        <f>order_items[[#This Row],[list_price]]-order_items[[#This Row],[Discounted_price]]</f>
        <v>1596.9404999999999</v>
      </c>
      <c r="J95">
        <f>VLOOKUP(B95, Products!$A$2:$E$100, 3, FALSE)</f>
        <v>9</v>
      </c>
      <c r="K95">
        <f>VLOOKUP(B95, Products!$A$2:$F$100, 4, FALSE)</f>
        <v>6</v>
      </c>
    </row>
    <row r="96" spans="1:11" x14ac:dyDescent="0.3">
      <c r="A96">
        <v>31</v>
      </c>
      <c r="B96">
        <v>2</v>
      </c>
      <c r="C96">
        <v>9</v>
      </c>
      <c r="D96" t="str">
        <f>VLOOKUP(B96, Products!$A$2:$C$100, 2, FALSE)</f>
        <v>Ritchey Timberwolf Frameset - 2016</v>
      </c>
      <c r="E96">
        <v>2</v>
      </c>
      <c r="F96">
        <v>2999.99</v>
      </c>
      <c r="G96">
        <v>0.2</v>
      </c>
      <c r="H96">
        <v>599.99799999999993</v>
      </c>
      <c r="I96">
        <f>order_items[[#This Row],[list_price]]-order_items[[#This Row],[Discounted_price]]</f>
        <v>2399.9919999999997</v>
      </c>
      <c r="J96">
        <f>VLOOKUP(B96, Products!$A$2:$E$100, 3, FALSE)</f>
        <v>5</v>
      </c>
      <c r="K96">
        <f>VLOOKUP(B96, Products!$A$2:$F$100, 4, FALSE)</f>
        <v>6</v>
      </c>
    </row>
    <row r="97" spans="1:11" x14ac:dyDescent="0.3">
      <c r="A97">
        <v>32</v>
      </c>
      <c r="B97">
        <v>1</v>
      </c>
      <c r="C97">
        <v>8</v>
      </c>
      <c r="D97" t="str">
        <f>VLOOKUP(B97, Products!$A$2:$C$100, 2, FALSE)</f>
        <v>Trek 820 - 2016</v>
      </c>
      <c r="E97">
        <v>2</v>
      </c>
      <c r="F97">
        <v>1799.99</v>
      </c>
      <c r="G97">
        <v>7.0000000000000007E-2</v>
      </c>
      <c r="H97">
        <v>125.99930000000002</v>
      </c>
      <c r="I97">
        <f>order_items[[#This Row],[list_price]]-order_items[[#This Row],[Discounted_price]]</f>
        <v>1673.9907000000001</v>
      </c>
      <c r="J97">
        <f>VLOOKUP(B97, Products!$A$2:$E$100, 3, FALSE)</f>
        <v>9</v>
      </c>
      <c r="K97">
        <f>VLOOKUP(B97, Products!$A$2:$F$100, 4, FALSE)</f>
        <v>6</v>
      </c>
    </row>
    <row r="98" spans="1:11" x14ac:dyDescent="0.3">
      <c r="A98">
        <v>32</v>
      </c>
      <c r="B98">
        <v>2</v>
      </c>
      <c r="C98">
        <v>12</v>
      </c>
      <c r="D98" t="str">
        <f>VLOOKUP(B98, Products!$A$2:$C$100, 2, FALSE)</f>
        <v>Ritchey Timberwolf Frameset - 2016</v>
      </c>
      <c r="E98">
        <v>2</v>
      </c>
      <c r="F98">
        <v>549.99</v>
      </c>
      <c r="G98">
        <v>7.0000000000000007E-2</v>
      </c>
      <c r="H98">
        <v>38.499300000000005</v>
      </c>
      <c r="I98">
        <f>order_items[[#This Row],[list_price]]-order_items[[#This Row],[Discounted_price]]</f>
        <v>511.4907</v>
      </c>
      <c r="J98">
        <f>VLOOKUP(B98, Products!$A$2:$E$100, 3, FALSE)</f>
        <v>5</v>
      </c>
      <c r="K98">
        <f>VLOOKUP(B98, Products!$A$2:$F$100, 4, FALSE)</f>
        <v>6</v>
      </c>
    </row>
    <row r="99" spans="1:11" x14ac:dyDescent="0.3">
      <c r="A99">
        <v>32</v>
      </c>
      <c r="B99">
        <v>3</v>
      </c>
      <c r="C99">
        <v>25</v>
      </c>
      <c r="D99" t="str">
        <f>VLOOKUP(B99, Products!$A$2:$C$100, 2, FALSE)</f>
        <v>Surly Wednesday Frameset - 2016</v>
      </c>
      <c r="E99">
        <v>2</v>
      </c>
      <c r="F99">
        <v>499.99</v>
      </c>
      <c r="G99">
        <v>0.1</v>
      </c>
      <c r="H99">
        <v>49.999000000000002</v>
      </c>
      <c r="I99">
        <f>order_items[[#This Row],[list_price]]-order_items[[#This Row],[Discounted_price]]</f>
        <v>449.99099999999999</v>
      </c>
      <c r="J99">
        <f>VLOOKUP(B99, Products!$A$2:$E$100, 3, FALSE)</f>
        <v>8</v>
      </c>
      <c r="K99">
        <f>VLOOKUP(B99, Products!$A$2:$F$100, 4, FALSE)</f>
        <v>6</v>
      </c>
    </row>
    <row r="100" spans="1:11" x14ac:dyDescent="0.3">
      <c r="A100">
        <v>33</v>
      </c>
      <c r="B100">
        <v>1</v>
      </c>
      <c r="C100">
        <v>23</v>
      </c>
      <c r="D100" t="str">
        <f>VLOOKUP(B100, Products!$A$2:$C$100, 2, FALSE)</f>
        <v>Trek 820 - 2016</v>
      </c>
      <c r="E100">
        <v>2</v>
      </c>
      <c r="F100">
        <v>299.99</v>
      </c>
      <c r="G100">
        <v>7.0000000000000007E-2</v>
      </c>
      <c r="H100">
        <v>20.999300000000002</v>
      </c>
      <c r="I100">
        <f>order_items[[#This Row],[list_price]]-order_items[[#This Row],[Discounted_price]]</f>
        <v>278.9907</v>
      </c>
      <c r="J100">
        <f>VLOOKUP(B100, Products!$A$2:$E$100, 3, FALSE)</f>
        <v>9</v>
      </c>
      <c r="K100">
        <f>VLOOKUP(B100, Products!$A$2:$F$100, 4, FALSE)</f>
        <v>6</v>
      </c>
    </row>
    <row r="101" spans="1:11" x14ac:dyDescent="0.3">
      <c r="A101">
        <v>33</v>
      </c>
      <c r="B101">
        <v>2</v>
      </c>
      <c r="C101">
        <v>7</v>
      </c>
      <c r="D101" t="str">
        <f>VLOOKUP(B101, Products!$A$2:$C$100, 2, FALSE)</f>
        <v>Ritchey Timberwolf Frameset - 2016</v>
      </c>
      <c r="E101">
        <v>1</v>
      </c>
      <c r="F101">
        <v>3999.99</v>
      </c>
      <c r="G101">
        <v>0.1</v>
      </c>
      <c r="H101">
        <v>399.99900000000002</v>
      </c>
      <c r="I101">
        <f>order_items[[#This Row],[list_price]]-order_items[[#This Row],[Discounted_price]]</f>
        <v>3599.991</v>
      </c>
      <c r="J101">
        <f>VLOOKUP(B101, Products!$A$2:$E$100, 3, FALSE)</f>
        <v>5</v>
      </c>
      <c r="K101">
        <f>VLOOKUP(B101, Products!$A$2:$F$100, 4, FALSE)</f>
        <v>6</v>
      </c>
    </row>
    <row r="102" spans="1:11" x14ac:dyDescent="0.3">
      <c r="A102">
        <v>34</v>
      </c>
      <c r="B102">
        <v>1</v>
      </c>
      <c r="C102">
        <v>8</v>
      </c>
      <c r="D102" t="str">
        <f>VLOOKUP(B102, Products!$A$2:$C$100, 2, FALSE)</f>
        <v>Trek 820 - 2016</v>
      </c>
      <c r="E102">
        <v>2</v>
      </c>
      <c r="F102">
        <v>1799.99</v>
      </c>
      <c r="G102">
        <v>7.0000000000000007E-2</v>
      </c>
      <c r="H102">
        <v>125.99930000000002</v>
      </c>
      <c r="I102">
        <f>order_items[[#This Row],[list_price]]-order_items[[#This Row],[Discounted_price]]</f>
        <v>1673.9907000000001</v>
      </c>
      <c r="J102">
        <f>VLOOKUP(B102, Products!$A$2:$E$100, 3, FALSE)</f>
        <v>9</v>
      </c>
      <c r="K102">
        <f>VLOOKUP(B102, Products!$A$2:$F$100, 4, FALSE)</f>
        <v>6</v>
      </c>
    </row>
    <row r="103" spans="1:11" x14ac:dyDescent="0.3">
      <c r="A103">
        <v>34</v>
      </c>
      <c r="B103">
        <v>2</v>
      </c>
      <c r="C103">
        <v>10</v>
      </c>
      <c r="D103" t="str">
        <f>VLOOKUP(B103, Products!$A$2:$C$100, 2, FALSE)</f>
        <v>Ritchey Timberwolf Frameset - 2016</v>
      </c>
      <c r="E103">
        <v>2</v>
      </c>
      <c r="F103">
        <v>1549</v>
      </c>
      <c r="G103">
        <v>0.1</v>
      </c>
      <c r="H103">
        <v>154.9</v>
      </c>
      <c r="I103">
        <f>order_items[[#This Row],[list_price]]-order_items[[#This Row],[Discounted_price]]</f>
        <v>1394.1</v>
      </c>
      <c r="J103">
        <f>VLOOKUP(B103, Products!$A$2:$E$100, 3, FALSE)</f>
        <v>5</v>
      </c>
      <c r="K103">
        <f>VLOOKUP(B103, Products!$A$2:$F$100, 4, FALSE)</f>
        <v>6</v>
      </c>
    </row>
    <row r="104" spans="1:11" x14ac:dyDescent="0.3">
      <c r="A104">
        <v>34</v>
      </c>
      <c r="B104">
        <v>3</v>
      </c>
      <c r="C104">
        <v>17</v>
      </c>
      <c r="D104" t="str">
        <f>VLOOKUP(B104, Products!$A$2:$C$100, 2, FALSE)</f>
        <v>Surly Wednesday Frameset - 2016</v>
      </c>
      <c r="E104">
        <v>2</v>
      </c>
      <c r="F104">
        <v>429</v>
      </c>
      <c r="G104">
        <v>0.2</v>
      </c>
      <c r="H104">
        <v>85.800000000000011</v>
      </c>
      <c r="I104">
        <f>order_items[[#This Row],[list_price]]-order_items[[#This Row],[Discounted_price]]</f>
        <v>343.2</v>
      </c>
      <c r="J104">
        <f>VLOOKUP(B104, Products!$A$2:$E$100, 3, FALSE)</f>
        <v>8</v>
      </c>
      <c r="K104">
        <f>VLOOKUP(B104, Products!$A$2:$F$100, 4, FALSE)</f>
        <v>6</v>
      </c>
    </row>
    <row r="105" spans="1:11" x14ac:dyDescent="0.3">
      <c r="A105">
        <v>35</v>
      </c>
      <c r="B105">
        <v>1</v>
      </c>
      <c r="C105">
        <v>18</v>
      </c>
      <c r="D105" t="str">
        <f>VLOOKUP(B105, Products!$A$2:$C$100, 2, FALSE)</f>
        <v>Trek 820 - 2016</v>
      </c>
      <c r="E105">
        <v>1</v>
      </c>
      <c r="F105">
        <v>449</v>
      </c>
      <c r="G105">
        <v>0.05</v>
      </c>
      <c r="H105">
        <v>22.450000000000003</v>
      </c>
      <c r="I105">
        <f>order_items[[#This Row],[list_price]]-order_items[[#This Row],[Discounted_price]]</f>
        <v>426.55</v>
      </c>
      <c r="J105">
        <f>VLOOKUP(B105, Products!$A$2:$E$100, 3, FALSE)</f>
        <v>9</v>
      </c>
      <c r="K105">
        <f>VLOOKUP(B105, Products!$A$2:$F$100, 4, FALSE)</f>
        <v>6</v>
      </c>
    </row>
    <row r="106" spans="1:11" x14ac:dyDescent="0.3">
      <c r="A106">
        <v>35</v>
      </c>
      <c r="B106">
        <v>2</v>
      </c>
      <c r="C106">
        <v>20</v>
      </c>
      <c r="D106" t="str">
        <f>VLOOKUP(B106, Products!$A$2:$C$100, 2, FALSE)</f>
        <v>Ritchey Timberwolf Frameset - 2016</v>
      </c>
      <c r="E106">
        <v>2</v>
      </c>
      <c r="F106">
        <v>599.99</v>
      </c>
      <c r="G106">
        <v>0.05</v>
      </c>
      <c r="H106">
        <v>29.999500000000001</v>
      </c>
      <c r="I106">
        <f>order_items[[#This Row],[list_price]]-order_items[[#This Row],[Discounted_price]]</f>
        <v>569.9905</v>
      </c>
      <c r="J106">
        <f>VLOOKUP(B106, Products!$A$2:$E$100, 3, FALSE)</f>
        <v>5</v>
      </c>
      <c r="K106">
        <f>VLOOKUP(B106, Products!$A$2:$F$100, 4, FALSE)</f>
        <v>6</v>
      </c>
    </row>
    <row r="107" spans="1:11" x14ac:dyDescent="0.3">
      <c r="A107">
        <v>35</v>
      </c>
      <c r="B107">
        <v>3</v>
      </c>
      <c r="C107">
        <v>5</v>
      </c>
      <c r="D107" t="str">
        <f>VLOOKUP(B107, Products!$A$2:$C$100, 2, FALSE)</f>
        <v>Surly Wednesday Frameset - 2016</v>
      </c>
      <c r="E107">
        <v>1</v>
      </c>
      <c r="F107">
        <v>1320.99</v>
      </c>
      <c r="G107">
        <v>0.2</v>
      </c>
      <c r="H107">
        <v>264.19800000000004</v>
      </c>
      <c r="I107">
        <f>order_items[[#This Row],[list_price]]-order_items[[#This Row],[Discounted_price]]</f>
        <v>1056.7919999999999</v>
      </c>
      <c r="J107">
        <f>VLOOKUP(B107, Products!$A$2:$E$100, 3, FALSE)</f>
        <v>8</v>
      </c>
      <c r="K107">
        <f>VLOOKUP(B107, Products!$A$2:$F$100, 4, FALSE)</f>
        <v>6</v>
      </c>
    </row>
    <row r="108" spans="1:11" x14ac:dyDescent="0.3">
      <c r="A108">
        <v>35</v>
      </c>
      <c r="B108">
        <v>4</v>
      </c>
      <c r="C108">
        <v>21</v>
      </c>
      <c r="D108" t="str">
        <f>VLOOKUP(B108, Products!$A$2:$C$100, 2, FALSE)</f>
        <v>Trek Fuel EX 8 29 - 2016</v>
      </c>
      <c r="E108">
        <v>2</v>
      </c>
      <c r="F108">
        <v>269.99</v>
      </c>
      <c r="G108">
        <v>7.0000000000000007E-2</v>
      </c>
      <c r="H108">
        <v>18.899300000000004</v>
      </c>
      <c r="I108">
        <f>order_items[[#This Row],[list_price]]-order_items[[#This Row],[Discounted_price]]</f>
        <v>251.0907</v>
      </c>
      <c r="J108">
        <f>VLOOKUP(B108, Products!$A$2:$E$100, 3, FALSE)</f>
        <v>9</v>
      </c>
      <c r="K108">
        <f>VLOOKUP(B108, Products!$A$2:$F$100, 4, FALSE)</f>
        <v>6</v>
      </c>
    </row>
    <row r="109" spans="1:11" x14ac:dyDescent="0.3">
      <c r="A109">
        <v>35</v>
      </c>
      <c r="B109">
        <v>5</v>
      </c>
      <c r="C109">
        <v>22</v>
      </c>
      <c r="D109" t="str">
        <f>VLOOKUP(B109, Products!$A$2:$C$100, 2, FALSE)</f>
        <v>Heller Shagamaw Frame - 2016</v>
      </c>
      <c r="E109">
        <v>1</v>
      </c>
      <c r="F109">
        <v>269.99</v>
      </c>
      <c r="G109">
        <v>7.0000000000000007E-2</v>
      </c>
      <c r="H109">
        <v>18.899300000000004</v>
      </c>
      <c r="I109">
        <f>order_items[[#This Row],[list_price]]-order_items[[#This Row],[Discounted_price]]</f>
        <v>251.0907</v>
      </c>
      <c r="J109">
        <f>VLOOKUP(B109, Products!$A$2:$E$100, 3, FALSE)</f>
        <v>3</v>
      </c>
      <c r="K109">
        <f>VLOOKUP(B109, Products!$A$2:$F$100, 4, FALSE)</f>
        <v>6</v>
      </c>
    </row>
    <row r="110" spans="1:11" x14ac:dyDescent="0.3">
      <c r="A110">
        <v>36</v>
      </c>
      <c r="B110">
        <v>1</v>
      </c>
      <c r="C110">
        <v>9</v>
      </c>
      <c r="D110" t="str">
        <f>VLOOKUP(B110, Products!$A$2:$C$100, 2, FALSE)</f>
        <v>Trek 820 - 2016</v>
      </c>
      <c r="E110">
        <v>1</v>
      </c>
      <c r="F110">
        <v>2999.99</v>
      </c>
      <c r="G110">
        <v>7.0000000000000007E-2</v>
      </c>
      <c r="H110">
        <v>209.99930000000001</v>
      </c>
      <c r="I110">
        <f>order_items[[#This Row],[list_price]]-order_items[[#This Row],[Discounted_price]]</f>
        <v>2789.9906999999998</v>
      </c>
      <c r="J110">
        <f>VLOOKUP(B110, Products!$A$2:$E$100, 3, FALSE)</f>
        <v>9</v>
      </c>
      <c r="K110">
        <f>VLOOKUP(B110, Products!$A$2:$F$100, 4, FALSE)</f>
        <v>6</v>
      </c>
    </row>
    <row r="111" spans="1:11" x14ac:dyDescent="0.3">
      <c r="A111">
        <v>36</v>
      </c>
      <c r="B111">
        <v>2</v>
      </c>
      <c r="C111">
        <v>5</v>
      </c>
      <c r="D111" t="str">
        <f>VLOOKUP(B111, Products!$A$2:$C$100, 2, FALSE)</f>
        <v>Ritchey Timberwolf Frameset - 2016</v>
      </c>
      <c r="E111">
        <v>1</v>
      </c>
      <c r="F111">
        <v>1320.99</v>
      </c>
      <c r="G111">
        <v>0.05</v>
      </c>
      <c r="H111">
        <v>66.049500000000009</v>
      </c>
      <c r="I111">
        <f>order_items[[#This Row],[list_price]]-order_items[[#This Row],[Discounted_price]]</f>
        <v>1254.9404999999999</v>
      </c>
      <c r="J111">
        <f>VLOOKUP(B111, Products!$A$2:$E$100, 3, FALSE)</f>
        <v>5</v>
      </c>
      <c r="K111">
        <f>VLOOKUP(B111, Products!$A$2:$F$100, 4, FALSE)</f>
        <v>6</v>
      </c>
    </row>
    <row r="112" spans="1:11" x14ac:dyDescent="0.3">
      <c r="A112">
        <v>36</v>
      </c>
      <c r="B112">
        <v>3</v>
      </c>
      <c r="C112">
        <v>3</v>
      </c>
      <c r="D112" t="str">
        <f>VLOOKUP(B112, Products!$A$2:$C$100, 2, FALSE)</f>
        <v>Surly Wednesday Frameset - 2016</v>
      </c>
      <c r="E112">
        <v>2</v>
      </c>
      <c r="F112">
        <v>999.99</v>
      </c>
      <c r="G112">
        <v>0.2</v>
      </c>
      <c r="H112">
        <v>199.99800000000002</v>
      </c>
      <c r="I112">
        <f>order_items[[#This Row],[list_price]]-order_items[[#This Row],[Discounted_price]]</f>
        <v>799.99199999999996</v>
      </c>
      <c r="J112">
        <f>VLOOKUP(B112, Products!$A$2:$E$100, 3, FALSE)</f>
        <v>8</v>
      </c>
      <c r="K112">
        <f>VLOOKUP(B112, Products!$A$2:$F$100, 4, FALSE)</f>
        <v>6</v>
      </c>
    </row>
    <row r="113" spans="1:11" x14ac:dyDescent="0.3">
      <c r="A113">
        <v>37</v>
      </c>
      <c r="B113">
        <v>1</v>
      </c>
      <c r="C113">
        <v>16</v>
      </c>
      <c r="D113" t="str">
        <f>VLOOKUP(B113, Products!$A$2:$C$100, 2, FALSE)</f>
        <v>Trek 820 - 2016</v>
      </c>
      <c r="E113">
        <v>2</v>
      </c>
      <c r="F113">
        <v>599.99</v>
      </c>
      <c r="G113">
        <v>0.05</v>
      </c>
      <c r="H113">
        <v>29.999500000000001</v>
      </c>
      <c r="I113">
        <f>order_items[[#This Row],[list_price]]-order_items[[#This Row],[Discounted_price]]</f>
        <v>569.9905</v>
      </c>
      <c r="J113">
        <f>VLOOKUP(B113, Products!$A$2:$E$100, 3, FALSE)</f>
        <v>9</v>
      </c>
      <c r="K113">
        <f>VLOOKUP(B113, Products!$A$2:$F$100, 4, FALSE)</f>
        <v>6</v>
      </c>
    </row>
    <row r="114" spans="1:11" x14ac:dyDescent="0.3">
      <c r="A114">
        <v>38</v>
      </c>
      <c r="B114">
        <v>1</v>
      </c>
      <c r="C114">
        <v>7</v>
      </c>
      <c r="D114" t="str">
        <f>VLOOKUP(B114, Products!$A$2:$C$100, 2, FALSE)</f>
        <v>Trek 820 - 2016</v>
      </c>
      <c r="E114">
        <v>2</v>
      </c>
      <c r="F114">
        <v>3999.99</v>
      </c>
      <c r="G114">
        <v>0.05</v>
      </c>
      <c r="H114">
        <v>199.99950000000001</v>
      </c>
      <c r="I114">
        <f>order_items[[#This Row],[list_price]]-order_items[[#This Row],[Discounted_price]]</f>
        <v>3799.9904999999999</v>
      </c>
      <c r="J114">
        <f>VLOOKUP(B114, Products!$A$2:$E$100, 3, FALSE)</f>
        <v>9</v>
      </c>
      <c r="K114">
        <f>VLOOKUP(B114, Products!$A$2:$F$100, 4, FALSE)</f>
        <v>6</v>
      </c>
    </row>
    <row r="115" spans="1:11" x14ac:dyDescent="0.3">
      <c r="A115">
        <v>38</v>
      </c>
      <c r="B115">
        <v>2</v>
      </c>
      <c r="C115">
        <v>23</v>
      </c>
      <c r="D115" t="str">
        <f>VLOOKUP(B115, Products!$A$2:$C$100, 2, FALSE)</f>
        <v>Ritchey Timberwolf Frameset - 2016</v>
      </c>
      <c r="E115">
        <v>1</v>
      </c>
      <c r="F115">
        <v>299.99</v>
      </c>
      <c r="G115">
        <v>7.0000000000000007E-2</v>
      </c>
      <c r="H115">
        <v>20.999300000000002</v>
      </c>
      <c r="I115">
        <f>order_items[[#This Row],[list_price]]-order_items[[#This Row],[Discounted_price]]</f>
        <v>278.9907</v>
      </c>
      <c r="J115">
        <f>VLOOKUP(B115, Products!$A$2:$E$100, 3, FALSE)</f>
        <v>5</v>
      </c>
      <c r="K115">
        <f>VLOOKUP(B115, Products!$A$2:$F$100, 4, FALSE)</f>
        <v>6</v>
      </c>
    </row>
    <row r="116" spans="1:11" x14ac:dyDescent="0.3">
      <c r="A116">
        <v>38</v>
      </c>
      <c r="B116">
        <v>3</v>
      </c>
      <c r="C116">
        <v>25</v>
      </c>
      <c r="D116" t="str">
        <f>VLOOKUP(B116, Products!$A$2:$C$100, 2, FALSE)</f>
        <v>Surly Wednesday Frameset - 2016</v>
      </c>
      <c r="E116">
        <v>1</v>
      </c>
      <c r="F116">
        <v>499.99</v>
      </c>
      <c r="G116">
        <v>0.2</v>
      </c>
      <c r="H116">
        <v>99.998000000000005</v>
      </c>
      <c r="I116">
        <f>order_items[[#This Row],[list_price]]-order_items[[#This Row],[Discounted_price]]</f>
        <v>399.99200000000002</v>
      </c>
      <c r="J116">
        <f>VLOOKUP(B116, Products!$A$2:$E$100, 3, FALSE)</f>
        <v>8</v>
      </c>
      <c r="K116">
        <f>VLOOKUP(B116, Products!$A$2:$F$100, 4, FALSE)</f>
        <v>6</v>
      </c>
    </row>
    <row r="117" spans="1:11" x14ac:dyDescent="0.3">
      <c r="A117">
        <v>38</v>
      </c>
      <c r="B117">
        <v>4</v>
      </c>
      <c r="C117">
        <v>10</v>
      </c>
      <c r="D117" t="str">
        <f>VLOOKUP(B117, Products!$A$2:$C$100, 2, FALSE)</f>
        <v>Trek Fuel EX 8 29 - 2016</v>
      </c>
      <c r="E117">
        <v>2</v>
      </c>
      <c r="F117">
        <v>1549</v>
      </c>
      <c r="G117">
        <v>0.1</v>
      </c>
      <c r="H117">
        <v>154.9</v>
      </c>
      <c r="I117">
        <f>order_items[[#This Row],[list_price]]-order_items[[#This Row],[Discounted_price]]</f>
        <v>1394.1</v>
      </c>
      <c r="J117">
        <f>VLOOKUP(B117, Products!$A$2:$E$100, 3, FALSE)</f>
        <v>9</v>
      </c>
      <c r="K117">
        <f>VLOOKUP(B117, Products!$A$2:$F$100, 4, FALSE)</f>
        <v>6</v>
      </c>
    </row>
    <row r="118" spans="1:11" x14ac:dyDescent="0.3">
      <c r="A118">
        <v>38</v>
      </c>
      <c r="B118">
        <v>5</v>
      </c>
      <c r="C118">
        <v>24</v>
      </c>
      <c r="D118" t="str">
        <f>VLOOKUP(B118, Products!$A$2:$C$100, 2, FALSE)</f>
        <v>Heller Shagamaw Frame - 2016</v>
      </c>
      <c r="E118">
        <v>1</v>
      </c>
      <c r="F118">
        <v>549.99</v>
      </c>
      <c r="G118">
        <v>7.0000000000000007E-2</v>
      </c>
      <c r="H118">
        <v>38.499300000000005</v>
      </c>
      <c r="I118">
        <f>order_items[[#This Row],[list_price]]-order_items[[#This Row],[Discounted_price]]</f>
        <v>511.4907</v>
      </c>
      <c r="J118">
        <f>VLOOKUP(B118, Products!$A$2:$E$100, 3, FALSE)</f>
        <v>3</v>
      </c>
      <c r="K118">
        <f>VLOOKUP(B118, Products!$A$2:$F$100, 4, FALSE)</f>
        <v>6</v>
      </c>
    </row>
    <row r="119" spans="1:11" x14ac:dyDescent="0.3">
      <c r="A119">
        <v>39</v>
      </c>
      <c r="B119">
        <v>1</v>
      </c>
      <c r="C119">
        <v>22</v>
      </c>
      <c r="D119" t="str">
        <f>VLOOKUP(B119, Products!$A$2:$C$100, 2, FALSE)</f>
        <v>Trek 820 - 2016</v>
      </c>
      <c r="E119">
        <v>2</v>
      </c>
      <c r="F119">
        <v>269.99</v>
      </c>
      <c r="G119">
        <v>0.2</v>
      </c>
      <c r="H119">
        <v>53.998000000000005</v>
      </c>
      <c r="I119">
        <f>order_items[[#This Row],[list_price]]-order_items[[#This Row],[Discounted_price]]</f>
        <v>215.99200000000002</v>
      </c>
      <c r="J119">
        <f>VLOOKUP(B119, Products!$A$2:$E$100, 3, FALSE)</f>
        <v>9</v>
      </c>
      <c r="K119">
        <f>VLOOKUP(B119, Products!$A$2:$F$100, 4, FALSE)</f>
        <v>6</v>
      </c>
    </row>
    <row r="120" spans="1:11" x14ac:dyDescent="0.3">
      <c r="A120">
        <v>39</v>
      </c>
      <c r="B120">
        <v>2</v>
      </c>
      <c r="C120">
        <v>16</v>
      </c>
      <c r="D120" t="str">
        <f>VLOOKUP(B120, Products!$A$2:$C$100, 2, FALSE)</f>
        <v>Ritchey Timberwolf Frameset - 2016</v>
      </c>
      <c r="E120">
        <v>2</v>
      </c>
      <c r="F120">
        <v>599.99</v>
      </c>
      <c r="G120">
        <v>0.2</v>
      </c>
      <c r="H120">
        <v>119.998</v>
      </c>
      <c r="I120">
        <f>order_items[[#This Row],[list_price]]-order_items[[#This Row],[Discounted_price]]</f>
        <v>479.99200000000002</v>
      </c>
      <c r="J120">
        <f>VLOOKUP(B120, Products!$A$2:$E$100, 3, FALSE)</f>
        <v>5</v>
      </c>
      <c r="K120">
        <f>VLOOKUP(B120, Products!$A$2:$F$100, 4, FALSE)</f>
        <v>6</v>
      </c>
    </row>
    <row r="121" spans="1:11" x14ac:dyDescent="0.3">
      <c r="A121">
        <v>39</v>
      </c>
      <c r="B121">
        <v>3</v>
      </c>
      <c r="C121">
        <v>3</v>
      </c>
      <c r="D121" t="str">
        <f>VLOOKUP(B121, Products!$A$2:$C$100, 2, FALSE)</f>
        <v>Surly Wednesday Frameset - 2016</v>
      </c>
      <c r="E121">
        <v>2</v>
      </c>
      <c r="F121">
        <v>999.99</v>
      </c>
      <c r="G121">
        <v>0.05</v>
      </c>
      <c r="H121">
        <v>49.999500000000005</v>
      </c>
      <c r="I121">
        <f>order_items[[#This Row],[list_price]]-order_items[[#This Row],[Discounted_price]]</f>
        <v>949.9905</v>
      </c>
      <c r="J121">
        <f>VLOOKUP(B121, Products!$A$2:$E$100, 3, FALSE)</f>
        <v>8</v>
      </c>
      <c r="K121">
        <f>VLOOKUP(B121, Products!$A$2:$F$100, 4, FALSE)</f>
        <v>6</v>
      </c>
    </row>
    <row r="122" spans="1:11" x14ac:dyDescent="0.3">
      <c r="A122">
        <v>39</v>
      </c>
      <c r="B122">
        <v>4</v>
      </c>
      <c r="C122">
        <v>15</v>
      </c>
      <c r="D122" t="str">
        <f>VLOOKUP(B122, Products!$A$2:$C$100, 2, FALSE)</f>
        <v>Trek Fuel EX 8 29 - 2016</v>
      </c>
      <c r="E122">
        <v>1</v>
      </c>
      <c r="F122">
        <v>529.99</v>
      </c>
      <c r="G122">
        <v>0.1</v>
      </c>
      <c r="H122">
        <v>52.999000000000002</v>
      </c>
      <c r="I122">
        <f>order_items[[#This Row],[list_price]]-order_items[[#This Row],[Discounted_price]]</f>
        <v>476.99099999999999</v>
      </c>
      <c r="J122">
        <f>VLOOKUP(B122, Products!$A$2:$E$100, 3, FALSE)</f>
        <v>9</v>
      </c>
      <c r="K122">
        <f>VLOOKUP(B122, Products!$A$2:$F$100, 4, FALSE)</f>
        <v>6</v>
      </c>
    </row>
    <row r="123" spans="1:11" x14ac:dyDescent="0.3">
      <c r="A123">
        <v>40</v>
      </c>
      <c r="B123">
        <v>1</v>
      </c>
      <c r="C123">
        <v>17</v>
      </c>
      <c r="D123" t="str">
        <f>VLOOKUP(B123, Products!$A$2:$C$100, 2, FALSE)</f>
        <v>Trek 820 - 2016</v>
      </c>
      <c r="E123">
        <v>1</v>
      </c>
      <c r="F123">
        <v>429</v>
      </c>
      <c r="G123">
        <v>0.2</v>
      </c>
      <c r="H123">
        <v>85.800000000000011</v>
      </c>
      <c r="I123">
        <f>order_items[[#This Row],[list_price]]-order_items[[#This Row],[Discounted_price]]</f>
        <v>343.2</v>
      </c>
      <c r="J123">
        <f>VLOOKUP(B123, Products!$A$2:$E$100, 3, FALSE)</f>
        <v>9</v>
      </c>
      <c r="K123">
        <f>VLOOKUP(B123, Products!$A$2:$F$100, 4, FALSE)</f>
        <v>6</v>
      </c>
    </row>
    <row r="124" spans="1:11" x14ac:dyDescent="0.3">
      <c r="A124">
        <v>40</v>
      </c>
      <c r="B124">
        <v>2</v>
      </c>
      <c r="C124">
        <v>8</v>
      </c>
      <c r="D124" t="str">
        <f>VLOOKUP(B124, Products!$A$2:$C$100, 2, FALSE)</f>
        <v>Ritchey Timberwolf Frameset - 2016</v>
      </c>
      <c r="E124">
        <v>2</v>
      </c>
      <c r="F124">
        <v>1799.99</v>
      </c>
      <c r="G124">
        <v>0.2</v>
      </c>
      <c r="H124">
        <v>359.99800000000005</v>
      </c>
      <c r="I124">
        <f>order_items[[#This Row],[list_price]]-order_items[[#This Row],[Discounted_price]]</f>
        <v>1439.992</v>
      </c>
      <c r="J124">
        <f>VLOOKUP(B124, Products!$A$2:$E$100, 3, FALSE)</f>
        <v>5</v>
      </c>
      <c r="K124">
        <f>VLOOKUP(B124, Products!$A$2:$F$100, 4, FALSE)</f>
        <v>6</v>
      </c>
    </row>
    <row r="125" spans="1:11" x14ac:dyDescent="0.3">
      <c r="A125">
        <v>41</v>
      </c>
      <c r="B125">
        <v>1</v>
      </c>
      <c r="C125">
        <v>5</v>
      </c>
      <c r="D125" t="str">
        <f>VLOOKUP(B125, Products!$A$2:$C$100, 2, FALSE)</f>
        <v>Trek 820 - 2016</v>
      </c>
      <c r="E125">
        <v>1</v>
      </c>
      <c r="F125">
        <v>1320.99</v>
      </c>
      <c r="G125">
        <v>0.1</v>
      </c>
      <c r="H125">
        <v>132.09900000000002</v>
      </c>
      <c r="I125">
        <f>order_items[[#This Row],[list_price]]-order_items[[#This Row],[Discounted_price]]</f>
        <v>1188.8910000000001</v>
      </c>
      <c r="J125">
        <f>VLOOKUP(B125, Products!$A$2:$E$100, 3, FALSE)</f>
        <v>9</v>
      </c>
      <c r="K125">
        <f>VLOOKUP(B125, Products!$A$2:$F$100, 4, FALSE)</f>
        <v>6</v>
      </c>
    </row>
    <row r="126" spans="1:11" x14ac:dyDescent="0.3">
      <c r="A126">
        <v>41</v>
      </c>
      <c r="B126">
        <v>2</v>
      </c>
      <c r="C126">
        <v>19</v>
      </c>
      <c r="D126" t="str">
        <f>VLOOKUP(B126, Products!$A$2:$C$100, 2, FALSE)</f>
        <v>Ritchey Timberwolf Frameset - 2016</v>
      </c>
      <c r="E126">
        <v>2</v>
      </c>
      <c r="F126">
        <v>449</v>
      </c>
      <c r="G126">
        <v>0.2</v>
      </c>
      <c r="H126">
        <v>89.800000000000011</v>
      </c>
      <c r="I126">
        <f>order_items[[#This Row],[list_price]]-order_items[[#This Row],[Discounted_price]]</f>
        <v>359.2</v>
      </c>
      <c r="J126">
        <f>VLOOKUP(B126, Products!$A$2:$E$100, 3, FALSE)</f>
        <v>5</v>
      </c>
      <c r="K126">
        <f>VLOOKUP(B126, Products!$A$2:$F$100, 4, FALSE)</f>
        <v>6</v>
      </c>
    </row>
    <row r="127" spans="1:11" x14ac:dyDescent="0.3">
      <c r="A127">
        <v>41</v>
      </c>
      <c r="B127">
        <v>3</v>
      </c>
      <c r="C127">
        <v>26</v>
      </c>
      <c r="D127" t="str">
        <f>VLOOKUP(B127, Products!$A$2:$C$100, 2, FALSE)</f>
        <v>Surly Wednesday Frameset - 2016</v>
      </c>
      <c r="E127">
        <v>2</v>
      </c>
      <c r="F127">
        <v>599.99</v>
      </c>
      <c r="G127">
        <v>0.2</v>
      </c>
      <c r="H127">
        <v>119.998</v>
      </c>
      <c r="I127">
        <f>order_items[[#This Row],[list_price]]-order_items[[#This Row],[Discounted_price]]</f>
        <v>479.99200000000002</v>
      </c>
      <c r="J127">
        <f>VLOOKUP(B127, Products!$A$2:$E$100, 3, FALSE)</f>
        <v>8</v>
      </c>
      <c r="K127">
        <f>VLOOKUP(B127, Products!$A$2:$F$100, 4, FALSE)</f>
        <v>6</v>
      </c>
    </row>
    <row r="128" spans="1:11" x14ac:dyDescent="0.3">
      <c r="A128">
        <v>42</v>
      </c>
      <c r="B128">
        <v>1</v>
      </c>
      <c r="C128">
        <v>19</v>
      </c>
      <c r="D128" t="str">
        <f>VLOOKUP(B128, Products!$A$2:$C$100, 2, FALSE)</f>
        <v>Trek 820 - 2016</v>
      </c>
      <c r="E128">
        <v>1</v>
      </c>
      <c r="F128">
        <v>449</v>
      </c>
      <c r="G128">
        <v>0.05</v>
      </c>
      <c r="H128">
        <v>22.450000000000003</v>
      </c>
      <c r="I128">
        <f>order_items[[#This Row],[list_price]]-order_items[[#This Row],[Discounted_price]]</f>
        <v>426.55</v>
      </c>
      <c r="J128">
        <f>VLOOKUP(B128, Products!$A$2:$E$100, 3, FALSE)</f>
        <v>9</v>
      </c>
      <c r="K128">
        <f>VLOOKUP(B128, Products!$A$2:$F$100, 4, FALSE)</f>
        <v>6</v>
      </c>
    </row>
    <row r="129" spans="1:11" x14ac:dyDescent="0.3">
      <c r="A129">
        <v>43</v>
      </c>
      <c r="B129">
        <v>1</v>
      </c>
      <c r="C129">
        <v>13</v>
      </c>
      <c r="D129" t="str">
        <f>VLOOKUP(B129, Products!$A$2:$C$100, 2, FALSE)</f>
        <v>Trek 820 - 2016</v>
      </c>
      <c r="E129">
        <v>2</v>
      </c>
      <c r="F129">
        <v>269.99</v>
      </c>
      <c r="G129">
        <v>0.1</v>
      </c>
      <c r="H129">
        <v>26.999000000000002</v>
      </c>
      <c r="I129">
        <f>order_items[[#This Row],[list_price]]-order_items[[#This Row],[Discounted_price]]</f>
        <v>242.99100000000001</v>
      </c>
      <c r="J129">
        <f>VLOOKUP(B129, Products!$A$2:$E$100, 3, FALSE)</f>
        <v>9</v>
      </c>
      <c r="K129">
        <f>VLOOKUP(B129, Products!$A$2:$F$100, 4, FALSE)</f>
        <v>6</v>
      </c>
    </row>
    <row r="130" spans="1:11" x14ac:dyDescent="0.3">
      <c r="A130">
        <v>43</v>
      </c>
      <c r="B130">
        <v>2</v>
      </c>
      <c r="C130">
        <v>12</v>
      </c>
      <c r="D130" t="str">
        <f>VLOOKUP(B130, Products!$A$2:$C$100, 2, FALSE)</f>
        <v>Ritchey Timberwolf Frameset - 2016</v>
      </c>
      <c r="E130">
        <v>2</v>
      </c>
      <c r="F130">
        <v>549.99</v>
      </c>
      <c r="G130">
        <v>0.05</v>
      </c>
      <c r="H130">
        <v>27.499500000000001</v>
      </c>
      <c r="I130">
        <f>order_items[[#This Row],[list_price]]-order_items[[#This Row],[Discounted_price]]</f>
        <v>522.4905</v>
      </c>
      <c r="J130">
        <f>VLOOKUP(B130, Products!$A$2:$E$100, 3, FALSE)</f>
        <v>5</v>
      </c>
      <c r="K130">
        <f>VLOOKUP(B130, Products!$A$2:$F$100, 4, FALSE)</f>
        <v>6</v>
      </c>
    </row>
    <row r="131" spans="1:11" x14ac:dyDescent="0.3">
      <c r="A131">
        <v>44</v>
      </c>
      <c r="B131">
        <v>1</v>
      </c>
      <c r="C131">
        <v>7</v>
      </c>
      <c r="D131" t="str">
        <f>VLOOKUP(B131, Products!$A$2:$C$100, 2, FALSE)</f>
        <v>Trek 820 - 2016</v>
      </c>
      <c r="E131">
        <v>1</v>
      </c>
      <c r="F131">
        <v>3999.99</v>
      </c>
      <c r="G131">
        <v>0.1</v>
      </c>
      <c r="H131">
        <v>399.99900000000002</v>
      </c>
      <c r="I131">
        <f>order_items[[#This Row],[list_price]]-order_items[[#This Row],[Discounted_price]]</f>
        <v>3599.991</v>
      </c>
      <c r="J131">
        <f>VLOOKUP(B131, Products!$A$2:$E$100, 3, FALSE)</f>
        <v>9</v>
      </c>
      <c r="K131">
        <f>VLOOKUP(B131, Products!$A$2:$F$100, 4, FALSE)</f>
        <v>6</v>
      </c>
    </row>
    <row r="132" spans="1:11" x14ac:dyDescent="0.3">
      <c r="A132">
        <v>44</v>
      </c>
      <c r="B132">
        <v>2</v>
      </c>
      <c r="C132">
        <v>16</v>
      </c>
      <c r="D132" t="str">
        <f>VLOOKUP(B132, Products!$A$2:$C$100, 2, FALSE)</f>
        <v>Ritchey Timberwolf Frameset - 2016</v>
      </c>
      <c r="E132">
        <v>1</v>
      </c>
      <c r="F132">
        <v>599.99</v>
      </c>
      <c r="G132">
        <v>0.05</v>
      </c>
      <c r="H132">
        <v>29.999500000000001</v>
      </c>
      <c r="I132">
        <f>order_items[[#This Row],[list_price]]-order_items[[#This Row],[Discounted_price]]</f>
        <v>569.9905</v>
      </c>
      <c r="J132">
        <f>VLOOKUP(B132, Products!$A$2:$E$100, 3, FALSE)</f>
        <v>5</v>
      </c>
      <c r="K132">
        <f>VLOOKUP(B132, Products!$A$2:$F$100, 4, FALSE)</f>
        <v>6</v>
      </c>
    </row>
    <row r="133" spans="1:11" x14ac:dyDescent="0.3">
      <c r="A133">
        <v>45</v>
      </c>
      <c r="B133">
        <v>1</v>
      </c>
      <c r="C133">
        <v>4</v>
      </c>
      <c r="D133" t="str">
        <f>VLOOKUP(B133, Products!$A$2:$C$100, 2, FALSE)</f>
        <v>Trek 820 - 2016</v>
      </c>
      <c r="E133">
        <v>2</v>
      </c>
      <c r="F133">
        <v>2899.99</v>
      </c>
      <c r="G133">
        <v>0.2</v>
      </c>
      <c r="H133">
        <v>579.99799999999993</v>
      </c>
      <c r="I133">
        <f>order_items[[#This Row],[list_price]]-order_items[[#This Row],[Discounted_price]]</f>
        <v>2319.9919999999997</v>
      </c>
      <c r="J133">
        <f>VLOOKUP(B133, Products!$A$2:$E$100, 3, FALSE)</f>
        <v>9</v>
      </c>
      <c r="K133">
        <f>VLOOKUP(B133, Products!$A$2:$F$100, 4, FALSE)</f>
        <v>6</v>
      </c>
    </row>
    <row r="134" spans="1:11" x14ac:dyDescent="0.3">
      <c r="A134">
        <v>45</v>
      </c>
      <c r="B134">
        <v>2</v>
      </c>
      <c r="C134">
        <v>22</v>
      </c>
      <c r="D134" t="str">
        <f>VLOOKUP(B134, Products!$A$2:$C$100, 2, FALSE)</f>
        <v>Ritchey Timberwolf Frameset - 2016</v>
      </c>
      <c r="E134">
        <v>1</v>
      </c>
      <c r="F134">
        <v>269.99</v>
      </c>
      <c r="G134">
        <v>7.0000000000000007E-2</v>
      </c>
      <c r="H134">
        <v>18.899300000000004</v>
      </c>
      <c r="I134">
        <f>order_items[[#This Row],[list_price]]-order_items[[#This Row],[Discounted_price]]</f>
        <v>251.0907</v>
      </c>
      <c r="J134">
        <f>VLOOKUP(B134, Products!$A$2:$E$100, 3, FALSE)</f>
        <v>5</v>
      </c>
      <c r="K134">
        <f>VLOOKUP(B134, Products!$A$2:$F$100, 4, FALSE)</f>
        <v>6</v>
      </c>
    </row>
    <row r="135" spans="1:11" x14ac:dyDescent="0.3">
      <c r="A135">
        <v>45</v>
      </c>
      <c r="B135">
        <v>3</v>
      </c>
      <c r="C135">
        <v>21</v>
      </c>
      <c r="D135" t="str">
        <f>VLOOKUP(B135, Products!$A$2:$C$100, 2, FALSE)</f>
        <v>Surly Wednesday Frameset - 2016</v>
      </c>
      <c r="E135">
        <v>2</v>
      </c>
      <c r="F135">
        <v>269.99</v>
      </c>
      <c r="G135">
        <v>0.05</v>
      </c>
      <c r="H135">
        <v>13.499500000000001</v>
      </c>
      <c r="I135">
        <f>order_items[[#This Row],[list_price]]-order_items[[#This Row],[Discounted_price]]</f>
        <v>256.4905</v>
      </c>
      <c r="J135">
        <f>VLOOKUP(B135, Products!$A$2:$E$100, 3, FALSE)</f>
        <v>8</v>
      </c>
      <c r="K135">
        <f>VLOOKUP(B135, Products!$A$2:$F$100, 4, FALSE)</f>
        <v>6</v>
      </c>
    </row>
    <row r="136" spans="1:11" x14ac:dyDescent="0.3">
      <c r="A136">
        <v>46</v>
      </c>
      <c r="B136">
        <v>1</v>
      </c>
      <c r="C136">
        <v>17</v>
      </c>
      <c r="D136" t="str">
        <f>VLOOKUP(B136, Products!$A$2:$C$100, 2, FALSE)</f>
        <v>Trek 820 - 2016</v>
      </c>
      <c r="E136">
        <v>1</v>
      </c>
      <c r="F136">
        <v>429</v>
      </c>
      <c r="G136">
        <v>0.1</v>
      </c>
      <c r="H136">
        <v>42.900000000000006</v>
      </c>
      <c r="I136">
        <f>order_items[[#This Row],[list_price]]-order_items[[#This Row],[Discounted_price]]</f>
        <v>386.1</v>
      </c>
      <c r="J136">
        <f>VLOOKUP(B136, Products!$A$2:$E$100, 3, FALSE)</f>
        <v>9</v>
      </c>
      <c r="K136">
        <f>VLOOKUP(B136, Products!$A$2:$F$100, 4, FALSE)</f>
        <v>6</v>
      </c>
    </row>
    <row r="137" spans="1:11" x14ac:dyDescent="0.3">
      <c r="A137">
        <v>47</v>
      </c>
      <c r="B137">
        <v>1</v>
      </c>
      <c r="C137">
        <v>6</v>
      </c>
      <c r="D137" t="str">
        <f>VLOOKUP(B137, Products!$A$2:$C$100, 2, FALSE)</f>
        <v>Trek 820 - 2016</v>
      </c>
      <c r="E137">
        <v>1</v>
      </c>
      <c r="F137">
        <v>469.99</v>
      </c>
      <c r="G137">
        <v>0.05</v>
      </c>
      <c r="H137">
        <v>23.499500000000001</v>
      </c>
      <c r="I137">
        <f>order_items[[#This Row],[list_price]]-order_items[[#This Row],[Discounted_price]]</f>
        <v>446.4905</v>
      </c>
      <c r="J137">
        <f>VLOOKUP(B137, Products!$A$2:$E$100, 3, FALSE)</f>
        <v>9</v>
      </c>
      <c r="K137">
        <f>VLOOKUP(B137, Products!$A$2:$F$100, 4, FALSE)</f>
        <v>6</v>
      </c>
    </row>
    <row r="138" spans="1:11" x14ac:dyDescent="0.3">
      <c r="A138">
        <v>47</v>
      </c>
      <c r="B138">
        <v>2</v>
      </c>
      <c r="C138">
        <v>15</v>
      </c>
      <c r="D138" t="str">
        <f>VLOOKUP(B138, Products!$A$2:$C$100, 2, FALSE)</f>
        <v>Ritchey Timberwolf Frameset - 2016</v>
      </c>
      <c r="E138">
        <v>1</v>
      </c>
      <c r="F138">
        <v>529.99</v>
      </c>
      <c r="G138">
        <v>0.1</v>
      </c>
      <c r="H138">
        <v>52.999000000000002</v>
      </c>
      <c r="I138">
        <f>order_items[[#This Row],[list_price]]-order_items[[#This Row],[Discounted_price]]</f>
        <v>476.99099999999999</v>
      </c>
      <c r="J138">
        <f>VLOOKUP(B138, Products!$A$2:$E$100, 3, FALSE)</f>
        <v>5</v>
      </c>
      <c r="K138">
        <f>VLOOKUP(B138, Products!$A$2:$F$100, 4, FALSE)</f>
        <v>6</v>
      </c>
    </row>
    <row r="139" spans="1:11" x14ac:dyDescent="0.3">
      <c r="A139">
        <v>47</v>
      </c>
      <c r="B139">
        <v>3</v>
      </c>
      <c r="C139">
        <v>25</v>
      </c>
      <c r="D139" t="str">
        <f>VLOOKUP(B139, Products!$A$2:$C$100, 2, FALSE)</f>
        <v>Surly Wednesday Frameset - 2016</v>
      </c>
      <c r="E139">
        <v>2</v>
      </c>
      <c r="F139">
        <v>499.99</v>
      </c>
      <c r="G139">
        <v>7.0000000000000007E-2</v>
      </c>
      <c r="H139">
        <v>34.999300000000005</v>
      </c>
      <c r="I139">
        <f>order_items[[#This Row],[list_price]]-order_items[[#This Row],[Discounted_price]]</f>
        <v>464.9907</v>
      </c>
      <c r="J139">
        <f>VLOOKUP(B139, Products!$A$2:$E$100, 3, FALSE)</f>
        <v>8</v>
      </c>
      <c r="K139">
        <f>VLOOKUP(B139, Products!$A$2:$F$100, 4, FALSE)</f>
        <v>6</v>
      </c>
    </row>
    <row r="140" spans="1:11" x14ac:dyDescent="0.3">
      <c r="A140">
        <v>47</v>
      </c>
      <c r="B140">
        <v>4</v>
      </c>
      <c r="C140">
        <v>13</v>
      </c>
      <c r="D140" t="str">
        <f>VLOOKUP(B140, Products!$A$2:$C$100, 2, FALSE)</f>
        <v>Trek Fuel EX 8 29 - 2016</v>
      </c>
      <c r="E140">
        <v>1</v>
      </c>
      <c r="F140">
        <v>269.99</v>
      </c>
      <c r="G140">
        <v>0.2</v>
      </c>
      <c r="H140">
        <v>53.998000000000005</v>
      </c>
      <c r="I140">
        <f>order_items[[#This Row],[list_price]]-order_items[[#This Row],[Discounted_price]]</f>
        <v>215.99200000000002</v>
      </c>
      <c r="J140">
        <f>VLOOKUP(B140, Products!$A$2:$E$100, 3, FALSE)</f>
        <v>9</v>
      </c>
      <c r="K140">
        <f>VLOOKUP(B140, Products!$A$2:$F$100, 4, FALSE)</f>
        <v>6</v>
      </c>
    </row>
    <row r="141" spans="1:11" x14ac:dyDescent="0.3">
      <c r="A141">
        <v>48</v>
      </c>
      <c r="B141">
        <v>1</v>
      </c>
      <c r="C141">
        <v>11</v>
      </c>
      <c r="D141" t="str">
        <f>VLOOKUP(B141, Products!$A$2:$C$100, 2, FALSE)</f>
        <v>Trek 820 - 2016</v>
      </c>
      <c r="E141">
        <v>1</v>
      </c>
      <c r="F141">
        <v>1680.99</v>
      </c>
      <c r="G141">
        <v>0.1</v>
      </c>
      <c r="H141">
        <v>168.09900000000002</v>
      </c>
      <c r="I141">
        <f>order_items[[#This Row],[list_price]]-order_items[[#This Row],[Discounted_price]]</f>
        <v>1512.8910000000001</v>
      </c>
      <c r="J141">
        <f>VLOOKUP(B141, Products!$A$2:$E$100, 3, FALSE)</f>
        <v>9</v>
      </c>
      <c r="K141">
        <f>VLOOKUP(B141, Products!$A$2:$F$100, 4, FALSE)</f>
        <v>6</v>
      </c>
    </row>
    <row r="142" spans="1:11" x14ac:dyDescent="0.3">
      <c r="A142">
        <v>48</v>
      </c>
      <c r="B142">
        <v>2</v>
      </c>
      <c r="C142">
        <v>4</v>
      </c>
      <c r="D142" t="str">
        <f>VLOOKUP(B142, Products!$A$2:$C$100, 2, FALSE)</f>
        <v>Ritchey Timberwolf Frameset - 2016</v>
      </c>
      <c r="E142">
        <v>1</v>
      </c>
      <c r="F142">
        <v>2899.99</v>
      </c>
      <c r="G142">
        <v>0.2</v>
      </c>
      <c r="H142">
        <v>579.99799999999993</v>
      </c>
      <c r="I142">
        <f>order_items[[#This Row],[list_price]]-order_items[[#This Row],[Discounted_price]]</f>
        <v>2319.9919999999997</v>
      </c>
      <c r="J142">
        <f>VLOOKUP(B142, Products!$A$2:$E$100, 3, FALSE)</f>
        <v>5</v>
      </c>
      <c r="K142">
        <f>VLOOKUP(B142, Products!$A$2:$F$100, 4, FALSE)</f>
        <v>6</v>
      </c>
    </row>
    <row r="143" spans="1:11" x14ac:dyDescent="0.3">
      <c r="A143">
        <v>48</v>
      </c>
      <c r="B143">
        <v>3</v>
      </c>
      <c r="C143">
        <v>5</v>
      </c>
      <c r="D143" t="str">
        <f>VLOOKUP(B143, Products!$A$2:$C$100, 2, FALSE)</f>
        <v>Surly Wednesday Frameset - 2016</v>
      </c>
      <c r="E143">
        <v>2</v>
      </c>
      <c r="F143">
        <v>1320.99</v>
      </c>
      <c r="G143">
        <v>0.1</v>
      </c>
      <c r="H143">
        <v>132.09900000000002</v>
      </c>
      <c r="I143">
        <f>order_items[[#This Row],[list_price]]-order_items[[#This Row],[Discounted_price]]</f>
        <v>1188.8910000000001</v>
      </c>
      <c r="J143">
        <f>VLOOKUP(B143, Products!$A$2:$E$100, 3, FALSE)</f>
        <v>8</v>
      </c>
      <c r="K143">
        <f>VLOOKUP(B143, Products!$A$2:$F$100, 4, FALSE)</f>
        <v>6</v>
      </c>
    </row>
    <row r="144" spans="1:11" x14ac:dyDescent="0.3">
      <c r="A144">
        <v>48</v>
      </c>
      <c r="B144">
        <v>4</v>
      </c>
      <c r="C144">
        <v>14</v>
      </c>
      <c r="D144" t="str">
        <f>VLOOKUP(B144, Products!$A$2:$C$100, 2, FALSE)</f>
        <v>Trek Fuel EX 8 29 - 2016</v>
      </c>
      <c r="E144">
        <v>2</v>
      </c>
      <c r="F144">
        <v>269.99</v>
      </c>
      <c r="G144">
        <v>7.0000000000000007E-2</v>
      </c>
      <c r="H144">
        <v>18.899300000000004</v>
      </c>
      <c r="I144">
        <f>order_items[[#This Row],[list_price]]-order_items[[#This Row],[Discounted_price]]</f>
        <v>251.0907</v>
      </c>
      <c r="J144">
        <f>VLOOKUP(B144, Products!$A$2:$E$100, 3, FALSE)</f>
        <v>9</v>
      </c>
      <c r="K144">
        <f>VLOOKUP(B144, Products!$A$2:$F$100, 4, FALSE)</f>
        <v>6</v>
      </c>
    </row>
    <row r="145" spans="1:11" x14ac:dyDescent="0.3">
      <c r="A145">
        <v>49</v>
      </c>
      <c r="B145">
        <v>1</v>
      </c>
      <c r="C145">
        <v>13</v>
      </c>
      <c r="D145" t="str">
        <f>VLOOKUP(B145, Products!$A$2:$C$100, 2, FALSE)</f>
        <v>Trek 820 - 2016</v>
      </c>
      <c r="E145">
        <v>2</v>
      </c>
      <c r="F145">
        <v>269.99</v>
      </c>
      <c r="G145">
        <v>7.0000000000000007E-2</v>
      </c>
      <c r="H145">
        <v>18.899300000000004</v>
      </c>
      <c r="I145">
        <f>order_items[[#This Row],[list_price]]-order_items[[#This Row],[Discounted_price]]</f>
        <v>251.0907</v>
      </c>
      <c r="J145">
        <f>VLOOKUP(B145, Products!$A$2:$E$100, 3, FALSE)</f>
        <v>9</v>
      </c>
      <c r="K145">
        <f>VLOOKUP(B145, Products!$A$2:$F$100, 4, FALSE)</f>
        <v>6</v>
      </c>
    </row>
    <row r="146" spans="1:11" x14ac:dyDescent="0.3">
      <c r="A146">
        <v>50</v>
      </c>
      <c r="B146">
        <v>1</v>
      </c>
      <c r="C146">
        <v>3</v>
      </c>
      <c r="D146" t="str">
        <f>VLOOKUP(B146, Products!$A$2:$C$100, 2, FALSE)</f>
        <v>Trek 820 - 2016</v>
      </c>
      <c r="E146">
        <v>1</v>
      </c>
      <c r="F146">
        <v>999.99</v>
      </c>
      <c r="G146">
        <v>0.05</v>
      </c>
      <c r="H146">
        <v>49.999500000000005</v>
      </c>
      <c r="I146">
        <f>order_items[[#This Row],[list_price]]-order_items[[#This Row],[Discounted_price]]</f>
        <v>949.9905</v>
      </c>
      <c r="J146">
        <f>VLOOKUP(B146, Products!$A$2:$E$100, 3, FALSE)</f>
        <v>9</v>
      </c>
      <c r="K146">
        <f>VLOOKUP(B146, Products!$A$2:$F$100, 4, FALSE)</f>
        <v>6</v>
      </c>
    </row>
    <row r="147" spans="1:11" x14ac:dyDescent="0.3">
      <c r="A147">
        <v>50</v>
      </c>
      <c r="B147">
        <v>2</v>
      </c>
      <c r="C147">
        <v>26</v>
      </c>
      <c r="D147" t="str">
        <f>VLOOKUP(B147, Products!$A$2:$C$100, 2, FALSE)</f>
        <v>Ritchey Timberwolf Frameset - 2016</v>
      </c>
      <c r="E147">
        <v>2</v>
      </c>
      <c r="F147">
        <v>599.99</v>
      </c>
      <c r="G147">
        <v>7.0000000000000007E-2</v>
      </c>
      <c r="H147">
        <v>41.999300000000005</v>
      </c>
      <c r="I147">
        <f>order_items[[#This Row],[list_price]]-order_items[[#This Row],[Discounted_price]]</f>
        <v>557.99070000000006</v>
      </c>
      <c r="J147">
        <f>VLOOKUP(B147, Products!$A$2:$E$100, 3, FALSE)</f>
        <v>5</v>
      </c>
      <c r="K147">
        <f>VLOOKUP(B147, Products!$A$2:$F$100, 4, FALSE)</f>
        <v>6</v>
      </c>
    </row>
    <row r="148" spans="1:11" x14ac:dyDescent="0.3">
      <c r="A148">
        <v>50</v>
      </c>
      <c r="B148">
        <v>3</v>
      </c>
      <c r="C148">
        <v>13</v>
      </c>
      <c r="D148" t="str">
        <f>VLOOKUP(B148, Products!$A$2:$C$100, 2, FALSE)</f>
        <v>Surly Wednesday Frameset - 2016</v>
      </c>
      <c r="E148">
        <v>2</v>
      </c>
      <c r="F148">
        <v>269.99</v>
      </c>
      <c r="G148">
        <v>0.2</v>
      </c>
      <c r="H148">
        <v>53.998000000000005</v>
      </c>
      <c r="I148">
        <f>order_items[[#This Row],[list_price]]-order_items[[#This Row],[Discounted_price]]</f>
        <v>215.99200000000002</v>
      </c>
      <c r="J148">
        <f>VLOOKUP(B148, Products!$A$2:$E$100, 3, FALSE)</f>
        <v>8</v>
      </c>
      <c r="K148">
        <f>VLOOKUP(B148, Products!$A$2:$F$100, 4, FALSE)</f>
        <v>6</v>
      </c>
    </row>
    <row r="149" spans="1:11" x14ac:dyDescent="0.3">
      <c r="A149">
        <v>51</v>
      </c>
      <c r="B149">
        <v>1</v>
      </c>
      <c r="C149">
        <v>13</v>
      </c>
      <c r="D149" t="str">
        <f>VLOOKUP(B149, Products!$A$2:$C$100, 2, FALSE)</f>
        <v>Trek 820 - 2016</v>
      </c>
      <c r="E149">
        <v>1</v>
      </c>
      <c r="F149">
        <v>269.99</v>
      </c>
      <c r="G149">
        <v>0.05</v>
      </c>
      <c r="H149">
        <v>13.499500000000001</v>
      </c>
      <c r="I149">
        <f>order_items[[#This Row],[list_price]]-order_items[[#This Row],[Discounted_price]]</f>
        <v>256.4905</v>
      </c>
      <c r="J149">
        <f>VLOOKUP(B149, Products!$A$2:$E$100, 3, FALSE)</f>
        <v>9</v>
      </c>
      <c r="K149">
        <f>VLOOKUP(B149, Products!$A$2:$F$100, 4, FALSE)</f>
        <v>6</v>
      </c>
    </row>
    <row r="150" spans="1:11" x14ac:dyDescent="0.3">
      <c r="A150">
        <v>51</v>
      </c>
      <c r="B150">
        <v>2</v>
      </c>
      <c r="C150">
        <v>20</v>
      </c>
      <c r="D150" t="str">
        <f>VLOOKUP(B150, Products!$A$2:$C$100, 2, FALSE)</f>
        <v>Ritchey Timberwolf Frameset - 2016</v>
      </c>
      <c r="E150">
        <v>1</v>
      </c>
      <c r="F150">
        <v>599.99</v>
      </c>
      <c r="G150">
        <v>0.05</v>
      </c>
      <c r="H150">
        <v>29.999500000000001</v>
      </c>
      <c r="I150">
        <f>order_items[[#This Row],[list_price]]-order_items[[#This Row],[Discounted_price]]</f>
        <v>569.9905</v>
      </c>
      <c r="J150">
        <f>VLOOKUP(B150, Products!$A$2:$E$100, 3, FALSE)</f>
        <v>5</v>
      </c>
      <c r="K150">
        <f>VLOOKUP(B150, Products!$A$2:$F$100, 4, FALSE)</f>
        <v>6</v>
      </c>
    </row>
    <row r="151" spans="1:11" x14ac:dyDescent="0.3">
      <c r="A151">
        <v>51</v>
      </c>
      <c r="B151">
        <v>3</v>
      </c>
      <c r="C151">
        <v>26</v>
      </c>
      <c r="D151" t="str">
        <f>VLOOKUP(B151, Products!$A$2:$C$100, 2, FALSE)</f>
        <v>Surly Wednesday Frameset - 2016</v>
      </c>
      <c r="E151">
        <v>2</v>
      </c>
      <c r="F151">
        <v>599.99</v>
      </c>
      <c r="G151">
        <v>0.2</v>
      </c>
      <c r="H151">
        <v>119.998</v>
      </c>
      <c r="I151">
        <f>order_items[[#This Row],[list_price]]-order_items[[#This Row],[Discounted_price]]</f>
        <v>479.99200000000002</v>
      </c>
      <c r="J151">
        <f>VLOOKUP(B151, Products!$A$2:$E$100, 3, FALSE)</f>
        <v>8</v>
      </c>
      <c r="K151">
        <f>VLOOKUP(B151, Products!$A$2:$F$100, 4, FALSE)</f>
        <v>6</v>
      </c>
    </row>
    <row r="152" spans="1:11" x14ac:dyDescent="0.3">
      <c r="A152">
        <v>52</v>
      </c>
      <c r="B152">
        <v>1</v>
      </c>
      <c r="C152">
        <v>25</v>
      </c>
      <c r="D152" t="str">
        <f>VLOOKUP(B152, Products!$A$2:$C$100, 2, FALSE)</f>
        <v>Trek 820 - 2016</v>
      </c>
      <c r="E152">
        <v>1</v>
      </c>
      <c r="F152">
        <v>499.99</v>
      </c>
      <c r="G152">
        <v>7.0000000000000007E-2</v>
      </c>
      <c r="H152">
        <v>34.999300000000005</v>
      </c>
      <c r="I152">
        <f>order_items[[#This Row],[list_price]]-order_items[[#This Row],[Discounted_price]]</f>
        <v>464.9907</v>
      </c>
      <c r="J152">
        <f>VLOOKUP(B152, Products!$A$2:$E$100, 3, FALSE)</f>
        <v>9</v>
      </c>
      <c r="K152">
        <f>VLOOKUP(B152, Products!$A$2:$F$100, 4, FALSE)</f>
        <v>6</v>
      </c>
    </row>
    <row r="153" spans="1:11" x14ac:dyDescent="0.3">
      <c r="A153">
        <v>53</v>
      </c>
      <c r="B153">
        <v>1</v>
      </c>
      <c r="C153">
        <v>8</v>
      </c>
      <c r="D153" t="str">
        <f>VLOOKUP(B153, Products!$A$2:$C$100, 2, FALSE)</f>
        <v>Trek 820 - 2016</v>
      </c>
      <c r="E153">
        <v>2</v>
      </c>
      <c r="F153">
        <v>1799.99</v>
      </c>
      <c r="G153">
        <v>0.2</v>
      </c>
      <c r="H153">
        <v>359.99800000000005</v>
      </c>
      <c r="I153">
        <f>order_items[[#This Row],[list_price]]-order_items[[#This Row],[Discounted_price]]</f>
        <v>1439.992</v>
      </c>
      <c r="J153">
        <f>VLOOKUP(B153, Products!$A$2:$E$100, 3, FALSE)</f>
        <v>9</v>
      </c>
      <c r="K153">
        <f>VLOOKUP(B153, Products!$A$2:$F$100, 4, FALSE)</f>
        <v>6</v>
      </c>
    </row>
    <row r="154" spans="1:11" x14ac:dyDescent="0.3">
      <c r="A154">
        <v>53</v>
      </c>
      <c r="B154">
        <v>2</v>
      </c>
      <c r="C154">
        <v>23</v>
      </c>
      <c r="D154" t="str">
        <f>VLOOKUP(B154, Products!$A$2:$C$100, 2, FALSE)</f>
        <v>Ritchey Timberwolf Frameset - 2016</v>
      </c>
      <c r="E154">
        <v>2</v>
      </c>
      <c r="F154">
        <v>299.99</v>
      </c>
      <c r="G154">
        <v>0.05</v>
      </c>
      <c r="H154">
        <v>14.999500000000001</v>
      </c>
      <c r="I154">
        <f>order_items[[#This Row],[list_price]]-order_items[[#This Row],[Discounted_price]]</f>
        <v>284.9905</v>
      </c>
      <c r="J154">
        <f>VLOOKUP(B154, Products!$A$2:$E$100, 3, FALSE)</f>
        <v>5</v>
      </c>
      <c r="K154">
        <f>VLOOKUP(B154, Products!$A$2:$F$100, 4, FALSE)</f>
        <v>6</v>
      </c>
    </row>
    <row r="155" spans="1:11" x14ac:dyDescent="0.3">
      <c r="A155">
        <v>53</v>
      </c>
      <c r="B155">
        <v>3</v>
      </c>
      <c r="C155">
        <v>14</v>
      </c>
      <c r="D155" t="str">
        <f>VLOOKUP(B155, Products!$A$2:$C$100, 2, FALSE)</f>
        <v>Surly Wednesday Frameset - 2016</v>
      </c>
      <c r="E155">
        <v>2</v>
      </c>
      <c r="F155">
        <v>269.99</v>
      </c>
      <c r="G155">
        <v>0.2</v>
      </c>
      <c r="H155">
        <v>53.998000000000005</v>
      </c>
      <c r="I155">
        <f>order_items[[#This Row],[list_price]]-order_items[[#This Row],[Discounted_price]]</f>
        <v>215.99200000000002</v>
      </c>
      <c r="J155">
        <f>VLOOKUP(B155, Products!$A$2:$E$100, 3, FALSE)</f>
        <v>8</v>
      </c>
      <c r="K155">
        <f>VLOOKUP(B155, Products!$A$2:$F$100, 4, FALSE)</f>
        <v>6</v>
      </c>
    </row>
    <row r="156" spans="1:11" x14ac:dyDescent="0.3">
      <c r="A156">
        <v>53</v>
      </c>
      <c r="B156">
        <v>4</v>
      </c>
      <c r="C156">
        <v>25</v>
      </c>
      <c r="D156" t="str">
        <f>VLOOKUP(B156, Products!$A$2:$C$100, 2, FALSE)</f>
        <v>Trek Fuel EX 8 29 - 2016</v>
      </c>
      <c r="E156">
        <v>2</v>
      </c>
      <c r="F156">
        <v>499.99</v>
      </c>
      <c r="G156">
        <v>0.1</v>
      </c>
      <c r="H156">
        <v>49.999000000000002</v>
      </c>
      <c r="I156">
        <f>order_items[[#This Row],[list_price]]-order_items[[#This Row],[Discounted_price]]</f>
        <v>449.99099999999999</v>
      </c>
      <c r="J156">
        <f>VLOOKUP(B156, Products!$A$2:$E$100, 3, FALSE)</f>
        <v>9</v>
      </c>
      <c r="K156">
        <f>VLOOKUP(B156, Products!$A$2:$F$100, 4, FALSE)</f>
        <v>6</v>
      </c>
    </row>
    <row r="157" spans="1:11" x14ac:dyDescent="0.3">
      <c r="A157">
        <v>54</v>
      </c>
      <c r="B157">
        <v>1</v>
      </c>
      <c r="C157">
        <v>26</v>
      </c>
      <c r="D157" t="str">
        <f>VLOOKUP(B157, Products!$A$2:$C$100, 2, FALSE)</f>
        <v>Trek 820 - 2016</v>
      </c>
      <c r="E157">
        <v>2</v>
      </c>
      <c r="F157">
        <v>599.99</v>
      </c>
      <c r="G157">
        <v>0.2</v>
      </c>
      <c r="H157">
        <v>119.998</v>
      </c>
      <c r="I157">
        <f>order_items[[#This Row],[list_price]]-order_items[[#This Row],[Discounted_price]]</f>
        <v>479.99200000000002</v>
      </c>
      <c r="J157">
        <f>VLOOKUP(B157, Products!$A$2:$E$100, 3, FALSE)</f>
        <v>9</v>
      </c>
      <c r="K157">
        <f>VLOOKUP(B157, Products!$A$2:$F$100, 4, FALSE)</f>
        <v>6</v>
      </c>
    </row>
    <row r="158" spans="1:11" x14ac:dyDescent="0.3">
      <c r="A158">
        <v>54</v>
      </c>
      <c r="B158">
        <v>2</v>
      </c>
      <c r="C158">
        <v>3</v>
      </c>
      <c r="D158" t="str">
        <f>VLOOKUP(B158, Products!$A$2:$C$100, 2, FALSE)</f>
        <v>Ritchey Timberwolf Frameset - 2016</v>
      </c>
      <c r="E158">
        <v>1</v>
      </c>
      <c r="F158">
        <v>999.99</v>
      </c>
      <c r="G158">
        <v>0.2</v>
      </c>
      <c r="H158">
        <v>199.99800000000002</v>
      </c>
      <c r="I158">
        <f>order_items[[#This Row],[list_price]]-order_items[[#This Row],[Discounted_price]]</f>
        <v>799.99199999999996</v>
      </c>
      <c r="J158">
        <f>VLOOKUP(B158, Products!$A$2:$E$100, 3, FALSE)</f>
        <v>5</v>
      </c>
      <c r="K158">
        <f>VLOOKUP(B158, Products!$A$2:$F$100, 4, FALSE)</f>
        <v>6</v>
      </c>
    </row>
    <row r="159" spans="1:11" x14ac:dyDescent="0.3">
      <c r="A159">
        <v>55</v>
      </c>
      <c r="B159">
        <v>1</v>
      </c>
      <c r="C159">
        <v>21</v>
      </c>
      <c r="D159" t="str">
        <f>VLOOKUP(B159, Products!$A$2:$C$100, 2, FALSE)</f>
        <v>Trek 820 - 2016</v>
      </c>
      <c r="E159">
        <v>1</v>
      </c>
      <c r="F159">
        <v>269.99</v>
      </c>
      <c r="G159">
        <v>0.05</v>
      </c>
      <c r="H159">
        <v>13.499500000000001</v>
      </c>
      <c r="I159">
        <f>order_items[[#This Row],[list_price]]-order_items[[#This Row],[Discounted_price]]</f>
        <v>256.4905</v>
      </c>
      <c r="J159">
        <f>VLOOKUP(B159, Products!$A$2:$E$100, 3, FALSE)</f>
        <v>9</v>
      </c>
      <c r="K159">
        <f>VLOOKUP(B159, Products!$A$2:$F$100, 4, FALSE)</f>
        <v>6</v>
      </c>
    </row>
    <row r="160" spans="1:11" x14ac:dyDescent="0.3">
      <c r="A160">
        <v>55</v>
      </c>
      <c r="B160">
        <v>2</v>
      </c>
      <c r="C160">
        <v>25</v>
      </c>
      <c r="D160" t="str">
        <f>VLOOKUP(B160, Products!$A$2:$C$100, 2, FALSE)</f>
        <v>Ritchey Timberwolf Frameset - 2016</v>
      </c>
      <c r="E160">
        <v>2</v>
      </c>
      <c r="F160">
        <v>499.99</v>
      </c>
      <c r="G160">
        <v>0.2</v>
      </c>
      <c r="H160">
        <v>99.998000000000005</v>
      </c>
      <c r="I160">
        <f>order_items[[#This Row],[list_price]]-order_items[[#This Row],[Discounted_price]]</f>
        <v>399.99200000000002</v>
      </c>
      <c r="J160">
        <f>VLOOKUP(B160, Products!$A$2:$E$100, 3, FALSE)</f>
        <v>5</v>
      </c>
      <c r="K160">
        <f>VLOOKUP(B160, Products!$A$2:$F$100, 4, FALSE)</f>
        <v>6</v>
      </c>
    </row>
    <row r="161" spans="1:11" x14ac:dyDescent="0.3">
      <c r="A161">
        <v>55</v>
      </c>
      <c r="B161">
        <v>3</v>
      </c>
      <c r="C161">
        <v>15</v>
      </c>
      <c r="D161" t="str">
        <f>VLOOKUP(B161, Products!$A$2:$C$100, 2, FALSE)</f>
        <v>Surly Wednesday Frameset - 2016</v>
      </c>
      <c r="E161">
        <v>2</v>
      </c>
      <c r="F161">
        <v>529.99</v>
      </c>
      <c r="G161">
        <v>0.2</v>
      </c>
      <c r="H161">
        <v>105.998</v>
      </c>
      <c r="I161">
        <f>order_items[[#This Row],[list_price]]-order_items[[#This Row],[Discounted_price]]</f>
        <v>423.99200000000002</v>
      </c>
      <c r="J161">
        <f>VLOOKUP(B161, Products!$A$2:$E$100, 3, FALSE)</f>
        <v>8</v>
      </c>
      <c r="K161">
        <f>VLOOKUP(B161, Products!$A$2:$F$100, 4, FALSE)</f>
        <v>6</v>
      </c>
    </row>
    <row r="162" spans="1:11" x14ac:dyDescent="0.3">
      <c r="A162">
        <v>56</v>
      </c>
      <c r="B162">
        <v>1</v>
      </c>
      <c r="C162">
        <v>20</v>
      </c>
      <c r="D162" t="str">
        <f>VLOOKUP(B162, Products!$A$2:$C$100, 2, FALSE)</f>
        <v>Trek 820 - 2016</v>
      </c>
      <c r="E162">
        <v>2</v>
      </c>
      <c r="F162">
        <v>599.99</v>
      </c>
      <c r="G162">
        <v>7.0000000000000007E-2</v>
      </c>
      <c r="H162">
        <v>41.999300000000005</v>
      </c>
      <c r="I162">
        <f>order_items[[#This Row],[list_price]]-order_items[[#This Row],[Discounted_price]]</f>
        <v>557.99070000000006</v>
      </c>
      <c r="J162">
        <f>VLOOKUP(B162, Products!$A$2:$E$100, 3, FALSE)</f>
        <v>9</v>
      </c>
      <c r="K162">
        <f>VLOOKUP(B162, Products!$A$2:$F$100, 4, FALSE)</f>
        <v>6</v>
      </c>
    </row>
    <row r="163" spans="1:11" x14ac:dyDescent="0.3">
      <c r="A163">
        <v>57</v>
      </c>
      <c r="B163">
        <v>1</v>
      </c>
      <c r="C163">
        <v>23</v>
      </c>
      <c r="D163" t="str">
        <f>VLOOKUP(B163, Products!$A$2:$C$100, 2, FALSE)</f>
        <v>Trek 820 - 2016</v>
      </c>
      <c r="E163">
        <v>2</v>
      </c>
      <c r="F163">
        <v>299.99</v>
      </c>
      <c r="G163">
        <v>0.1</v>
      </c>
      <c r="H163">
        <v>29.999000000000002</v>
      </c>
      <c r="I163">
        <f>order_items[[#This Row],[list_price]]-order_items[[#This Row],[Discounted_price]]</f>
        <v>269.99099999999999</v>
      </c>
      <c r="J163">
        <f>VLOOKUP(B163, Products!$A$2:$E$100, 3, FALSE)</f>
        <v>9</v>
      </c>
      <c r="K163">
        <f>VLOOKUP(B163, Products!$A$2:$F$100, 4, FALSE)</f>
        <v>6</v>
      </c>
    </row>
    <row r="164" spans="1:11" x14ac:dyDescent="0.3">
      <c r="A164">
        <v>57</v>
      </c>
      <c r="B164">
        <v>2</v>
      </c>
      <c r="C164">
        <v>19</v>
      </c>
      <c r="D164" t="str">
        <f>VLOOKUP(B164, Products!$A$2:$C$100, 2, FALSE)</f>
        <v>Ritchey Timberwolf Frameset - 2016</v>
      </c>
      <c r="E164">
        <v>2</v>
      </c>
      <c r="F164">
        <v>449</v>
      </c>
      <c r="G164">
        <v>0.2</v>
      </c>
      <c r="H164">
        <v>89.800000000000011</v>
      </c>
      <c r="I164">
        <f>order_items[[#This Row],[list_price]]-order_items[[#This Row],[Discounted_price]]</f>
        <v>359.2</v>
      </c>
      <c r="J164">
        <f>VLOOKUP(B164, Products!$A$2:$E$100, 3, FALSE)</f>
        <v>5</v>
      </c>
      <c r="K164">
        <f>VLOOKUP(B164, Products!$A$2:$F$100, 4, FALSE)</f>
        <v>6</v>
      </c>
    </row>
    <row r="165" spans="1:11" x14ac:dyDescent="0.3">
      <c r="A165">
        <v>57</v>
      </c>
      <c r="B165">
        <v>3</v>
      </c>
      <c r="C165">
        <v>13</v>
      </c>
      <c r="D165" t="str">
        <f>VLOOKUP(B165, Products!$A$2:$C$100, 2, FALSE)</f>
        <v>Surly Wednesday Frameset - 2016</v>
      </c>
      <c r="E165">
        <v>1</v>
      </c>
      <c r="F165">
        <v>269.99</v>
      </c>
      <c r="G165">
        <v>7.0000000000000007E-2</v>
      </c>
      <c r="H165">
        <v>18.899300000000004</v>
      </c>
      <c r="I165">
        <f>order_items[[#This Row],[list_price]]-order_items[[#This Row],[Discounted_price]]</f>
        <v>251.0907</v>
      </c>
      <c r="J165">
        <f>VLOOKUP(B165, Products!$A$2:$E$100, 3, FALSE)</f>
        <v>8</v>
      </c>
      <c r="K165">
        <f>VLOOKUP(B165, Products!$A$2:$F$100, 4, FALSE)</f>
        <v>6</v>
      </c>
    </row>
    <row r="166" spans="1:11" x14ac:dyDescent="0.3">
      <c r="A166">
        <v>58</v>
      </c>
      <c r="B166">
        <v>1</v>
      </c>
      <c r="C166">
        <v>14</v>
      </c>
      <c r="D166" t="str">
        <f>VLOOKUP(B166, Products!$A$2:$C$100, 2, FALSE)</f>
        <v>Trek 820 - 2016</v>
      </c>
      <c r="E166">
        <v>2</v>
      </c>
      <c r="F166">
        <v>269.99</v>
      </c>
      <c r="G166">
        <v>0.05</v>
      </c>
      <c r="H166">
        <v>13.499500000000001</v>
      </c>
      <c r="I166">
        <f>order_items[[#This Row],[list_price]]-order_items[[#This Row],[Discounted_price]]</f>
        <v>256.4905</v>
      </c>
      <c r="J166">
        <f>VLOOKUP(B166, Products!$A$2:$E$100, 3, FALSE)</f>
        <v>9</v>
      </c>
      <c r="K166">
        <f>VLOOKUP(B166, Products!$A$2:$F$100, 4, FALSE)</f>
        <v>6</v>
      </c>
    </row>
    <row r="167" spans="1:11" x14ac:dyDescent="0.3">
      <c r="A167">
        <v>58</v>
      </c>
      <c r="B167">
        <v>2</v>
      </c>
      <c r="C167">
        <v>18</v>
      </c>
      <c r="D167" t="str">
        <f>VLOOKUP(B167, Products!$A$2:$C$100, 2, FALSE)</f>
        <v>Ritchey Timberwolf Frameset - 2016</v>
      </c>
      <c r="E167">
        <v>1</v>
      </c>
      <c r="F167">
        <v>449</v>
      </c>
      <c r="G167">
        <v>7.0000000000000007E-2</v>
      </c>
      <c r="H167">
        <v>31.430000000000003</v>
      </c>
      <c r="I167">
        <f>order_items[[#This Row],[list_price]]-order_items[[#This Row],[Discounted_price]]</f>
        <v>417.57</v>
      </c>
      <c r="J167">
        <f>VLOOKUP(B167, Products!$A$2:$E$100, 3, FALSE)</f>
        <v>5</v>
      </c>
      <c r="K167">
        <f>VLOOKUP(B167, Products!$A$2:$F$100, 4, FALSE)</f>
        <v>6</v>
      </c>
    </row>
    <row r="168" spans="1:11" x14ac:dyDescent="0.3">
      <c r="A168">
        <v>58</v>
      </c>
      <c r="B168">
        <v>3</v>
      </c>
      <c r="C168">
        <v>23</v>
      </c>
      <c r="D168" t="str">
        <f>VLOOKUP(B168, Products!$A$2:$C$100, 2, FALSE)</f>
        <v>Surly Wednesday Frameset - 2016</v>
      </c>
      <c r="E168">
        <v>1</v>
      </c>
      <c r="F168">
        <v>299.99</v>
      </c>
      <c r="G168">
        <v>0.1</v>
      </c>
      <c r="H168">
        <v>29.999000000000002</v>
      </c>
      <c r="I168">
        <f>order_items[[#This Row],[list_price]]-order_items[[#This Row],[Discounted_price]]</f>
        <v>269.99099999999999</v>
      </c>
      <c r="J168">
        <f>VLOOKUP(B168, Products!$A$2:$E$100, 3, FALSE)</f>
        <v>8</v>
      </c>
      <c r="K168">
        <f>VLOOKUP(B168, Products!$A$2:$F$100, 4, FALSE)</f>
        <v>6</v>
      </c>
    </row>
    <row r="169" spans="1:11" x14ac:dyDescent="0.3">
      <c r="A169">
        <v>59</v>
      </c>
      <c r="B169">
        <v>1</v>
      </c>
      <c r="C169">
        <v>21</v>
      </c>
      <c r="D169" t="str">
        <f>VLOOKUP(B169, Products!$A$2:$C$100, 2, FALSE)</f>
        <v>Trek 820 - 2016</v>
      </c>
      <c r="E169">
        <v>1</v>
      </c>
      <c r="F169">
        <v>269.99</v>
      </c>
      <c r="G169">
        <v>0.05</v>
      </c>
      <c r="H169">
        <v>13.499500000000001</v>
      </c>
      <c r="I169">
        <f>order_items[[#This Row],[list_price]]-order_items[[#This Row],[Discounted_price]]</f>
        <v>256.4905</v>
      </c>
      <c r="J169">
        <f>VLOOKUP(B169, Products!$A$2:$E$100, 3, FALSE)</f>
        <v>9</v>
      </c>
      <c r="K169">
        <f>VLOOKUP(B169, Products!$A$2:$F$100, 4, FALSE)</f>
        <v>6</v>
      </c>
    </row>
    <row r="170" spans="1:11" x14ac:dyDescent="0.3">
      <c r="A170">
        <v>59</v>
      </c>
      <c r="B170">
        <v>2</v>
      </c>
      <c r="C170">
        <v>2</v>
      </c>
      <c r="D170" t="str">
        <f>VLOOKUP(B170, Products!$A$2:$C$100, 2, FALSE)</f>
        <v>Ritchey Timberwolf Frameset - 2016</v>
      </c>
      <c r="E170">
        <v>1</v>
      </c>
      <c r="F170">
        <v>749.99</v>
      </c>
      <c r="G170">
        <v>0.1</v>
      </c>
      <c r="H170">
        <v>74.999000000000009</v>
      </c>
      <c r="I170">
        <f>order_items[[#This Row],[list_price]]-order_items[[#This Row],[Discounted_price]]</f>
        <v>674.99099999999999</v>
      </c>
      <c r="J170">
        <f>VLOOKUP(B170, Products!$A$2:$E$100, 3, FALSE)</f>
        <v>5</v>
      </c>
      <c r="K170">
        <f>VLOOKUP(B170, Products!$A$2:$F$100, 4, FALSE)</f>
        <v>6</v>
      </c>
    </row>
    <row r="171" spans="1:11" x14ac:dyDescent="0.3">
      <c r="A171">
        <v>59</v>
      </c>
      <c r="B171">
        <v>3</v>
      </c>
      <c r="C171">
        <v>17</v>
      </c>
      <c r="D171" t="str">
        <f>VLOOKUP(B171, Products!$A$2:$C$100, 2, FALSE)</f>
        <v>Surly Wednesday Frameset - 2016</v>
      </c>
      <c r="E171">
        <v>2</v>
      </c>
      <c r="F171">
        <v>429</v>
      </c>
      <c r="G171">
        <v>0.1</v>
      </c>
      <c r="H171">
        <v>42.900000000000006</v>
      </c>
      <c r="I171">
        <f>order_items[[#This Row],[list_price]]-order_items[[#This Row],[Discounted_price]]</f>
        <v>386.1</v>
      </c>
      <c r="J171">
        <f>VLOOKUP(B171, Products!$A$2:$E$100, 3, FALSE)</f>
        <v>8</v>
      </c>
      <c r="K171">
        <f>VLOOKUP(B171, Products!$A$2:$F$100, 4, FALSE)</f>
        <v>6</v>
      </c>
    </row>
    <row r="172" spans="1:11" x14ac:dyDescent="0.3">
      <c r="A172">
        <v>60</v>
      </c>
      <c r="B172">
        <v>1</v>
      </c>
      <c r="C172">
        <v>14</v>
      </c>
      <c r="D172" t="str">
        <f>VLOOKUP(B172, Products!$A$2:$C$100, 2, FALSE)</f>
        <v>Trek 820 - 2016</v>
      </c>
      <c r="E172">
        <v>2</v>
      </c>
      <c r="F172">
        <v>269.99</v>
      </c>
      <c r="G172">
        <v>0.05</v>
      </c>
      <c r="H172">
        <v>13.499500000000001</v>
      </c>
      <c r="I172">
        <f>order_items[[#This Row],[list_price]]-order_items[[#This Row],[Discounted_price]]</f>
        <v>256.4905</v>
      </c>
      <c r="J172">
        <f>VLOOKUP(B172, Products!$A$2:$E$100, 3, FALSE)</f>
        <v>9</v>
      </c>
      <c r="K172">
        <f>VLOOKUP(B172, Products!$A$2:$F$100, 4, FALSE)</f>
        <v>6</v>
      </c>
    </row>
    <row r="173" spans="1:11" x14ac:dyDescent="0.3">
      <c r="A173">
        <v>60</v>
      </c>
      <c r="B173">
        <v>2</v>
      </c>
      <c r="C173">
        <v>4</v>
      </c>
      <c r="D173" t="str">
        <f>VLOOKUP(B173, Products!$A$2:$C$100, 2, FALSE)</f>
        <v>Ritchey Timberwolf Frameset - 2016</v>
      </c>
      <c r="E173">
        <v>1</v>
      </c>
      <c r="F173">
        <v>2899.99</v>
      </c>
      <c r="G173">
        <v>0.1</v>
      </c>
      <c r="H173">
        <v>289.99899999999997</v>
      </c>
      <c r="I173">
        <f>order_items[[#This Row],[list_price]]-order_items[[#This Row],[Discounted_price]]</f>
        <v>2609.991</v>
      </c>
      <c r="J173">
        <f>VLOOKUP(B173, Products!$A$2:$E$100, 3, FALSE)</f>
        <v>5</v>
      </c>
      <c r="K173">
        <f>VLOOKUP(B173, Products!$A$2:$F$100, 4, FALSE)</f>
        <v>6</v>
      </c>
    </row>
    <row r="174" spans="1:11" x14ac:dyDescent="0.3">
      <c r="A174">
        <v>60</v>
      </c>
      <c r="B174">
        <v>3</v>
      </c>
      <c r="C174">
        <v>15</v>
      </c>
      <c r="D174" t="str">
        <f>VLOOKUP(B174, Products!$A$2:$C$100, 2, FALSE)</f>
        <v>Surly Wednesday Frameset - 2016</v>
      </c>
      <c r="E174">
        <v>1</v>
      </c>
      <c r="F174">
        <v>529.99</v>
      </c>
      <c r="G174">
        <v>7.0000000000000007E-2</v>
      </c>
      <c r="H174">
        <v>37.099300000000007</v>
      </c>
      <c r="I174">
        <f>order_items[[#This Row],[list_price]]-order_items[[#This Row],[Discounted_price]]</f>
        <v>492.89069999999998</v>
      </c>
      <c r="J174">
        <f>VLOOKUP(B174, Products!$A$2:$E$100, 3, FALSE)</f>
        <v>8</v>
      </c>
      <c r="K174">
        <f>VLOOKUP(B174, Products!$A$2:$F$100, 4, FALSE)</f>
        <v>6</v>
      </c>
    </row>
    <row r="175" spans="1:11" x14ac:dyDescent="0.3">
      <c r="A175">
        <v>60</v>
      </c>
      <c r="B175">
        <v>4</v>
      </c>
      <c r="C175">
        <v>22</v>
      </c>
      <c r="D175" t="str">
        <f>VLOOKUP(B175, Products!$A$2:$C$100, 2, FALSE)</f>
        <v>Trek Fuel EX 8 29 - 2016</v>
      </c>
      <c r="E175">
        <v>1</v>
      </c>
      <c r="F175">
        <v>269.99</v>
      </c>
      <c r="G175">
        <v>0.2</v>
      </c>
      <c r="H175">
        <v>53.998000000000005</v>
      </c>
      <c r="I175">
        <f>order_items[[#This Row],[list_price]]-order_items[[#This Row],[Discounted_price]]</f>
        <v>215.99200000000002</v>
      </c>
      <c r="J175">
        <f>VLOOKUP(B175, Products!$A$2:$E$100, 3, FALSE)</f>
        <v>9</v>
      </c>
      <c r="K175">
        <f>VLOOKUP(B175, Products!$A$2:$F$100, 4, FALSE)</f>
        <v>6</v>
      </c>
    </row>
    <row r="176" spans="1:11" x14ac:dyDescent="0.3">
      <c r="A176">
        <v>61</v>
      </c>
      <c r="B176">
        <v>1</v>
      </c>
      <c r="C176">
        <v>25</v>
      </c>
      <c r="D176" t="str">
        <f>VLOOKUP(B176, Products!$A$2:$C$100, 2, FALSE)</f>
        <v>Trek 820 - 2016</v>
      </c>
      <c r="E176">
        <v>1</v>
      </c>
      <c r="F176">
        <v>499.99</v>
      </c>
      <c r="G176">
        <v>0.1</v>
      </c>
      <c r="H176">
        <v>49.999000000000002</v>
      </c>
      <c r="I176">
        <f>order_items[[#This Row],[list_price]]-order_items[[#This Row],[Discounted_price]]</f>
        <v>449.99099999999999</v>
      </c>
      <c r="J176">
        <f>VLOOKUP(B176, Products!$A$2:$E$100, 3, FALSE)</f>
        <v>9</v>
      </c>
      <c r="K176">
        <f>VLOOKUP(B176, Products!$A$2:$F$100, 4, FALSE)</f>
        <v>6</v>
      </c>
    </row>
    <row r="177" spans="1:11" x14ac:dyDescent="0.3">
      <c r="A177">
        <v>61</v>
      </c>
      <c r="B177">
        <v>2</v>
      </c>
      <c r="C177">
        <v>15</v>
      </c>
      <c r="D177" t="str">
        <f>VLOOKUP(B177, Products!$A$2:$C$100, 2, FALSE)</f>
        <v>Ritchey Timberwolf Frameset - 2016</v>
      </c>
      <c r="E177">
        <v>2</v>
      </c>
      <c r="F177">
        <v>529.99</v>
      </c>
      <c r="G177">
        <v>0.05</v>
      </c>
      <c r="H177">
        <v>26.499500000000001</v>
      </c>
      <c r="I177">
        <f>order_items[[#This Row],[list_price]]-order_items[[#This Row],[Discounted_price]]</f>
        <v>503.4905</v>
      </c>
      <c r="J177">
        <f>VLOOKUP(B177, Products!$A$2:$E$100, 3, FALSE)</f>
        <v>5</v>
      </c>
      <c r="K177">
        <f>VLOOKUP(B177, Products!$A$2:$F$100, 4, FALSE)</f>
        <v>6</v>
      </c>
    </row>
    <row r="178" spans="1:11" x14ac:dyDescent="0.3">
      <c r="A178">
        <v>61</v>
      </c>
      <c r="B178">
        <v>3</v>
      </c>
      <c r="C178">
        <v>5</v>
      </c>
      <c r="D178" t="str">
        <f>VLOOKUP(B178, Products!$A$2:$C$100, 2, FALSE)</f>
        <v>Surly Wednesday Frameset - 2016</v>
      </c>
      <c r="E178">
        <v>2</v>
      </c>
      <c r="F178">
        <v>1320.99</v>
      </c>
      <c r="G178">
        <v>0.2</v>
      </c>
      <c r="H178">
        <v>264.19800000000004</v>
      </c>
      <c r="I178">
        <f>order_items[[#This Row],[list_price]]-order_items[[#This Row],[Discounted_price]]</f>
        <v>1056.7919999999999</v>
      </c>
      <c r="J178">
        <f>VLOOKUP(B178, Products!$A$2:$E$100, 3, FALSE)</f>
        <v>8</v>
      </c>
      <c r="K178">
        <f>VLOOKUP(B178, Products!$A$2:$F$100, 4, FALSE)</f>
        <v>6</v>
      </c>
    </row>
    <row r="179" spans="1:11" x14ac:dyDescent="0.3">
      <c r="A179">
        <v>62</v>
      </c>
      <c r="B179">
        <v>1</v>
      </c>
      <c r="C179">
        <v>14</v>
      </c>
      <c r="D179" t="str">
        <f>VLOOKUP(B179, Products!$A$2:$C$100, 2, FALSE)</f>
        <v>Trek 820 - 2016</v>
      </c>
      <c r="E179">
        <v>1</v>
      </c>
      <c r="F179">
        <v>269.99</v>
      </c>
      <c r="G179">
        <v>7.0000000000000007E-2</v>
      </c>
      <c r="H179">
        <v>18.899300000000004</v>
      </c>
      <c r="I179">
        <f>order_items[[#This Row],[list_price]]-order_items[[#This Row],[Discounted_price]]</f>
        <v>251.0907</v>
      </c>
      <c r="J179">
        <f>VLOOKUP(B179, Products!$A$2:$E$100, 3, FALSE)</f>
        <v>9</v>
      </c>
      <c r="K179">
        <f>VLOOKUP(B179, Products!$A$2:$F$100, 4, FALSE)</f>
        <v>6</v>
      </c>
    </row>
    <row r="180" spans="1:11" x14ac:dyDescent="0.3">
      <c r="A180">
        <v>62</v>
      </c>
      <c r="B180">
        <v>2</v>
      </c>
      <c r="C180">
        <v>8</v>
      </c>
      <c r="D180" t="str">
        <f>VLOOKUP(B180, Products!$A$2:$C$100, 2, FALSE)</f>
        <v>Ritchey Timberwolf Frameset - 2016</v>
      </c>
      <c r="E180">
        <v>2</v>
      </c>
      <c r="F180">
        <v>1799.99</v>
      </c>
      <c r="G180">
        <v>0.1</v>
      </c>
      <c r="H180">
        <v>179.99900000000002</v>
      </c>
      <c r="I180">
        <f>order_items[[#This Row],[list_price]]-order_items[[#This Row],[Discounted_price]]</f>
        <v>1619.991</v>
      </c>
      <c r="J180">
        <f>VLOOKUP(B180, Products!$A$2:$E$100, 3, FALSE)</f>
        <v>5</v>
      </c>
      <c r="K180">
        <f>VLOOKUP(B180, Products!$A$2:$F$100, 4, FALSE)</f>
        <v>6</v>
      </c>
    </row>
    <row r="181" spans="1:11" x14ac:dyDescent="0.3">
      <c r="A181">
        <v>62</v>
      </c>
      <c r="B181">
        <v>3</v>
      </c>
      <c r="C181">
        <v>22</v>
      </c>
      <c r="D181" t="str">
        <f>VLOOKUP(B181, Products!$A$2:$C$100, 2, FALSE)</f>
        <v>Surly Wednesday Frameset - 2016</v>
      </c>
      <c r="E181">
        <v>2</v>
      </c>
      <c r="F181">
        <v>269.99</v>
      </c>
      <c r="G181">
        <v>0.1</v>
      </c>
      <c r="H181">
        <v>26.999000000000002</v>
      </c>
      <c r="I181">
        <f>order_items[[#This Row],[list_price]]-order_items[[#This Row],[Discounted_price]]</f>
        <v>242.99100000000001</v>
      </c>
      <c r="J181">
        <f>VLOOKUP(B181, Products!$A$2:$E$100, 3, FALSE)</f>
        <v>8</v>
      </c>
      <c r="K181">
        <f>VLOOKUP(B181, Products!$A$2:$F$100, 4, FALSE)</f>
        <v>6</v>
      </c>
    </row>
    <row r="182" spans="1:11" x14ac:dyDescent="0.3">
      <c r="A182">
        <v>63</v>
      </c>
      <c r="B182">
        <v>1</v>
      </c>
      <c r="C182">
        <v>25</v>
      </c>
      <c r="D182" t="str">
        <f>VLOOKUP(B182, Products!$A$2:$C$100, 2, FALSE)</f>
        <v>Trek 820 - 2016</v>
      </c>
      <c r="E182">
        <v>2</v>
      </c>
      <c r="F182">
        <v>499.99</v>
      </c>
      <c r="G182">
        <v>0.1</v>
      </c>
      <c r="H182">
        <v>49.999000000000002</v>
      </c>
      <c r="I182">
        <f>order_items[[#This Row],[list_price]]-order_items[[#This Row],[Discounted_price]]</f>
        <v>449.99099999999999</v>
      </c>
      <c r="J182">
        <f>VLOOKUP(B182, Products!$A$2:$E$100, 3, FALSE)</f>
        <v>9</v>
      </c>
      <c r="K182">
        <f>VLOOKUP(B182, Products!$A$2:$F$100, 4, FALSE)</f>
        <v>6</v>
      </c>
    </row>
    <row r="183" spans="1:11" x14ac:dyDescent="0.3">
      <c r="A183">
        <v>63</v>
      </c>
      <c r="B183">
        <v>2</v>
      </c>
      <c r="C183">
        <v>19</v>
      </c>
      <c r="D183" t="str">
        <f>VLOOKUP(B183, Products!$A$2:$C$100, 2, FALSE)</f>
        <v>Ritchey Timberwolf Frameset - 2016</v>
      </c>
      <c r="E183">
        <v>2</v>
      </c>
      <c r="F183">
        <v>449</v>
      </c>
      <c r="G183">
        <v>0.05</v>
      </c>
      <c r="H183">
        <v>22.450000000000003</v>
      </c>
      <c r="I183">
        <f>order_items[[#This Row],[list_price]]-order_items[[#This Row],[Discounted_price]]</f>
        <v>426.55</v>
      </c>
      <c r="J183">
        <f>VLOOKUP(B183, Products!$A$2:$E$100, 3, FALSE)</f>
        <v>5</v>
      </c>
      <c r="K183">
        <f>VLOOKUP(B183, Products!$A$2:$F$100, 4, FALSE)</f>
        <v>6</v>
      </c>
    </row>
    <row r="184" spans="1:11" x14ac:dyDescent="0.3">
      <c r="A184">
        <v>63</v>
      </c>
      <c r="B184">
        <v>3</v>
      </c>
      <c r="C184">
        <v>3</v>
      </c>
      <c r="D184" t="str">
        <f>VLOOKUP(B184, Products!$A$2:$C$100, 2, FALSE)</f>
        <v>Surly Wednesday Frameset - 2016</v>
      </c>
      <c r="E184">
        <v>1</v>
      </c>
      <c r="F184">
        <v>999.99</v>
      </c>
      <c r="G184">
        <v>0.1</v>
      </c>
      <c r="H184">
        <v>99.999000000000009</v>
      </c>
      <c r="I184">
        <f>order_items[[#This Row],[list_price]]-order_items[[#This Row],[Discounted_price]]</f>
        <v>899.99099999999999</v>
      </c>
      <c r="J184">
        <f>VLOOKUP(B184, Products!$A$2:$E$100, 3, FALSE)</f>
        <v>8</v>
      </c>
      <c r="K184">
        <f>VLOOKUP(B184, Products!$A$2:$F$100, 4, FALSE)</f>
        <v>6</v>
      </c>
    </row>
    <row r="185" spans="1:11" x14ac:dyDescent="0.3">
      <c r="A185">
        <v>64</v>
      </c>
      <c r="B185">
        <v>1</v>
      </c>
      <c r="C185">
        <v>25</v>
      </c>
      <c r="D185" t="str">
        <f>VLOOKUP(B185, Products!$A$2:$C$100, 2, FALSE)</f>
        <v>Trek 820 - 2016</v>
      </c>
      <c r="E185">
        <v>2</v>
      </c>
      <c r="F185">
        <v>499.99</v>
      </c>
      <c r="G185">
        <v>0.1</v>
      </c>
      <c r="H185">
        <v>49.999000000000002</v>
      </c>
      <c r="I185">
        <f>order_items[[#This Row],[list_price]]-order_items[[#This Row],[Discounted_price]]</f>
        <v>449.99099999999999</v>
      </c>
      <c r="J185">
        <f>VLOOKUP(B185, Products!$A$2:$E$100, 3, FALSE)</f>
        <v>9</v>
      </c>
      <c r="K185">
        <f>VLOOKUP(B185, Products!$A$2:$F$100, 4, FALSE)</f>
        <v>6</v>
      </c>
    </row>
    <row r="186" spans="1:11" x14ac:dyDescent="0.3">
      <c r="A186">
        <v>64</v>
      </c>
      <c r="B186">
        <v>2</v>
      </c>
      <c r="C186">
        <v>22</v>
      </c>
      <c r="D186" t="str">
        <f>VLOOKUP(B186, Products!$A$2:$C$100, 2, FALSE)</f>
        <v>Ritchey Timberwolf Frameset - 2016</v>
      </c>
      <c r="E186">
        <v>2</v>
      </c>
      <c r="F186">
        <v>269.99</v>
      </c>
      <c r="G186">
        <v>0.2</v>
      </c>
      <c r="H186">
        <v>53.998000000000005</v>
      </c>
      <c r="I186">
        <f>order_items[[#This Row],[list_price]]-order_items[[#This Row],[Discounted_price]]</f>
        <v>215.99200000000002</v>
      </c>
      <c r="J186">
        <f>VLOOKUP(B186, Products!$A$2:$E$100, 3, FALSE)</f>
        <v>5</v>
      </c>
      <c r="K186">
        <f>VLOOKUP(B186, Products!$A$2:$F$100, 4, FALSE)</f>
        <v>6</v>
      </c>
    </row>
    <row r="187" spans="1:11" x14ac:dyDescent="0.3">
      <c r="A187">
        <v>64</v>
      </c>
      <c r="B187">
        <v>3</v>
      </c>
      <c r="C187">
        <v>23</v>
      </c>
      <c r="D187" t="str">
        <f>VLOOKUP(B187, Products!$A$2:$C$100, 2, FALSE)</f>
        <v>Surly Wednesday Frameset - 2016</v>
      </c>
      <c r="E187">
        <v>2</v>
      </c>
      <c r="F187">
        <v>299.99</v>
      </c>
      <c r="G187">
        <v>0.2</v>
      </c>
      <c r="H187">
        <v>59.998000000000005</v>
      </c>
      <c r="I187">
        <f>order_items[[#This Row],[list_price]]-order_items[[#This Row],[Discounted_price]]</f>
        <v>239.99200000000002</v>
      </c>
      <c r="J187">
        <f>VLOOKUP(B187, Products!$A$2:$E$100, 3, FALSE)</f>
        <v>8</v>
      </c>
      <c r="K187">
        <f>VLOOKUP(B187, Products!$A$2:$F$100, 4, FALSE)</f>
        <v>6</v>
      </c>
    </row>
    <row r="188" spans="1:11" x14ac:dyDescent="0.3">
      <c r="A188">
        <v>64</v>
      </c>
      <c r="B188">
        <v>4</v>
      </c>
      <c r="C188">
        <v>24</v>
      </c>
      <c r="D188" t="str">
        <f>VLOOKUP(B188, Products!$A$2:$C$100, 2, FALSE)</f>
        <v>Trek Fuel EX 8 29 - 2016</v>
      </c>
      <c r="E188">
        <v>2</v>
      </c>
      <c r="F188">
        <v>549.99</v>
      </c>
      <c r="G188">
        <v>0.1</v>
      </c>
      <c r="H188">
        <v>54.999000000000002</v>
      </c>
      <c r="I188">
        <f>order_items[[#This Row],[list_price]]-order_items[[#This Row],[Discounted_price]]</f>
        <v>494.99099999999999</v>
      </c>
      <c r="J188">
        <f>VLOOKUP(B188, Products!$A$2:$E$100, 3, FALSE)</f>
        <v>9</v>
      </c>
      <c r="K188">
        <f>VLOOKUP(B188, Products!$A$2:$F$100, 4, FALSE)</f>
        <v>6</v>
      </c>
    </row>
    <row r="189" spans="1:11" x14ac:dyDescent="0.3">
      <c r="A189">
        <v>65</v>
      </c>
      <c r="B189">
        <v>1</v>
      </c>
      <c r="C189">
        <v>12</v>
      </c>
      <c r="D189" t="str">
        <f>VLOOKUP(B189, Products!$A$2:$C$100, 2, FALSE)</f>
        <v>Trek 820 - 2016</v>
      </c>
      <c r="E189">
        <v>1</v>
      </c>
      <c r="F189">
        <v>549.99</v>
      </c>
      <c r="G189">
        <v>0.1</v>
      </c>
      <c r="H189">
        <v>54.999000000000002</v>
      </c>
      <c r="I189">
        <f>order_items[[#This Row],[list_price]]-order_items[[#This Row],[Discounted_price]]</f>
        <v>494.99099999999999</v>
      </c>
      <c r="J189">
        <f>VLOOKUP(B189, Products!$A$2:$E$100, 3, FALSE)</f>
        <v>9</v>
      </c>
      <c r="K189">
        <f>VLOOKUP(B189, Products!$A$2:$F$100, 4, FALSE)</f>
        <v>6</v>
      </c>
    </row>
    <row r="190" spans="1:11" x14ac:dyDescent="0.3">
      <c r="A190">
        <v>66</v>
      </c>
      <c r="B190">
        <v>1</v>
      </c>
      <c r="C190">
        <v>2</v>
      </c>
      <c r="D190" t="str">
        <f>VLOOKUP(B190, Products!$A$2:$C$100, 2, FALSE)</f>
        <v>Trek 820 - 2016</v>
      </c>
      <c r="E190">
        <v>1</v>
      </c>
      <c r="F190">
        <v>749.99</v>
      </c>
      <c r="G190">
        <v>0.2</v>
      </c>
      <c r="H190">
        <v>149.99800000000002</v>
      </c>
      <c r="I190">
        <f>order_items[[#This Row],[list_price]]-order_items[[#This Row],[Discounted_price]]</f>
        <v>599.99199999999996</v>
      </c>
      <c r="J190">
        <f>VLOOKUP(B190, Products!$A$2:$E$100, 3, FALSE)</f>
        <v>9</v>
      </c>
      <c r="K190">
        <f>VLOOKUP(B190, Products!$A$2:$F$100, 4, FALSE)</f>
        <v>6</v>
      </c>
    </row>
    <row r="191" spans="1:11" x14ac:dyDescent="0.3">
      <c r="A191">
        <v>66</v>
      </c>
      <c r="B191">
        <v>2</v>
      </c>
      <c r="C191">
        <v>23</v>
      </c>
      <c r="D191" t="str">
        <f>VLOOKUP(B191, Products!$A$2:$C$100, 2, FALSE)</f>
        <v>Ritchey Timberwolf Frameset - 2016</v>
      </c>
      <c r="E191">
        <v>1</v>
      </c>
      <c r="F191">
        <v>299.99</v>
      </c>
      <c r="G191">
        <v>7.0000000000000007E-2</v>
      </c>
      <c r="H191">
        <v>20.999300000000002</v>
      </c>
      <c r="I191">
        <f>order_items[[#This Row],[list_price]]-order_items[[#This Row],[Discounted_price]]</f>
        <v>278.9907</v>
      </c>
      <c r="J191">
        <f>VLOOKUP(B191, Products!$A$2:$E$100, 3, FALSE)</f>
        <v>5</v>
      </c>
      <c r="K191">
        <f>VLOOKUP(B191, Products!$A$2:$F$100, 4, FALSE)</f>
        <v>6</v>
      </c>
    </row>
    <row r="192" spans="1:11" x14ac:dyDescent="0.3">
      <c r="A192">
        <v>66</v>
      </c>
      <c r="B192">
        <v>3</v>
      </c>
      <c r="C192">
        <v>12</v>
      </c>
      <c r="D192" t="str">
        <f>VLOOKUP(B192, Products!$A$2:$C$100, 2, FALSE)</f>
        <v>Surly Wednesday Frameset - 2016</v>
      </c>
      <c r="E192">
        <v>1</v>
      </c>
      <c r="F192">
        <v>549.99</v>
      </c>
      <c r="G192">
        <v>7.0000000000000007E-2</v>
      </c>
      <c r="H192">
        <v>38.499300000000005</v>
      </c>
      <c r="I192">
        <f>order_items[[#This Row],[list_price]]-order_items[[#This Row],[Discounted_price]]</f>
        <v>511.4907</v>
      </c>
      <c r="J192">
        <f>VLOOKUP(B192, Products!$A$2:$E$100, 3, FALSE)</f>
        <v>8</v>
      </c>
      <c r="K192">
        <f>VLOOKUP(B192, Products!$A$2:$F$100, 4, FALSE)</f>
        <v>6</v>
      </c>
    </row>
    <row r="193" spans="1:11" x14ac:dyDescent="0.3">
      <c r="A193">
        <v>67</v>
      </c>
      <c r="B193">
        <v>1</v>
      </c>
      <c r="C193">
        <v>23</v>
      </c>
      <c r="D193" t="str">
        <f>VLOOKUP(B193, Products!$A$2:$C$100, 2, FALSE)</f>
        <v>Trek 820 - 2016</v>
      </c>
      <c r="E193">
        <v>2</v>
      </c>
      <c r="F193">
        <v>299.99</v>
      </c>
      <c r="G193">
        <v>0.2</v>
      </c>
      <c r="H193">
        <v>59.998000000000005</v>
      </c>
      <c r="I193">
        <f>order_items[[#This Row],[list_price]]-order_items[[#This Row],[Discounted_price]]</f>
        <v>239.99200000000002</v>
      </c>
      <c r="J193">
        <f>VLOOKUP(B193, Products!$A$2:$E$100, 3, FALSE)</f>
        <v>9</v>
      </c>
      <c r="K193">
        <f>VLOOKUP(B193, Products!$A$2:$F$100, 4, FALSE)</f>
        <v>6</v>
      </c>
    </row>
    <row r="194" spans="1:11" x14ac:dyDescent="0.3">
      <c r="A194">
        <v>67</v>
      </c>
      <c r="B194">
        <v>2</v>
      </c>
      <c r="C194">
        <v>12</v>
      </c>
      <c r="D194" t="str">
        <f>VLOOKUP(B194, Products!$A$2:$C$100, 2, FALSE)</f>
        <v>Ritchey Timberwolf Frameset - 2016</v>
      </c>
      <c r="E194">
        <v>2</v>
      </c>
      <c r="F194">
        <v>549.99</v>
      </c>
      <c r="G194">
        <v>0.1</v>
      </c>
      <c r="H194">
        <v>54.999000000000002</v>
      </c>
      <c r="I194">
        <f>order_items[[#This Row],[list_price]]-order_items[[#This Row],[Discounted_price]]</f>
        <v>494.99099999999999</v>
      </c>
      <c r="J194">
        <f>VLOOKUP(B194, Products!$A$2:$E$100, 3, FALSE)</f>
        <v>5</v>
      </c>
      <c r="K194">
        <f>VLOOKUP(B194, Products!$A$2:$F$100, 4, FALSE)</f>
        <v>6</v>
      </c>
    </row>
    <row r="195" spans="1:11" x14ac:dyDescent="0.3">
      <c r="A195">
        <v>67</v>
      </c>
      <c r="B195">
        <v>3</v>
      </c>
      <c r="C195">
        <v>21</v>
      </c>
      <c r="D195" t="str">
        <f>VLOOKUP(B195, Products!$A$2:$C$100, 2, FALSE)</f>
        <v>Surly Wednesday Frameset - 2016</v>
      </c>
      <c r="E195">
        <v>1</v>
      </c>
      <c r="F195">
        <v>269.99</v>
      </c>
      <c r="G195">
        <v>0.2</v>
      </c>
      <c r="H195">
        <v>53.998000000000005</v>
      </c>
      <c r="I195">
        <f>order_items[[#This Row],[list_price]]-order_items[[#This Row],[Discounted_price]]</f>
        <v>215.99200000000002</v>
      </c>
      <c r="J195">
        <f>VLOOKUP(B195, Products!$A$2:$E$100, 3, FALSE)</f>
        <v>8</v>
      </c>
      <c r="K195">
        <f>VLOOKUP(B195, Products!$A$2:$F$100, 4, FALSE)</f>
        <v>6</v>
      </c>
    </row>
    <row r="196" spans="1:11" x14ac:dyDescent="0.3">
      <c r="A196">
        <v>67</v>
      </c>
      <c r="B196">
        <v>4</v>
      </c>
      <c r="C196">
        <v>5</v>
      </c>
      <c r="D196" t="str">
        <f>VLOOKUP(B196, Products!$A$2:$C$100, 2, FALSE)</f>
        <v>Trek Fuel EX 8 29 - 2016</v>
      </c>
      <c r="E196">
        <v>2</v>
      </c>
      <c r="F196">
        <v>1320.99</v>
      </c>
      <c r="G196">
        <v>0.1</v>
      </c>
      <c r="H196">
        <v>132.09900000000002</v>
      </c>
      <c r="I196">
        <f>order_items[[#This Row],[list_price]]-order_items[[#This Row],[Discounted_price]]</f>
        <v>1188.8910000000001</v>
      </c>
      <c r="J196">
        <f>VLOOKUP(B196, Products!$A$2:$E$100, 3, FALSE)</f>
        <v>9</v>
      </c>
      <c r="K196">
        <f>VLOOKUP(B196, Products!$A$2:$F$100, 4, FALSE)</f>
        <v>6</v>
      </c>
    </row>
    <row r="197" spans="1:11" x14ac:dyDescent="0.3">
      <c r="A197">
        <v>67</v>
      </c>
      <c r="B197">
        <v>5</v>
      </c>
      <c r="C197">
        <v>19</v>
      </c>
      <c r="D197" t="str">
        <f>VLOOKUP(B197, Products!$A$2:$C$100, 2, FALSE)</f>
        <v>Heller Shagamaw Frame - 2016</v>
      </c>
      <c r="E197">
        <v>1</v>
      </c>
      <c r="F197">
        <v>449</v>
      </c>
      <c r="G197">
        <v>0.2</v>
      </c>
      <c r="H197">
        <v>89.800000000000011</v>
      </c>
      <c r="I197">
        <f>order_items[[#This Row],[list_price]]-order_items[[#This Row],[Discounted_price]]</f>
        <v>359.2</v>
      </c>
      <c r="J197">
        <f>VLOOKUP(B197, Products!$A$2:$E$100, 3, FALSE)</f>
        <v>3</v>
      </c>
      <c r="K197">
        <f>VLOOKUP(B197, Products!$A$2:$F$100, 4, FALSE)</f>
        <v>6</v>
      </c>
    </row>
    <row r="198" spans="1:11" x14ac:dyDescent="0.3">
      <c r="A198">
        <v>68</v>
      </c>
      <c r="B198">
        <v>1</v>
      </c>
      <c r="C198">
        <v>13</v>
      </c>
      <c r="D198" t="str">
        <f>VLOOKUP(B198, Products!$A$2:$C$100, 2, FALSE)</f>
        <v>Trek 820 - 2016</v>
      </c>
      <c r="E198">
        <v>2</v>
      </c>
      <c r="F198">
        <v>269.99</v>
      </c>
      <c r="G198">
        <v>7.0000000000000007E-2</v>
      </c>
      <c r="H198">
        <v>18.899300000000004</v>
      </c>
      <c r="I198">
        <f>order_items[[#This Row],[list_price]]-order_items[[#This Row],[Discounted_price]]</f>
        <v>251.0907</v>
      </c>
      <c r="J198">
        <f>VLOOKUP(B198, Products!$A$2:$E$100, 3, FALSE)</f>
        <v>9</v>
      </c>
      <c r="K198">
        <f>VLOOKUP(B198, Products!$A$2:$F$100, 4, FALSE)</f>
        <v>6</v>
      </c>
    </row>
    <row r="199" spans="1:11" x14ac:dyDescent="0.3">
      <c r="A199">
        <v>68</v>
      </c>
      <c r="B199">
        <v>2</v>
      </c>
      <c r="C199">
        <v>17</v>
      </c>
      <c r="D199" t="str">
        <f>VLOOKUP(B199, Products!$A$2:$C$100, 2, FALSE)</f>
        <v>Ritchey Timberwolf Frameset - 2016</v>
      </c>
      <c r="E199">
        <v>1</v>
      </c>
      <c r="F199">
        <v>429</v>
      </c>
      <c r="G199">
        <v>0.1</v>
      </c>
      <c r="H199">
        <v>42.900000000000006</v>
      </c>
      <c r="I199">
        <f>order_items[[#This Row],[list_price]]-order_items[[#This Row],[Discounted_price]]</f>
        <v>386.1</v>
      </c>
      <c r="J199">
        <f>VLOOKUP(B199, Products!$A$2:$E$100, 3, FALSE)</f>
        <v>5</v>
      </c>
      <c r="K199">
        <f>VLOOKUP(B199, Products!$A$2:$F$100, 4, FALSE)</f>
        <v>6</v>
      </c>
    </row>
    <row r="200" spans="1:11" x14ac:dyDescent="0.3">
      <c r="A200">
        <v>69</v>
      </c>
      <c r="B200">
        <v>1</v>
      </c>
      <c r="C200">
        <v>22</v>
      </c>
      <c r="D200" t="str">
        <f>VLOOKUP(B200, Products!$A$2:$C$100, 2, FALSE)</f>
        <v>Trek 820 - 2016</v>
      </c>
      <c r="E200">
        <v>2</v>
      </c>
      <c r="F200">
        <v>269.99</v>
      </c>
      <c r="G200">
        <v>0.1</v>
      </c>
      <c r="H200">
        <v>26.999000000000002</v>
      </c>
      <c r="I200">
        <f>order_items[[#This Row],[list_price]]-order_items[[#This Row],[Discounted_price]]</f>
        <v>242.99100000000001</v>
      </c>
      <c r="J200">
        <f>VLOOKUP(B200, Products!$A$2:$E$100, 3, FALSE)</f>
        <v>9</v>
      </c>
      <c r="K200">
        <f>VLOOKUP(B200, Products!$A$2:$F$100, 4, FALSE)</f>
        <v>6</v>
      </c>
    </row>
    <row r="201" spans="1:11" x14ac:dyDescent="0.3">
      <c r="A201">
        <v>69</v>
      </c>
      <c r="B201">
        <v>2</v>
      </c>
      <c r="C201">
        <v>5</v>
      </c>
      <c r="D201" t="str">
        <f>VLOOKUP(B201, Products!$A$2:$C$100, 2, FALSE)</f>
        <v>Ritchey Timberwolf Frameset - 2016</v>
      </c>
      <c r="E201">
        <v>1</v>
      </c>
      <c r="F201">
        <v>1320.99</v>
      </c>
      <c r="G201">
        <v>0.2</v>
      </c>
      <c r="H201">
        <v>264.19800000000004</v>
      </c>
      <c r="I201">
        <f>order_items[[#This Row],[list_price]]-order_items[[#This Row],[Discounted_price]]</f>
        <v>1056.7919999999999</v>
      </c>
      <c r="J201">
        <f>VLOOKUP(B201, Products!$A$2:$E$100, 3, FALSE)</f>
        <v>5</v>
      </c>
      <c r="K201">
        <f>VLOOKUP(B201, Products!$A$2:$F$100, 4, FALSE)</f>
        <v>6</v>
      </c>
    </row>
    <row r="202" spans="1:11" x14ac:dyDescent="0.3">
      <c r="A202">
        <v>69</v>
      </c>
      <c r="B202">
        <v>3</v>
      </c>
      <c r="C202">
        <v>10</v>
      </c>
      <c r="D202" t="str">
        <f>VLOOKUP(B202, Products!$A$2:$C$100, 2, FALSE)</f>
        <v>Surly Wednesday Frameset - 2016</v>
      </c>
      <c r="E202">
        <v>1</v>
      </c>
      <c r="F202">
        <v>1549</v>
      </c>
      <c r="G202">
        <v>0.05</v>
      </c>
      <c r="H202">
        <v>77.45</v>
      </c>
      <c r="I202">
        <f>order_items[[#This Row],[list_price]]-order_items[[#This Row],[Discounted_price]]</f>
        <v>1471.55</v>
      </c>
      <c r="J202">
        <f>VLOOKUP(B202, Products!$A$2:$E$100, 3, FALSE)</f>
        <v>8</v>
      </c>
      <c r="K202">
        <f>VLOOKUP(B202, Products!$A$2:$F$100, 4, FALSE)</f>
        <v>6</v>
      </c>
    </row>
    <row r="203" spans="1:11" x14ac:dyDescent="0.3">
      <c r="A203">
        <v>70</v>
      </c>
      <c r="B203">
        <v>1</v>
      </c>
      <c r="C203">
        <v>3</v>
      </c>
      <c r="D203" t="str">
        <f>VLOOKUP(B203, Products!$A$2:$C$100, 2, FALSE)</f>
        <v>Trek 820 - 2016</v>
      </c>
      <c r="E203">
        <v>2</v>
      </c>
      <c r="F203">
        <v>999.99</v>
      </c>
      <c r="G203">
        <v>0.05</v>
      </c>
      <c r="H203">
        <v>49.999500000000005</v>
      </c>
      <c r="I203">
        <f>order_items[[#This Row],[list_price]]-order_items[[#This Row],[Discounted_price]]</f>
        <v>949.9905</v>
      </c>
      <c r="J203">
        <f>VLOOKUP(B203, Products!$A$2:$E$100, 3, FALSE)</f>
        <v>9</v>
      </c>
      <c r="K203">
        <f>VLOOKUP(B203, Products!$A$2:$F$100, 4, FALSE)</f>
        <v>6</v>
      </c>
    </row>
    <row r="204" spans="1:11" x14ac:dyDescent="0.3">
      <c r="A204">
        <v>70</v>
      </c>
      <c r="B204">
        <v>2</v>
      </c>
      <c r="C204">
        <v>18</v>
      </c>
      <c r="D204" t="str">
        <f>VLOOKUP(B204, Products!$A$2:$C$100, 2, FALSE)</f>
        <v>Ritchey Timberwolf Frameset - 2016</v>
      </c>
      <c r="E204">
        <v>1</v>
      </c>
      <c r="F204">
        <v>449</v>
      </c>
      <c r="G204">
        <v>0.2</v>
      </c>
      <c r="H204">
        <v>89.800000000000011</v>
      </c>
      <c r="I204">
        <f>order_items[[#This Row],[list_price]]-order_items[[#This Row],[Discounted_price]]</f>
        <v>359.2</v>
      </c>
      <c r="J204">
        <f>VLOOKUP(B204, Products!$A$2:$E$100, 3, FALSE)</f>
        <v>5</v>
      </c>
      <c r="K204">
        <f>VLOOKUP(B204, Products!$A$2:$F$100, 4, FALSE)</f>
        <v>6</v>
      </c>
    </row>
    <row r="205" spans="1:11" x14ac:dyDescent="0.3">
      <c r="A205">
        <v>70</v>
      </c>
      <c r="B205">
        <v>3</v>
      </c>
      <c r="C205">
        <v>20</v>
      </c>
      <c r="D205" t="str">
        <f>VLOOKUP(B205, Products!$A$2:$C$100, 2, FALSE)</f>
        <v>Surly Wednesday Frameset - 2016</v>
      </c>
      <c r="E205">
        <v>1</v>
      </c>
      <c r="F205">
        <v>599.99</v>
      </c>
      <c r="G205">
        <v>0.05</v>
      </c>
      <c r="H205">
        <v>29.999500000000001</v>
      </c>
      <c r="I205">
        <f>order_items[[#This Row],[list_price]]-order_items[[#This Row],[Discounted_price]]</f>
        <v>569.9905</v>
      </c>
      <c r="J205">
        <f>VLOOKUP(B205, Products!$A$2:$E$100, 3, FALSE)</f>
        <v>8</v>
      </c>
      <c r="K205">
        <f>VLOOKUP(B205, Products!$A$2:$F$100, 4, FALSE)</f>
        <v>6</v>
      </c>
    </row>
    <row r="206" spans="1:11" x14ac:dyDescent="0.3">
      <c r="A206">
        <v>71</v>
      </c>
      <c r="B206">
        <v>1</v>
      </c>
      <c r="C206">
        <v>26</v>
      </c>
      <c r="D206" t="str">
        <f>VLOOKUP(B206, Products!$A$2:$C$100, 2, FALSE)</f>
        <v>Trek 820 - 2016</v>
      </c>
      <c r="E206">
        <v>2</v>
      </c>
      <c r="F206">
        <v>599.99</v>
      </c>
      <c r="G206">
        <v>0.05</v>
      </c>
      <c r="H206">
        <v>29.999500000000001</v>
      </c>
      <c r="I206">
        <f>order_items[[#This Row],[list_price]]-order_items[[#This Row],[Discounted_price]]</f>
        <v>569.9905</v>
      </c>
      <c r="J206">
        <f>VLOOKUP(B206, Products!$A$2:$E$100, 3, FALSE)</f>
        <v>9</v>
      </c>
      <c r="K206">
        <f>VLOOKUP(B206, Products!$A$2:$F$100, 4, FALSE)</f>
        <v>6</v>
      </c>
    </row>
    <row r="207" spans="1:11" x14ac:dyDescent="0.3">
      <c r="A207">
        <v>71</v>
      </c>
      <c r="B207">
        <v>2</v>
      </c>
      <c r="C207">
        <v>24</v>
      </c>
      <c r="D207" t="str">
        <f>VLOOKUP(B207, Products!$A$2:$C$100, 2, FALSE)</f>
        <v>Ritchey Timberwolf Frameset - 2016</v>
      </c>
      <c r="E207">
        <v>1</v>
      </c>
      <c r="F207">
        <v>549.99</v>
      </c>
      <c r="G207">
        <v>0.2</v>
      </c>
      <c r="H207">
        <v>109.998</v>
      </c>
      <c r="I207">
        <f>order_items[[#This Row],[list_price]]-order_items[[#This Row],[Discounted_price]]</f>
        <v>439.99200000000002</v>
      </c>
      <c r="J207">
        <f>VLOOKUP(B207, Products!$A$2:$E$100, 3, FALSE)</f>
        <v>5</v>
      </c>
      <c r="K207">
        <f>VLOOKUP(B207, Products!$A$2:$F$100, 4, FALSE)</f>
        <v>6</v>
      </c>
    </row>
    <row r="208" spans="1:11" x14ac:dyDescent="0.3">
      <c r="A208">
        <v>71</v>
      </c>
      <c r="B208">
        <v>3</v>
      </c>
      <c r="C208">
        <v>18</v>
      </c>
      <c r="D208" t="str">
        <f>VLOOKUP(B208, Products!$A$2:$C$100, 2, FALSE)</f>
        <v>Surly Wednesday Frameset - 2016</v>
      </c>
      <c r="E208">
        <v>1</v>
      </c>
      <c r="F208">
        <v>449</v>
      </c>
      <c r="G208">
        <v>0.1</v>
      </c>
      <c r="H208">
        <v>44.900000000000006</v>
      </c>
      <c r="I208">
        <f>order_items[[#This Row],[list_price]]-order_items[[#This Row],[Discounted_price]]</f>
        <v>404.1</v>
      </c>
      <c r="J208">
        <f>VLOOKUP(B208, Products!$A$2:$E$100, 3, FALSE)</f>
        <v>8</v>
      </c>
      <c r="K208">
        <f>VLOOKUP(B208, Products!$A$2:$F$100, 4, FALSE)</f>
        <v>6</v>
      </c>
    </row>
    <row r="209" spans="1:11" x14ac:dyDescent="0.3">
      <c r="A209">
        <v>72</v>
      </c>
      <c r="B209">
        <v>1</v>
      </c>
      <c r="C209">
        <v>17</v>
      </c>
      <c r="D209" t="str">
        <f>VLOOKUP(B209, Products!$A$2:$C$100, 2, FALSE)</f>
        <v>Trek 820 - 2016</v>
      </c>
      <c r="E209">
        <v>2</v>
      </c>
      <c r="F209">
        <v>429</v>
      </c>
      <c r="G209">
        <v>7.0000000000000007E-2</v>
      </c>
      <c r="H209">
        <v>30.03</v>
      </c>
      <c r="I209">
        <f>order_items[[#This Row],[list_price]]-order_items[[#This Row],[Discounted_price]]</f>
        <v>398.97</v>
      </c>
      <c r="J209">
        <f>VLOOKUP(B209, Products!$A$2:$E$100, 3, FALSE)</f>
        <v>9</v>
      </c>
      <c r="K209">
        <f>VLOOKUP(B209, Products!$A$2:$F$100, 4, FALSE)</f>
        <v>6</v>
      </c>
    </row>
    <row r="210" spans="1:11" x14ac:dyDescent="0.3">
      <c r="A210">
        <v>72</v>
      </c>
      <c r="B210">
        <v>2</v>
      </c>
      <c r="C210">
        <v>12</v>
      </c>
      <c r="D210" t="str">
        <f>VLOOKUP(B210, Products!$A$2:$C$100, 2, FALSE)</f>
        <v>Ritchey Timberwolf Frameset - 2016</v>
      </c>
      <c r="E210">
        <v>1</v>
      </c>
      <c r="F210">
        <v>549.99</v>
      </c>
      <c r="G210">
        <v>0.05</v>
      </c>
      <c r="H210">
        <v>27.499500000000001</v>
      </c>
      <c r="I210">
        <f>order_items[[#This Row],[list_price]]-order_items[[#This Row],[Discounted_price]]</f>
        <v>522.4905</v>
      </c>
      <c r="J210">
        <f>VLOOKUP(B210, Products!$A$2:$E$100, 3, FALSE)</f>
        <v>5</v>
      </c>
      <c r="K210">
        <f>VLOOKUP(B210, Products!$A$2:$F$100, 4, FALSE)</f>
        <v>6</v>
      </c>
    </row>
    <row r="211" spans="1:11" x14ac:dyDescent="0.3">
      <c r="A211">
        <v>72</v>
      </c>
      <c r="B211">
        <v>3</v>
      </c>
      <c r="C211">
        <v>13</v>
      </c>
      <c r="D211" t="str">
        <f>VLOOKUP(B211, Products!$A$2:$C$100, 2, FALSE)</f>
        <v>Surly Wednesday Frameset - 2016</v>
      </c>
      <c r="E211">
        <v>2</v>
      </c>
      <c r="F211">
        <v>269.99</v>
      </c>
      <c r="G211">
        <v>0.1</v>
      </c>
      <c r="H211">
        <v>26.999000000000002</v>
      </c>
      <c r="I211">
        <f>order_items[[#This Row],[list_price]]-order_items[[#This Row],[Discounted_price]]</f>
        <v>242.99100000000001</v>
      </c>
      <c r="J211">
        <f>VLOOKUP(B211, Products!$A$2:$E$100, 3, FALSE)</f>
        <v>8</v>
      </c>
      <c r="K211">
        <f>VLOOKUP(B211, Products!$A$2:$F$100, 4, FALSE)</f>
        <v>6</v>
      </c>
    </row>
    <row r="212" spans="1:11" x14ac:dyDescent="0.3">
      <c r="A212">
        <v>73</v>
      </c>
      <c r="B212">
        <v>1</v>
      </c>
      <c r="C212">
        <v>22</v>
      </c>
      <c r="D212" t="str">
        <f>VLOOKUP(B212, Products!$A$2:$C$100, 2, FALSE)</f>
        <v>Trek 820 - 2016</v>
      </c>
      <c r="E212">
        <v>1</v>
      </c>
      <c r="F212">
        <v>269.99</v>
      </c>
      <c r="G212">
        <v>7.0000000000000007E-2</v>
      </c>
      <c r="H212">
        <v>18.899300000000004</v>
      </c>
      <c r="I212">
        <f>order_items[[#This Row],[list_price]]-order_items[[#This Row],[Discounted_price]]</f>
        <v>251.0907</v>
      </c>
      <c r="J212">
        <f>VLOOKUP(B212, Products!$A$2:$E$100, 3, FALSE)</f>
        <v>9</v>
      </c>
      <c r="K212">
        <f>VLOOKUP(B212, Products!$A$2:$F$100, 4, FALSE)</f>
        <v>6</v>
      </c>
    </row>
    <row r="213" spans="1:11" x14ac:dyDescent="0.3">
      <c r="A213">
        <v>73</v>
      </c>
      <c r="B213">
        <v>2</v>
      </c>
      <c r="C213">
        <v>26</v>
      </c>
      <c r="D213" t="str">
        <f>VLOOKUP(B213, Products!$A$2:$C$100, 2, FALSE)</f>
        <v>Ritchey Timberwolf Frameset - 2016</v>
      </c>
      <c r="E213">
        <v>2</v>
      </c>
      <c r="F213">
        <v>599.99</v>
      </c>
      <c r="G213">
        <v>0.05</v>
      </c>
      <c r="H213">
        <v>29.999500000000001</v>
      </c>
      <c r="I213">
        <f>order_items[[#This Row],[list_price]]-order_items[[#This Row],[Discounted_price]]</f>
        <v>569.9905</v>
      </c>
      <c r="J213">
        <f>VLOOKUP(B213, Products!$A$2:$E$100, 3, FALSE)</f>
        <v>5</v>
      </c>
      <c r="K213">
        <f>VLOOKUP(B213, Products!$A$2:$F$100, 4, FALSE)</f>
        <v>6</v>
      </c>
    </row>
    <row r="214" spans="1:11" x14ac:dyDescent="0.3">
      <c r="A214">
        <v>73</v>
      </c>
      <c r="B214">
        <v>3</v>
      </c>
      <c r="C214">
        <v>3</v>
      </c>
      <c r="D214" t="str">
        <f>VLOOKUP(B214, Products!$A$2:$C$100, 2, FALSE)</f>
        <v>Surly Wednesday Frameset - 2016</v>
      </c>
      <c r="E214">
        <v>2</v>
      </c>
      <c r="F214">
        <v>999.99</v>
      </c>
      <c r="G214">
        <v>7.0000000000000007E-2</v>
      </c>
      <c r="H214">
        <v>69.999300000000005</v>
      </c>
      <c r="I214">
        <f>order_items[[#This Row],[list_price]]-order_items[[#This Row],[Discounted_price]]</f>
        <v>929.99070000000006</v>
      </c>
      <c r="J214">
        <f>VLOOKUP(B214, Products!$A$2:$E$100, 3, FALSE)</f>
        <v>8</v>
      </c>
      <c r="K214">
        <f>VLOOKUP(B214, Products!$A$2:$F$100, 4, FALSE)</f>
        <v>6</v>
      </c>
    </row>
    <row r="215" spans="1:11" x14ac:dyDescent="0.3">
      <c r="A215">
        <v>73</v>
      </c>
      <c r="B215">
        <v>4</v>
      </c>
      <c r="C215">
        <v>25</v>
      </c>
      <c r="D215" t="str">
        <f>VLOOKUP(B215, Products!$A$2:$C$100, 2, FALSE)</f>
        <v>Trek Fuel EX 8 29 - 2016</v>
      </c>
      <c r="E215">
        <v>1</v>
      </c>
      <c r="F215">
        <v>499.99</v>
      </c>
      <c r="G215">
        <v>7.0000000000000007E-2</v>
      </c>
      <c r="H215">
        <v>34.999300000000005</v>
      </c>
      <c r="I215">
        <f>order_items[[#This Row],[list_price]]-order_items[[#This Row],[Discounted_price]]</f>
        <v>464.9907</v>
      </c>
      <c r="J215">
        <f>VLOOKUP(B215, Products!$A$2:$E$100, 3, FALSE)</f>
        <v>9</v>
      </c>
      <c r="K215">
        <f>VLOOKUP(B215, Products!$A$2:$F$100, 4, FALSE)</f>
        <v>6</v>
      </c>
    </row>
    <row r="216" spans="1:11" x14ac:dyDescent="0.3">
      <c r="A216">
        <v>73</v>
      </c>
      <c r="B216">
        <v>5</v>
      </c>
      <c r="C216">
        <v>23</v>
      </c>
      <c r="D216" t="str">
        <f>VLOOKUP(B216, Products!$A$2:$C$100, 2, FALSE)</f>
        <v>Heller Shagamaw Frame - 2016</v>
      </c>
      <c r="E216">
        <v>2</v>
      </c>
      <c r="F216">
        <v>299.99</v>
      </c>
      <c r="G216">
        <v>0.2</v>
      </c>
      <c r="H216">
        <v>59.998000000000005</v>
      </c>
      <c r="I216">
        <f>order_items[[#This Row],[list_price]]-order_items[[#This Row],[Discounted_price]]</f>
        <v>239.99200000000002</v>
      </c>
      <c r="J216">
        <f>VLOOKUP(B216, Products!$A$2:$E$100, 3, FALSE)</f>
        <v>3</v>
      </c>
      <c r="K216">
        <f>VLOOKUP(B216, Products!$A$2:$F$100, 4, FALSE)</f>
        <v>6</v>
      </c>
    </row>
    <row r="217" spans="1:11" x14ac:dyDescent="0.3">
      <c r="A217">
        <v>74</v>
      </c>
      <c r="B217">
        <v>1</v>
      </c>
      <c r="C217">
        <v>16</v>
      </c>
      <c r="D217" t="str">
        <f>VLOOKUP(B217, Products!$A$2:$C$100, 2, FALSE)</f>
        <v>Trek 820 - 2016</v>
      </c>
      <c r="E217">
        <v>2</v>
      </c>
      <c r="F217">
        <v>599.99</v>
      </c>
      <c r="G217">
        <v>0.05</v>
      </c>
      <c r="H217">
        <v>29.999500000000001</v>
      </c>
      <c r="I217">
        <f>order_items[[#This Row],[list_price]]-order_items[[#This Row],[Discounted_price]]</f>
        <v>569.9905</v>
      </c>
      <c r="J217">
        <f>VLOOKUP(B217, Products!$A$2:$E$100, 3, FALSE)</f>
        <v>9</v>
      </c>
      <c r="K217">
        <f>VLOOKUP(B217, Products!$A$2:$F$100, 4, FALSE)</f>
        <v>6</v>
      </c>
    </row>
    <row r="218" spans="1:11" x14ac:dyDescent="0.3">
      <c r="A218">
        <v>74</v>
      </c>
      <c r="B218">
        <v>2</v>
      </c>
      <c r="C218">
        <v>6</v>
      </c>
      <c r="D218" t="str">
        <f>VLOOKUP(B218, Products!$A$2:$C$100, 2, FALSE)</f>
        <v>Ritchey Timberwolf Frameset - 2016</v>
      </c>
      <c r="E218">
        <v>1</v>
      </c>
      <c r="F218">
        <v>469.99</v>
      </c>
      <c r="G218">
        <v>7.0000000000000007E-2</v>
      </c>
      <c r="H218">
        <v>32.899300000000004</v>
      </c>
      <c r="I218">
        <f>order_items[[#This Row],[list_price]]-order_items[[#This Row],[Discounted_price]]</f>
        <v>437.09070000000003</v>
      </c>
      <c r="J218">
        <f>VLOOKUP(B218, Products!$A$2:$E$100, 3, FALSE)</f>
        <v>5</v>
      </c>
      <c r="K218">
        <f>VLOOKUP(B218, Products!$A$2:$F$100, 4, FALSE)</f>
        <v>6</v>
      </c>
    </row>
    <row r="219" spans="1:11" x14ac:dyDescent="0.3">
      <c r="A219">
        <v>75</v>
      </c>
      <c r="B219">
        <v>1</v>
      </c>
      <c r="C219">
        <v>3</v>
      </c>
      <c r="D219" t="str">
        <f>VLOOKUP(B219, Products!$A$2:$C$100, 2, FALSE)</f>
        <v>Trek 820 - 2016</v>
      </c>
      <c r="E219">
        <v>1</v>
      </c>
      <c r="F219">
        <v>999.99</v>
      </c>
      <c r="G219">
        <v>0.1</v>
      </c>
      <c r="H219">
        <v>99.999000000000009</v>
      </c>
      <c r="I219">
        <f>order_items[[#This Row],[list_price]]-order_items[[#This Row],[Discounted_price]]</f>
        <v>899.99099999999999</v>
      </c>
      <c r="J219">
        <f>VLOOKUP(B219, Products!$A$2:$E$100, 3, FALSE)</f>
        <v>9</v>
      </c>
      <c r="K219">
        <f>VLOOKUP(B219, Products!$A$2:$F$100, 4, FALSE)</f>
        <v>6</v>
      </c>
    </row>
    <row r="220" spans="1:11" x14ac:dyDescent="0.3">
      <c r="A220">
        <v>75</v>
      </c>
      <c r="B220">
        <v>2</v>
      </c>
      <c r="C220">
        <v>7</v>
      </c>
      <c r="D220" t="str">
        <f>VLOOKUP(B220, Products!$A$2:$C$100, 2, FALSE)</f>
        <v>Ritchey Timberwolf Frameset - 2016</v>
      </c>
      <c r="E220">
        <v>2</v>
      </c>
      <c r="F220">
        <v>3999.99</v>
      </c>
      <c r="G220">
        <v>7.0000000000000007E-2</v>
      </c>
      <c r="H220">
        <v>279.99930000000001</v>
      </c>
      <c r="I220">
        <f>order_items[[#This Row],[list_price]]-order_items[[#This Row],[Discounted_price]]</f>
        <v>3719.9906999999998</v>
      </c>
      <c r="J220">
        <f>VLOOKUP(B220, Products!$A$2:$E$100, 3, FALSE)</f>
        <v>5</v>
      </c>
      <c r="K220">
        <f>VLOOKUP(B220, Products!$A$2:$F$100, 4, FALSE)</f>
        <v>6</v>
      </c>
    </row>
    <row r="221" spans="1:11" x14ac:dyDescent="0.3">
      <c r="A221">
        <v>75</v>
      </c>
      <c r="B221">
        <v>3</v>
      </c>
      <c r="C221">
        <v>15</v>
      </c>
      <c r="D221" t="str">
        <f>VLOOKUP(B221, Products!$A$2:$C$100, 2, FALSE)</f>
        <v>Surly Wednesday Frameset - 2016</v>
      </c>
      <c r="E221">
        <v>1</v>
      </c>
      <c r="F221">
        <v>529.99</v>
      </c>
      <c r="G221">
        <v>0.2</v>
      </c>
      <c r="H221">
        <v>105.998</v>
      </c>
      <c r="I221">
        <f>order_items[[#This Row],[list_price]]-order_items[[#This Row],[Discounted_price]]</f>
        <v>423.99200000000002</v>
      </c>
      <c r="J221">
        <f>VLOOKUP(B221, Products!$A$2:$E$100, 3, FALSE)</f>
        <v>8</v>
      </c>
      <c r="K221">
        <f>VLOOKUP(B221, Products!$A$2:$F$100, 4, FALSE)</f>
        <v>6</v>
      </c>
    </row>
    <row r="222" spans="1:11" x14ac:dyDescent="0.3">
      <c r="A222">
        <v>76</v>
      </c>
      <c r="B222">
        <v>1</v>
      </c>
      <c r="C222">
        <v>12</v>
      </c>
      <c r="D222" t="str">
        <f>VLOOKUP(B222, Products!$A$2:$C$100, 2, FALSE)</f>
        <v>Trek 820 - 2016</v>
      </c>
      <c r="E222">
        <v>1</v>
      </c>
      <c r="F222">
        <v>549.99</v>
      </c>
      <c r="G222">
        <v>0.05</v>
      </c>
      <c r="H222">
        <v>27.499500000000001</v>
      </c>
      <c r="I222">
        <f>order_items[[#This Row],[list_price]]-order_items[[#This Row],[Discounted_price]]</f>
        <v>522.4905</v>
      </c>
      <c r="J222">
        <f>VLOOKUP(B222, Products!$A$2:$E$100, 3, FALSE)</f>
        <v>9</v>
      </c>
      <c r="K222">
        <f>VLOOKUP(B222, Products!$A$2:$F$100, 4, FALSE)</f>
        <v>6</v>
      </c>
    </row>
    <row r="223" spans="1:11" x14ac:dyDescent="0.3">
      <c r="A223">
        <v>76</v>
      </c>
      <c r="B223">
        <v>2</v>
      </c>
      <c r="C223">
        <v>11</v>
      </c>
      <c r="D223" t="str">
        <f>VLOOKUP(B223, Products!$A$2:$C$100, 2, FALSE)</f>
        <v>Ritchey Timberwolf Frameset - 2016</v>
      </c>
      <c r="E223">
        <v>2</v>
      </c>
      <c r="F223">
        <v>1680.99</v>
      </c>
      <c r="G223">
        <v>0.1</v>
      </c>
      <c r="H223">
        <v>168.09900000000002</v>
      </c>
      <c r="I223">
        <f>order_items[[#This Row],[list_price]]-order_items[[#This Row],[Discounted_price]]</f>
        <v>1512.8910000000001</v>
      </c>
      <c r="J223">
        <f>VLOOKUP(B223, Products!$A$2:$E$100, 3, FALSE)</f>
        <v>5</v>
      </c>
      <c r="K223">
        <f>VLOOKUP(B223, Products!$A$2:$F$100, 4, FALSE)</f>
        <v>6</v>
      </c>
    </row>
    <row r="224" spans="1:11" x14ac:dyDescent="0.3">
      <c r="A224">
        <v>76</v>
      </c>
      <c r="B224">
        <v>3</v>
      </c>
      <c r="C224">
        <v>5</v>
      </c>
      <c r="D224" t="str">
        <f>VLOOKUP(B224, Products!$A$2:$C$100, 2, FALSE)</f>
        <v>Surly Wednesday Frameset - 2016</v>
      </c>
      <c r="E224">
        <v>1</v>
      </c>
      <c r="F224">
        <v>1320.99</v>
      </c>
      <c r="G224">
        <v>7.0000000000000007E-2</v>
      </c>
      <c r="H224">
        <v>92.469300000000004</v>
      </c>
      <c r="I224">
        <f>order_items[[#This Row],[list_price]]-order_items[[#This Row],[Discounted_price]]</f>
        <v>1228.5207</v>
      </c>
      <c r="J224">
        <f>VLOOKUP(B224, Products!$A$2:$E$100, 3, FALSE)</f>
        <v>8</v>
      </c>
      <c r="K224">
        <f>VLOOKUP(B224, Products!$A$2:$F$100, 4, FALSE)</f>
        <v>6</v>
      </c>
    </row>
    <row r="225" spans="1:11" x14ac:dyDescent="0.3">
      <c r="A225">
        <v>77</v>
      </c>
      <c r="B225">
        <v>1</v>
      </c>
      <c r="C225">
        <v>20</v>
      </c>
      <c r="D225" t="str">
        <f>VLOOKUP(B225, Products!$A$2:$C$100, 2, FALSE)</f>
        <v>Trek 820 - 2016</v>
      </c>
      <c r="E225">
        <v>1</v>
      </c>
      <c r="F225">
        <v>599.99</v>
      </c>
      <c r="G225">
        <v>7.0000000000000007E-2</v>
      </c>
      <c r="H225">
        <v>41.999300000000005</v>
      </c>
      <c r="I225">
        <f>order_items[[#This Row],[list_price]]-order_items[[#This Row],[Discounted_price]]</f>
        <v>557.99070000000006</v>
      </c>
      <c r="J225">
        <f>VLOOKUP(B225, Products!$A$2:$E$100, 3, FALSE)</f>
        <v>9</v>
      </c>
      <c r="K225">
        <f>VLOOKUP(B225, Products!$A$2:$F$100, 4, FALSE)</f>
        <v>6</v>
      </c>
    </row>
    <row r="226" spans="1:11" x14ac:dyDescent="0.3">
      <c r="A226">
        <v>77</v>
      </c>
      <c r="B226">
        <v>2</v>
      </c>
      <c r="C226">
        <v>24</v>
      </c>
      <c r="D226" t="str">
        <f>VLOOKUP(B226, Products!$A$2:$C$100, 2, FALSE)</f>
        <v>Ritchey Timberwolf Frameset - 2016</v>
      </c>
      <c r="E226">
        <v>2</v>
      </c>
      <c r="F226">
        <v>549.99</v>
      </c>
      <c r="G226">
        <v>0.1</v>
      </c>
      <c r="H226">
        <v>54.999000000000002</v>
      </c>
      <c r="I226">
        <f>order_items[[#This Row],[list_price]]-order_items[[#This Row],[Discounted_price]]</f>
        <v>494.99099999999999</v>
      </c>
      <c r="J226">
        <f>VLOOKUP(B226, Products!$A$2:$E$100, 3, FALSE)</f>
        <v>5</v>
      </c>
      <c r="K226">
        <f>VLOOKUP(B226, Products!$A$2:$F$100, 4, FALSE)</f>
        <v>6</v>
      </c>
    </row>
    <row r="227" spans="1:11" x14ac:dyDescent="0.3">
      <c r="A227">
        <v>77</v>
      </c>
      <c r="B227">
        <v>3</v>
      </c>
      <c r="C227">
        <v>26</v>
      </c>
      <c r="D227" t="str">
        <f>VLOOKUP(B227, Products!$A$2:$C$100, 2, FALSE)</f>
        <v>Surly Wednesday Frameset - 2016</v>
      </c>
      <c r="E227">
        <v>1</v>
      </c>
      <c r="F227">
        <v>599.99</v>
      </c>
      <c r="G227">
        <v>0.2</v>
      </c>
      <c r="H227">
        <v>119.998</v>
      </c>
      <c r="I227">
        <f>order_items[[#This Row],[list_price]]-order_items[[#This Row],[Discounted_price]]</f>
        <v>479.99200000000002</v>
      </c>
      <c r="J227">
        <f>VLOOKUP(B227, Products!$A$2:$E$100, 3, FALSE)</f>
        <v>8</v>
      </c>
      <c r="K227">
        <f>VLOOKUP(B227, Products!$A$2:$F$100, 4, FALSE)</f>
        <v>6</v>
      </c>
    </row>
    <row r="228" spans="1:11" x14ac:dyDescent="0.3">
      <c r="A228">
        <v>77</v>
      </c>
      <c r="B228">
        <v>4</v>
      </c>
      <c r="C228">
        <v>25</v>
      </c>
      <c r="D228" t="str">
        <f>VLOOKUP(B228, Products!$A$2:$C$100, 2, FALSE)</f>
        <v>Trek Fuel EX 8 29 - 2016</v>
      </c>
      <c r="E228">
        <v>1</v>
      </c>
      <c r="F228">
        <v>499.99</v>
      </c>
      <c r="G228">
        <v>0.2</v>
      </c>
      <c r="H228">
        <v>99.998000000000005</v>
      </c>
      <c r="I228">
        <f>order_items[[#This Row],[list_price]]-order_items[[#This Row],[Discounted_price]]</f>
        <v>399.99200000000002</v>
      </c>
      <c r="J228">
        <f>VLOOKUP(B228, Products!$A$2:$E$100, 3, FALSE)</f>
        <v>9</v>
      </c>
      <c r="K228">
        <f>VLOOKUP(B228, Products!$A$2:$F$100, 4, FALSE)</f>
        <v>6</v>
      </c>
    </row>
    <row r="229" spans="1:11" x14ac:dyDescent="0.3">
      <c r="A229">
        <v>78</v>
      </c>
      <c r="B229">
        <v>1</v>
      </c>
      <c r="C229">
        <v>17</v>
      </c>
      <c r="D229" t="str">
        <f>VLOOKUP(B229, Products!$A$2:$C$100, 2, FALSE)</f>
        <v>Trek 820 - 2016</v>
      </c>
      <c r="E229">
        <v>1</v>
      </c>
      <c r="F229">
        <v>429</v>
      </c>
      <c r="G229">
        <v>7.0000000000000007E-2</v>
      </c>
      <c r="H229">
        <v>30.03</v>
      </c>
      <c r="I229">
        <f>order_items[[#This Row],[list_price]]-order_items[[#This Row],[Discounted_price]]</f>
        <v>398.97</v>
      </c>
      <c r="J229">
        <f>VLOOKUP(B229, Products!$A$2:$E$100, 3, FALSE)</f>
        <v>9</v>
      </c>
      <c r="K229">
        <f>VLOOKUP(B229, Products!$A$2:$F$100, 4, FALSE)</f>
        <v>6</v>
      </c>
    </row>
    <row r="230" spans="1:11" x14ac:dyDescent="0.3">
      <c r="A230">
        <v>78</v>
      </c>
      <c r="B230">
        <v>2</v>
      </c>
      <c r="C230">
        <v>19</v>
      </c>
      <c r="D230" t="str">
        <f>VLOOKUP(B230, Products!$A$2:$C$100, 2, FALSE)</f>
        <v>Ritchey Timberwolf Frameset - 2016</v>
      </c>
      <c r="E230">
        <v>1</v>
      </c>
      <c r="F230">
        <v>449</v>
      </c>
      <c r="G230">
        <v>0.2</v>
      </c>
      <c r="H230">
        <v>89.800000000000011</v>
      </c>
      <c r="I230">
        <f>order_items[[#This Row],[list_price]]-order_items[[#This Row],[Discounted_price]]</f>
        <v>359.2</v>
      </c>
      <c r="J230">
        <f>VLOOKUP(B230, Products!$A$2:$E$100, 3, FALSE)</f>
        <v>5</v>
      </c>
      <c r="K230">
        <f>VLOOKUP(B230, Products!$A$2:$F$100, 4, FALSE)</f>
        <v>6</v>
      </c>
    </row>
    <row r="231" spans="1:11" x14ac:dyDescent="0.3">
      <c r="A231">
        <v>78</v>
      </c>
      <c r="B231">
        <v>3</v>
      </c>
      <c r="C231">
        <v>18</v>
      </c>
      <c r="D231" t="str">
        <f>VLOOKUP(B231, Products!$A$2:$C$100, 2, FALSE)</f>
        <v>Surly Wednesday Frameset - 2016</v>
      </c>
      <c r="E231">
        <v>2</v>
      </c>
      <c r="F231">
        <v>449</v>
      </c>
      <c r="G231">
        <v>0.1</v>
      </c>
      <c r="H231">
        <v>44.900000000000006</v>
      </c>
      <c r="I231">
        <f>order_items[[#This Row],[list_price]]-order_items[[#This Row],[Discounted_price]]</f>
        <v>404.1</v>
      </c>
      <c r="J231">
        <f>VLOOKUP(B231, Products!$A$2:$E$100, 3, FALSE)</f>
        <v>8</v>
      </c>
      <c r="K231">
        <f>VLOOKUP(B231, Products!$A$2:$F$100, 4, FALSE)</f>
        <v>6</v>
      </c>
    </row>
    <row r="232" spans="1:11" x14ac:dyDescent="0.3">
      <c r="A232">
        <v>78</v>
      </c>
      <c r="B232">
        <v>4</v>
      </c>
      <c r="C232">
        <v>14</v>
      </c>
      <c r="D232" t="str">
        <f>VLOOKUP(B232, Products!$A$2:$C$100, 2, FALSE)</f>
        <v>Trek Fuel EX 8 29 - 2016</v>
      </c>
      <c r="E232">
        <v>2</v>
      </c>
      <c r="F232">
        <v>269.99</v>
      </c>
      <c r="G232">
        <v>0.1</v>
      </c>
      <c r="H232">
        <v>26.999000000000002</v>
      </c>
      <c r="I232">
        <f>order_items[[#This Row],[list_price]]-order_items[[#This Row],[Discounted_price]]</f>
        <v>242.99100000000001</v>
      </c>
      <c r="J232">
        <f>VLOOKUP(B232, Products!$A$2:$E$100, 3, FALSE)</f>
        <v>9</v>
      </c>
      <c r="K232">
        <f>VLOOKUP(B232, Products!$A$2:$F$100, 4, FALSE)</f>
        <v>6</v>
      </c>
    </row>
    <row r="233" spans="1:11" x14ac:dyDescent="0.3">
      <c r="A233">
        <v>79</v>
      </c>
      <c r="B233">
        <v>1</v>
      </c>
      <c r="C233">
        <v>9</v>
      </c>
      <c r="D233" t="str">
        <f>VLOOKUP(B233, Products!$A$2:$C$100, 2, FALSE)</f>
        <v>Trek 820 - 2016</v>
      </c>
      <c r="E233">
        <v>2</v>
      </c>
      <c r="F233">
        <v>2999.99</v>
      </c>
      <c r="G233">
        <v>0.1</v>
      </c>
      <c r="H233">
        <v>299.99899999999997</v>
      </c>
      <c r="I233">
        <f>order_items[[#This Row],[list_price]]-order_items[[#This Row],[Discounted_price]]</f>
        <v>2699.991</v>
      </c>
      <c r="J233">
        <f>VLOOKUP(B233, Products!$A$2:$E$100, 3, FALSE)</f>
        <v>9</v>
      </c>
      <c r="K233">
        <f>VLOOKUP(B233, Products!$A$2:$F$100, 4, FALSE)</f>
        <v>6</v>
      </c>
    </row>
    <row r="234" spans="1:11" x14ac:dyDescent="0.3">
      <c r="A234">
        <v>79</v>
      </c>
      <c r="B234">
        <v>2</v>
      </c>
      <c r="C234">
        <v>17</v>
      </c>
      <c r="D234" t="str">
        <f>VLOOKUP(B234, Products!$A$2:$C$100, 2, FALSE)</f>
        <v>Ritchey Timberwolf Frameset - 2016</v>
      </c>
      <c r="E234">
        <v>2</v>
      </c>
      <c r="F234">
        <v>429</v>
      </c>
      <c r="G234">
        <v>0.05</v>
      </c>
      <c r="H234">
        <v>21.450000000000003</v>
      </c>
      <c r="I234">
        <f>order_items[[#This Row],[list_price]]-order_items[[#This Row],[Discounted_price]]</f>
        <v>407.55</v>
      </c>
      <c r="J234">
        <f>VLOOKUP(B234, Products!$A$2:$E$100, 3, FALSE)</f>
        <v>5</v>
      </c>
      <c r="K234">
        <f>VLOOKUP(B234, Products!$A$2:$F$100, 4, FALSE)</f>
        <v>6</v>
      </c>
    </row>
    <row r="235" spans="1:11" x14ac:dyDescent="0.3">
      <c r="A235">
        <v>79</v>
      </c>
      <c r="B235">
        <v>3</v>
      </c>
      <c r="C235">
        <v>6</v>
      </c>
      <c r="D235" t="str">
        <f>VLOOKUP(B235, Products!$A$2:$C$100, 2, FALSE)</f>
        <v>Surly Wednesday Frameset - 2016</v>
      </c>
      <c r="E235">
        <v>1</v>
      </c>
      <c r="F235">
        <v>469.99</v>
      </c>
      <c r="G235">
        <v>0.1</v>
      </c>
      <c r="H235">
        <v>46.999000000000002</v>
      </c>
      <c r="I235">
        <f>order_items[[#This Row],[list_price]]-order_items[[#This Row],[Discounted_price]]</f>
        <v>422.99099999999999</v>
      </c>
      <c r="J235">
        <f>VLOOKUP(B235, Products!$A$2:$E$100, 3, FALSE)</f>
        <v>8</v>
      </c>
      <c r="K235">
        <f>VLOOKUP(B235, Products!$A$2:$F$100, 4, FALSE)</f>
        <v>6</v>
      </c>
    </row>
    <row r="236" spans="1:11" x14ac:dyDescent="0.3">
      <c r="A236">
        <v>79</v>
      </c>
      <c r="B236">
        <v>4</v>
      </c>
      <c r="C236">
        <v>25</v>
      </c>
      <c r="D236" t="str">
        <f>VLOOKUP(B236, Products!$A$2:$C$100, 2, FALSE)</f>
        <v>Trek Fuel EX 8 29 - 2016</v>
      </c>
      <c r="E236">
        <v>2</v>
      </c>
      <c r="F236">
        <v>499.99</v>
      </c>
      <c r="G236">
        <v>7.0000000000000007E-2</v>
      </c>
      <c r="H236">
        <v>34.999300000000005</v>
      </c>
      <c r="I236">
        <f>order_items[[#This Row],[list_price]]-order_items[[#This Row],[Discounted_price]]</f>
        <v>464.9907</v>
      </c>
      <c r="J236">
        <f>VLOOKUP(B236, Products!$A$2:$E$100, 3, FALSE)</f>
        <v>9</v>
      </c>
      <c r="K236">
        <f>VLOOKUP(B236, Products!$A$2:$F$100, 4, FALSE)</f>
        <v>6</v>
      </c>
    </row>
    <row r="237" spans="1:11" x14ac:dyDescent="0.3">
      <c r="A237">
        <v>80</v>
      </c>
      <c r="B237">
        <v>1</v>
      </c>
      <c r="C237">
        <v>26</v>
      </c>
      <c r="D237" t="str">
        <f>VLOOKUP(B237, Products!$A$2:$C$100, 2, FALSE)</f>
        <v>Trek 820 - 2016</v>
      </c>
      <c r="E237">
        <v>1</v>
      </c>
      <c r="F237">
        <v>599.99</v>
      </c>
      <c r="G237">
        <v>0.1</v>
      </c>
      <c r="H237">
        <v>59.999000000000002</v>
      </c>
      <c r="I237">
        <f>order_items[[#This Row],[list_price]]-order_items[[#This Row],[Discounted_price]]</f>
        <v>539.99099999999999</v>
      </c>
      <c r="J237">
        <f>VLOOKUP(B237, Products!$A$2:$E$100, 3, FALSE)</f>
        <v>9</v>
      </c>
      <c r="K237">
        <f>VLOOKUP(B237, Products!$A$2:$F$100, 4, FALSE)</f>
        <v>6</v>
      </c>
    </row>
    <row r="238" spans="1:11" x14ac:dyDescent="0.3">
      <c r="A238">
        <v>80</v>
      </c>
      <c r="B238">
        <v>2</v>
      </c>
      <c r="C238">
        <v>24</v>
      </c>
      <c r="D238" t="str">
        <f>VLOOKUP(B238, Products!$A$2:$C$100, 2, FALSE)</f>
        <v>Ritchey Timberwolf Frameset - 2016</v>
      </c>
      <c r="E238">
        <v>1</v>
      </c>
      <c r="F238">
        <v>549.99</v>
      </c>
      <c r="G238">
        <v>0.1</v>
      </c>
      <c r="H238">
        <v>54.999000000000002</v>
      </c>
      <c r="I238">
        <f>order_items[[#This Row],[list_price]]-order_items[[#This Row],[Discounted_price]]</f>
        <v>494.99099999999999</v>
      </c>
      <c r="J238">
        <f>VLOOKUP(B238, Products!$A$2:$E$100, 3, FALSE)</f>
        <v>5</v>
      </c>
      <c r="K238">
        <f>VLOOKUP(B238, Products!$A$2:$F$100, 4, FALSE)</f>
        <v>6</v>
      </c>
    </row>
    <row r="239" spans="1:11" x14ac:dyDescent="0.3">
      <c r="A239">
        <v>80</v>
      </c>
      <c r="B239">
        <v>3</v>
      </c>
      <c r="C239">
        <v>17</v>
      </c>
      <c r="D239" t="str">
        <f>VLOOKUP(B239, Products!$A$2:$C$100, 2, FALSE)</f>
        <v>Surly Wednesday Frameset - 2016</v>
      </c>
      <c r="E239">
        <v>1</v>
      </c>
      <c r="F239">
        <v>429</v>
      </c>
      <c r="G239">
        <v>0.2</v>
      </c>
      <c r="H239">
        <v>85.800000000000011</v>
      </c>
      <c r="I239">
        <f>order_items[[#This Row],[list_price]]-order_items[[#This Row],[Discounted_price]]</f>
        <v>343.2</v>
      </c>
      <c r="J239">
        <f>VLOOKUP(B239, Products!$A$2:$E$100, 3, FALSE)</f>
        <v>8</v>
      </c>
      <c r="K239">
        <f>VLOOKUP(B239, Products!$A$2:$F$100, 4, FALSE)</f>
        <v>6</v>
      </c>
    </row>
    <row r="240" spans="1:11" x14ac:dyDescent="0.3">
      <c r="A240">
        <v>81</v>
      </c>
      <c r="B240">
        <v>1</v>
      </c>
      <c r="C240">
        <v>10</v>
      </c>
      <c r="D240" t="str">
        <f>VLOOKUP(B240, Products!$A$2:$C$100, 2, FALSE)</f>
        <v>Trek 820 - 2016</v>
      </c>
      <c r="E240">
        <v>2</v>
      </c>
      <c r="F240">
        <v>1549</v>
      </c>
      <c r="G240">
        <v>0.2</v>
      </c>
      <c r="H240">
        <v>309.8</v>
      </c>
      <c r="I240">
        <f>order_items[[#This Row],[list_price]]-order_items[[#This Row],[Discounted_price]]</f>
        <v>1239.2</v>
      </c>
      <c r="J240">
        <f>VLOOKUP(B240, Products!$A$2:$E$100, 3, FALSE)</f>
        <v>9</v>
      </c>
      <c r="K240">
        <f>VLOOKUP(B240, Products!$A$2:$F$100, 4, FALSE)</f>
        <v>6</v>
      </c>
    </row>
    <row r="241" spans="1:11" x14ac:dyDescent="0.3">
      <c r="A241">
        <v>81</v>
      </c>
      <c r="B241">
        <v>2</v>
      </c>
      <c r="C241">
        <v>23</v>
      </c>
      <c r="D241" t="str">
        <f>VLOOKUP(B241, Products!$A$2:$C$100, 2, FALSE)</f>
        <v>Ritchey Timberwolf Frameset - 2016</v>
      </c>
      <c r="E241">
        <v>2</v>
      </c>
      <c r="F241">
        <v>299.99</v>
      </c>
      <c r="G241">
        <v>0.05</v>
      </c>
      <c r="H241">
        <v>14.999500000000001</v>
      </c>
      <c r="I241">
        <f>order_items[[#This Row],[list_price]]-order_items[[#This Row],[Discounted_price]]</f>
        <v>284.9905</v>
      </c>
      <c r="J241">
        <f>VLOOKUP(B241, Products!$A$2:$E$100, 3, FALSE)</f>
        <v>5</v>
      </c>
      <c r="K241">
        <f>VLOOKUP(B241, Products!$A$2:$F$100, 4, FALSE)</f>
        <v>6</v>
      </c>
    </row>
    <row r="242" spans="1:11" x14ac:dyDescent="0.3">
      <c r="A242">
        <v>81</v>
      </c>
      <c r="B242">
        <v>3</v>
      </c>
      <c r="C242">
        <v>25</v>
      </c>
      <c r="D242" t="str">
        <f>VLOOKUP(B242, Products!$A$2:$C$100, 2, FALSE)</f>
        <v>Surly Wednesday Frameset - 2016</v>
      </c>
      <c r="E242">
        <v>2</v>
      </c>
      <c r="F242">
        <v>499.99</v>
      </c>
      <c r="G242">
        <v>0.05</v>
      </c>
      <c r="H242">
        <v>24.999500000000001</v>
      </c>
      <c r="I242">
        <f>order_items[[#This Row],[list_price]]-order_items[[#This Row],[Discounted_price]]</f>
        <v>474.9905</v>
      </c>
      <c r="J242">
        <f>VLOOKUP(B242, Products!$A$2:$E$100, 3, FALSE)</f>
        <v>8</v>
      </c>
      <c r="K242">
        <f>VLOOKUP(B242, Products!$A$2:$F$100, 4, FALSE)</f>
        <v>6</v>
      </c>
    </row>
    <row r="243" spans="1:11" x14ac:dyDescent="0.3">
      <c r="A243">
        <v>82</v>
      </c>
      <c r="B243">
        <v>1</v>
      </c>
      <c r="C243">
        <v>25</v>
      </c>
      <c r="D243" t="str">
        <f>VLOOKUP(B243, Products!$A$2:$C$100, 2, FALSE)</f>
        <v>Trek 820 - 2016</v>
      </c>
      <c r="E243">
        <v>2</v>
      </c>
      <c r="F243">
        <v>499.99</v>
      </c>
      <c r="G243">
        <v>0.1</v>
      </c>
      <c r="H243">
        <v>49.999000000000002</v>
      </c>
      <c r="I243">
        <f>order_items[[#This Row],[list_price]]-order_items[[#This Row],[Discounted_price]]</f>
        <v>449.99099999999999</v>
      </c>
      <c r="J243">
        <f>VLOOKUP(B243, Products!$A$2:$E$100, 3, FALSE)</f>
        <v>9</v>
      </c>
      <c r="K243">
        <f>VLOOKUP(B243, Products!$A$2:$F$100, 4, FALSE)</f>
        <v>6</v>
      </c>
    </row>
    <row r="244" spans="1:11" x14ac:dyDescent="0.3">
      <c r="A244">
        <v>82</v>
      </c>
      <c r="B244">
        <v>2</v>
      </c>
      <c r="C244">
        <v>11</v>
      </c>
      <c r="D244" t="str">
        <f>VLOOKUP(B244, Products!$A$2:$C$100, 2, FALSE)</f>
        <v>Ritchey Timberwolf Frameset - 2016</v>
      </c>
      <c r="E244">
        <v>2</v>
      </c>
      <c r="F244">
        <v>1680.99</v>
      </c>
      <c r="G244">
        <v>0.2</v>
      </c>
      <c r="H244">
        <v>336.19800000000004</v>
      </c>
      <c r="I244">
        <f>order_items[[#This Row],[list_price]]-order_items[[#This Row],[Discounted_price]]</f>
        <v>1344.7919999999999</v>
      </c>
      <c r="J244">
        <f>VLOOKUP(B244, Products!$A$2:$E$100, 3, FALSE)</f>
        <v>5</v>
      </c>
      <c r="K244">
        <f>VLOOKUP(B244, Products!$A$2:$F$100, 4, FALSE)</f>
        <v>6</v>
      </c>
    </row>
    <row r="245" spans="1:11" x14ac:dyDescent="0.3">
      <c r="A245">
        <v>83</v>
      </c>
      <c r="B245">
        <v>1</v>
      </c>
      <c r="C245">
        <v>20</v>
      </c>
      <c r="D245" t="str">
        <f>VLOOKUP(B245, Products!$A$2:$C$100, 2, FALSE)</f>
        <v>Trek 820 - 2016</v>
      </c>
      <c r="E245">
        <v>1</v>
      </c>
      <c r="F245">
        <v>599.99</v>
      </c>
      <c r="G245">
        <v>0.2</v>
      </c>
      <c r="H245">
        <v>119.998</v>
      </c>
      <c r="I245">
        <f>order_items[[#This Row],[list_price]]-order_items[[#This Row],[Discounted_price]]</f>
        <v>479.99200000000002</v>
      </c>
      <c r="J245">
        <f>VLOOKUP(B245, Products!$A$2:$E$100, 3, FALSE)</f>
        <v>9</v>
      </c>
      <c r="K245">
        <f>VLOOKUP(B245, Products!$A$2:$F$100, 4, FALSE)</f>
        <v>6</v>
      </c>
    </row>
    <row r="246" spans="1:11" x14ac:dyDescent="0.3">
      <c r="A246">
        <v>83</v>
      </c>
      <c r="B246">
        <v>2</v>
      </c>
      <c r="C246">
        <v>3</v>
      </c>
      <c r="D246" t="str">
        <f>VLOOKUP(B246, Products!$A$2:$C$100, 2, FALSE)</f>
        <v>Ritchey Timberwolf Frameset - 2016</v>
      </c>
      <c r="E246">
        <v>2</v>
      </c>
      <c r="F246">
        <v>999.99</v>
      </c>
      <c r="G246">
        <v>0.05</v>
      </c>
      <c r="H246">
        <v>49.999500000000005</v>
      </c>
      <c r="I246">
        <f>order_items[[#This Row],[list_price]]-order_items[[#This Row],[Discounted_price]]</f>
        <v>949.9905</v>
      </c>
      <c r="J246">
        <f>VLOOKUP(B246, Products!$A$2:$E$100, 3, FALSE)</f>
        <v>5</v>
      </c>
      <c r="K246">
        <f>VLOOKUP(B246, Products!$A$2:$F$100, 4, FALSE)</f>
        <v>6</v>
      </c>
    </row>
    <row r="247" spans="1:11" x14ac:dyDescent="0.3">
      <c r="A247">
        <v>84</v>
      </c>
      <c r="B247">
        <v>1</v>
      </c>
      <c r="C247">
        <v>23</v>
      </c>
      <c r="D247" t="str">
        <f>VLOOKUP(B247, Products!$A$2:$C$100, 2, FALSE)</f>
        <v>Trek 820 - 2016</v>
      </c>
      <c r="E247">
        <v>2</v>
      </c>
      <c r="F247">
        <v>299.99</v>
      </c>
      <c r="G247">
        <v>7.0000000000000007E-2</v>
      </c>
      <c r="H247">
        <v>20.999300000000002</v>
      </c>
      <c r="I247">
        <f>order_items[[#This Row],[list_price]]-order_items[[#This Row],[Discounted_price]]</f>
        <v>278.9907</v>
      </c>
      <c r="J247">
        <f>VLOOKUP(B247, Products!$A$2:$E$100, 3, FALSE)</f>
        <v>9</v>
      </c>
      <c r="K247">
        <f>VLOOKUP(B247, Products!$A$2:$F$100, 4, FALSE)</f>
        <v>6</v>
      </c>
    </row>
    <row r="248" spans="1:11" x14ac:dyDescent="0.3">
      <c r="A248">
        <v>84</v>
      </c>
      <c r="B248">
        <v>2</v>
      </c>
      <c r="C248">
        <v>15</v>
      </c>
      <c r="D248" t="str">
        <f>VLOOKUP(B248, Products!$A$2:$C$100, 2, FALSE)</f>
        <v>Ritchey Timberwolf Frameset - 2016</v>
      </c>
      <c r="E248">
        <v>2</v>
      </c>
      <c r="F248">
        <v>529.99</v>
      </c>
      <c r="G248">
        <v>7.0000000000000007E-2</v>
      </c>
      <c r="H248">
        <v>37.099300000000007</v>
      </c>
      <c r="I248">
        <f>order_items[[#This Row],[list_price]]-order_items[[#This Row],[Discounted_price]]</f>
        <v>492.89069999999998</v>
      </c>
      <c r="J248">
        <f>VLOOKUP(B248, Products!$A$2:$E$100, 3, FALSE)</f>
        <v>5</v>
      </c>
      <c r="K248">
        <f>VLOOKUP(B248, Products!$A$2:$F$100, 4, FALSE)</f>
        <v>6</v>
      </c>
    </row>
    <row r="249" spans="1:11" x14ac:dyDescent="0.3">
      <c r="A249">
        <v>85</v>
      </c>
      <c r="B249">
        <v>1</v>
      </c>
      <c r="C249">
        <v>4</v>
      </c>
      <c r="D249" t="str">
        <f>VLOOKUP(B249, Products!$A$2:$C$100, 2, FALSE)</f>
        <v>Trek 820 - 2016</v>
      </c>
      <c r="E249">
        <v>2</v>
      </c>
      <c r="F249">
        <v>2899.99</v>
      </c>
      <c r="G249">
        <v>0.05</v>
      </c>
      <c r="H249">
        <v>144.99949999999998</v>
      </c>
      <c r="I249">
        <f>order_items[[#This Row],[list_price]]-order_items[[#This Row],[Discounted_price]]</f>
        <v>2754.9904999999999</v>
      </c>
      <c r="J249">
        <f>VLOOKUP(B249, Products!$A$2:$E$100, 3, FALSE)</f>
        <v>9</v>
      </c>
      <c r="K249">
        <f>VLOOKUP(B249, Products!$A$2:$F$100, 4, FALSE)</f>
        <v>6</v>
      </c>
    </row>
    <row r="250" spans="1:11" x14ac:dyDescent="0.3">
      <c r="A250">
        <v>85</v>
      </c>
      <c r="B250">
        <v>2</v>
      </c>
      <c r="C250">
        <v>18</v>
      </c>
      <c r="D250" t="str">
        <f>VLOOKUP(B250, Products!$A$2:$C$100, 2, FALSE)</f>
        <v>Ritchey Timberwolf Frameset - 2016</v>
      </c>
      <c r="E250">
        <v>1</v>
      </c>
      <c r="F250">
        <v>449</v>
      </c>
      <c r="G250">
        <v>7.0000000000000007E-2</v>
      </c>
      <c r="H250">
        <v>31.430000000000003</v>
      </c>
      <c r="I250">
        <f>order_items[[#This Row],[list_price]]-order_items[[#This Row],[Discounted_price]]</f>
        <v>417.57</v>
      </c>
      <c r="J250">
        <f>VLOOKUP(B250, Products!$A$2:$E$100, 3, FALSE)</f>
        <v>5</v>
      </c>
      <c r="K250">
        <f>VLOOKUP(B250, Products!$A$2:$F$100, 4, FALSE)</f>
        <v>6</v>
      </c>
    </row>
    <row r="251" spans="1:11" x14ac:dyDescent="0.3">
      <c r="A251">
        <v>86</v>
      </c>
      <c r="B251">
        <v>1</v>
      </c>
      <c r="C251">
        <v>9</v>
      </c>
      <c r="D251" t="str">
        <f>VLOOKUP(B251, Products!$A$2:$C$100, 2, FALSE)</f>
        <v>Trek 820 - 2016</v>
      </c>
      <c r="E251">
        <v>2</v>
      </c>
      <c r="F251">
        <v>2999.99</v>
      </c>
      <c r="G251">
        <v>0.1</v>
      </c>
      <c r="H251">
        <v>299.99899999999997</v>
      </c>
      <c r="I251">
        <f>order_items[[#This Row],[list_price]]-order_items[[#This Row],[Discounted_price]]</f>
        <v>2699.991</v>
      </c>
      <c r="J251">
        <f>VLOOKUP(B251, Products!$A$2:$E$100, 3, FALSE)</f>
        <v>9</v>
      </c>
      <c r="K251">
        <f>VLOOKUP(B251, Products!$A$2:$F$100, 4, FALSE)</f>
        <v>6</v>
      </c>
    </row>
    <row r="252" spans="1:11" x14ac:dyDescent="0.3">
      <c r="A252">
        <v>86</v>
      </c>
      <c r="B252">
        <v>2</v>
      </c>
      <c r="C252">
        <v>23</v>
      </c>
      <c r="D252" t="str">
        <f>VLOOKUP(B252, Products!$A$2:$C$100, 2, FALSE)</f>
        <v>Ritchey Timberwolf Frameset - 2016</v>
      </c>
      <c r="E252">
        <v>2</v>
      </c>
      <c r="F252">
        <v>299.99</v>
      </c>
      <c r="G252">
        <v>7.0000000000000007E-2</v>
      </c>
      <c r="H252">
        <v>20.999300000000002</v>
      </c>
      <c r="I252">
        <f>order_items[[#This Row],[list_price]]-order_items[[#This Row],[Discounted_price]]</f>
        <v>278.9907</v>
      </c>
      <c r="J252">
        <f>VLOOKUP(B252, Products!$A$2:$E$100, 3, FALSE)</f>
        <v>5</v>
      </c>
      <c r="K252">
        <f>VLOOKUP(B252, Products!$A$2:$F$100, 4, FALSE)</f>
        <v>6</v>
      </c>
    </row>
    <row r="253" spans="1:11" x14ac:dyDescent="0.3">
      <c r="A253">
        <v>86</v>
      </c>
      <c r="B253">
        <v>3</v>
      </c>
      <c r="C253">
        <v>21</v>
      </c>
      <c r="D253" t="str">
        <f>VLOOKUP(B253, Products!$A$2:$C$100, 2, FALSE)</f>
        <v>Surly Wednesday Frameset - 2016</v>
      </c>
      <c r="E253">
        <v>2</v>
      </c>
      <c r="F253">
        <v>269.99</v>
      </c>
      <c r="G253">
        <v>0.2</v>
      </c>
      <c r="H253">
        <v>53.998000000000005</v>
      </c>
      <c r="I253">
        <f>order_items[[#This Row],[list_price]]-order_items[[#This Row],[Discounted_price]]</f>
        <v>215.99200000000002</v>
      </c>
      <c r="J253">
        <f>VLOOKUP(B253, Products!$A$2:$E$100, 3, FALSE)</f>
        <v>8</v>
      </c>
      <c r="K253">
        <f>VLOOKUP(B253, Products!$A$2:$F$100, 4, FALSE)</f>
        <v>6</v>
      </c>
    </row>
    <row r="254" spans="1:11" x14ac:dyDescent="0.3">
      <c r="A254">
        <v>86</v>
      </c>
      <c r="B254">
        <v>4</v>
      </c>
      <c r="C254">
        <v>15</v>
      </c>
      <c r="D254" t="str">
        <f>VLOOKUP(B254, Products!$A$2:$C$100, 2, FALSE)</f>
        <v>Trek Fuel EX 8 29 - 2016</v>
      </c>
      <c r="E254">
        <v>1</v>
      </c>
      <c r="F254">
        <v>529.99</v>
      </c>
      <c r="G254">
        <v>0.1</v>
      </c>
      <c r="H254">
        <v>52.999000000000002</v>
      </c>
      <c r="I254">
        <f>order_items[[#This Row],[list_price]]-order_items[[#This Row],[Discounted_price]]</f>
        <v>476.99099999999999</v>
      </c>
      <c r="J254">
        <f>VLOOKUP(B254, Products!$A$2:$E$100, 3, FALSE)</f>
        <v>9</v>
      </c>
      <c r="K254">
        <f>VLOOKUP(B254, Products!$A$2:$F$100, 4, FALSE)</f>
        <v>6</v>
      </c>
    </row>
    <row r="255" spans="1:11" x14ac:dyDescent="0.3">
      <c r="A255">
        <v>87</v>
      </c>
      <c r="B255">
        <v>1</v>
      </c>
      <c r="C255">
        <v>20</v>
      </c>
      <c r="D255" t="str">
        <f>VLOOKUP(B255, Products!$A$2:$C$100, 2, FALSE)</f>
        <v>Trek 820 - 2016</v>
      </c>
      <c r="E255">
        <v>2</v>
      </c>
      <c r="F255">
        <v>599.99</v>
      </c>
      <c r="G255">
        <v>0.2</v>
      </c>
      <c r="H255">
        <v>119.998</v>
      </c>
      <c r="I255">
        <f>order_items[[#This Row],[list_price]]-order_items[[#This Row],[Discounted_price]]</f>
        <v>479.99200000000002</v>
      </c>
      <c r="J255">
        <f>VLOOKUP(B255, Products!$A$2:$E$100, 3, FALSE)</f>
        <v>9</v>
      </c>
      <c r="K255">
        <f>VLOOKUP(B255, Products!$A$2:$F$100, 4, FALSE)</f>
        <v>6</v>
      </c>
    </row>
    <row r="256" spans="1:11" x14ac:dyDescent="0.3">
      <c r="A256">
        <v>87</v>
      </c>
      <c r="B256">
        <v>2</v>
      </c>
      <c r="C256">
        <v>23</v>
      </c>
      <c r="D256" t="str">
        <f>VLOOKUP(B256, Products!$A$2:$C$100, 2, FALSE)</f>
        <v>Ritchey Timberwolf Frameset - 2016</v>
      </c>
      <c r="E256">
        <v>2</v>
      </c>
      <c r="F256">
        <v>299.99</v>
      </c>
      <c r="G256">
        <v>0.1</v>
      </c>
      <c r="H256">
        <v>29.999000000000002</v>
      </c>
      <c r="I256">
        <f>order_items[[#This Row],[list_price]]-order_items[[#This Row],[Discounted_price]]</f>
        <v>269.99099999999999</v>
      </c>
      <c r="J256">
        <f>VLOOKUP(B256, Products!$A$2:$E$100, 3, FALSE)</f>
        <v>5</v>
      </c>
      <c r="K256">
        <f>VLOOKUP(B256, Products!$A$2:$F$100, 4, FALSE)</f>
        <v>6</v>
      </c>
    </row>
    <row r="257" spans="1:11" x14ac:dyDescent="0.3">
      <c r="A257">
        <v>88</v>
      </c>
      <c r="B257">
        <v>1</v>
      </c>
      <c r="C257">
        <v>10</v>
      </c>
      <c r="D257" t="str">
        <f>VLOOKUP(B257, Products!$A$2:$C$100, 2, FALSE)</f>
        <v>Trek 820 - 2016</v>
      </c>
      <c r="E257">
        <v>1</v>
      </c>
      <c r="F257">
        <v>1549</v>
      </c>
      <c r="G257">
        <v>7.0000000000000007E-2</v>
      </c>
      <c r="H257">
        <v>108.43</v>
      </c>
      <c r="I257">
        <f>order_items[[#This Row],[list_price]]-order_items[[#This Row],[Discounted_price]]</f>
        <v>1440.57</v>
      </c>
      <c r="J257">
        <f>VLOOKUP(B257, Products!$A$2:$E$100, 3, FALSE)</f>
        <v>9</v>
      </c>
      <c r="K257">
        <f>VLOOKUP(B257, Products!$A$2:$F$100, 4, FALSE)</f>
        <v>6</v>
      </c>
    </row>
    <row r="258" spans="1:11" x14ac:dyDescent="0.3">
      <c r="A258">
        <v>88</v>
      </c>
      <c r="B258">
        <v>2</v>
      </c>
      <c r="C258">
        <v>8</v>
      </c>
      <c r="D258" t="str">
        <f>VLOOKUP(B258, Products!$A$2:$C$100, 2, FALSE)</f>
        <v>Ritchey Timberwolf Frameset - 2016</v>
      </c>
      <c r="E258">
        <v>2</v>
      </c>
      <c r="F258">
        <v>1799.99</v>
      </c>
      <c r="G258">
        <v>0.1</v>
      </c>
      <c r="H258">
        <v>179.99900000000002</v>
      </c>
      <c r="I258">
        <f>order_items[[#This Row],[list_price]]-order_items[[#This Row],[Discounted_price]]</f>
        <v>1619.991</v>
      </c>
      <c r="J258">
        <f>VLOOKUP(B258, Products!$A$2:$E$100, 3, FALSE)</f>
        <v>5</v>
      </c>
      <c r="K258">
        <f>VLOOKUP(B258, Products!$A$2:$F$100, 4, FALSE)</f>
        <v>6</v>
      </c>
    </row>
    <row r="259" spans="1:11" x14ac:dyDescent="0.3">
      <c r="A259">
        <v>88</v>
      </c>
      <c r="B259">
        <v>3</v>
      </c>
      <c r="C259">
        <v>7</v>
      </c>
      <c r="D259" t="str">
        <f>VLOOKUP(B259, Products!$A$2:$C$100, 2, FALSE)</f>
        <v>Surly Wednesday Frameset - 2016</v>
      </c>
      <c r="E259">
        <v>1</v>
      </c>
      <c r="F259">
        <v>3999.99</v>
      </c>
      <c r="G259">
        <v>0.1</v>
      </c>
      <c r="H259">
        <v>399.99900000000002</v>
      </c>
      <c r="I259">
        <f>order_items[[#This Row],[list_price]]-order_items[[#This Row],[Discounted_price]]</f>
        <v>3599.991</v>
      </c>
      <c r="J259">
        <f>VLOOKUP(B259, Products!$A$2:$E$100, 3, FALSE)</f>
        <v>8</v>
      </c>
      <c r="K259">
        <f>VLOOKUP(B259, Products!$A$2:$F$100, 4, FALSE)</f>
        <v>6</v>
      </c>
    </row>
    <row r="260" spans="1:11" x14ac:dyDescent="0.3">
      <c r="A260">
        <v>89</v>
      </c>
      <c r="B260">
        <v>1</v>
      </c>
      <c r="C260">
        <v>5</v>
      </c>
      <c r="D260" t="str">
        <f>VLOOKUP(B260, Products!$A$2:$C$100, 2, FALSE)</f>
        <v>Trek 820 - 2016</v>
      </c>
      <c r="E260">
        <v>1</v>
      </c>
      <c r="F260">
        <v>1320.99</v>
      </c>
      <c r="G260">
        <v>0.05</v>
      </c>
      <c r="H260">
        <v>66.049500000000009</v>
      </c>
      <c r="I260">
        <f>order_items[[#This Row],[list_price]]-order_items[[#This Row],[Discounted_price]]</f>
        <v>1254.9404999999999</v>
      </c>
      <c r="J260">
        <f>VLOOKUP(B260, Products!$A$2:$E$100, 3, FALSE)</f>
        <v>9</v>
      </c>
      <c r="K260">
        <f>VLOOKUP(B260, Products!$A$2:$F$100, 4, FALSE)</f>
        <v>6</v>
      </c>
    </row>
    <row r="261" spans="1:11" x14ac:dyDescent="0.3">
      <c r="A261">
        <v>89</v>
      </c>
      <c r="B261">
        <v>2</v>
      </c>
      <c r="C261">
        <v>6</v>
      </c>
      <c r="D261" t="str">
        <f>VLOOKUP(B261, Products!$A$2:$C$100, 2, FALSE)</f>
        <v>Ritchey Timberwolf Frameset - 2016</v>
      </c>
      <c r="E261">
        <v>2</v>
      </c>
      <c r="F261">
        <v>469.99</v>
      </c>
      <c r="G261">
        <v>0.1</v>
      </c>
      <c r="H261">
        <v>46.999000000000002</v>
      </c>
      <c r="I261">
        <f>order_items[[#This Row],[list_price]]-order_items[[#This Row],[Discounted_price]]</f>
        <v>422.99099999999999</v>
      </c>
      <c r="J261">
        <f>VLOOKUP(B261, Products!$A$2:$E$100, 3, FALSE)</f>
        <v>5</v>
      </c>
      <c r="K261">
        <f>VLOOKUP(B261, Products!$A$2:$F$100, 4, FALSE)</f>
        <v>6</v>
      </c>
    </row>
    <row r="262" spans="1:11" x14ac:dyDescent="0.3">
      <c r="A262">
        <v>90</v>
      </c>
      <c r="B262">
        <v>1</v>
      </c>
      <c r="C262">
        <v>3</v>
      </c>
      <c r="D262" t="str">
        <f>VLOOKUP(B262, Products!$A$2:$C$100, 2, FALSE)</f>
        <v>Trek 820 - 2016</v>
      </c>
      <c r="E262">
        <v>1</v>
      </c>
      <c r="F262">
        <v>999.99</v>
      </c>
      <c r="G262">
        <v>0.1</v>
      </c>
      <c r="H262">
        <v>99.999000000000009</v>
      </c>
      <c r="I262">
        <f>order_items[[#This Row],[list_price]]-order_items[[#This Row],[Discounted_price]]</f>
        <v>899.99099999999999</v>
      </c>
      <c r="J262">
        <f>VLOOKUP(B262, Products!$A$2:$E$100, 3, FALSE)</f>
        <v>9</v>
      </c>
      <c r="K262">
        <f>VLOOKUP(B262, Products!$A$2:$F$100, 4, FALSE)</f>
        <v>6</v>
      </c>
    </row>
    <row r="263" spans="1:11" x14ac:dyDescent="0.3">
      <c r="A263">
        <v>90</v>
      </c>
      <c r="B263">
        <v>2</v>
      </c>
      <c r="C263">
        <v>6</v>
      </c>
      <c r="D263" t="str">
        <f>VLOOKUP(B263, Products!$A$2:$C$100, 2, FALSE)</f>
        <v>Ritchey Timberwolf Frameset - 2016</v>
      </c>
      <c r="E263">
        <v>1</v>
      </c>
      <c r="F263">
        <v>469.99</v>
      </c>
      <c r="G263">
        <v>7.0000000000000007E-2</v>
      </c>
      <c r="H263">
        <v>32.899300000000004</v>
      </c>
      <c r="I263">
        <f>order_items[[#This Row],[list_price]]-order_items[[#This Row],[Discounted_price]]</f>
        <v>437.09070000000003</v>
      </c>
      <c r="J263">
        <f>VLOOKUP(B263, Products!$A$2:$E$100, 3, FALSE)</f>
        <v>5</v>
      </c>
      <c r="K263">
        <f>VLOOKUP(B263, Products!$A$2:$F$100, 4, FALSE)</f>
        <v>6</v>
      </c>
    </row>
    <row r="264" spans="1:11" x14ac:dyDescent="0.3">
      <c r="A264">
        <v>91</v>
      </c>
      <c r="B264">
        <v>1</v>
      </c>
      <c r="C264">
        <v>11</v>
      </c>
      <c r="D264" t="str">
        <f>VLOOKUP(B264, Products!$A$2:$C$100, 2, FALSE)</f>
        <v>Trek 820 - 2016</v>
      </c>
      <c r="E264">
        <v>1</v>
      </c>
      <c r="F264">
        <v>1680.99</v>
      </c>
      <c r="G264">
        <v>0.1</v>
      </c>
      <c r="H264">
        <v>168.09900000000002</v>
      </c>
      <c r="I264">
        <f>order_items[[#This Row],[list_price]]-order_items[[#This Row],[Discounted_price]]</f>
        <v>1512.8910000000001</v>
      </c>
      <c r="J264">
        <f>VLOOKUP(B264, Products!$A$2:$E$100, 3, FALSE)</f>
        <v>9</v>
      </c>
      <c r="K264">
        <f>VLOOKUP(B264, Products!$A$2:$F$100, 4, FALSE)</f>
        <v>6</v>
      </c>
    </row>
    <row r="265" spans="1:11" x14ac:dyDescent="0.3">
      <c r="A265">
        <v>91</v>
      </c>
      <c r="B265">
        <v>2</v>
      </c>
      <c r="C265">
        <v>25</v>
      </c>
      <c r="D265" t="str">
        <f>VLOOKUP(B265, Products!$A$2:$C$100, 2, FALSE)</f>
        <v>Ritchey Timberwolf Frameset - 2016</v>
      </c>
      <c r="E265">
        <v>1</v>
      </c>
      <c r="F265">
        <v>499.99</v>
      </c>
      <c r="G265">
        <v>0.05</v>
      </c>
      <c r="H265">
        <v>24.999500000000001</v>
      </c>
      <c r="I265">
        <f>order_items[[#This Row],[list_price]]-order_items[[#This Row],[Discounted_price]]</f>
        <v>474.9905</v>
      </c>
      <c r="J265">
        <f>VLOOKUP(B265, Products!$A$2:$E$100, 3, FALSE)</f>
        <v>5</v>
      </c>
      <c r="K265">
        <f>VLOOKUP(B265, Products!$A$2:$F$100, 4, FALSE)</f>
        <v>6</v>
      </c>
    </row>
    <row r="266" spans="1:11" x14ac:dyDescent="0.3">
      <c r="A266">
        <v>91</v>
      </c>
      <c r="B266">
        <v>3</v>
      </c>
      <c r="C266">
        <v>15</v>
      </c>
      <c r="D266" t="str">
        <f>VLOOKUP(B266, Products!$A$2:$C$100, 2, FALSE)</f>
        <v>Surly Wednesday Frameset - 2016</v>
      </c>
      <c r="E266">
        <v>2</v>
      </c>
      <c r="F266">
        <v>529.99</v>
      </c>
      <c r="G266">
        <v>7.0000000000000007E-2</v>
      </c>
      <c r="H266">
        <v>37.099300000000007</v>
      </c>
      <c r="I266">
        <f>order_items[[#This Row],[list_price]]-order_items[[#This Row],[Discounted_price]]</f>
        <v>492.89069999999998</v>
      </c>
      <c r="J266">
        <f>VLOOKUP(B266, Products!$A$2:$E$100, 3, FALSE)</f>
        <v>8</v>
      </c>
      <c r="K266">
        <f>VLOOKUP(B266, Products!$A$2:$F$100, 4, FALSE)</f>
        <v>6</v>
      </c>
    </row>
    <row r="267" spans="1:11" x14ac:dyDescent="0.3">
      <c r="A267">
        <v>91</v>
      </c>
      <c r="B267">
        <v>4</v>
      </c>
      <c r="C267">
        <v>13</v>
      </c>
      <c r="D267" t="str">
        <f>VLOOKUP(B267, Products!$A$2:$C$100, 2, FALSE)</f>
        <v>Trek Fuel EX 8 29 - 2016</v>
      </c>
      <c r="E267">
        <v>2</v>
      </c>
      <c r="F267">
        <v>269.99</v>
      </c>
      <c r="G267">
        <v>7.0000000000000007E-2</v>
      </c>
      <c r="H267">
        <v>18.899300000000004</v>
      </c>
      <c r="I267">
        <f>order_items[[#This Row],[list_price]]-order_items[[#This Row],[Discounted_price]]</f>
        <v>251.0907</v>
      </c>
      <c r="J267">
        <f>VLOOKUP(B267, Products!$A$2:$E$100, 3, FALSE)</f>
        <v>9</v>
      </c>
      <c r="K267">
        <f>VLOOKUP(B267, Products!$A$2:$F$100, 4, FALSE)</f>
        <v>6</v>
      </c>
    </row>
    <row r="268" spans="1:11" x14ac:dyDescent="0.3">
      <c r="A268">
        <v>92</v>
      </c>
      <c r="B268">
        <v>1</v>
      </c>
      <c r="C268">
        <v>8</v>
      </c>
      <c r="D268" t="str">
        <f>VLOOKUP(B268, Products!$A$2:$C$100, 2, FALSE)</f>
        <v>Trek 820 - 2016</v>
      </c>
      <c r="E268">
        <v>1</v>
      </c>
      <c r="F268">
        <v>1799.99</v>
      </c>
      <c r="G268">
        <v>0.1</v>
      </c>
      <c r="H268">
        <v>179.99900000000002</v>
      </c>
      <c r="I268">
        <f>order_items[[#This Row],[list_price]]-order_items[[#This Row],[Discounted_price]]</f>
        <v>1619.991</v>
      </c>
      <c r="J268">
        <f>VLOOKUP(B268, Products!$A$2:$E$100, 3, FALSE)</f>
        <v>9</v>
      </c>
      <c r="K268">
        <f>VLOOKUP(B268, Products!$A$2:$F$100, 4, FALSE)</f>
        <v>6</v>
      </c>
    </row>
    <row r="269" spans="1:11" x14ac:dyDescent="0.3">
      <c r="A269">
        <v>93</v>
      </c>
      <c r="B269">
        <v>1</v>
      </c>
      <c r="C269">
        <v>22</v>
      </c>
      <c r="D269" t="str">
        <f>VLOOKUP(B269, Products!$A$2:$C$100, 2, FALSE)</f>
        <v>Trek 820 - 2016</v>
      </c>
      <c r="E269">
        <v>2</v>
      </c>
      <c r="F269">
        <v>269.99</v>
      </c>
      <c r="G269">
        <v>7.0000000000000007E-2</v>
      </c>
      <c r="H269">
        <v>18.899300000000004</v>
      </c>
      <c r="I269">
        <f>order_items[[#This Row],[list_price]]-order_items[[#This Row],[Discounted_price]]</f>
        <v>251.0907</v>
      </c>
      <c r="J269">
        <f>VLOOKUP(B269, Products!$A$2:$E$100, 3, FALSE)</f>
        <v>9</v>
      </c>
      <c r="K269">
        <f>VLOOKUP(B269, Products!$A$2:$F$100, 4, FALSE)</f>
        <v>6</v>
      </c>
    </row>
    <row r="270" spans="1:11" x14ac:dyDescent="0.3">
      <c r="A270">
        <v>93</v>
      </c>
      <c r="B270">
        <v>2</v>
      </c>
      <c r="C270">
        <v>17</v>
      </c>
      <c r="D270" t="str">
        <f>VLOOKUP(B270, Products!$A$2:$C$100, 2, FALSE)</f>
        <v>Ritchey Timberwolf Frameset - 2016</v>
      </c>
      <c r="E270">
        <v>1</v>
      </c>
      <c r="F270">
        <v>429</v>
      </c>
      <c r="G270">
        <v>0.05</v>
      </c>
      <c r="H270">
        <v>21.450000000000003</v>
      </c>
      <c r="I270">
        <f>order_items[[#This Row],[list_price]]-order_items[[#This Row],[Discounted_price]]</f>
        <v>407.55</v>
      </c>
      <c r="J270">
        <f>VLOOKUP(B270, Products!$A$2:$E$100, 3, FALSE)</f>
        <v>5</v>
      </c>
      <c r="K270">
        <f>VLOOKUP(B270, Products!$A$2:$F$100, 4, FALSE)</f>
        <v>6</v>
      </c>
    </row>
    <row r="271" spans="1:11" x14ac:dyDescent="0.3">
      <c r="A271">
        <v>93</v>
      </c>
      <c r="B271">
        <v>3</v>
      </c>
      <c r="C271">
        <v>21</v>
      </c>
      <c r="D271" t="str">
        <f>VLOOKUP(B271, Products!$A$2:$C$100, 2, FALSE)</f>
        <v>Surly Wednesday Frameset - 2016</v>
      </c>
      <c r="E271">
        <v>1</v>
      </c>
      <c r="F271">
        <v>269.99</v>
      </c>
      <c r="G271">
        <v>0.1</v>
      </c>
      <c r="H271">
        <v>26.999000000000002</v>
      </c>
      <c r="I271">
        <f>order_items[[#This Row],[list_price]]-order_items[[#This Row],[Discounted_price]]</f>
        <v>242.99100000000001</v>
      </c>
      <c r="J271">
        <f>VLOOKUP(B271, Products!$A$2:$E$100, 3, FALSE)</f>
        <v>8</v>
      </c>
      <c r="K271">
        <f>VLOOKUP(B271, Products!$A$2:$F$100, 4, FALSE)</f>
        <v>6</v>
      </c>
    </row>
    <row r="272" spans="1:11" x14ac:dyDescent="0.3">
      <c r="A272">
        <v>93</v>
      </c>
      <c r="B272">
        <v>4</v>
      </c>
      <c r="C272">
        <v>2</v>
      </c>
      <c r="D272" t="str">
        <f>VLOOKUP(B272, Products!$A$2:$C$100, 2, FALSE)</f>
        <v>Trek Fuel EX 8 29 - 2016</v>
      </c>
      <c r="E272">
        <v>1</v>
      </c>
      <c r="F272">
        <v>749.99</v>
      </c>
      <c r="G272">
        <v>0.2</v>
      </c>
      <c r="H272">
        <v>149.99800000000002</v>
      </c>
      <c r="I272">
        <f>order_items[[#This Row],[list_price]]-order_items[[#This Row],[Discounted_price]]</f>
        <v>599.99199999999996</v>
      </c>
      <c r="J272">
        <f>VLOOKUP(B272, Products!$A$2:$E$100, 3, FALSE)</f>
        <v>9</v>
      </c>
      <c r="K272">
        <f>VLOOKUP(B272, Products!$A$2:$F$100, 4, FALSE)</f>
        <v>6</v>
      </c>
    </row>
    <row r="273" spans="1:11" x14ac:dyDescent="0.3">
      <c r="A273">
        <v>93</v>
      </c>
      <c r="B273">
        <v>5</v>
      </c>
      <c r="C273">
        <v>10</v>
      </c>
      <c r="D273" t="str">
        <f>VLOOKUP(B273, Products!$A$2:$C$100, 2, FALSE)</f>
        <v>Heller Shagamaw Frame - 2016</v>
      </c>
      <c r="E273">
        <v>2</v>
      </c>
      <c r="F273">
        <v>1549</v>
      </c>
      <c r="G273">
        <v>7.0000000000000007E-2</v>
      </c>
      <c r="H273">
        <v>108.43</v>
      </c>
      <c r="I273">
        <f>order_items[[#This Row],[list_price]]-order_items[[#This Row],[Discounted_price]]</f>
        <v>1440.57</v>
      </c>
      <c r="J273">
        <f>VLOOKUP(B273, Products!$A$2:$E$100, 3, FALSE)</f>
        <v>3</v>
      </c>
      <c r="K273">
        <f>VLOOKUP(B273, Products!$A$2:$F$100, 4, FALSE)</f>
        <v>6</v>
      </c>
    </row>
    <row r="274" spans="1:11" x14ac:dyDescent="0.3">
      <c r="A274">
        <v>94</v>
      </c>
      <c r="B274">
        <v>1</v>
      </c>
      <c r="C274">
        <v>12</v>
      </c>
      <c r="D274" t="str">
        <f>VLOOKUP(B274, Products!$A$2:$C$100, 2, FALSE)</f>
        <v>Trek 820 - 2016</v>
      </c>
      <c r="E274">
        <v>1</v>
      </c>
      <c r="F274">
        <v>549.99</v>
      </c>
      <c r="G274">
        <v>0.05</v>
      </c>
      <c r="H274">
        <v>27.499500000000001</v>
      </c>
      <c r="I274">
        <f>order_items[[#This Row],[list_price]]-order_items[[#This Row],[Discounted_price]]</f>
        <v>522.4905</v>
      </c>
      <c r="J274">
        <f>VLOOKUP(B274, Products!$A$2:$E$100, 3, FALSE)</f>
        <v>9</v>
      </c>
      <c r="K274">
        <f>VLOOKUP(B274, Products!$A$2:$F$100, 4, FALSE)</f>
        <v>6</v>
      </c>
    </row>
    <row r="275" spans="1:11" x14ac:dyDescent="0.3">
      <c r="A275">
        <v>94</v>
      </c>
      <c r="B275">
        <v>2</v>
      </c>
      <c r="C275">
        <v>4</v>
      </c>
      <c r="D275" t="str">
        <f>VLOOKUP(B275, Products!$A$2:$C$100, 2, FALSE)</f>
        <v>Ritchey Timberwolf Frameset - 2016</v>
      </c>
      <c r="E275">
        <v>1</v>
      </c>
      <c r="F275">
        <v>2899.99</v>
      </c>
      <c r="G275">
        <v>0.2</v>
      </c>
      <c r="H275">
        <v>579.99799999999993</v>
      </c>
      <c r="I275">
        <f>order_items[[#This Row],[list_price]]-order_items[[#This Row],[Discounted_price]]</f>
        <v>2319.9919999999997</v>
      </c>
      <c r="J275">
        <f>VLOOKUP(B275, Products!$A$2:$E$100, 3, FALSE)</f>
        <v>5</v>
      </c>
      <c r="K275">
        <f>VLOOKUP(B275, Products!$A$2:$F$100, 4, FALSE)</f>
        <v>6</v>
      </c>
    </row>
    <row r="276" spans="1:11" x14ac:dyDescent="0.3">
      <c r="A276">
        <v>94</v>
      </c>
      <c r="B276">
        <v>3</v>
      </c>
      <c r="C276">
        <v>11</v>
      </c>
      <c r="D276" t="str">
        <f>VLOOKUP(B276, Products!$A$2:$C$100, 2, FALSE)</f>
        <v>Surly Wednesday Frameset - 2016</v>
      </c>
      <c r="E276">
        <v>1</v>
      </c>
      <c r="F276">
        <v>1680.99</v>
      </c>
      <c r="G276">
        <v>0.2</v>
      </c>
      <c r="H276">
        <v>336.19800000000004</v>
      </c>
      <c r="I276">
        <f>order_items[[#This Row],[list_price]]-order_items[[#This Row],[Discounted_price]]</f>
        <v>1344.7919999999999</v>
      </c>
      <c r="J276">
        <f>VLOOKUP(B276, Products!$A$2:$E$100, 3, FALSE)</f>
        <v>8</v>
      </c>
      <c r="K276">
        <f>VLOOKUP(B276, Products!$A$2:$F$100, 4, FALSE)</f>
        <v>6</v>
      </c>
    </row>
    <row r="277" spans="1:11" x14ac:dyDescent="0.3">
      <c r="A277">
        <v>94</v>
      </c>
      <c r="B277">
        <v>4</v>
      </c>
      <c r="C277">
        <v>21</v>
      </c>
      <c r="D277" t="str">
        <f>VLOOKUP(B277, Products!$A$2:$C$100, 2, FALSE)</f>
        <v>Trek Fuel EX 8 29 - 2016</v>
      </c>
      <c r="E277">
        <v>2</v>
      </c>
      <c r="F277">
        <v>269.99</v>
      </c>
      <c r="G277">
        <v>7.0000000000000007E-2</v>
      </c>
      <c r="H277">
        <v>18.899300000000004</v>
      </c>
      <c r="I277">
        <f>order_items[[#This Row],[list_price]]-order_items[[#This Row],[Discounted_price]]</f>
        <v>251.0907</v>
      </c>
      <c r="J277">
        <f>VLOOKUP(B277, Products!$A$2:$E$100, 3, FALSE)</f>
        <v>9</v>
      </c>
      <c r="K277">
        <f>VLOOKUP(B277, Products!$A$2:$F$100, 4, FALSE)</f>
        <v>6</v>
      </c>
    </row>
    <row r="278" spans="1:11" x14ac:dyDescent="0.3">
      <c r="A278">
        <v>95</v>
      </c>
      <c r="B278">
        <v>1</v>
      </c>
      <c r="C278">
        <v>10</v>
      </c>
      <c r="D278" t="str">
        <f>VLOOKUP(B278, Products!$A$2:$C$100, 2, FALSE)</f>
        <v>Trek 820 - 2016</v>
      </c>
      <c r="E278">
        <v>2</v>
      </c>
      <c r="F278">
        <v>1549</v>
      </c>
      <c r="G278">
        <v>0.2</v>
      </c>
      <c r="H278">
        <v>309.8</v>
      </c>
      <c r="I278">
        <f>order_items[[#This Row],[list_price]]-order_items[[#This Row],[Discounted_price]]</f>
        <v>1239.2</v>
      </c>
      <c r="J278">
        <f>VLOOKUP(B278, Products!$A$2:$E$100, 3, FALSE)</f>
        <v>9</v>
      </c>
      <c r="K278">
        <f>VLOOKUP(B278, Products!$A$2:$F$100, 4, FALSE)</f>
        <v>6</v>
      </c>
    </row>
    <row r="279" spans="1:11" x14ac:dyDescent="0.3">
      <c r="A279">
        <v>95</v>
      </c>
      <c r="B279">
        <v>2</v>
      </c>
      <c r="C279">
        <v>19</v>
      </c>
      <c r="D279" t="str">
        <f>VLOOKUP(B279, Products!$A$2:$C$100, 2, FALSE)</f>
        <v>Ritchey Timberwolf Frameset - 2016</v>
      </c>
      <c r="E279">
        <v>1</v>
      </c>
      <c r="F279">
        <v>449</v>
      </c>
      <c r="G279">
        <v>0.1</v>
      </c>
      <c r="H279">
        <v>44.900000000000006</v>
      </c>
      <c r="I279">
        <f>order_items[[#This Row],[list_price]]-order_items[[#This Row],[Discounted_price]]</f>
        <v>404.1</v>
      </c>
      <c r="J279">
        <f>VLOOKUP(B279, Products!$A$2:$E$100, 3, FALSE)</f>
        <v>5</v>
      </c>
      <c r="K279">
        <f>VLOOKUP(B279, Products!$A$2:$F$100, 4, FALSE)</f>
        <v>6</v>
      </c>
    </row>
    <row r="280" spans="1:11" x14ac:dyDescent="0.3">
      <c r="A280">
        <v>95</v>
      </c>
      <c r="B280">
        <v>3</v>
      </c>
      <c r="C280">
        <v>8</v>
      </c>
      <c r="D280" t="str">
        <f>VLOOKUP(B280, Products!$A$2:$C$100, 2, FALSE)</f>
        <v>Surly Wednesday Frameset - 2016</v>
      </c>
      <c r="E280">
        <v>2</v>
      </c>
      <c r="F280">
        <v>1799.99</v>
      </c>
      <c r="G280">
        <v>0.2</v>
      </c>
      <c r="H280">
        <v>359.99800000000005</v>
      </c>
      <c r="I280">
        <f>order_items[[#This Row],[list_price]]-order_items[[#This Row],[Discounted_price]]</f>
        <v>1439.992</v>
      </c>
      <c r="J280">
        <f>VLOOKUP(B280, Products!$A$2:$E$100, 3, FALSE)</f>
        <v>8</v>
      </c>
      <c r="K280">
        <f>VLOOKUP(B280, Products!$A$2:$F$100, 4, FALSE)</f>
        <v>6</v>
      </c>
    </row>
    <row r="281" spans="1:11" x14ac:dyDescent="0.3">
      <c r="A281">
        <v>95</v>
      </c>
      <c r="B281">
        <v>4</v>
      </c>
      <c r="C281">
        <v>20</v>
      </c>
      <c r="D281" t="str">
        <f>VLOOKUP(B281, Products!$A$2:$C$100, 2, FALSE)</f>
        <v>Trek Fuel EX 8 29 - 2016</v>
      </c>
      <c r="E281">
        <v>2</v>
      </c>
      <c r="F281">
        <v>599.99</v>
      </c>
      <c r="G281">
        <v>0.05</v>
      </c>
      <c r="H281">
        <v>29.999500000000001</v>
      </c>
      <c r="I281">
        <f>order_items[[#This Row],[list_price]]-order_items[[#This Row],[Discounted_price]]</f>
        <v>569.9905</v>
      </c>
      <c r="J281">
        <f>VLOOKUP(B281, Products!$A$2:$E$100, 3, FALSE)</f>
        <v>9</v>
      </c>
      <c r="K281">
        <f>VLOOKUP(B281, Products!$A$2:$F$100, 4, FALSE)</f>
        <v>6</v>
      </c>
    </row>
    <row r="282" spans="1:11" x14ac:dyDescent="0.3">
      <c r="A282">
        <v>96</v>
      </c>
      <c r="B282">
        <v>1</v>
      </c>
      <c r="C282">
        <v>26</v>
      </c>
      <c r="D282" t="str">
        <f>VLOOKUP(B282, Products!$A$2:$C$100, 2, FALSE)</f>
        <v>Trek 820 - 2016</v>
      </c>
      <c r="E282">
        <v>1</v>
      </c>
      <c r="F282">
        <v>599.99</v>
      </c>
      <c r="G282">
        <v>0.1</v>
      </c>
      <c r="H282">
        <v>59.999000000000002</v>
      </c>
      <c r="I282">
        <f>order_items[[#This Row],[list_price]]-order_items[[#This Row],[Discounted_price]]</f>
        <v>539.99099999999999</v>
      </c>
      <c r="J282">
        <f>VLOOKUP(B282, Products!$A$2:$E$100, 3, FALSE)</f>
        <v>9</v>
      </c>
      <c r="K282">
        <f>VLOOKUP(B282, Products!$A$2:$F$100, 4, FALSE)</f>
        <v>6</v>
      </c>
    </row>
    <row r="283" spans="1:11" x14ac:dyDescent="0.3">
      <c r="A283">
        <v>96</v>
      </c>
      <c r="B283">
        <v>2</v>
      </c>
      <c r="C283">
        <v>23</v>
      </c>
      <c r="D283" t="str">
        <f>VLOOKUP(B283, Products!$A$2:$C$100, 2, FALSE)</f>
        <v>Ritchey Timberwolf Frameset - 2016</v>
      </c>
      <c r="E283">
        <v>1</v>
      </c>
      <c r="F283">
        <v>299.99</v>
      </c>
      <c r="G283">
        <v>0.05</v>
      </c>
      <c r="H283">
        <v>14.999500000000001</v>
      </c>
      <c r="I283">
        <f>order_items[[#This Row],[list_price]]-order_items[[#This Row],[Discounted_price]]</f>
        <v>284.9905</v>
      </c>
      <c r="J283">
        <f>VLOOKUP(B283, Products!$A$2:$E$100, 3, FALSE)</f>
        <v>5</v>
      </c>
      <c r="K283">
        <f>VLOOKUP(B283, Products!$A$2:$F$100, 4, FALSE)</f>
        <v>6</v>
      </c>
    </row>
    <row r="284" spans="1:11" x14ac:dyDescent="0.3">
      <c r="A284">
        <v>97</v>
      </c>
      <c r="B284">
        <v>1</v>
      </c>
      <c r="C284">
        <v>20</v>
      </c>
      <c r="D284" t="str">
        <f>VLOOKUP(B284, Products!$A$2:$C$100, 2, FALSE)</f>
        <v>Trek 820 - 2016</v>
      </c>
      <c r="E284">
        <v>2</v>
      </c>
      <c r="F284">
        <v>599.99</v>
      </c>
      <c r="G284">
        <v>0.2</v>
      </c>
      <c r="H284">
        <v>119.998</v>
      </c>
      <c r="I284">
        <f>order_items[[#This Row],[list_price]]-order_items[[#This Row],[Discounted_price]]</f>
        <v>479.99200000000002</v>
      </c>
      <c r="J284">
        <f>VLOOKUP(B284, Products!$A$2:$E$100, 3, FALSE)</f>
        <v>9</v>
      </c>
      <c r="K284">
        <f>VLOOKUP(B284, Products!$A$2:$F$100, 4, FALSE)</f>
        <v>6</v>
      </c>
    </row>
    <row r="285" spans="1:11" x14ac:dyDescent="0.3">
      <c r="A285">
        <v>97</v>
      </c>
      <c r="B285">
        <v>2</v>
      </c>
      <c r="C285">
        <v>2</v>
      </c>
      <c r="D285" t="str">
        <f>VLOOKUP(B285, Products!$A$2:$C$100, 2, FALSE)</f>
        <v>Ritchey Timberwolf Frameset - 2016</v>
      </c>
      <c r="E285">
        <v>1</v>
      </c>
      <c r="F285">
        <v>749.99</v>
      </c>
      <c r="G285">
        <v>7.0000000000000007E-2</v>
      </c>
      <c r="H285">
        <v>52.499300000000005</v>
      </c>
      <c r="I285">
        <f>order_items[[#This Row],[list_price]]-order_items[[#This Row],[Discounted_price]]</f>
        <v>697.49070000000006</v>
      </c>
      <c r="J285">
        <f>VLOOKUP(B285, Products!$A$2:$E$100, 3, FALSE)</f>
        <v>5</v>
      </c>
      <c r="K285">
        <f>VLOOKUP(B285, Products!$A$2:$F$100, 4, FALSE)</f>
        <v>6</v>
      </c>
    </row>
    <row r="286" spans="1:11" x14ac:dyDescent="0.3">
      <c r="A286">
        <v>97</v>
      </c>
      <c r="B286">
        <v>3</v>
      </c>
      <c r="C286">
        <v>6</v>
      </c>
      <c r="D286" t="str">
        <f>VLOOKUP(B286, Products!$A$2:$C$100, 2, FALSE)</f>
        <v>Surly Wednesday Frameset - 2016</v>
      </c>
      <c r="E286">
        <v>2</v>
      </c>
      <c r="F286">
        <v>469.99</v>
      </c>
      <c r="G286">
        <v>0.2</v>
      </c>
      <c r="H286">
        <v>93.998000000000005</v>
      </c>
      <c r="I286">
        <f>order_items[[#This Row],[list_price]]-order_items[[#This Row],[Discounted_price]]</f>
        <v>375.99200000000002</v>
      </c>
      <c r="J286">
        <f>VLOOKUP(B286, Products!$A$2:$E$100, 3, FALSE)</f>
        <v>8</v>
      </c>
      <c r="K286">
        <f>VLOOKUP(B286, Products!$A$2:$F$100, 4, FALSE)</f>
        <v>6</v>
      </c>
    </row>
    <row r="287" spans="1:11" x14ac:dyDescent="0.3">
      <c r="A287">
        <v>97</v>
      </c>
      <c r="B287">
        <v>4</v>
      </c>
      <c r="C287">
        <v>19</v>
      </c>
      <c r="D287" t="str">
        <f>VLOOKUP(B287, Products!$A$2:$C$100, 2, FALSE)</f>
        <v>Trek Fuel EX 8 29 - 2016</v>
      </c>
      <c r="E287">
        <v>1</v>
      </c>
      <c r="F287">
        <v>449</v>
      </c>
      <c r="G287">
        <v>0.1</v>
      </c>
      <c r="H287">
        <v>44.900000000000006</v>
      </c>
      <c r="I287">
        <f>order_items[[#This Row],[list_price]]-order_items[[#This Row],[Discounted_price]]</f>
        <v>404.1</v>
      </c>
      <c r="J287">
        <f>VLOOKUP(B287, Products!$A$2:$E$100, 3, FALSE)</f>
        <v>9</v>
      </c>
      <c r="K287">
        <f>VLOOKUP(B287, Products!$A$2:$F$100, 4, FALSE)</f>
        <v>6</v>
      </c>
    </row>
    <row r="288" spans="1:11" x14ac:dyDescent="0.3">
      <c r="A288">
        <v>98</v>
      </c>
      <c r="B288">
        <v>1</v>
      </c>
      <c r="C288">
        <v>19</v>
      </c>
      <c r="D288" t="str">
        <f>VLOOKUP(B288, Products!$A$2:$C$100, 2, FALSE)</f>
        <v>Trek 820 - 2016</v>
      </c>
      <c r="E288">
        <v>1</v>
      </c>
      <c r="F288">
        <v>449</v>
      </c>
      <c r="G288">
        <v>7.0000000000000007E-2</v>
      </c>
      <c r="H288">
        <v>31.430000000000003</v>
      </c>
      <c r="I288">
        <f>order_items[[#This Row],[list_price]]-order_items[[#This Row],[Discounted_price]]</f>
        <v>417.57</v>
      </c>
      <c r="J288">
        <f>VLOOKUP(B288, Products!$A$2:$E$100, 3, FALSE)</f>
        <v>9</v>
      </c>
      <c r="K288">
        <f>VLOOKUP(B288, Products!$A$2:$F$100, 4, FALSE)</f>
        <v>6</v>
      </c>
    </row>
    <row r="289" spans="1:11" x14ac:dyDescent="0.3">
      <c r="A289">
        <v>98</v>
      </c>
      <c r="B289">
        <v>2</v>
      </c>
      <c r="C289">
        <v>21</v>
      </c>
      <c r="D289" t="str">
        <f>VLOOKUP(B289, Products!$A$2:$C$100, 2, FALSE)</f>
        <v>Ritchey Timberwolf Frameset - 2016</v>
      </c>
      <c r="E289">
        <v>1</v>
      </c>
      <c r="F289">
        <v>269.99</v>
      </c>
      <c r="G289">
        <v>0.1</v>
      </c>
      <c r="H289">
        <v>26.999000000000002</v>
      </c>
      <c r="I289">
        <f>order_items[[#This Row],[list_price]]-order_items[[#This Row],[Discounted_price]]</f>
        <v>242.99100000000001</v>
      </c>
      <c r="J289">
        <f>VLOOKUP(B289, Products!$A$2:$E$100, 3, FALSE)</f>
        <v>5</v>
      </c>
      <c r="K289">
        <f>VLOOKUP(B289, Products!$A$2:$F$100, 4, FALSE)</f>
        <v>6</v>
      </c>
    </row>
    <row r="290" spans="1:11" x14ac:dyDescent="0.3">
      <c r="A290">
        <v>98</v>
      </c>
      <c r="B290">
        <v>3</v>
      </c>
      <c r="C290">
        <v>2</v>
      </c>
      <c r="D290" t="str">
        <f>VLOOKUP(B290, Products!$A$2:$C$100, 2, FALSE)</f>
        <v>Surly Wednesday Frameset - 2016</v>
      </c>
      <c r="E290">
        <v>1</v>
      </c>
      <c r="F290">
        <v>749.99</v>
      </c>
      <c r="G290">
        <v>0.2</v>
      </c>
      <c r="H290">
        <v>149.99800000000002</v>
      </c>
      <c r="I290">
        <f>order_items[[#This Row],[list_price]]-order_items[[#This Row],[Discounted_price]]</f>
        <v>599.99199999999996</v>
      </c>
      <c r="J290">
        <f>VLOOKUP(B290, Products!$A$2:$E$100, 3, FALSE)</f>
        <v>8</v>
      </c>
      <c r="K290">
        <f>VLOOKUP(B290, Products!$A$2:$F$100, 4, FALSE)</f>
        <v>6</v>
      </c>
    </row>
    <row r="291" spans="1:11" x14ac:dyDescent="0.3">
      <c r="A291">
        <v>98</v>
      </c>
      <c r="B291">
        <v>4</v>
      </c>
      <c r="C291">
        <v>22</v>
      </c>
      <c r="D291" t="str">
        <f>VLOOKUP(B291, Products!$A$2:$C$100, 2, FALSE)</f>
        <v>Trek Fuel EX 8 29 - 2016</v>
      </c>
      <c r="E291">
        <v>2</v>
      </c>
      <c r="F291">
        <v>269.99</v>
      </c>
      <c r="G291">
        <v>0.2</v>
      </c>
      <c r="H291">
        <v>53.998000000000005</v>
      </c>
      <c r="I291">
        <f>order_items[[#This Row],[list_price]]-order_items[[#This Row],[Discounted_price]]</f>
        <v>215.99200000000002</v>
      </c>
      <c r="J291">
        <f>VLOOKUP(B291, Products!$A$2:$E$100, 3, FALSE)</f>
        <v>9</v>
      </c>
      <c r="K291">
        <f>VLOOKUP(B291, Products!$A$2:$F$100, 4, FALSE)</f>
        <v>6</v>
      </c>
    </row>
    <row r="292" spans="1:11" x14ac:dyDescent="0.3">
      <c r="A292">
        <v>99</v>
      </c>
      <c r="B292">
        <v>1</v>
      </c>
      <c r="C292">
        <v>13</v>
      </c>
      <c r="D292" t="str">
        <f>VLOOKUP(B292, Products!$A$2:$C$100, 2, FALSE)</f>
        <v>Trek 820 - 2016</v>
      </c>
      <c r="E292">
        <v>1</v>
      </c>
      <c r="F292">
        <v>269.99</v>
      </c>
      <c r="G292">
        <v>0.2</v>
      </c>
      <c r="H292">
        <v>53.998000000000005</v>
      </c>
      <c r="I292">
        <f>order_items[[#This Row],[list_price]]-order_items[[#This Row],[Discounted_price]]</f>
        <v>215.99200000000002</v>
      </c>
      <c r="J292">
        <f>VLOOKUP(B292, Products!$A$2:$E$100, 3, FALSE)</f>
        <v>9</v>
      </c>
      <c r="K292">
        <f>VLOOKUP(B292, Products!$A$2:$F$100, 4, FALSE)</f>
        <v>6</v>
      </c>
    </row>
    <row r="293" spans="1:11" x14ac:dyDescent="0.3">
      <c r="A293">
        <v>99</v>
      </c>
      <c r="B293">
        <v>2</v>
      </c>
      <c r="C293">
        <v>21</v>
      </c>
      <c r="D293" t="str">
        <f>VLOOKUP(B293, Products!$A$2:$C$100, 2, FALSE)</f>
        <v>Ritchey Timberwolf Frameset - 2016</v>
      </c>
      <c r="E293">
        <v>1</v>
      </c>
      <c r="F293">
        <v>269.99</v>
      </c>
      <c r="G293">
        <v>0.2</v>
      </c>
      <c r="H293">
        <v>53.998000000000005</v>
      </c>
      <c r="I293">
        <f>order_items[[#This Row],[list_price]]-order_items[[#This Row],[Discounted_price]]</f>
        <v>215.99200000000002</v>
      </c>
      <c r="J293">
        <f>VLOOKUP(B293, Products!$A$2:$E$100, 3, FALSE)</f>
        <v>5</v>
      </c>
      <c r="K293">
        <f>VLOOKUP(B293, Products!$A$2:$F$100, 4, FALSE)</f>
        <v>6</v>
      </c>
    </row>
    <row r="294" spans="1:11" x14ac:dyDescent="0.3">
      <c r="A294">
        <v>99</v>
      </c>
      <c r="B294">
        <v>3</v>
      </c>
      <c r="C294">
        <v>25</v>
      </c>
      <c r="D294" t="str">
        <f>VLOOKUP(B294, Products!$A$2:$C$100, 2, FALSE)</f>
        <v>Surly Wednesday Frameset - 2016</v>
      </c>
      <c r="E294">
        <v>2</v>
      </c>
      <c r="F294">
        <v>499.99</v>
      </c>
      <c r="G294">
        <v>0.05</v>
      </c>
      <c r="H294">
        <v>24.999500000000001</v>
      </c>
      <c r="I294">
        <f>order_items[[#This Row],[list_price]]-order_items[[#This Row],[Discounted_price]]</f>
        <v>474.9905</v>
      </c>
      <c r="J294">
        <f>VLOOKUP(B294, Products!$A$2:$E$100, 3, FALSE)</f>
        <v>8</v>
      </c>
      <c r="K294">
        <f>VLOOKUP(B294, Products!$A$2:$F$100, 4, FALSE)</f>
        <v>6</v>
      </c>
    </row>
    <row r="295" spans="1:11" x14ac:dyDescent="0.3">
      <c r="A295">
        <v>99</v>
      </c>
      <c r="B295">
        <v>4</v>
      </c>
      <c r="C295">
        <v>7</v>
      </c>
      <c r="D295" t="str">
        <f>VLOOKUP(B295, Products!$A$2:$C$100, 2, FALSE)</f>
        <v>Trek Fuel EX 8 29 - 2016</v>
      </c>
      <c r="E295">
        <v>2</v>
      </c>
      <c r="F295">
        <v>3999.99</v>
      </c>
      <c r="G295">
        <v>7.0000000000000007E-2</v>
      </c>
      <c r="H295">
        <v>279.99930000000001</v>
      </c>
      <c r="I295">
        <f>order_items[[#This Row],[list_price]]-order_items[[#This Row],[Discounted_price]]</f>
        <v>3719.9906999999998</v>
      </c>
      <c r="J295">
        <f>VLOOKUP(B295, Products!$A$2:$E$100, 3, FALSE)</f>
        <v>9</v>
      </c>
      <c r="K295">
        <f>VLOOKUP(B295, Products!$A$2:$F$100, 4, FALSE)</f>
        <v>6</v>
      </c>
    </row>
    <row r="296" spans="1:11" x14ac:dyDescent="0.3">
      <c r="A296">
        <v>99</v>
      </c>
      <c r="B296">
        <v>5</v>
      </c>
      <c r="C296">
        <v>23</v>
      </c>
      <c r="D296" t="str">
        <f>VLOOKUP(B296, Products!$A$2:$C$100, 2, FALSE)</f>
        <v>Heller Shagamaw Frame - 2016</v>
      </c>
      <c r="E296">
        <v>2</v>
      </c>
      <c r="F296">
        <v>299.99</v>
      </c>
      <c r="G296">
        <v>0.2</v>
      </c>
      <c r="H296">
        <v>59.998000000000005</v>
      </c>
      <c r="I296">
        <f>order_items[[#This Row],[list_price]]-order_items[[#This Row],[Discounted_price]]</f>
        <v>239.99200000000002</v>
      </c>
      <c r="J296">
        <f>VLOOKUP(B296, Products!$A$2:$E$100, 3, FALSE)</f>
        <v>3</v>
      </c>
      <c r="K296">
        <f>VLOOKUP(B296, Products!$A$2:$F$100, 4, FALSE)</f>
        <v>6</v>
      </c>
    </row>
    <row r="297" spans="1:11" x14ac:dyDescent="0.3">
      <c r="A297">
        <v>100</v>
      </c>
      <c r="B297">
        <v>1</v>
      </c>
      <c r="C297">
        <v>12</v>
      </c>
      <c r="D297" t="str">
        <f>VLOOKUP(B297, Products!$A$2:$C$100, 2, FALSE)</f>
        <v>Trek 820 - 2016</v>
      </c>
      <c r="E297">
        <v>2</v>
      </c>
      <c r="F297">
        <v>549.99</v>
      </c>
      <c r="G297">
        <v>0.05</v>
      </c>
      <c r="H297">
        <v>27.499500000000001</v>
      </c>
      <c r="I297">
        <f>order_items[[#This Row],[list_price]]-order_items[[#This Row],[Discounted_price]]</f>
        <v>522.4905</v>
      </c>
      <c r="J297">
        <f>VLOOKUP(B297, Products!$A$2:$E$100, 3, FALSE)</f>
        <v>9</v>
      </c>
      <c r="K297">
        <f>VLOOKUP(B297, Products!$A$2:$F$100, 4, FALSE)</f>
        <v>6</v>
      </c>
    </row>
    <row r="298" spans="1:11" x14ac:dyDescent="0.3">
      <c r="A298">
        <v>100</v>
      </c>
      <c r="B298">
        <v>2</v>
      </c>
      <c r="C298">
        <v>11</v>
      </c>
      <c r="D298" t="str">
        <f>VLOOKUP(B298, Products!$A$2:$C$100, 2, FALSE)</f>
        <v>Ritchey Timberwolf Frameset - 2016</v>
      </c>
      <c r="E298">
        <v>2</v>
      </c>
      <c r="F298">
        <v>1680.99</v>
      </c>
      <c r="G298">
        <v>0.1</v>
      </c>
      <c r="H298">
        <v>168.09900000000002</v>
      </c>
      <c r="I298">
        <f>order_items[[#This Row],[list_price]]-order_items[[#This Row],[Discounted_price]]</f>
        <v>1512.8910000000001</v>
      </c>
      <c r="J298">
        <f>VLOOKUP(B298, Products!$A$2:$E$100, 3, FALSE)</f>
        <v>5</v>
      </c>
      <c r="K298">
        <f>VLOOKUP(B298, Products!$A$2:$F$100, 4, FALSE)</f>
        <v>6</v>
      </c>
    </row>
    <row r="299" spans="1:11" x14ac:dyDescent="0.3">
      <c r="A299">
        <v>100</v>
      </c>
      <c r="B299">
        <v>3</v>
      </c>
      <c r="C299">
        <v>7</v>
      </c>
      <c r="D299" t="str">
        <f>VLOOKUP(B299, Products!$A$2:$C$100, 2, FALSE)</f>
        <v>Surly Wednesday Frameset - 2016</v>
      </c>
      <c r="E299">
        <v>2</v>
      </c>
      <c r="F299">
        <v>3999.99</v>
      </c>
      <c r="G299">
        <v>0.2</v>
      </c>
      <c r="H299">
        <v>799.99800000000005</v>
      </c>
      <c r="I299">
        <f>order_items[[#This Row],[list_price]]-order_items[[#This Row],[Discounted_price]]</f>
        <v>3199.9919999999997</v>
      </c>
      <c r="J299">
        <f>VLOOKUP(B299, Products!$A$2:$E$100, 3, FALSE)</f>
        <v>8</v>
      </c>
      <c r="K299">
        <f>VLOOKUP(B299, Products!$A$2:$F$100, 4, FALSE)</f>
        <v>6</v>
      </c>
    </row>
    <row r="300" spans="1:11" x14ac:dyDescent="0.3">
      <c r="A300">
        <v>100</v>
      </c>
      <c r="B300">
        <v>4</v>
      </c>
      <c r="C300">
        <v>16</v>
      </c>
      <c r="D300" t="str">
        <f>VLOOKUP(B300, Products!$A$2:$C$100, 2, FALSE)</f>
        <v>Trek Fuel EX 8 29 - 2016</v>
      </c>
      <c r="E300">
        <v>2</v>
      </c>
      <c r="F300">
        <v>599.99</v>
      </c>
      <c r="G300">
        <v>0.2</v>
      </c>
      <c r="H300">
        <v>119.998</v>
      </c>
      <c r="I300">
        <f>order_items[[#This Row],[list_price]]-order_items[[#This Row],[Discounted_price]]</f>
        <v>479.99200000000002</v>
      </c>
      <c r="J300">
        <f>VLOOKUP(B300, Products!$A$2:$E$100, 3, FALSE)</f>
        <v>9</v>
      </c>
      <c r="K300">
        <f>VLOOKUP(B300, Products!$A$2:$F$100, 4, FALSE)</f>
        <v>6</v>
      </c>
    </row>
    <row r="301" spans="1:11" x14ac:dyDescent="0.3">
      <c r="A301">
        <v>100</v>
      </c>
      <c r="B301">
        <v>5</v>
      </c>
      <c r="C301">
        <v>24</v>
      </c>
      <c r="D301" t="str">
        <f>VLOOKUP(B301, Products!$A$2:$C$100, 2, FALSE)</f>
        <v>Heller Shagamaw Frame - 2016</v>
      </c>
      <c r="E301">
        <v>2</v>
      </c>
      <c r="F301">
        <v>549.99</v>
      </c>
      <c r="G301">
        <v>0.1</v>
      </c>
      <c r="H301">
        <v>54.999000000000002</v>
      </c>
      <c r="I301">
        <f>order_items[[#This Row],[list_price]]-order_items[[#This Row],[Discounted_price]]</f>
        <v>494.99099999999999</v>
      </c>
      <c r="J301">
        <f>VLOOKUP(B301, Products!$A$2:$E$100, 3, FALSE)</f>
        <v>3</v>
      </c>
      <c r="K301">
        <f>VLOOKUP(B301, Products!$A$2:$F$100, 4, FALSE)</f>
        <v>6</v>
      </c>
    </row>
    <row r="302" spans="1:11" x14ac:dyDescent="0.3">
      <c r="A302">
        <v>101</v>
      </c>
      <c r="B302">
        <v>1</v>
      </c>
      <c r="C302">
        <v>12</v>
      </c>
      <c r="D302" t="str">
        <f>VLOOKUP(B302, Products!$A$2:$C$100, 2, FALSE)</f>
        <v>Trek 820 - 2016</v>
      </c>
      <c r="E302">
        <v>2</v>
      </c>
      <c r="F302">
        <v>549.99</v>
      </c>
      <c r="G302">
        <v>0.2</v>
      </c>
      <c r="H302">
        <v>109.998</v>
      </c>
      <c r="I302">
        <f>order_items[[#This Row],[list_price]]-order_items[[#This Row],[Discounted_price]]</f>
        <v>439.99200000000002</v>
      </c>
      <c r="J302">
        <f>VLOOKUP(B302, Products!$A$2:$E$100, 3, FALSE)</f>
        <v>9</v>
      </c>
      <c r="K302">
        <f>VLOOKUP(B302, Products!$A$2:$F$100, 4, FALSE)</f>
        <v>6</v>
      </c>
    </row>
    <row r="303" spans="1:11" x14ac:dyDescent="0.3">
      <c r="A303">
        <v>102</v>
      </c>
      <c r="B303">
        <v>1</v>
      </c>
      <c r="C303">
        <v>15</v>
      </c>
      <c r="D303" t="str">
        <f>VLOOKUP(B303, Products!$A$2:$C$100, 2, FALSE)</f>
        <v>Trek 820 - 2016</v>
      </c>
      <c r="E303">
        <v>1</v>
      </c>
      <c r="F303">
        <v>529.99</v>
      </c>
      <c r="G303">
        <v>0.05</v>
      </c>
      <c r="H303">
        <v>26.499500000000001</v>
      </c>
      <c r="I303">
        <f>order_items[[#This Row],[list_price]]-order_items[[#This Row],[Discounted_price]]</f>
        <v>503.4905</v>
      </c>
      <c r="J303">
        <f>VLOOKUP(B303, Products!$A$2:$E$100, 3, FALSE)</f>
        <v>9</v>
      </c>
      <c r="K303">
        <f>VLOOKUP(B303, Products!$A$2:$F$100, 4, FALSE)</f>
        <v>6</v>
      </c>
    </row>
    <row r="304" spans="1:11" x14ac:dyDescent="0.3">
      <c r="A304">
        <v>102</v>
      </c>
      <c r="B304">
        <v>2</v>
      </c>
      <c r="C304">
        <v>22</v>
      </c>
      <c r="D304" t="str">
        <f>VLOOKUP(B304, Products!$A$2:$C$100, 2, FALSE)</f>
        <v>Ritchey Timberwolf Frameset - 2016</v>
      </c>
      <c r="E304">
        <v>1</v>
      </c>
      <c r="F304">
        <v>269.99</v>
      </c>
      <c r="G304">
        <v>7.0000000000000007E-2</v>
      </c>
      <c r="H304">
        <v>18.899300000000004</v>
      </c>
      <c r="I304">
        <f>order_items[[#This Row],[list_price]]-order_items[[#This Row],[Discounted_price]]</f>
        <v>251.0907</v>
      </c>
      <c r="J304">
        <f>VLOOKUP(B304, Products!$A$2:$E$100, 3, FALSE)</f>
        <v>5</v>
      </c>
      <c r="K304">
        <f>VLOOKUP(B304, Products!$A$2:$F$100, 4, FALSE)</f>
        <v>6</v>
      </c>
    </row>
    <row r="305" spans="1:11" x14ac:dyDescent="0.3">
      <c r="A305">
        <v>103</v>
      </c>
      <c r="B305">
        <v>1</v>
      </c>
      <c r="C305">
        <v>17</v>
      </c>
      <c r="D305" t="str">
        <f>VLOOKUP(B305, Products!$A$2:$C$100, 2, FALSE)</f>
        <v>Trek 820 - 2016</v>
      </c>
      <c r="E305">
        <v>1</v>
      </c>
      <c r="F305">
        <v>429</v>
      </c>
      <c r="G305">
        <v>7.0000000000000007E-2</v>
      </c>
      <c r="H305">
        <v>30.03</v>
      </c>
      <c r="I305">
        <f>order_items[[#This Row],[list_price]]-order_items[[#This Row],[Discounted_price]]</f>
        <v>398.97</v>
      </c>
      <c r="J305">
        <f>VLOOKUP(B305, Products!$A$2:$E$100, 3, FALSE)</f>
        <v>9</v>
      </c>
      <c r="K305">
        <f>VLOOKUP(B305, Products!$A$2:$F$100, 4, FALSE)</f>
        <v>6</v>
      </c>
    </row>
    <row r="306" spans="1:11" x14ac:dyDescent="0.3">
      <c r="A306">
        <v>103</v>
      </c>
      <c r="B306">
        <v>2</v>
      </c>
      <c r="C306">
        <v>3</v>
      </c>
      <c r="D306" t="str">
        <f>VLOOKUP(B306, Products!$A$2:$C$100, 2, FALSE)</f>
        <v>Ritchey Timberwolf Frameset - 2016</v>
      </c>
      <c r="E306">
        <v>1</v>
      </c>
      <c r="F306">
        <v>999.99</v>
      </c>
      <c r="G306">
        <v>0.05</v>
      </c>
      <c r="H306">
        <v>49.999500000000005</v>
      </c>
      <c r="I306">
        <f>order_items[[#This Row],[list_price]]-order_items[[#This Row],[Discounted_price]]</f>
        <v>949.9905</v>
      </c>
      <c r="J306">
        <f>VLOOKUP(B306, Products!$A$2:$E$100, 3, FALSE)</f>
        <v>5</v>
      </c>
      <c r="K306">
        <f>VLOOKUP(B306, Products!$A$2:$F$100, 4, FALSE)</f>
        <v>6</v>
      </c>
    </row>
    <row r="307" spans="1:11" x14ac:dyDescent="0.3">
      <c r="A307">
        <v>103</v>
      </c>
      <c r="B307">
        <v>3</v>
      </c>
      <c r="C307">
        <v>18</v>
      </c>
      <c r="D307" t="str">
        <f>VLOOKUP(B307, Products!$A$2:$C$100, 2, FALSE)</f>
        <v>Surly Wednesday Frameset - 2016</v>
      </c>
      <c r="E307">
        <v>1</v>
      </c>
      <c r="F307">
        <v>449</v>
      </c>
      <c r="G307">
        <v>0.2</v>
      </c>
      <c r="H307">
        <v>89.800000000000011</v>
      </c>
      <c r="I307">
        <f>order_items[[#This Row],[list_price]]-order_items[[#This Row],[Discounted_price]]</f>
        <v>359.2</v>
      </c>
      <c r="J307">
        <f>VLOOKUP(B307, Products!$A$2:$E$100, 3, FALSE)</f>
        <v>8</v>
      </c>
      <c r="K307">
        <f>VLOOKUP(B307, Products!$A$2:$F$100, 4, FALSE)</f>
        <v>6</v>
      </c>
    </row>
    <row r="308" spans="1:11" x14ac:dyDescent="0.3">
      <c r="A308">
        <v>103</v>
      </c>
      <c r="B308">
        <v>4</v>
      </c>
      <c r="C308">
        <v>15</v>
      </c>
      <c r="D308" t="str">
        <f>VLOOKUP(B308, Products!$A$2:$C$100, 2, FALSE)</f>
        <v>Trek Fuel EX 8 29 - 2016</v>
      </c>
      <c r="E308">
        <v>2</v>
      </c>
      <c r="F308">
        <v>529.99</v>
      </c>
      <c r="G308">
        <v>0.1</v>
      </c>
      <c r="H308">
        <v>52.999000000000002</v>
      </c>
      <c r="I308">
        <f>order_items[[#This Row],[list_price]]-order_items[[#This Row],[Discounted_price]]</f>
        <v>476.99099999999999</v>
      </c>
      <c r="J308">
        <f>VLOOKUP(B308, Products!$A$2:$E$100, 3, FALSE)</f>
        <v>9</v>
      </c>
      <c r="K308">
        <f>VLOOKUP(B308, Products!$A$2:$F$100, 4, FALSE)</f>
        <v>6</v>
      </c>
    </row>
    <row r="309" spans="1:11" x14ac:dyDescent="0.3">
      <c r="A309">
        <v>103</v>
      </c>
      <c r="B309">
        <v>5</v>
      </c>
      <c r="C309">
        <v>9</v>
      </c>
      <c r="D309" t="str">
        <f>VLOOKUP(B309, Products!$A$2:$C$100, 2, FALSE)</f>
        <v>Heller Shagamaw Frame - 2016</v>
      </c>
      <c r="E309">
        <v>2</v>
      </c>
      <c r="F309">
        <v>2999.99</v>
      </c>
      <c r="G309">
        <v>0.1</v>
      </c>
      <c r="H309">
        <v>299.99899999999997</v>
      </c>
      <c r="I309">
        <f>order_items[[#This Row],[list_price]]-order_items[[#This Row],[Discounted_price]]</f>
        <v>2699.991</v>
      </c>
      <c r="J309">
        <f>VLOOKUP(B309, Products!$A$2:$E$100, 3, FALSE)</f>
        <v>3</v>
      </c>
      <c r="K309">
        <f>VLOOKUP(B309, Products!$A$2:$F$100, 4, FALSE)</f>
        <v>6</v>
      </c>
    </row>
    <row r="310" spans="1:11" x14ac:dyDescent="0.3">
      <c r="A310">
        <v>104</v>
      </c>
      <c r="B310">
        <v>1</v>
      </c>
      <c r="C310">
        <v>19</v>
      </c>
      <c r="D310" t="str">
        <f>VLOOKUP(B310, Products!$A$2:$C$100, 2, FALSE)</f>
        <v>Trek 820 - 2016</v>
      </c>
      <c r="E310">
        <v>2</v>
      </c>
      <c r="F310">
        <v>449</v>
      </c>
      <c r="G310">
        <v>0.1</v>
      </c>
      <c r="H310">
        <v>44.900000000000006</v>
      </c>
      <c r="I310">
        <f>order_items[[#This Row],[list_price]]-order_items[[#This Row],[Discounted_price]]</f>
        <v>404.1</v>
      </c>
      <c r="J310">
        <f>VLOOKUP(B310, Products!$A$2:$E$100, 3, FALSE)</f>
        <v>9</v>
      </c>
      <c r="K310">
        <f>VLOOKUP(B310, Products!$A$2:$F$100, 4, FALSE)</f>
        <v>6</v>
      </c>
    </row>
    <row r="311" spans="1:11" x14ac:dyDescent="0.3">
      <c r="A311">
        <v>104</v>
      </c>
      <c r="B311">
        <v>2</v>
      </c>
      <c r="C311">
        <v>26</v>
      </c>
      <c r="D311" t="str">
        <f>VLOOKUP(B311, Products!$A$2:$C$100, 2, FALSE)</f>
        <v>Ritchey Timberwolf Frameset - 2016</v>
      </c>
      <c r="E311">
        <v>1</v>
      </c>
      <c r="F311">
        <v>599.99</v>
      </c>
      <c r="G311">
        <v>0.05</v>
      </c>
      <c r="H311">
        <v>29.999500000000001</v>
      </c>
      <c r="I311">
        <f>order_items[[#This Row],[list_price]]-order_items[[#This Row],[Discounted_price]]</f>
        <v>569.9905</v>
      </c>
      <c r="J311">
        <f>VLOOKUP(B311, Products!$A$2:$E$100, 3, FALSE)</f>
        <v>5</v>
      </c>
      <c r="K311">
        <f>VLOOKUP(B311, Products!$A$2:$F$100, 4, FALSE)</f>
        <v>6</v>
      </c>
    </row>
    <row r="312" spans="1:11" x14ac:dyDescent="0.3">
      <c r="A312">
        <v>105</v>
      </c>
      <c r="B312">
        <v>1</v>
      </c>
      <c r="C312">
        <v>11</v>
      </c>
      <c r="D312" t="str">
        <f>VLOOKUP(B312, Products!$A$2:$C$100, 2, FALSE)</f>
        <v>Trek 820 - 2016</v>
      </c>
      <c r="E312">
        <v>2</v>
      </c>
      <c r="F312">
        <v>1680.99</v>
      </c>
      <c r="G312">
        <v>0.2</v>
      </c>
      <c r="H312">
        <v>336.19800000000004</v>
      </c>
      <c r="I312">
        <f>order_items[[#This Row],[list_price]]-order_items[[#This Row],[Discounted_price]]</f>
        <v>1344.7919999999999</v>
      </c>
      <c r="J312">
        <f>VLOOKUP(B312, Products!$A$2:$E$100, 3, FALSE)</f>
        <v>9</v>
      </c>
      <c r="K312">
        <f>VLOOKUP(B312, Products!$A$2:$F$100, 4, FALSE)</f>
        <v>6</v>
      </c>
    </row>
    <row r="313" spans="1:11" x14ac:dyDescent="0.3">
      <c r="A313">
        <v>105</v>
      </c>
      <c r="B313">
        <v>2</v>
      </c>
      <c r="C313">
        <v>3</v>
      </c>
      <c r="D313" t="str">
        <f>VLOOKUP(B313, Products!$A$2:$C$100, 2, FALSE)</f>
        <v>Ritchey Timberwolf Frameset - 2016</v>
      </c>
      <c r="E313">
        <v>1</v>
      </c>
      <c r="F313">
        <v>999.99</v>
      </c>
      <c r="G313">
        <v>0.05</v>
      </c>
      <c r="H313">
        <v>49.999500000000005</v>
      </c>
      <c r="I313">
        <f>order_items[[#This Row],[list_price]]-order_items[[#This Row],[Discounted_price]]</f>
        <v>949.9905</v>
      </c>
      <c r="J313">
        <f>VLOOKUP(B313, Products!$A$2:$E$100, 3, FALSE)</f>
        <v>5</v>
      </c>
      <c r="K313">
        <f>VLOOKUP(B313, Products!$A$2:$F$100, 4, FALSE)</f>
        <v>6</v>
      </c>
    </row>
    <row r="314" spans="1:11" x14ac:dyDescent="0.3">
      <c r="A314">
        <v>105</v>
      </c>
      <c r="B314">
        <v>3</v>
      </c>
      <c r="C314">
        <v>9</v>
      </c>
      <c r="D314" t="str">
        <f>VLOOKUP(B314, Products!$A$2:$C$100, 2, FALSE)</f>
        <v>Surly Wednesday Frameset - 2016</v>
      </c>
      <c r="E314">
        <v>1</v>
      </c>
      <c r="F314">
        <v>2999.99</v>
      </c>
      <c r="G314">
        <v>0.05</v>
      </c>
      <c r="H314">
        <v>149.99949999999998</v>
      </c>
      <c r="I314">
        <f>order_items[[#This Row],[list_price]]-order_items[[#This Row],[Discounted_price]]</f>
        <v>2849.9904999999999</v>
      </c>
      <c r="J314">
        <f>VLOOKUP(B314, Products!$A$2:$E$100, 3, FALSE)</f>
        <v>8</v>
      </c>
      <c r="K314">
        <f>VLOOKUP(B314, Products!$A$2:$F$100, 4, FALSE)</f>
        <v>6</v>
      </c>
    </row>
    <row r="315" spans="1:11" x14ac:dyDescent="0.3">
      <c r="A315">
        <v>106</v>
      </c>
      <c r="B315">
        <v>1</v>
      </c>
      <c r="C315">
        <v>17</v>
      </c>
      <c r="D315" t="str">
        <f>VLOOKUP(B315, Products!$A$2:$C$100, 2, FALSE)</f>
        <v>Trek 820 - 2016</v>
      </c>
      <c r="E315">
        <v>1</v>
      </c>
      <c r="F315">
        <v>429</v>
      </c>
      <c r="G315">
        <v>0.1</v>
      </c>
      <c r="H315">
        <v>42.900000000000006</v>
      </c>
      <c r="I315">
        <f>order_items[[#This Row],[list_price]]-order_items[[#This Row],[Discounted_price]]</f>
        <v>386.1</v>
      </c>
      <c r="J315">
        <f>VLOOKUP(B315, Products!$A$2:$E$100, 3, FALSE)</f>
        <v>9</v>
      </c>
      <c r="K315">
        <f>VLOOKUP(B315, Products!$A$2:$F$100, 4, FALSE)</f>
        <v>6</v>
      </c>
    </row>
    <row r="316" spans="1:11" x14ac:dyDescent="0.3">
      <c r="A316">
        <v>106</v>
      </c>
      <c r="B316">
        <v>2</v>
      </c>
      <c r="C316">
        <v>13</v>
      </c>
      <c r="D316" t="str">
        <f>VLOOKUP(B316, Products!$A$2:$C$100, 2, FALSE)</f>
        <v>Ritchey Timberwolf Frameset - 2016</v>
      </c>
      <c r="E316">
        <v>2</v>
      </c>
      <c r="F316">
        <v>269.99</v>
      </c>
      <c r="G316">
        <v>0.1</v>
      </c>
      <c r="H316">
        <v>26.999000000000002</v>
      </c>
      <c r="I316">
        <f>order_items[[#This Row],[list_price]]-order_items[[#This Row],[Discounted_price]]</f>
        <v>242.99100000000001</v>
      </c>
      <c r="J316">
        <f>VLOOKUP(B316, Products!$A$2:$E$100, 3, FALSE)</f>
        <v>5</v>
      </c>
      <c r="K316">
        <f>VLOOKUP(B316, Products!$A$2:$F$100, 4, FALSE)</f>
        <v>6</v>
      </c>
    </row>
    <row r="317" spans="1:11" x14ac:dyDescent="0.3">
      <c r="A317">
        <v>107</v>
      </c>
      <c r="B317">
        <v>1</v>
      </c>
      <c r="C317">
        <v>19</v>
      </c>
      <c r="D317" t="str">
        <f>VLOOKUP(B317, Products!$A$2:$C$100, 2, FALSE)</f>
        <v>Trek 820 - 2016</v>
      </c>
      <c r="E317">
        <v>1</v>
      </c>
      <c r="F317">
        <v>449</v>
      </c>
      <c r="G317">
        <v>0.2</v>
      </c>
      <c r="H317">
        <v>89.800000000000011</v>
      </c>
      <c r="I317">
        <f>order_items[[#This Row],[list_price]]-order_items[[#This Row],[Discounted_price]]</f>
        <v>359.2</v>
      </c>
      <c r="J317">
        <f>VLOOKUP(B317, Products!$A$2:$E$100, 3, FALSE)</f>
        <v>9</v>
      </c>
      <c r="K317">
        <f>VLOOKUP(B317, Products!$A$2:$F$100, 4, FALSE)</f>
        <v>6</v>
      </c>
    </row>
    <row r="318" spans="1:11" x14ac:dyDescent="0.3">
      <c r="A318">
        <v>107</v>
      </c>
      <c r="B318">
        <v>2</v>
      </c>
      <c r="C318">
        <v>13</v>
      </c>
      <c r="D318" t="str">
        <f>VLOOKUP(B318, Products!$A$2:$C$100, 2, FALSE)</f>
        <v>Ritchey Timberwolf Frameset - 2016</v>
      </c>
      <c r="E318">
        <v>2</v>
      </c>
      <c r="F318">
        <v>269.99</v>
      </c>
      <c r="G318">
        <v>0.1</v>
      </c>
      <c r="H318">
        <v>26.999000000000002</v>
      </c>
      <c r="I318">
        <f>order_items[[#This Row],[list_price]]-order_items[[#This Row],[Discounted_price]]</f>
        <v>242.99100000000001</v>
      </c>
      <c r="J318">
        <f>VLOOKUP(B318, Products!$A$2:$E$100, 3, FALSE)</f>
        <v>5</v>
      </c>
      <c r="K318">
        <f>VLOOKUP(B318, Products!$A$2:$F$100, 4, FALSE)</f>
        <v>6</v>
      </c>
    </row>
    <row r="319" spans="1:11" x14ac:dyDescent="0.3">
      <c r="A319">
        <v>108</v>
      </c>
      <c r="B319">
        <v>1</v>
      </c>
      <c r="C319">
        <v>11</v>
      </c>
      <c r="D319" t="str">
        <f>VLOOKUP(B319, Products!$A$2:$C$100, 2, FALSE)</f>
        <v>Trek 820 - 2016</v>
      </c>
      <c r="E319">
        <v>1</v>
      </c>
      <c r="F319">
        <v>1680.99</v>
      </c>
      <c r="G319">
        <v>0.1</v>
      </c>
      <c r="H319">
        <v>168.09900000000002</v>
      </c>
      <c r="I319">
        <f>order_items[[#This Row],[list_price]]-order_items[[#This Row],[Discounted_price]]</f>
        <v>1512.8910000000001</v>
      </c>
      <c r="J319">
        <f>VLOOKUP(B319, Products!$A$2:$E$100, 3, FALSE)</f>
        <v>9</v>
      </c>
      <c r="K319">
        <f>VLOOKUP(B319, Products!$A$2:$F$100, 4, FALSE)</f>
        <v>6</v>
      </c>
    </row>
    <row r="320" spans="1:11" x14ac:dyDescent="0.3">
      <c r="A320">
        <v>108</v>
      </c>
      <c r="B320">
        <v>2</v>
      </c>
      <c r="C320">
        <v>22</v>
      </c>
      <c r="D320" t="str">
        <f>VLOOKUP(B320, Products!$A$2:$C$100, 2, FALSE)</f>
        <v>Ritchey Timberwolf Frameset - 2016</v>
      </c>
      <c r="E320">
        <v>2</v>
      </c>
      <c r="F320">
        <v>269.99</v>
      </c>
      <c r="G320">
        <v>7.0000000000000007E-2</v>
      </c>
      <c r="H320">
        <v>18.899300000000004</v>
      </c>
      <c r="I320">
        <f>order_items[[#This Row],[list_price]]-order_items[[#This Row],[Discounted_price]]</f>
        <v>251.0907</v>
      </c>
      <c r="J320">
        <f>VLOOKUP(B320, Products!$A$2:$E$100, 3, FALSE)</f>
        <v>5</v>
      </c>
      <c r="K320">
        <f>VLOOKUP(B320, Products!$A$2:$F$100, 4, FALSE)</f>
        <v>6</v>
      </c>
    </row>
    <row r="321" spans="1:11" x14ac:dyDescent="0.3">
      <c r="A321">
        <v>108</v>
      </c>
      <c r="B321">
        <v>3</v>
      </c>
      <c r="C321">
        <v>16</v>
      </c>
      <c r="D321" t="str">
        <f>VLOOKUP(B321, Products!$A$2:$C$100, 2, FALSE)</f>
        <v>Surly Wednesday Frameset - 2016</v>
      </c>
      <c r="E321">
        <v>2</v>
      </c>
      <c r="F321">
        <v>599.99</v>
      </c>
      <c r="G321">
        <v>0.05</v>
      </c>
      <c r="H321">
        <v>29.999500000000001</v>
      </c>
      <c r="I321">
        <f>order_items[[#This Row],[list_price]]-order_items[[#This Row],[Discounted_price]]</f>
        <v>569.9905</v>
      </c>
      <c r="J321">
        <f>VLOOKUP(B321, Products!$A$2:$E$100, 3, FALSE)</f>
        <v>8</v>
      </c>
      <c r="K321">
        <f>VLOOKUP(B321, Products!$A$2:$F$100, 4, FALSE)</f>
        <v>6</v>
      </c>
    </row>
    <row r="322" spans="1:11" x14ac:dyDescent="0.3">
      <c r="A322">
        <v>109</v>
      </c>
      <c r="B322">
        <v>1</v>
      </c>
      <c r="C322">
        <v>22</v>
      </c>
      <c r="D322" t="str">
        <f>VLOOKUP(B322, Products!$A$2:$C$100, 2, FALSE)</f>
        <v>Trek 820 - 2016</v>
      </c>
      <c r="E322">
        <v>2</v>
      </c>
      <c r="F322">
        <v>269.99</v>
      </c>
      <c r="G322">
        <v>0.1</v>
      </c>
      <c r="H322">
        <v>26.999000000000002</v>
      </c>
      <c r="I322">
        <f>order_items[[#This Row],[list_price]]-order_items[[#This Row],[Discounted_price]]</f>
        <v>242.99100000000001</v>
      </c>
      <c r="J322">
        <f>VLOOKUP(B322, Products!$A$2:$E$100, 3, FALSE)</f>
        <v>9</v>
      </c>
      <c r="K322">
        <f>VLOOKUP(B322, Products!$A$2:$F$100, 4, FALSE)</f>
        <v>6</v>
      </c>
    </row>
    <row r="323" spans="1:11" x14ac:dyDescent="0.3">
      <c r="A323">
        <v>109</v>
      </c>
      <c r="B323">
        <v>2</v>
      </c>
      <c r="C323">
        <v>6</v>
      </c>
      <c r="D323" t="str">
        <f>VLOOKUP(B323, Products!$A$2:$C$100, 2, FALSE)</f>
        <v>Ritchey Timberwolf Frameset - 2016</v>
      </c>
      <c r="E323">
        <v>1</v>
      </c>
      <c r="F323">
        <v>469.99</v>
      </c>
      <c r="G323">
        <v>7.0000000000000007E-2</v>
      </c>
      <c r="H323">
        <v>32.899300000000004</v>
      </c>
      <c r="I323">
        <f>order_items[[#This Row],[list_price]]-order_items[[#This Row],[Discounted_price]]</f>
        <v>437.09070000000003</v>
      </c>
      <c r="J323">
        <f>VLOOKUP(B323, Products!$A$2:$E$100, 3, FALSE)</f>
        <v>5</v>
      </c>
      <c r="K323">
        <f>VLOOKUP(B323, Products!$A$2:$F$100, 4, FALSE)</f>
        <v>6</v>
      </c>
    </row>
    <row r="324" spans="1:11" x14ac:dyDescent="0.3">
      <c r="A324">
        <v>110</v>
      </c>
      <c r="B324">
        <v>1</v>
      </c>
      <c r="C324">
        <v>14</v>
      </c>
      <c r="D324" t="str">
        <f>VLOOKUP(B324, Products!$A$2:$C$100, 2, FALSE)</f>
        <v>Trek 820 - 2016</v>
      </c>
      <c r="E324">
        <v>1</v>
      </c>
      <c r="F324">
        <v>269.99</v>
      </c>
      <c r="G324">
        <v>0.1</v>
      </c>
      <c r="H324">
        <v>26.999000000000002</v>
      </c>
      <c r="I324">
        <f>order_items[[#This Row],[list_price]]-order_items[[#This Row],[Discounted_price]]</f>
        <v>242.99100000000001</v>
      </c>
      <c r="J324">
        <f>VLOOKUP(B324, Products!$A$2:$E$100, 3, FALSE)</f>
        <v>9</v>
      </c>
      <c r="K324">
        <f>VLOOKUP(B324, Products!$A$2:$F$100, 4, FALSE)</f>
        <v>6</v>
      </c>
    </row>
    <row r="325" spans="1:11" x14ac:dyDescent="0.3">
      <c r="A325">
        <v>111</v>
      </c>
      <c r="B325">
        <v>1</v>
      </c>
      <c r="C325">
        <v>14</v>
      </c>
      <c r="D325" t="str">
        <f>VLOOKUP(B325, Products!$A$2:$C$100, 2, FALSE)</f>
        <v>Trek 820 - 2016</v>
      </c>
      <c r="E325">
        <v>1</v>
      </c>
      <c r="F325">
        <v>269.99</v>
      </c>
      <c r="G325">
        <v>0.1</v>
      </c>
      <c r="H325">
        <v>26.999000000000002</v>
      </c>
      <c r="I325">
        <f>order_items[[#This Row],[list_price]]-order_items[[#This Row],[Discounted_price]]</f>
        <v>242.99100000000001</v>
      </c>
      <c r="J325">
        <f>VLOOKUP(B325, Products!$A$2:$E$100, 3, FALSE)</f>
        <v>9</v>
      </c>
      <c r="K325">
        <f>VLOOKUP(B325, Products!$A$2:$F$100, 4, FALSE)</f>
        <v>6</v>
      </c>
    </row>
    <row r="326" spans="1:11" x14ac:dyDescent="0.3">
      <c r="A326">
        <v>111</v>
      </c>
      <c r="B326">
        <v>2</v>
      </c>
      <c r="C326">
        <v>12</v>
      </c>
      <c r="D326" t="str">
        <f>VLOOKUP(B326, Products!$A$2:$C$100, 2, FALSE)</f>
        <v>Ritchey Timberwolf Frameset - 2016</v>
      </c>
      <c r="E326">
        <v>2</v>
      </c>
      <c r="F326">
        <v>549.99</v>
      </c>
      <c r="G326">
        <v>7.0000000000000007E-2</v>
      </c>
      <c r="H326">
        <v>38.499300000000005</v>
      </c>
      <c r="I326">
        <f>order_items[[#This Row],[list_price]]-order_items[[#This Row],[Discounted_price]]</f>
        <v>511.4907</v>
      </c>
      <c r="J326">
        <f>VLOOKUP(B326, Products!$A$2:$E$100, 3, FALSE)</f>
        <v>5</v>
      </c>
      <c r="K326">
        <f>VLOOKUP(B326, Products!$A$2:$F$100, 4, FALSE)</f>
        <v>6</v>
      </c>
    </row>
    <row r="327" spans="1:11" x14ac:dyDescent="0.3">
      <c r="A327">
        <v>112</v>
      </c>
      <c r="B327">
        <v>1</v>
      </c>
      <c r="C327">
        <v>23</v>
      </c>
      <c r="D327" t="str">
        <f>VLOOKUP(B327, Products!$A$2:$C$100, 2, FALSE)</f>
        <v>Trek 820 - 2016</v>
      </c>
      <c r="E327">
        <v>2</v>
      </c>
      <c r="F327">
        <v>299.99</v>
      </c>
      <c r="G327">
        <v>0.2</v>
      </c>
      <c r="H327">
        <v>59.998000000000005</v>
      </c>
      <c r="I327">
        <f>order_items[[#This Row],[list_price]]-order_items[[#This Row],[Discounted_price]]</f>
        <v>239.99200000000002</v>
      </c>
      <c r="J327">
        <f>VLOOKUP(B327, Products!$A$2:$E$100, 3, FALSE)</f>
        <v>9</v>
      </c>
      <c r="K327">
        <f>VLOOKUP(B327, Products!$A$2:$F$100, 4, FALSE)</f>
        <v>6</v>
      </c>
    </row>
    <row r="328" spans="1:11" x14ac:dyDescent="0.3">
      <c r="A328">
        <v>112</v>
      </c>
      <c r="B328">
        <v>2</v>
      </c>
      <c r="C328">
        <v>25</v>
      </c>
      <c r="D328" t="str">
        <f>VLOOKUP(B328, Products!$A$2:$C$100, 2, FALSE)</f>
        <v>Ritchey Timberwolf Frameset - 2016</v>
      </c>
      <c r="E328">
        <v>2</v>
      </c>
      <c r="F328">
        <v>499.99</v>
      </c>
      <c r="G328">
        <v>7.0000000000000007E-2</v>
      </c>
      <c r="H328">
        <v>34.999300000000005</v>
      </c>
      <c r="I328">
        <f>order_items[[#This Row],[list_price]]-order_items[[#This Row],[Discounted_price]]</f>
        <v>464.9907</v>
      </c>
      <c r="J328">
        <f>VLOOKUP(B328, Products!$A$2:$E$100, 3, FALSE)</f>
        <v>5</v>
      </c>
      <c r="K328">
        <f>VLOOKUP(B328, Products!$A$2:$F$100, 4, FALSE)</f>
        <v>6</v>
      </c>
    </row>
    <row r="329" spans="1:11" x14ac:dyDescent="0.3">
      <c r="A329">
        <v>112</v>
      </c>
      <c r="B329">
        <v>3</v>
      </c>
      <c r="C329">
        <v>24</v>
      </c>
      <c r="D329" t="str">
        <f>VLOOKUP(B329, Products!$A$2:$C$100, 2, FALSE)</f>
        <v>Surly Wednesday Frameset - 2016</v>
      </c>
      <c r="E329">
        <v>2</v>
      </c>
      <c r="F329">
        <v>549.99</v>
      </c>
      <c r="G329">
        <v>0.05</v>
      </c>
      <c r="H329">
        <v>27.499500000000001</v>
      </c>
      <c r="I329">
        <f>order_items[[#This Row],[list_price]]-order_items[[#This Row],[Discounted_price]]</f>
        <v>522.4905</v>
      </c>
      <c r="J329">
        <f>VLOOKUP(B329, Products!$A$2:$E$100, 3, FALSE)</f>
        <v>8</v>
      </c>
      <c r="K329">
        <f>VLOOKUP(B329, Products!$A$2:$F$100, 4, FALSE)</f>
        <v>6</v>
      </c>
    </row>
    <row r="330" spans="1:11" x14ac:dyDescent="0.3">
      <c r="A330">
        <v>112</v>
      </c>
      <c r="B330">
        <v>4</v>
      </c>
      <c r="C330">
        <v>5</v>
      </c>
      <c r="D330" t="str">
        <f>VLOOKUP(B330, Products!$A$2:$C$100, 2, FALSE)</f>
        <v>Trek Fuel EX 8 29 - 2016</v>
      </c>
      <c r="E330">
        <v>1</v>
      </c>
      <c r="F330">
        <v>1320.99</v>
      </c>
      <c r="G330">
        <v>0.2</v>
      </c>
      <c r="H330">
        <v>264.19800000000004</v>
      </c>
      <c r="I330">
        <f>order_items[[#This Row],[list_price]]-order_items[[#This Row],[Discounted_price]]</f>
        <v>1056.7919999999999</v>
      </c>
      <c r="J330">
        <f>VLOOKUP(B330, Products!$A$2:$E$100, 3, FALSE)</f>
        <v>9</v>
      </c>
      <c r="K330">
        <f>VLOOKUP(B330, Products!$A$2:$F$100, 4, FALSE)</f>
        <v>6</v>
      </c>
    </row>
    <row r="331" spans="1:11" x14ac:dyDescent="0.3">
      <c r="A331">
        <v>113</v>
      </c>
      <c r="B331">
        <v>1</v>
      </c>
      <c r="C331">
        <v>12</v>
      </c>
      <c r="D331" t="str">
        <f>VLOOKUP(B331, Products!$A$2:$C$100, 2, FALSE)</f>
        <v>Trek 820 - 2016</v>
      </c>
      <c r="E331">
        <v>2</v>
      </c>
      <c r="F331">
        <v>549.99</v>
      </c>
      <c r="G331">
        <v>7.0000000000000007E-2</v>
      </c>
      <c r="H331">
        <v>38.499300000000005</v>
      </c>
      <c r="I331">
        <f>order_items[[#This Row],[list_price]]-order_items[[#This Row],[Discounted_price]]</f>
        <v>511.4907</v>
      </c>
      <c r="J331">
        <f>VLOOKUP(B331, Products!$A$2:$E$100, 3, FALSE)</f>
        <v>9</v>
      </c>
      <c r="K331">
        <f>VLOOKUP(B331, Products!$A$2:$F$100, 4, FALSE)</f>
        <v>6</v>
      </c>
    </row>
    <row r="332" spans="1:11" x14ac:dyDescent="0.3">
      <c r="A332">
        <v>113</v>
      </c>
      <c r="B332">
        <v>2</v>
      </c>
      <c r="C332">
        <v>24</v>
      </c>
      <c r="D332" t="str">
        <f>VLOOKUP(B332, Products!$A$2:$C$100, 2, FALSE)</f>
        <v>Ritchey Timberwolf Frameset - 2016</v>
      </c>
      <c r="E332">
        <v>2</v>
      </c>
      <c r="F332">
        <v>549.99</v>
      </c>
      <c r="G332">
        <v>0.1</v>
      </c>
      <c r="H332">
        <v>54.999000000000002</v>
      </c>
      <c r="I332">
        <f>order_items[[#This Row],[list_price]]-order_items[[#This Row],[Discounted_price]]</f>
        <v>494.99099999999999</v>
      </c>
      <c r="J332">
        <f>VLOOKUP(B332, Products!$A$2:$E$100, 3, FALSE)</f>
        <v>5</v>
      </c>
      <c r="K332">
        <f>VLOOKUP(B332, Products!$A$2:$F$100, 4, FALSE)</f>
        <v>6</v>
      </c>
    </row>
    <row r="333" spans="1:11" x14ac:dyDescent="0.3">
      <c r="A333">
        <v>113</v>
      </c>
      <c r="B333">
        <v>3</v>
      </c>
      <c r="C333">
        <v>6</v>
      </c>
      <c r="D333" t="str">
        <f>VLOOKUP(B333, Products!$A$2:$C$100, 2, FALSE)</f>
        <v>Surly Wednesday Frameset - 2016</v>
      </c>
      <c r="E333">
        <v>1</v>
      </c>
      <c r="F333">
        <v>469.99</v>
      </c>
      <c r="G333">
        <v>7.0000000000000007E-2</v>
      </c>
      <c r="H333">
        <v>32.899300000000004</v>
      </c>
      <c r="I333">
        <f>order_items[[#This Row],[list_price]]-order_items[[#This Row],[Discounted_price]]</f>
        <v>437.09070000000003</v>
      </c>
      <c r="J333">
        <f>VLOOKUP(B333, Products!$A$2:$E$100, 3, FALSE)</f>
        <v>8</v>
      </c>
      <c r="K333">
        <f>VLOOKUP(B333, Products!$A$2:$F$100, 4, FALSE)</f>
        <v>6</v>
      </c>
    </row>
    <row r="334" spans="1:11" x14ac:dyDescent="0.3">
      <c r="A334">
        <v>113</v>
      </c>
      <c r="B334">
        <v>4</v>
      </c>
      <c r="C334">
        <v>23</v>
      </c>
      <c r="D334" t="str">
        <f>VLOOKUP(B334, Products!$A$2:$C$100, 2, FALSE)</f>
        <v>Trek Fuel EX 8 29 - 2016</v>
      </c>
      <c r="E334">
        <v>1</v>
      </c>
      <c r="F334">
        <v>299.99</v>
      </c>
      <c r="G334">
        <v>0.2</v>
      </c>
      <c r="H334">
        <v>59.998000000000005</v>
      </c>
      <c r="I334">
        <f>order_items[[#This Row],[list_price]]-order_items[[#This Row],[Discounted_price]]</f>
        <v>239.99200000000002</v>
      </c>
      <c r="J334">
        <f>VLOOKUP(B334, Products!$A$2:$E$100, 3, FALSE)</f>
        <v>9</v>
      </c>
      <c r="K334">
        <f>VLOOKUP(B334, Products!$A$2:$F$100, 4, FALSE)</f>
        <v>6</v>
      </c>
    </row>
    <row r="335" spans="1:11" x14ac:dyDescent="0.3">
      <c r="A335">
        <v>113</v>
      </c>
      <c r="B335">
        <v>5</v>
      </c>
      <c r="C335">
        <v>5</v>
      </c>
      <c r="D335" t="str">
        <f>VLOOKUP(B335, Products!$A$2:$C$100, 2, FALSE)</f>
        <v>Heller Shagamaw Frame - 2016</v>
      </c>
      <c r="E335">
        <v>2</v>
      </c>
      <c r="F335">
        <v>1320.99</v>
      </c>
      <c r="G335">
        <v>0.2</v>
      </c>
      <c r="H335">
        <v>264.19800000000004</v>
      </c>
      <c r="I335">
        <f>order_items[[#This Row],[list_price]]-order_items[[#This Row],[Discounted_price]]</f>
        <v>1056.7919999999999</v>
      </c>
      <c r="J335">
        <f>VLOOKUP(B335, Products!$A$2:$E$100, 3, FALSE)</f>
        <v>3</v>
      </c>
      <c r="K335">
        <f>VLOOKUP(B335, Products!$A$2:$F$100, 4, FALSE)</f>
        <v>6</v>
      </c>
    </row>
    <row r="336" spans="1:11" x14ac:dyDescent="0.3">
      <c r="A336">
        <v>114</v>
      </c>
      <c r="B336">
        <v>1</v>
      </c>
      <c r="C336">
        <v>12</v>
      </c>
      <c r="D336" t="str">
        <f>VLOOKUP(B336, Products!$A$2:$C$100, 2, FALSE)</f>
        <v>Trek 820 - 2016</v>
      </c>
      <c r="E336">
        <v>1</v>
      </c>
      <c r="F336">
        <v>549.99</v>
      </c>
      <c r="G336">
        <v>0.05</v>
      </c>
      <c r="H336">
        <v>27.499500000000001</v>
      </c>
      <c r="I336">
        <f>order_items[[#This Row],[list_price]]-order_items[[#This Row],[Discounted_price]]</f>
        <v>522.4905</v>
      </c>
      <c r="J336">
        <f>VLOOKUP(B336, Products!$A$2:$E$100, 3, FALSE)</f>
        <v>9</v>
      </c>
      <c r="K336">
        <f>VLOOKUP(B336, Products!$A$2:$F$100, 4, FALSE)</f>
        <v>6</v>
      </c>
    </row>
    <row r="337" spans="1:11" x14ac:dyDescent="0.3">
      <c r="A337">
        <v>114</v>
      </c>
      <c r="B337">
        <v>2</v>
      </c>
      <c r="C337">
        <v>2</v>
      </c>
      <c r="D337" t="str">
        <f>VLOOKUP(B337, Products!$A$2:$C$100, 2, FALSE)</f>
        <v>Ritchey Timberwolf Frameset - 2016</v>
      </c>
      <c r="E337">
        <v>1</v>
      </c>
      <c r="F337">
        <v>749.99</v>
      </c>
      <c r="G337">
        <v>7.0000000000000007E-2</v>
      </c>
      <c r="H337">
        <v>52.499300000000005</v>
      </c>
      <c r="I337">
        <f>order_items[[#This Row],[list_price]]-order_items[[#This Row],[Discounted_price]]</f>
        <v>697.49070000000006</v>
      </c>
      <c r="J337">
        <f>VLOOKUP(B337, Products!$A$2:$E$100, 3, FALSE)</f>
        <v>5</v>
      </c>
      <c r="K337">
        <f>VLOOKUP(B337, Products!$A$2:$F$100, 4, FALSE)</f>
        <v>6</v>
      </c>
    </row>
    <row r="338" spans="1:11" x14ac:dyDescent="0.3">
      <c r="A338">
        <v>114</v>
      </c>
      <c r="B338">
        <v>3</v>
      </c>
      <c r="C338">
        <v>13</v>
      </c>
      <c r="D338" t="str">
        <f>VLOOKUP(B338, Products!$A$2:$C$100, 2, FALSE)</f>
        <v>Surly Wednesday Frameset - 2016</v>
      </c>
      <c r="E338">
        <v>2</v>
      </c>
      <c r="F338">
        <v>269.99</v>
      </c>
      <c r="G338">
        <v>0.1</v>
      </c>
      <c r="H338">
        <v>26.999000000000002</v>
      </c>
      <c r="I338">
        <f>order_items[[#This Row],[list_price]]-order_items[[#This Row],[Discounted_price]]</f>
        <v>242.99100000000001</v>
      </c>
      <c r="J338">
        <f>VLOOKUP(B338, Products!$A$2:$E$100, 3, FALSE)</f>
        <v>8</v>
      </c>
      <c r="K338">
        <f>VLOOKUP(B338, Products!$A$2:$F$100, 4, FALSE)</f>
        <v>6</v>
      </c>
    </row>
    <row r="339" spans="1:11" x14ac:dyDescent="0.3">
      <c r="A339">
        <v>115</v>
      </c>
      <c r="B339">
        <v>1</v>
      </c>
      <c r="C339">
        <v>22</v>
      </c>
      <c r="D339" t="str">
        <f>VLOOKUP(B339, Products!$A$2:$C$100, 2, FALSE)</f>
        <v>Trek 820 - 2016</v>
      </c>
      <c r="E339">
        <v>1</v>
      </c>
      <c r="F339">
        <v>269.99</v>
      </c>
      <c r="G339">
        <v>0.2</v>
      </c>
      <c r="H339">
        <v>53.998000000000005</v>
      </c>
      <c r="I339">
        <f>order_items[[#This Row],[list_price]]-order_items[[#This Row],[Discounted_price]]</f>
        <v>215.99200000000002</v>
      </c>
      <c r="J339">
        <f>VLOOKUP(B339, Products!$A$2:$E$100, 3, FALSE)</f>
        <v>9</v>
      </c>
      <c r="K339">
        <f>VLOOKUP(B339, Products!$A$2:$F$100, 4, FALSE)</f>
        <v>6</v>
      </c>
    </row>
    <row r="340" spans="1:11" x14ac:dyDescent="0.3">
      <c r="A340">
        <v>115</v>
      </c>
      <c r="B340">
        <v>2</v>
      </c>
      <c r="C340">
        <v>19</v>
      </c>
      <c r="D340" t="str">
        <f>VLOOKUP(B340, Products!$A$2:$C$100, 2, FALSE)</f>
        <v>Ritchey Timberwolf Frameset - 2016</v>
      </c>
      <c r="E340">
        <v>1</v>
      </c>
      <c r="F340">
        <v>449</v>
      </c>
      <c r="G340">
        <v>0.1</v>
      </c>
      <c r="H340">
        <v>44.900000000000006</v>
      </c>
      <c r="I340">
        <f>order_items[[#This Row],[list_price]]-order_items[[#This Row],[Discounted_price]]</f>
        <v>404.1</v>
      </c>
      <c r="J340">
        <f>VLOOKUP(B340, Products!$A$2:$E$100, 3, FALSE)</f>
        <v>5</v>
      </c>
      <c r="K340">
        <f>VLOOKUP(B340, Products!$A$2:$F$100, 4, FALSE)</f>
        <v>6</v>
      </c>
    </row>
    <row r="341" spans="1:11" x14ac:dyDescent="0.3">
      <c r="A341">
        <v>116</v>
      </c>
      <c r="B341">
        <v>1</v>
      </c>
      <c r="C341">
        <v>26</v>
      </c>
      <c r="D341" t="str">
        <f>VLOOKUP(B341, Products!$A$2:$C$100, 2, FALSE)</f>
        <v>Trek 820 - 2016</v>
      </c>
      <c r="E341">
        <v>1</v>
      </c>
      <c r="F341">
        <v>599.99</v>
      </c>
      <c r="G341">
        <v>0.05</v>
      </c>
      <c r="H341">
        <v>29.999500000000001</v>
      </c>
      <c r="I341">
        <f>order_items[[#This Row],[list_price]]-order_items[[#This Row],[Discounted_price]]</f>
        <v>569.9905</v>
      </c>
      <c r="J341">
        <f>VLOOKUP(B341, Products!$A$2:$E$100, 3, FALSE)</f>
        <v>9</v>
      </c>
      <c r="K341">
        <f>VLOOKUP(B341, Products!$A$2:$F$100, 4, FALSE)</f>
        <v>6</v>
      </c>
    </row>
    <row r="342" spans="1:11" x14ac:dyDescent="0.3">
      <c r="A342">
        <v>117</v>
      </c>
      <c r="B342">
        <v>1</v>
      </c>
      <c r="C342">
        <v>22</v>
      </c>
      <c r="D342" t="str">
        <f>VLOOKUP(B342, Products!$A$2:$C$100, 2, FALSE)</f>
        <v>Trek 820 - 2016</v>
      </c>
      <c r="E342">
        <v>2</v>
      </c>
      <c r="F342">
        <v>269.99</v>
      </c>
      <c r="G342">
        <v>0.2</v>
      </c>
      <c r="H342">
        <v>53.998000000000005</v>
      </c>
      <c r="I342">
        <f>order_items[[#This Row],[list_price]]-order_items[[#This Row],[Discounted_price]]</f>
        <v>215.99200000000002</v>
      </c>
      <c r="J342">
        <f>VLOOKUP(B342, Products!$A$2:$E$100, 3, FALSE)</f>
        <v>9</v>
      </c>
      <c r="K342">
        <f>VLOOKUP(B342, Products!$A$2:$F$100, 4, FALSE)</f>
        <v>6</v>
      </c>
    </row>
    <row r="343" spans="1:11" x14ac:dyDescent="0.3">
      <c r="A343">
        <v>117</v>
      </c>
      <c r="B343">
        <v>2</v>
      </c>
      <c r="C343">
        <v>26</v>
      </c>
      <c r="D343" t="str">
        <f>VLOOKUP(B343, Products!$A$2:$C$100, 2, FALSE)</f>
        <v>Ritchey Timberwolf Frameset - 2016</v>
      </c>
      <c r="E343">
        <v>1</v>
      </c>
      <c r="F343">
        <v>599.99</v>
      </c>
      <c r="G343">
        <v>0.05</v>
      </c>
      <c r="H343">
        <v>29.999500000000001</v>
      </c>
      <c r="I343">
        <f>order_items[[#This Row],[list_price]]-order_items[[#This Row],[Discounted_price]]</f>
        <v>569.9905</v>
      </c>
      <c r="J343">
        <f>VLOOKUP(B343, Products!$A$2:$E$100, 3, FALSE)</f>
        <v>5</v>
      </c>
      <c r="K343">
        <f>VLOOKUP(B343, Products!$A$2:$F$100, 4, FALSE)</f>
        <v>6</v>
      </c>
    </row>
    <row r="344" spans="1:11" x14ac:dyDescent="0.3">
      <c r="A344">
        <v>117</v>
      </c>
      <c r="B344">
        <v>3</v>
      </c>
      <c r="C344">
        <v>14</v>
      </c>
      <c r="D344" t="str">
        <f>VLOOKUP(B344, Products!$A$2:$C$100, 2, FALSE)</f>
        <v>Surly Wednesday Frameset - 2016</v>
      </c>
      <c r="E344">
        <v>1</v>
      </c>
      <c r="F344">
        <v>269.99</v>
      </c>
      <c r="G344">
        <v>0.2</v>
      </c>
      <c r="H344">
        <v>53.998000000000005</v>
      </c>
      <c r="I344">
        <f>order_items[[#This Row],[list_price]]-order_items[[#This Row],[Discounted_price]]</f>
        <v>215.99200000000002</v>
      </c>
      <c r="J344">
        <f>VLOOKUP(B344, Products!$A$2:$E$100, 3, FALSE)</f>
        <v>8</v>
      </c>
      <c r="K344">
        <f>VLOOKUP(B344, Products!$A$2:$F$100, 4, FALSE)</f>
        <v>6</v>
      </c>
    </row>
    <row r="345" spans="1:11" x14ac:dyDescent="0.3">
      <c r="A345">
        <v>117</v>
      </c>
      <c r="B345">
        <v>4</v>
      </c>
      <c r="C345">
        <v>19</v>
      </c>
      <c r="D345" t="str">
        <f>VLOOKUP(B345, Products!$A$2:$C$100, 2, FALSE)</f>
        <v>Trek Fuel EX 8 29 - 2016</v>
      </c>
      <c r="E345">
        <v>1</v>
      </c>
      <c r="F345">
        <v>449</v>
      </c>
      <c r="G345">
        <v>0.05</v>
      </c>
      <c r="H345">
        <v>22.450000000000003</v>
      </c>
      <c r="I345">
        <f>order_items[[#This Row],[list_price]]-order_items[[#This Row],[Discounted_price]]</f>
        <v>426.55</v>
      </c>
      <c r="J345">
        <f>VLOOKUP(B345, Products!$A$2:$E$100, 3, FALSE)</f>
        <v>9</v>
      </c>
      <c r="K345">
        <f>VLOOKUP(B345, Products!$A$2:$F$100, 4, FALSE)</f>
        <v>6</v>
      </c>
    </row>
    <row r="346" spans="1:11" x14ac:dyDescent="0.3">
      <c r="A346">
        <v>118</v>
      </c>
      <c r="B346">
        <v>1</v>
      </c>
      <c r="C346">
        <v>18</v>
      </c>
      <c r="D346" t="str">
        <f>VLOOKUP(B346, Products!$A$2:$C$100, 2, FALSE)</f>
        <v>Trek 820 - 2016</v>
      </c>
      <c r="E346">
        <v>1</v>
      </c>
      <c r="F346">
        <v>449</v>
      </c>
      <c r="G346">
        <v>7.0000000000000007E-2</v>
      </c>
      <c r="H346">
        <v>31.430000000000003</v>
      </c>
      <c r="I346">
        <f>order_items[[#This Row],[list_price]]-order_items[[#This Row],[Discounted_price]]</f>
        <v>417.57</v>
      </c>
      <c r="J346">
        <f>VLOOKUP(B346, Products!$A$2:$E$100, 3, FALSE)</f>
        <v>9</v>
      </c>
      <c r="K346">
        <f>VLOOKUP(B346, Products!$A$2:$F$100, 4, FALSE)</f>
        <v>6</v>
      </c>
    </row>
    <row r="347" spans="1:11" x14ac:dyDescent="0.3">
      <c r="A347">
        <v>118</v>
      </c>
      <c r="B347">
        <v>2</v>
      </c>
      <c r="C347">
        <v>4</v>
      </c>
      <c r="D347" t="str">
        <f>VLOOKUP(B347, Products!$A$2:$C$100, 2, FALSE)</f>
        <v>Ritchey Timberwolf Frameset - 2016</v>
      </c>
      <c r="E347">
        <v>1</v>
      </c>
      <c r="F347">
        <v>2899.99</v>
      </c>
      <c r="G347">
        <v>7.0000000000000007E-2</v>
      </c>
      <c r="H347">
        <v>202.99930000000001</v>
      </c>
      <c r="I347">
        <f>order_items[[#This Row],[list_price]]-order_items[[#This Row],[Discounted_price]]</f>
        <v>2696.9906999999998</v>
      </c>
      <c r="J347">
        <f>VLOOKUP(B347, Products!$A$2:$E$100, 3, FALSE)</f>
        <v>5</v>
      </c>
      <c r="K347">
        <f>VLOOKUP(B347, Products!$A$2:$F$100, 4, FALSE)</f>
        <v>6</v>
      </c>
    </row>
    <row r="348" spans="1:11" x14ac:dyDescent="0.3">
      <c r="A348">
        <v>118</v>
      </c>
      <c r="B348">
        <v>3</v>
      </c>
      <c r="C348">
        <v>6</v>
      </c>
      <c r="D348" t="str">
        <f>VLOOKUP(B348, Products!$A$2:$C$100, 2, FALSE)</f>
        <v>Surly Wednesday Frameset - 2016</v>
      </c>
      <c r="E348">
        <v>1</v>
      </c>
      <c r="F348">
        <v>469.99</v>
      </c>
      <c r="G348">
        <v>7.0000000000000007E-2</v>
      </c>
      <c r="H348">
        <v>32.899300000000004</v>
      </c>
      <c r="I348">
        <f>order_items[[#This Row],[list_price]]-order_items[[#This Row],[Discounted_price]]</f>
        <v>437.09070000000003</v>
      </c>
      <c r="J348">
        <f>VLOOKUP(B348, Products!$A$2:$E$100, 3, FALSE)</f>
        <v>8</v>
      </c>
      <c r="K348">
        <f>VLOOKUP(B348, Products!$A$2:$F$100, 4, FALSE)</f>
        <v>6</v>
      </c>
    </row>
    <row r="349" spans="1:11" x14ac:dyDescent="0.3">
      <c r="A349">
        <v>118</v>
      </c>
      <c r="B349">
        <v>4</v>
      </c>
      <c r="C349">
        <v>3</v>
      </c>
      <c r="D349" t="str">
        <f>VLOOKUP(B349, Products!$A$2:$C$100, 2, FALSE)</f>
        <v>Trek Fuel EX 8 29 - 2016</v>
      </c>
      <c r="E349">
        <v>2</v>
      </c>
      <c r="F349">
        <v>999.99</v>
      </c>
      <c r="G349">
        <v>0.1</v>
      </c>
      <c r="H349">
        <v>99.999000000000009</v>
      </c>
      <c r="I349">
        <f>order_items[[#This Row],[list_price]]-order_items[[#This Row],[Discounted_price]]</f>
        <v>899.99099999999999</v>
      </c>
      <c r="J349">
        <f>VLOOKUP(B349, Products!$A$2:$E$100, 3, FALSE)</f>
        <v>9</v>
      </c>
      <c r="K349">
        <f>VLOOKUP(B349, Products!$A$2:$F$100, 4, FALSE)</f>
        <v>6</v>
      </c>
    </row>
    <row r="350" spans="1:11" x14ac:dyDescent="0.3">
      <c r="A350">
        <v>118</v>
      </c>
      <c r="B350">
        <v>5</v>
      </c>
      <c r="C350">
        <v>23</v>
      </c>
      <c r="D350" t="str">
        <f>VLOOKUP(B350, Products!$A$2:$C$100, 2, FALSE)</f>
        <v>Heller Shagamaw Frame - 2016</v>
      </c>
      <c r="E350">
        <v>2</v>
      </c>
      <c r="F350">
        <v>299.99</v>
      </c>
      <c r="G350">
        <v>7.0000000000000007E-2</v>
      </c>
      <c r="H350">
        <v>20.999300000000002</v>
      </c>
      <c r="I350">
        <f>order_items[[#This Row],[list_price]]-order_items[[#This Row],[Discounted_price]]</f>
        <v>278.9907</v>
      </c>
      <c r="J350">
        <f>VLOOKUP(B350, Products!$A$2:$E$100, 3, FALSE)</f>
        <v>3</v>
      </c>
      <c r="K350">
        <f>VLOOKUP(B350, Products!$A$2:$F$100, 4, FALSE)</f>
        <v>6</v>
      </c>
    </row>
    <row r="351" spans="1:11" x14ac:dyDescent="0.3">
      <c r="A351">
        <v>119</v>
      </c>
      <c r="B351">
        <v>1</v>
      </c>
      <c r="C351">
        <v>25</v>
      </c>
      <c r="D351" t="str">
        <f>VLOOKUP(B351, Products!$A$2:$C$100, 2, FALSE)</f>
        <v>Trek 820 - 2016</v>
      </c>
      <c r="E351">
        <v>1</v>
      </c>
      <c r="F351">
        <v>499.99</v>
      </c>
      <c r="G351">
        <v>0.05</v>
      </c>
      <c r="H351">
        <v>24.999500000000001</v>
      </c>
      <c r="I351">
        <f>order_items[[#This Row],[list_price]]-order_items[[#This Row],[Discounted_price]]</f>
        <v>474.9905</v>
      </c>
      <c r="J351">
        <f>VLOOKUP(B351, Products!$A$2:$E$100, 3, FALSE)</f>
        <v>9</v>
      </c>
      <c r="K351">
        <f>VLOOKUP(B351, Products!$A$2:$F$100, 4, FALSE)</f>
        <v>6</v>
      </c>
    </row>
    <row r="352" spans="1:11" x14ac:dyDescent="0.3">
      <c r="A352">
        <v>120</v>
      </c>
      <c r="B352">
        <v>1</v>
      </c>
      <c r="C352">
        <v>13</v>
      </c>
      <c r="D352" t="str">
        <f>VLOOKUP(B352, Products!$A$2:$C$100, 2, FALSE)</f>
        <v>Trek 820 - 2016</v>
      </c>
      <c r="E352">
        <v>2</v>
      </c>
      <c r="F352">
        <v>269.99</v>
      </c>
      <c r="G352">
        <v>0.05</v>
      </c>
      <c r="H352">
        <v>13.499500000000001</v>
      </c>
      <c r="I352">
        <f>order_items[[#This Row],[list_price]]-order_items[[#This Row],[Discounted_price]]</f>
        <v>256.4905</v>
      </c>
      <c r="J352">
        <f>VLOOKUP(B352, Products!$A$2:$E$100, 3, FALSE)</f>
        <v>9</v>
      </c>
      <c r="K352">
        <f>VLOOKUP(B352, Products!$A$2:$F$100, 4, FALSE)</f>
        <v>6</v>
      </c>
    </row>
    <row r="353" spans="1:11" x14ac:dyDescent="0.3">
      <c r="A353">
        <v>120</v>
      </c>
      <c r="B353">
        <v>2</v>
      </c>
      <c r="C353">
        <v>6</v>
      </c>
      <c r="D353" t="str">
        <f>VLOOKUP(B353, Products!$A$2:$C$100, 2, FALSE)</f>
        <v>Ritchey Timberwolf Frameset - 2016</v>
      </c>
      <c r="E353">
        <v>2</v>
      </c>
      <c r="F353">
        <v>469.99</v>
      </c>
      <c r="G353">
        <v>0.05</v>
      </c>
      <c r="H353">
        <v>23.499500000000001</v>
      </c>
      <c r="I353">
        <f>order_items[[#This Row],[list_price]]-order_items[[#This Row],[Discounted_price]]</f>
        <v>446.4905</v>
      </c>
      <c r="J353">
        <f>VLOOKUP(B353, Products!$A$2:$E$100, 3, FALSE)</f>
        <v>5</v>
      </c>
      <c r="K353">
        <f>VLOOKUP(B353, Products!$A$2:$F$100, 4, FALSE)</f>
        <v>6</v>
      </c>
    </row>
    <row r="354" spans="1:11" x14ac:dyDescent="0.3">
      <c r="A354">
        <v>120</v>
      </c>
      <c r="B354">
        <v>3</v>
      </c>
      <c r="C354">
        <v>10</v>
      </c>
      <c r="D354" t="str">
        <f>VLOOKUP(B354, Products!$A$2:$C$100, 2, FALSE)</f>
        <v>Surly Wednesday Frameset - 2016</v>
      </c>
      <c r="E354">
        <v>2</v>
      </c>
      <c r="F354">
        <v>1549</v>
      </c>
      <c r="G354">
        <v>0.05</v>
      </c>
      <c r="H354">
        <v>77.45</v>
      </c>
      <c r="I354">
        <f>order_items[[#This Row],[list_price]]-order_items[[#This Row],[Discounted_price]]</f>
        <v>1471.55</v>
      </c>
      <c r="J354">
        <f>VLOOKUP(B354, Products!$A$2:$E$100, 3, FALSE)</f>
        <v>8</v>
      </c>
      <c r="K354">
        <f>VLOOKUP(B354, Products!$A$2:$F$100, 4, FALSE)</f>
        <v>6</v>
      </c>
    </row>
    <row r="355" spans="1:11" x14ac:dyDescent="0.3">
      <c r="A355">
        <v>120</v>
      </c>
      <c r="B355">
        <v>4</v>
      </c>
      <c r="C355">
        <v>17</v>
      </c>
      <c r="D355" t="str">
        <f>VLOOKUP(B355, Products!$A$2:$C$100, 2, FALSE)</f>
        <v>Trek Fuel EX 8 29 - 2016</v>
      </c>
      <c r="E355">
        <v>1</v>
      </c>
      <c r="F355">
        <v>429</v>
      </c>
      <c r="G355">
        <v>0.05</v>
      </c>
      <c r="H355">
        <v>21.450000000000003</v>
      </c>
      <c r="I355">
        <f>order_items[[#This Row],[list_price]]-order_items[[#This Row],[Discounted_price]]</f>
        <v>407.55</v>
      </c>
      <c r="J355">
        <f>VLOOKUP(B355, Products!$A$2:$E$100, 3, FALSE)</f>
        <v>9</v>
      </c>
      <c r="K355">
        <f>VLOOKUP(B355, Products!$A$2:$F$100, 4, FALSE)</f>
        <v>6</v>
      </c>
    </row>
    <row r="356" spans="1:11" x14ac:dyDescent="0.3">
      <c r="A356">
        <v>120</v>
      </c>
      <c r="B356">
        <v>5</v>
      </c>
      <c r="C356">
        <v>16</v>
      </c>
      <c r="D356" t="str">
        <f>VLOOKUP(B356, Products!$A$2:$C$100, 2, FALSE)</f>
        <v>Heller Shagamaw Frame - 2016</v>
      </c>
      <c r="E356">
        <v>2</v>
      </c>
      <c r="F356">
        <v>599.99</v>
      </c>
      <c r="G356">
        <v>0.2</v>
      </c>
      <c r="H356">
        <v>119.998</v>
      </c>
      <c r="I356">
        <f>order_items[[#This Row],[list_price]]-order_items[[#This Row],[Discounted_price]]</f>
        <v>479.99200000000002</v>
      </c>
      <c r="J356">
        <f>VLOOKUP(B356, Products!$A$2:$E$100, 3, FALSE)</f>
        <v>3</v>
      </c>
      <c r="K356">
        <f>VLOOKUP(B356, Products!$A$2:$F$100, 4, FALSE)</f>
        <v>6</v>
      </c>
    </row>
    <row r="357" spans="1:11" x14ac:dyDescent="0.3">
      <c r="A357">
        <v>121</v>
      </c>
      <c r="B357">
        <v>1</v>
      </c>
      <c r="C357">
        <v>5</v>
      </c>
      <c r="D357" t="str">
        <f>VLOOKUP(B357, Products!$A$2:$C$100, 2, FALSE)</f>
        <v>Trek 820 - 2016</v>
      </c>
      <c r="E357">
        <v>1</v>
      </c>
      <c r="F357">
        <v>1320.99</v>
      </c>
      <c r="G357">
        <v>0.2</v>
      </c>
      <c r="H357">
        <v>264.19800000000004</v>
      </c>
      <c r="I357">
        <f>order_items[[#This Row],[list_price]]-order_items[[#This Row],[Discounted_price]]</f>
        <v>1056.7919999999999</v>
      </c>
      <c r="J357">
        <f>VLOOKUP(B357, Products!$A$2:$E$100, 3, FALSE)</f>
        <v>9</v>
      </c>
      <c r="K357">
        <f>VLOOKUP(B357, Products!$A$2:$F$100, 4, FALSE)</f>
        <v>6</v>
      </c>
    </row>
    <row r="358" spans="1:11" x14ac:dyDescent="0.3">
      <c r="A358">
        <v>121</v>
      </c>
      <c r="B358">
        <v>2</v>
      </c>
      <c r="C358">
        <v>14</v>
      </c>
      <c r="D358" t="str">
        <f>VLOOKUP(B358, Products!$A$2:$C$100, 2, FALSE)</f>
        <v>Ritchey Timberwolf Frameset - 2016</v>
      </c>
      <c r="E358">
        <v>2</v>
      </c>
      <c r="F358">
        <v>269.99</v>
      </c>
      <c r="G358">
        <v>0.1</v>
      </c>
      <c r="H358">
        <v>26.999000000000002</v>
      </c>
      <c r="I358">
        <f>order_items[[#This Row],[list_price]]-order_items[[#This Row],[Discounted_price]]</f>
        <v>242.99100000000001</v>
      </c>
      <c r="J358">
        <f>VLOOKUP(B358, Products!$A$2:$E$100, 3, FALSE)</f>
        <v>5</v>
      </c>
      <c r="K358">
        <f>VLOOKUP(B358, Products!$A$2:$F$100, 4, FALSE)</f>
        <v>6</v>
      </c>
    </row>
    <row r="359" spans="1:11" x14ac:dyDescent="0.3">
      <c r="A359">
        <v>121</v>
      </c>
      <c r="B359">
        <v>3</v>
      </c>
      <c r="C359">
        <v>4</v>
      </c>
      <c r="D359" t="str">
        <f>VLOOKUP(B359, Products!$A$2:$C$100, 2, FALSE)</f>
        <v>Surly Wednesday Frameset - 2016</v>
      </c>
      <c r="E359">
        <v>2</v>
      </c>
      <c r="F359">
        <v>2899.99</v>
      </c>
      <c r="G359">
        <v>0.1</v>
      </c>
      <c r="H359">
        <v>289.99899999999997</v>
      </c>
      <c r="I359">
        <f>order_items[[#This Row],[list_price]]-order_items[[#This Row],[Discounted_price]]</f>
        <v>2609.991</v>
      </c>
      <c r="J359">
        <f>VLOOKUP(B359, Products!$A$2:$E$100, 3, FALSE)</f>
        <v>8</v>
      </c>
      <c r="K359">
        <f>VLOOKUP(B359, Products!$A$2:$F$100, 4, FALSE)</f>
        <v>6</v>
      </c>
    </row>
    <row r="360" spans="1:11" x14ac:dyDescent="0.3">
      <c r="A360">
        <v>121</v>
      </c>
      <c r="B360">
        <v>4</v>
      </c>
      <c r="C360">
        <v>24</v>
      </c>
      <c r="D360" t="str">
        <f>VLOOKUP(B360, Products!$A$2:$C$100, 2, FALSE)</f>
        <v>Trek Fuel EX 8 29 - 2016</v>
      </c>
      <c r="E360">
        <v>2</v>
      </c>
      <c r="F360">
        <v>549.99</v>
      </c>
      <c r="G360">
        <v>7.0000000000000007E-2</v>
      </c>
      <c r="H360">
        <v>38.499300000000005</v>
      </c>
      <c r="I360">
        <f>order_items[[#This Row],[list_price]]-order_items[[#This Row],[Discounted_price]]</f>
        <v>511.4907</v>
      </c>
      <c r="J360">
        <f>VLOOKUP(B360, Products!$A$2:$E$100, 3, FALSE)</f>
        <v>9</v>
      </c>
      <c r="K360">
        <f>VLOOKUP(B360, Products!$A$2:$F$100, 4, FALSE)</f>
        <v>6</v>
      </c>
    </row>
    <row r="361" spans="1:11" x14ac:dyDescent="0.3">
      <c r="A361">
        <v>121</v>
      </c>
      <c r="B361">
        <v>5</v>
      </c>
      <c r="C361">
        <v>2</v>
      </c>
      <c r="D361" t="str">
        <f>VLOOKUP(B361, Products!$A$2:$C$100, 2, FALSE)</f>
        <v>Heller Shagamaw Frame - 2016</v>
      </c>
      <c r="E361">
        <v>2</v>
      </c>
      <c r="F361">
        <v>749.99</v>
      </c>
      <c r="G361">
        <v>0.05</v>
      </c>
      <c r="H361">
        <v>37.499500000000005</v>
      </c>
      <c r="I361">
        <f>order_items[[#This Row],[list_price]]-order_items[[#This Row],[Discounted_price]]</f>
        <v>712.4905</v>
      </c>
      <c r="J361">
        <f>VLOOKUP(B361, Products!$A$2:$E$100, 3, FALSE)</f>
        <v>3</v>
      </c>
      <c r="K361">
        <f>VLOOKUP(B361, Products!$A$2:$F$100, 4, FALSE)</f>
        <v>6</v>
      </c>
    </row>
    <row r="362" spans="1:11" x14ac:dyDescent="0.3">
      <c r="A362">
        <v>122</v>
      </c>
      <c r="B362">
        <v>1</v>
      </c>
      <c r="C362">
        <v>16</v>
      </c>
      <c r="D362" t="str">
        <f>VLOOKUP(B362, Products!$A$2:$C$100, 2, FALSE)</f>
        <v>Trek 820 - 2016</v>
      </c>
      <c r="E362">
        <v>1</v>
      </c>
      <c r="F362">
        <v>599.99</v>
      </c>
      <c r="G362">
        <v>0.1</v>
      </c>
      <c r="H362">
        <v>59.999000000000002</v>
      </c>
      <c r="I362">
        <f>order_items[[#This Row],[list_price]]-order_items[[#This Row],[Discounted_price]]</f>
        <v>539.99099999999999</v>
      </c>
      <c r="J362">
        <f>VLOOKUP(B362, Products!$A$2:$E$100, 3, FALSE)</f>
        <v>9</v>
      </c>
      <c r="K362">
        <f>VLOOKUP(B362, Products!$A$2:$F$100, 4, FALSE)</f>
        <v>6</v>
      </c>
    </row>
    <row r="363" spans="1:11" x14ac:dyDescent="0.3">
      <c r="A363">
        <v>123</v>
      </c>
      <c r="B363">
        <v>1</v>
      </c>
      <c r="C363">
        <v>12</v>
      </c>
      <c r="D363" t="str">
        <f>VLOOKUP(B363, Products!$A$2:$C$100, 2, FALSE)</f>
        <v>Trek 820 - 2016</v>
      </c>
      <c r="E363">
        <v>2</v>
      </c>
      <c r="F363">
        <v>549.99</v>
      </c>
      <c r="G363">
        <v>0.1</v>
      </c>
      <c r="H363">
        <v>54.999000000000002</v>
      </c>
      <c r="I363">
        <f>order_items[[#This Row],[list_price]]-order_items[[#This Row],[Discounted_price]]</f>
        <v>494.99099999999999</v>
      </c>
      <c r="J363">
        <f>VLOOKUP(B363, Products!$A$2:$E$100, 3, FALSE)</f>
        <v>9</v>
      </c>
      <c r="K363">
        <f>VLOOKUP(B363, Products!$A$2:$F$100, 4, FALSE)</f>
        <v>6</v>
      </c>
    </row>
    <row r="364" spans="1:11" x14ac:dyDescent="0.3">
      <c r="A364">
        <v>124</v>
      </c>
      <c r="B364">
        <v>1</v>
      </c>
      <c r="C364">
        <v>16</v>
      </c>
      <c r="D364" t="str">
        <f>VLOOKUP(B364, Products!$A$2:$C$100, 2, FALSE)</f>
        <v>Trek 820 - 2016</v>
      </c>
      <c r="E364">
        <v>1</v>
      </c>
      <c r="F364">
        <v>599.99</v>
      </c>
      <c r="G364">
        <v>0.05</v>
      </c>
      <c r="H364">
        <v>29.999500000000001</v>
      </c>
      <c r="I364">
        <f>order_items[[#This Row],[list_price]]-order_items[[#This Row],[Discounted_price]]</f>
        <v>569.9905</v>
      </c>
      <c r="J364">
        <f>VLOOKUP(B364, Products!$A$2:$E$100, 3, FALSE)</f>
        <v>9</v>
      </c>
      <c r="K364">
        <f>VLOOKUP(B364, Products!$A$2:$F$100, 4, FALSE)</f>
        <v>6</v>
      </c>
    </row>
    <row r="365" spans="1:11" x14ac:dyDescent="0.3">
      <c r="A365">
        <v>124</v>
      </c>
      <c r="B365">
        <v>2</v>
      </c>
      <c r="C365">
        <v>4</v>
      </c>
      <c r="D365" t="str">
        <f>VLOOKUP(B365, Products!$A$2:$C$100, 2, FALSE)</f>
        <v>Ritchey Timberwolf Frameset - 2016</v>
      </c>
      <c r="E365">
        <v>1</v>
      </c>
      <c r="F365">
        <v>2899.99</v>
      </c>
      <c r="G365">
        <v>7.0000000000000007E-2</v>
      </c>
      <c r="H365">
        <v>202.99930000000001</v>
      </c>
      <c r="I365">
        <f>order_items[[#This Row],[list_price]]-order_items[[#This Row],[Discounted_price]]</f>
        <v>2696.9906999999998</v>
      </c>
      <c r="J365">
        <f>VLOOKUP(B365, Products!$A$2:$E$100, 3, FALSE)</f>
        <v>5</v>
      </c>
      <c r="K365">
        <f>VLOOKUP(B365, Products!$A$2:$F$100, 4, FALSE)</f>
        <v>6</v>
      </c>
    </row>
    <row r="366" spans="1:11" x14ac:dyDescent="0.3">
      <c r="A366">
        <v>124</v>
      </c>
      <c r="B366">
        <v>3</v>
      </c>
      <c r="C366">
        <v>7</v>
      </c>
      <c r="D366" t="str">
        <f>VLOOKUP(B366, Products!$A$2:$C$100, 2, FALSE)</f>
        <v>Surly Wednesday Frameset - 2016</v>
      </c>
      <c r="E366">
        <v>2</v>
      </c>
      <c r="F366">
        <v>3999.99</v>
      </c>
      <c r="G366">
        <v>0.05</v>
      </c>
      <c r="H366">
        <v>199.99950000000001</v>
      </c>
      <c r="I366">
        <f>order_items[[#This Row],[list_price]]-order_items[[#This Row],[Discounted_price]]</f>
        <v>3799.9904999999999</v>
      </c>
      <c r="J366">
        <f>VLOOKUP(B366, Products!$A$2:$E$100, 3, FALSE)</f>
        <v>8</v>
      </c>
      <c r="K366">
        <f>VLOOKUP(B366, Products!$A$2:$F$100, 4, FALSE)</f>
        <v>6</v>
      </c>
    </row>
    <row r="367" spans="1:11" x14ac:dyDescent="0.3">
      <c r="A367">
        <v>125</v>
      </c>
      <c r="B367">
        <v>1</v>
      </c>
      <c r="C367">
        <v>17</v>
      </c>
      <c r="D367" t="str">
        <f>VLOOKUP(B367, Products!$A$2:$C$100, 2, FALSE)</f>
        <v>Trek 820 - 2016</v>
      </c>
      <c r="E367">
        <v>1</v>
      </c>
      <c r="F367">
        <v>429</v>
      </c>
      <c r="G367">
        <v>0.1</v>
      </c>
      <c r="H367">
        <v>42.900000000000006</v>
      </c>
      <c r="I367">
        <f>order_items[[#This Row],[list_price]]-order_items[[#This Row],[Discounted_price]]</f>
        <v>386.1</v>
      </c>
      <c r="J367">
        <f>VLOOKUP(B367, Products!$A$2:$E$100, 3, FALSE)</f>
        <v>9</v>
      </c>
      <c r="K367">
        <f>VLOOKUP(B367, Products!$A$2:$F$100, 4, FALSE)</f>
        <v>6</v>
      </c>
    </row>
    <row r="368" spans="1:11" x14ac:dyDescent="0.3">
      <c r="A368">
        <v>126</v>
      </c>
      <c r="B368">
        <v>1</v>
      </c>
      <c r="C368">
        <v>9</v>
      </c>
      <c r="D368" t="str">
        <f>VLOOKUP(B368, Products!$A$2:$C$100, 2, FALSE)</f>
        <v>Trek 820 - 2016</v>
      </c>
      <c r="E368">
        <v>2</v>
      </c>
      <c r="F368">
        <v>2999.99</v>
      </c>
      <c r="G368">
        <v>0.05</v>
      </c>
      <c r="H368">
        <v>149.99949999999998</v>
      </c>
      <c r="I368">
        <f>order_items[[#This Row],[list_price]]-order_items[[#This Row],[Discounted_price]]</f>
        <v>2849.9904999999999</v>
      </c>
      <c r="J368">
        <f>VLOOKUP(B368, Products!$A$2:$E$100, 3, FALSE)</f>
        <v>9</v>
      </c>
      <c r="K368">
        <f>VLOOKUP(B368, Products!$A$2:$F$100, 4, FALSE)</f>
        <v>6</v>
      </c>
    </row>
    <row r="369" spans="1:11" x14ac:dyDescent="0.3">
      <c r="A369">
        <v>127</v>
      </c>
      <c r="B369">
        <v>1</v>
      </c>
      <c r="C369">
        <v>17</v>
      </c>
      <c r="D369" t="str">
        <f>VLOOKUP(B369, Products!$A$2:$C$100, 2, FALSE)</f>
        <v>Trek 820 - 2016</v>
      </c>
      <c r="E369">
        <v>1</v>
      </c>
      <c r="F369">
        <v>429</v>
      </c>
      <c r="G369">
        <v>7.0000000000000007E-2</v>
      </c>
      <c r="H369">
        <v>30.03</v>
      </c>
      <c r="I369">
        <f>order_items[[#This Row],[list_price]]-order_items[[#This Row],[Discounted_price]]</f>
        <v>398.97</v>
      </c>
      <c r="J369">
        <f>VLOOKUP(B369, Products!$A$2:$E$100, 3, FALSE)</f>
        <v>9</v>
      </c>
      <c r="K369">
        <f>VLOOKUP(B369, Products!$A$2:$F$100, 4, FALSE)</f>
        <v>6</v>
      </c>
    </row>
    <row r="370" spans="1:11" x14ac:dyDescent="0.3">
      <c r="A370">
        <v>127</v>
      </c>
      <c r="B370">
        <v>2</v>
      </c>
      <c r="C370">
        <v>20</v>
      </c>
      <c r="D370" t="str">
        <f>VLOOKUP(B370, Products!$A$2:$C$100, 2, FALSE)</f>
        <v>Ritchey Timberwolf Frameset - 2016</v>
      </c>
      <c r="E370">
        <v>1</v>
      </c>
      <c r="F370">
        <v>599.99</v>
      </c>
      <c r="G370">
        <v>0.1</v>
      </c>
      <c r="H370">
        <v>59.999000000000002</v>
      </c>
      <c r="I370">
        <f>order_items[[#This Row],[list_price]]-order_items[[#This Row],[Discounted_price]]</f>
        <v>539.99099999999999</v>
      </c>
      <c r="J370">
        <f>VLOOKUP(B370, Products!$A$2:$E$100, 3, FALSE)</f>
        <v>5</v>
      </c>
      <c r="K370">
        <f>VLOOKUP(B370, Products!$A$2:$F$100, 4, FALSE)</f>
        <v>6</v>
      </c>
    </row>
    <row r="371" spans="1:11" x14ac:dyDescent="0.3">
      <c r="A371">
        <v>127</v>
      </c>
      <c r="B371">
        <v>3</v>
      </c>
      <c r="C371">
        <v>4</v>
      </c>
      <c r="D371" t="str">
        <f>VLOOKUP(B371, Products!$A$2:$C$100, 2, FALSE)</f>
        <v>Surly Wednesday Frameset - 2016</v>
      </c>
      <c r="E371">
        <v>2</v>
      </c>
      <c r="F371">
        <v>2899.99</v>
      </c>
      <c r="G371">
        <v>7.0000000000000007E-2</v>
      </c>
      <c r="H371">
        <v>202.99930000000001</v>
      </c>
      <c r="I371">
        <f>order_items[[#This Row],[list_price]]-order_items[[#This Row],[Discounted_price]]</f>
        <v>2696.9906999999998</v>
      </c>
      <c r="J371">
        <f>VLOOKUP(B371, Products!$A$2:$E$100, 3, FALSE)</f>
        <v>8</v>
      </c>
      <c r="K371">
        <f>VLOOKUP(B371, Products!$A$2:$F$100, 4, FALSE)</f>
        <v>6</v>
      </c>
    </row>
    <row r="372" spans="1:11" x14ac:dyDescent="0.3">
      <c r="A372">
        <v>128</v>
      </c>
      <c r="B372">
        <v>1</v>
      </c>
      <c r="C372">
        <v>24</v>
      </c>
      <c r="D372" t="str">
        <f>VLOOKUP(B372, Products!$A$2:$C$100, 2, FALSE)</f>
        <v>Trek 820 - 2016</v>
      </c>
      <c r="E372">
        <v>2</v>
      </c>
      <c r="F372">
        <v>549.99</v>
      </c>
      <c r="G372">
        <v>0.1</v>
      </c>
      <c r="H372">
        <v>54.999000000000002</v>
      </c>
      <c r="I372">
        <f>order_items[[#This Row],[list_price]]-order_items[[#This Row],[Discounted_price]]</f>
        <v>494.99099999999999</v>
      </c>
      <c r="J372">
        <f>VLOOKUP(B372, Products!$A$2:$E$100, 3, FALSE)</f>
        <v>9</v>
      </c>
      <c r="K372">
        <f>VLOOKUP(B372, Products!$A$2:$F$100, 4, FALSE)</f>
        <v>6</v>
      </c>
    </row>
    <row r="373" spans="1:11" x14ac:dyDescent="0.3">
      <c r="A373">
        <v>128</v>
      </c>
      <c r="B373">
        <v>2</v>
      </c>
      <c r="C373">
        <v>16</v>
      </c>
      <c r="D373" t="str">
        <f>VLOOKUP(B373, Products!$A$2:$C$100, 2, FALSE)</f>
        <v>Ritchey Timberwolf Frameset - 2016</v>
      </c>
      <c r="E373">
        <v>2</v>
      </c>
      <c r="F373">
        <v>599.99</v>
      </c>
      <c r="G373">
        <v>0.1</v>
      </c>
      <c r="H373">
        <v>59.999000000000002</v>
      </c>
      <c r="I373">
        <f>order_items[[#This Row],[list_price]]-order_items[[#This Row],[Discounted_price]]</f>
        <v>539.99099999999999</v>
      </c>
      <c r="J373">
        <f>VLOOKUP(B373, Products!$A$2:$E$100, 3, FALSE)</f>
        <v>5</v>
      </c>
      <c r="K373">
        <f>VLOOKUP(B373, Products!$A$2:$F$100, 4, FALSE)</f>
        <v>6</v>
      </c>
    </row>
    <row r="374" spans="1:11" x14ac:dyDescent="0.3">
      <c r="A374">
        <v>128</v>
      </c>
      <c r="B374">
        <v>3</v>
      </c>
      <c r="C374">
        <v>4</v>
      </c>
      <c r="D374" t="str">
        <f>VLOOKUP(B374, Products!$A$2:$C$100, 2, FALSE)</f>
        <v>Surly Wednesday Frameset - 2016</v>
      </c>
      <c r="E374">
        <v>2</v>
      </c>
      <c r="F374">
        <v>2899.99</v>
      </c>
      <c r="G374">
        <v>0.2</v>
      </c>
      <c r="H374">
        <v>579.99799999999993</v>
      </c>
      <c r="I374">
        <f>order_items[[#This Row],[list_price]]-order_items[[#This Row],[Discounted_price]]</f>
        <v>2319.9919999999997</v>
      </c>
      <c r="J374">
        <f>VLOOKUP(B374, Products!$A$2:$E$100, 3, FALSE)</f>
        <v>8</v>
      </c>
      <c r="K374">
        <f>VLOOKUP(B374, Products!$A$2:$F$100, 4, FALSE)</f>
        <v>6</v>
      </c>
    </row>
    <row r="375" spans="1:11" x14ac:dyDescent="0.3">
      <c r="A375">
        <v>128</v>
      </c>
      <c r="B375">
        <v>4</v>
      </c>
      <c r="C375">
        <v>3</v>
      </c>
      <c r="D375" t="str">
        <f>VLOOKUP(B375, Products!$A$2:$C$100, 2, FALSE)</f>
        <v>Trek Fuel EX 8 29 - 2016</v>
      </c>
      <c r="E375">
        <v>2</v>
      </c>
      <c r="F375">
        <v>999.99</v>
      </c>
      <c r="G375">
        <v>0.2</v>
      </c>
      <c r="H375">
        <v>199.99800000000002</v>
      </c>
      <c r="I375">
        <f>order_items[[#This Row],[list_price]]-order_items[[#This Row],[Discounted_price]]</f>
        <v>799.99199999999996</v>
      </c>
      <c r="J375">
        <f>VLOOKUP(B375, Products!$A$2:$E$100, 3, FALSE)</f>
        <v>9</v>
      </c>
      <c r="K375">
        <f>VLOOKUP(B375, Products!$A$2:$F$100, 4, FALSE)</f>
        <v>6</v>
      </c>
    </row>
    <row r="376" spans="1:11" x14ac:dyDescent="0.3">
      <c r="A376">
        <v>129</v>
      </c>
      <c r="B376">
        <v>1</v>
      </c>
      <c r="C376">
        <v>18</v>
      </c>
      <c r="D376" t="str">
        <f>VLOOKUP(B376, Products!$A$2:$C$100, 2, FALSE)</f>
        <v>Trek 820 - 2016</v>
      </c>
      <c r="E376">
        <v>1</v>
      </c>
      <c r="F376">
        <v>449</v>
      </c>
      <c r="G376">
        <v>0.1</v>
      </c>
      <c r="H376">
        <v>44.900000000000006</v>
      </c>
      <c r="I376">
        <f>order_items[[#This Row],[list_price]]-order_items[[#This Row],[Discounted_price]]</f>
        <v>404.1</v>
      </c>
      <c r="J376">
        <f>VLOOKUP(B376, Products!$A$2:$E$100, 3, FALSE)</f>
        <v>9</v>
      </c>
      <c r="K376">
        <f>VLOOKUP(B376, Products!$A$2:$F$100, 4, FALSE)</f>
        <v>6</v>
      </c>
    </row>
    <row r="377" spans="1:11" x14ac:dyDescent="0.3">
      <c r="A377">
        <v>129</v>
      </c>
      <c r="B377">
        <v>2</v>
      </c>
      <c r="C377">
        <v>9</v>
      </c>
      <c r="D377" t="str">
        <f>VLOOKUP(B377, Products!$A$2:$C$100, 2, FALSE)</f>
        <v>Ritchey Timberwolf Frameset - 2016</v>
      </c>
      <c r="E377">
        <v>1</v>
      </c>
      <c r="F377">
        <v>2999.99</v>
      </c>
      <c r="G377">
        <v>0.1</v>
      </c>
      <c r="H377">
        <v>299.99899999999997</v>
      </c>
      <c r="I377">
        <f>order_items[[#This Row],[list_price]]-order_items[[#This Row],[Discounted_price]]</f>
        <v>2699.991</v>
      </c>
      <c r="J377">
        <f>VLOOKUP(B377, Products!$A$2:$E$100, 3, FALSE)</f>
        <v>5</v>
      </c>
      <c r="K377">
        <f>VLOOKUP(B377, Products!$A$2:$F$100, 4, FALSE)</f>
        <v>6</v>
      </c>
    </row>
    <row r="378" spans="1:11" x14ac:dyDescent="0.3">
      <c r="A378">
        <v>130</v>
      </c>
      <c r="B378">
        <v>1</v>
      </c>
      <c r="C378">
        <v>26</v>
      </c>
      <c r="D378" t="str">
        <f>VLOOKUP(B378, Products!$A$2:$C$100, 2, FALSE)</f>
        <v>Trek 820 - 2016</v>
      </c>
      <c r="E378">
        <v>1</v>
      </c>
      <c r="F378">
        <v>599.99</v>
      </c>
      <c r="G378">
        <v>0.05</v>
      </c>
      <c r="H378">
        <v>29.999500000000001</v>
      </c>
      <c r="I378">
        <f>order_items[[#This Row],[list_price]]-order_items[[#This Row],[Discounted_price]]</f>
        <v>569.9905</v>
      </c>
      <c r="J378">
        <f>VLOOKUP(B378, Products!$A$2:$E$100, 3, FALSE)</f>
        <v>9</v>
      </c>
      <c r="K378">
        <f>VLOOKUP(B378, Products!$A$2:$F$100, 4, FALSE)</f>
        <v>6</v>
      </c>
    </row>
    <row r="379" spans="1:11" x14ac:dyDescent="0.3">
      <c r="A379">
        <v>130</v>
      </c>
      <c r="B379">
        <v>2</v>
      </c>
      <c r="C379">
        <v>5</v>
      </c>
      <c r="D379" t="str">
        <f>VLOOKUP(B379, Products!$A$2:$C$100, 2, FALSE)</f>
        <v>Ritchey Timberwolf Frameset - 2016</v>
      </c>
      <c r="E379">
        <v>2</v>
      </c>
      <c r="F379">
        <v>1320.99</v>
      </c>
      <c r="G379">
        <v>7.0000000000000007E-2</v>
      </c>
      <c r="H379">
        <v>92.469300000000004</v>
      </c>
      <c r="I379">
        <f>order_items[[#This Row],[list_price]]-order_items[[#This Row],[Discounted_price]]</f>
        <v>1228.5207</v>
      </c>
      <c r="J379">
        <f>VLOOKUP(B379, Products!$A$2:$E$100, 3, FALSE)</f>
        <v>5</v>
      </c>
      <c r="K379">
        <f>VLOOKUP(B379, Products!$A$2:$F$100, 4, FALSE)</f>
        <v>6</v>
      </c>
    </row>
    <row r="380" spans="1:11" x14ac:dyDescent="0.3">
      <c r="A380">
        <v>131</v>
      </c>
      <c r="B380">
        <v>1</v>
      </c>
      <c r="C380">
        <v>22</v>
      </c>
      <c r="D380" t="str">
        <f>VLOOKUP(B380, Products!$A$2:$C$100, 2, FALSE)</f>
        <v>Trek 820 - 2016</v>
      </c>
      <c r="E380">
        <v>2</v>
      </c>
      <c r="F380">
        <v>269.99</v>
      </c>
      <c r="G380">
        <v>0.2</v>
      </c>
      <c r="H380">
        <v>53.998000000000005</v>
      </c>
      <c r="I380">
        <f>order_items[[#This Row],[list_price]]-order_items[[#This Row],[Discounted_price]]</f>
        <v>215.99200000000002</v>
      </c>
      <c r="J380">
        <f>VLOOKUP(B380, Products!$A$2:$E$100, 3, FALSE)</f>
        <v>9</v>
      </c>
      <c r="K380">
        <f>VLOOKUP(B380, Products!$A$2:$F$100, 4, FALSE)</f>
        <v>6</v>
      </c>
    </row>
    <row r="381" spans="1:11" x14ac:dyDescent="0.3">
      <c r="A381">
        <v>131</v>
      </c>
      <c r="B381">
        <v>2</v>
      </c>
      <c r="C381">
        <v>4</v>
      </c>
      <c r="D381" t="str">
        <f>VLOOKUP(B381, Products!$A$2:$C$100, 2, FALSE)</f>
        <v>Ritchey Timberwolf Frameset - 2016</v>
      </c>
      <c r="E381">
        <v>2</v>
      </c>
      <c r="F381">
        <v>2899.99</v>
      </c>
      <c r="G381">
        <v>7.0000000000000007E-2</v>
      </c>
      <c r="H381">
        <v>202.99930000000001</v>
      </c>
      <c r="I381">
        <f>order_items[[#This Row],[list_price]]-order_items[[#This Row],[Discounted_price]]</f>
        <v>2696.9906999999998</v>
      </c>
      <c r="J381">
        <f>VLOOKUP(B381, Products!$A$2:$E$100, 3, FALSE)</f>
        <v>5</v>
      </c>
      <c r="K381">
        <f>VLOOKUP(B381, Products!$A$2:$F$100, 4, FALSE)</f>
        <v>6</v>
      </c>
    </row>
    <row r="382" spans="1:11" x14ac:dyDescent="0.3">
      <c r="A382">
        <v>131</v>
      </c>
      <c r="B382">
        <v>3</v>
      </c>
      <c r="C382">
        <v>24</v>
      </c>
      <c r="D382" t="str">
        <f>VLOOKUP(B382, Products!$A$2:$C$100, 2, FALSE)</f>
        <v>Surly Wednesday Frameset - 2016</v>
      </c>
      <c r="E382">
        <v>2</v>
      </c>
      <c r="F382">
        <v>549.99</v>
      </c>
      <c r="G382">
        <v>0.1</v>
      </c>
      <c r="H382">
        <v>54.999000000000002</v>
      </c>
      <c r="I382">
        <f>order_items[[#This Row],[list_price]]-order_items[[#This Row],[Discounted_price]]</f>
        <v>494.99099999999999</v>
      </c>
      <c r="J382">
        <f>VLOOKUP(B382, Products!$A$2:$E$100, 3, FALSE)</f>
        <v>8</v>
      </c>
      <c r="K382">
        <f>VLOOKUP(B382, Products!$A$2:$F$100, 4, FALSE)</f>
        <v>6</v>
      </c>
    </row>
    <row r="383" spans="1:11" x14ac:dyDescent="0.3">
      <c r="A383">
        <v>132</v>
      </c>
      <c r="B383">
        <v>1</v>
      </c>
      <c r="C383">
        <v>2</v>
      </c>
      <c r="D383" t="str">
        <f>VLOOKUP(B383, Products!$A$2:$C$100, 2, FALSE)</f>
        <v>Trek 820 - 2016</v>
      </c>
      <c r="E383">
        <v>2</v>
      </c>
      <c r="F383">
        <v>749.99</v>
      </c>
      <c r="G383">
        <v>0.05</v>
      </c>
      <c r="H383">
        <v>37.499500000000005</v>
      </c>
      <c r="I383">
        <f>order_items[[#This Row],[list_price]]-order_items[[#This Row],[Discounted_price]]</f>
        <v>712.4905</v>
      </c>
      <c r="J383">
        <f>VLOOKUP(B383, Products!$A$2:$E$100, 3, FALSE)</f>
        <v>9</v>
      </c>
      <c r="K383">
        <f>VLOOKUP(B383, Products!$A$2:$F$100, 4, FALSE)</f>
        <v>6</v>
      </c>
    </row>
    <row r="384" spans="1:11" x14ac:dyDescent="0.3">
      <c r="A384">
        <v>132</v>
      </c>
      <c r="B384">
        <v>2</v>
      </c>
      <c r="C384">
        <v>20</v>
      </c>
      <c r="D384" t="str">
        <f>VLOOKUP(B384, Products!$A$2:$C$100, 2, FALSE)</f>
        <v>Ritchey Timberwolf Frameset - 2016</v>
      </c>
      <c r="E384">
        <v>1</v>
      </c>
      <c r="F384">
        <v>599.99</v>
      </c>
      <c r="G384">
        <v>0.05</v>
      </c>
      <c r="H384">
        <v>29.999500000000001</v>
      </c>
      <c r="I384">
        <f>order_items[[#This Row],[list_price]]-order_items[[#This Row],[Discounted_price]]</f>
        <v>569.9905</v>
      </c>
      <c r="J384">
        <f>VLOOKUP(B384, Products!$A$2:$E$100, 3, FALSE)</f>
        <v>5</v>
      </c>
      <c r="K384">
        <f>VLOOKUP(B384, Products!$A$2:$F$100, 4, FALSE)</f>
        <v>6</v>
      </c>
    </row>
    <row r="385" spans="1:11" x14ac:dyDescent="0.3">
      <c r="A385">
        <v>132</v>
      </c>
      <c r="B385">
        <v>3</v>
      </c>
      <c r="C385">
        <v>9</v>
      </c>
      <c r="D385" t="str">
        <f>VLOOKUP(B385, Products!$A$2:$C$100, 2, FALSE)</f>
        <v>Surly Wednesday Frameset - 2016</v>
      </c>
      <c r="E385">
        <v>1</v>
      </c>
      <c r="F385">
        <v>2999.99</v>
      </c>
      <c r="G385">
        <v>0.1</v>
      </c>
      <c r="H385">
        <v>299.99899999999997</v>
      </c>
      <c r="I385">
        <f>order_items[[#This Row],[list_price]]-order_items[[#This Row],[Discounted_price]]</f>
        <v>2699.991</v>
      </c>
      <c r="J385">
        <f>VLOOKUP(B385, Products!$A$2:$E$100, 3, FALSE)</f>
        <v>8</v>
      </c>
      <c r="K385">
        <f>VLOOKUP(B385, Products!$A$2:$F$100, 4, FALSE)</f>
        <v>6</v>
      </c>
    </row>
    <row r="386" spans="1:11" x14ac:dyDescent="0.3">
      <c r="A386">
        <v>133</v>
      </c>
      <c r="B386">
        <v>1</v>
      </c>
      <c r="C386">
        <v>13</v>
      </c>
      <c r="D386" t="str">
        <f>VLOOKUP(B386, Products!$A$2:$C$100, 2, FALSE)</f>
        <v>Trek 820 - 2016</v>
      </c>
      <c r="E386">
        <v>2</v>
      </c>
      <c r="F386">
        <v>269.99</v>
      </c>
      <c r="G386">
        <v>0.05</v>
      </c>
      <c r="H386">
        <v>13.499500000000001</v>
      </c>
      <c r="I386">
        <f>order_items[[#This Row],[list_price]]-order_items[[#This Row],[Discounted_price]]</f>
        <v>256.4905</v>
      </c>
      <c r="J386">
        <f>VLOOKUP(B386, Products!$A$2:$E$100, 3, FALSE)</f>
        <v>9</v>
      </c>
      <c r="K386">
        <f>VLOOKUP(B386, Products!$A$2:$F$100, 4, FALSE)</f>
        <v>6</v>
      </c>
    </row>
    <row r="387" spans="1:11" x14ac:dyDescent="0.3">
      <c r="A387">
        <v>133</v>
      </c>
      <c r="B387">
        <v>2</v>
      </c>
      <c r="C387">
        <v>22</v>
      </c>
      <c r="D387" t="str">
        <f>VLOOKUP(B387, Products!$A$2:$C$100, 2, FALSE)</f>
        <v>Ritchey Timberwolf Frameset - 2016</v>
      </c>
      <c r="E387">
        <v>1</v>
      </c>
      <c r="F387">
        <v>269.99</v>
      </c>
      <c r="G387">
        <v>0.2</v>
      </c>
      <c r="H387">
        <v>53.998000000000005</v>
      </c>
      <c r="I387">
        <f>order_items[[#This Row],[list_price]]-order_items[[#This Row],[Discounted_price]]</f>
        <v>215.99200000000002</v>
      </c>
      <c r="J387">
        <f>VLOOKUP(B387, Products!$A$2:$E$100, 3, FALSE)</f>
        <v>5</v>
      </c>
      <c r="K387">
        <f>VLOOKUP(B387, Products!$A$2:$F$100, 4, FALSE)</f>
        <v>6</v>
      </c>
    </row>
    <row r="388" spans="1:11" x14ac:dyDescent="0.3">
      <c r="A388">
        <v>134</v>
      </c>
      <c r="B388">
        <v>1</v>
      </c>
      <c r="C388">
        <v>19</v>
      </c>
      <c r="D388" t="str">
        <f>VLOOKUP(B388, Products!$A$2:$C$100, 2, FALSE)</f>
        <v>Trek 820 - 2016</v>
      </c>
      <c r="E388">
        <v>2</v>
      </c>
      <c r="F388">
        <v>449</v>
      </c>
      <c r="G388">
        <v>0.1</v>
      </c>
      <c r="H388">
        <v>44.900000000000006</v>
      </c>
      <c r="I388">
        <f>order_items[[#This Row],[list_price]]-order_items[[#This Row],[Discounted_price]]</f>
        <v>404.1</v>
      </c>
      <c r="J388">
        <f>VLOOKUP(B388, Products!$A$2:$E$100, 3, FALSE)</f>
        <v>9</v>
      </c>
      <c r="K388">
        <f>VLOOKUP(B388, Products!$A$2:$F$100, 4, FALSE)</f>
        <v>6</v>
      </c>
    </row>
    <row r="389" spans="1:11" x14ac:dyDescent="0.3">
      <c r="A389">
        <v>134</v>
      </c>
      <c r="B389">
        <v>2</v>
      </c>
      <c r="C389">
        <v>2</v>
      </c>
      <c r="D389" t="str">
        <f>VLOOKUP(B389, Products!$A$2:$C$100, 2, FALSE)</f>
        <v>Ritchey Timberwolf Frameset - 2016</v>
      </c>
      <c r="E389">
        <v>2</v>
      </c>
      <c r="F389">
        <v>749.99</v>
      </c>
      <c r="G389">
        <v>7.0000000000000007E-2</v>
      </c>
      <c r="H389">
        <v>52.499300000000005</v>
      </c>
      <c r="I389">
        <f>order_items[[#This Row],[list_price]]-order_items[[#This Row],[Discounted_price]]</f>
        <v>697.49070000000006</v>
      </c>
      <c r="J389">
        <f>VLOOKUP(B389, Products!$A$2:$E$100, 3, FALSE)</f>
        <v>5</v>
      </c>
      <c r="K389">
        <f>VLOOKUP(B389, Products!$A$2:$F$100, 4, FALSE)</f>
        <v>6</v>
      </c>
    </row>
    <row r="390" spans="1:11" x14ac:dyDescent="0.3">
      <c r="A390">
        <v>134</v>
      </c>
      <c r="B390">
        <v>3</v>
      </c>
      <c r="C390">
        <v>18</v>
      </c>
      <c r="D390" t="str">
        <f>VLOOKUP(B390, Products!$A$2:$C$100, 2, FALSE)</f>
        <v>Surly Wednesday Frameset - 2016</v>
      </c>
      <c r="E390">
        <v>2</v>
      </c>
      <c r="F390">
        <v>449</v>
      </c>
      <c r="G390">
        <v>7.0000000000000007E-2</v>
      </c>
      <c r="H390">
        <v>31.430000000000003</v>
      </c>
      <c r="I390">
        <f>order_items[[#This Row],[list_price]]-order_items[[#This Row],[Discounted_price]]</f>
        <v>417.57</v>
      </c>
      <c r="J390">
        <f>VLOOKUP(B390, Products!$A$2:$E$100, 3, FALSE)</f>
        <v>8</v>
      </c>
      <c r="K390">
        <f>VLOOKUP(B390, Products!$A$2:$F$100, 4, FALSE)</f>
        <v>6</v>
      </c>
    </row>
    <row r="391" spans="1:11" x14ac:dyDescent="0.3">
      <c r="A391">
        <v>135</v>
      </c>
      <c r="B391">
        <v>1</v>
      </c>
      <c r="C391">
        <v>5</v>
      </c>
      <c r="D391" t="str">
        <f>VLOOKUP(B391, Products!$A$2:$C$100, 2, FALSE)</f>
        <v>Trek 820 - 2016</v>
      </c>
      <c r="E391">
        <v>2</v>
      </c>
      <c r="F391">
        <v>1320.99</v>
      </c>
      <c r="G391">
        <v>0.05</v>
      </c>
      <c r="H391">
        <v>66.049500000000009</v>
      </c>
      <c r="I391">
        <f>order_items[[#This Row],[list_price]]-order_items[[#This Row],[Discounted_price]]</f>
        <v>1254.9404999999999</v>
      </c>
      <c r="J391">
        <f>VLOOKUP(B391, Products!$A$2:$E$100, 3, FALSE)</f>
        <v>9</v>
      </c>
      <c r="K391">
        <f>VLOOKUP(B391, Products!$A$2:$F$100, 4, FALSE)</f>
        <v>6</v>
      </c>
    </row>
    <row r="392" spans="1:11" x14ac:dyDescent="0.3">
      <c r="A392">
        <v>135</v>
      </c>
      <c r="B392">
        <v>2</v>
      </c>
      <c r="C392">
        <v>18</v>
      </c>
      <c r="D392" t="str">
        <f>VLOOKUP(B392, Products!$A$2:$C$100, 2, FALSE)</f>
        <v>Ritchey Timberwolf Frameset - 2016</v>
      </c>
      <c r="E392">
        <v>2</v>
      </c>
      <c r="F392">
        <v>449</v>
      </c>
      <c r="G392">
        <v>0.05</v>
      </c>
      <c r="H392">
        <v>22.450000000000003</v>
      </c>
      <c r="I392">
        <f>order_items[[#This Row],[list_price]]-order_items[[#This Row],[Discounted_price]]</f>
        <v>426.55</v>
      </c>
      <c r="J392">
        <f>VLOOKUP(B392, Products!$A$2:$E$100, 3, FALSE)</f>
        <v>5</v>
      </c>
      <c r="K392">
        <f>VLOOKUP(B392, Products!$A$2:$F$100, 4, FALSE)</f>
        <v>6</v>
      </c>
    </row>
    <row r="393" spans="1:11" x14ac:dyDescent="0.3">
      <c r="A393">
        <v>135</v>
      </c>
      <c r="B393">
        <v>3</v>
      </c>
      <c r="C393">
        <v>25</v>
      </c>
      <c r="D393" t="str">
        <f>VLOOKUP(B393, Products!$A$2:$C$100, 2, FALSE)</f>
        <v>Surly Wednesday Frameset - 2016</v>
      </c>
      <c r="E393">
        <v>1</v>
      </c>
      <c r="F393">
        <v>499.99</v>
      </c>
      <c r="G393">
        <v>0.2</v>
      </c>
      <c r="H393">
        <v>99.998000000000005</v>
      </c>
      <c r="I393">
        <f>order_items[[#This Row],[list_price]]-order_items[[#This Row],[Discounted_price]]</f>
        <v>399.99200000000002</v>
      </c>
      <c r="J393">
        <f>VLOOKUP(B393, Products!$A$2:$E$100, 3, FALSE)</f>
        <v>8</v>
      </c>
      <c r="K393">
        <f>VLOOKUP(B393, Products!$A$2:$F$100, 4, FALSE)</f>
        <v>6</v>
      </c>
    </row>
    <row r="394" spans="1:11" x14ac:dyDescent="0.3">
      <c r="A394">
        <v>135</v>
      </c>
      <c r="B394">
        <v>4</v>
      </c>
      <c r="C394">
        <v>2</v>
      </c>
      <c r="D394" t="str">
        <f>VLOOKUP(B394, Products!$A$2:$C$100, 2, FALSE)</f>
        <v>Trek Fuel EX 8 29 - 2016</v>
      </c>
      <c r="E394">
        <v>1</v>
      </c>
      <c r="F394">
        <v>749.99</v>
      </c>
      <c r="G394">
        <v>0.05</v>
      </c>
      <c r="H394">
        <v>37.499500000000005</v>
      </c>
      <c r="I394">
        <f>order_items[[#This Row],[list_price]]-order_items[[#This Row],[Discounted_price]]</f>
        <v>712.4905</v>
      </c>
      <c r="J394">
        <f>VLOOKUP(B394, Products!$A$2:$E$100, 3, FALSE)</f>
        <v>9</v>
      </c>
      <c r="K394">
        <f>VLOOKUP(B394, Products!$A$2:$F$100, 4, FALSE)</f>
        <v>6</v>
      </c>
    </row>
    <row r="395" spans="1:11" x14ac:dyDescent="0.3">
      <c r="A395">
        <v>136</v>
      </c>
      <c r="B395">
        <v>1</v>
      </c>
      <c r="C395">
        <v>7</v>
      </c>
      <c r="D395" t="str">
        <f>VLOOKUP(B395, Products!$A$2:$C$100, 2, FALSE)</f>
        <v>Trek 820 - 2016</v>
      </c>
      <c r="E395">
        <v>2</v>
      </c>
      <c r="F395">
        <v>3999.99</v>
      </c>
      <c r="G395">
        <v>0.2</v>
      </c>
      <c r="H395">
        <v>799.99800000000005</v>
      </c>
      <c r="I395">
        <f>order_items[[#This Row],[list_price]]-order_items[[#This Row],[Discounted_price]]</f>
        <v>3199.9919999999997</v>
      </c>
      <c r="J395">
        <f>VLOOKUP(B395, Products!$A$2:$E$100, 3, FALSE)</f>
        <v>9</v>
      </c>
      <c r="K395">
        <f>VLOOKUP(B395, Products!$A$2:$F$100, 4, FALSE)</f>
        <v>6</v>
      </c>
    </row>
    <row r="396" spans="1:11" x14ac:dyDescent="0.3">
      <c r="A396">
        <v>136</v>
      </c>
      <c r="B396">
        <v>2</v>
      </c>
      <c r="C396">
        <v>3</v>
      </c>
      <c r="D396" t="str">
        <f>VLOOKUP(B396, Products!$A$2:$C$100, 2, FALSE)</f>
        <v>Ritchey Timberwolf Frameset - 2016</v>
      </c>
      <c r="E396">
        <v>2</v>
      </c>
      <c r="F396">
        <v>999.99</v>
      </c>
      <c r="G396">
        <v>0.05</v>
      </c>
      <c r="H396">
        <v>49.999500000000005</v>
      </c>
      <c r="I396">
        <f>order_items[[#This Row],[list_price]]-order_items[[#This Row],[Discounted_price]]</f>
        <v>949.9905</v>
      </c>
      <c r="J396">
        <f>VLOOKUP(B396, Products!$A$2:$E$100, 3, FALSE)</f>
        <v>5</v>
      </c>
      <c r="K396">
        <f>VLOOKUP(B396, Products!$A$2:$F$100, 4, FALSE)</f>
        <v>6</v>
      </c>
    </row>
    <row r="397" spans="1:11" x14ac:dyDescent="0.3">
      <c r="A397">
        <v>137</v>
      </c>
      <c r="B397">
        <v>1</v>
      </c>
      <c r="C397">
        <v>23</v>
      </c>
      <c r="D397" t="str">
        <f>VLOOKUP(B397, Products!$A$2:$C$100, 2, FALSE)</f>
        <v>Trek 820 - 2016</v>
      </c>
      <c r="E397">
        <v>1</v>
      </c>
      <c r="F397">
        <v>299.99</v>
      </c>
      <c r="G397">
        <v>7.0000000000000007E-2</v>
      </c>
      <c r="H397">
        <v>20.999300000000002</v>
      </c>
      <c r="I397">
        <f>order_items[[#This Row],[list_price]]-order_items[[#This Row],[Discounted_price]]</f>
        <v>278.9907</v>
      </c>
      <c r="J397">
        <f>VLOOKUP(B397, Products!$A$2:$E$100, 3, FALSE)</f>
        <v>9</v>
      </c>
      <c r="K397">
        <f>VLOOKUP(B397, Products!$A$2:$F$100, 4, FALSE)</f>
        <v>6</v>
      </c>
    </row>
    <row r="398" spans="1:11" x14ac:dyDescent="0.3">
      <c r="A398">
        <v>137</v>
      </c>
      <c r="B398">
        <v>2</v>
      </c>
      <c r="C398">
        <v>22</v>
      </c>
      <c r="D398" t="str">
        <f>VLOOKUP(B398, Products!$A$2:$C$100, 2, FALSE)</f>
        <v>Ritchey Timberwolf Frameset - 2016</v>
      </c>
      <c r="E398">
        <v>1</v>
      </c>
      <c r="F398">
        <v>269.99</v>
      </c>
      <c r="G398">
        <v>0.1</v>
      </c>
      <c r="H398">
        <v>26.999000000000002</v>
      </c>
      <c r="I398">
        <f>order_items[[#This Row],[list_price]]-order_items[[#This Row],[Discounted_price]]</f>
        <v>242.99100000000001</v>
      </c>
      <c r="J398">
        <f>VLOOKUP(B398, Products!$A$2:$E$100, 3, FALSE)</f>
        <v>5</v>
      </c>
      <c r="K398">
        <f>VLOOKUP(B398, Products!$A$2:$F$100, 4, FALSE)</f>
        <v>6</v>
      </c>
    </row>
    <row r="399" spans="1:11" x14ac:dyDescent="0.3">
      <c r="A399">
        <v>138</v>
      </c>
      <c r="B399">
        <v>1</v>
      </c>
      <c r="C399">
        <v>16</v>
      </c>
      <c r="D399" t="str">
        <f>VLOOKUP(B399, Products!$A$2:$C$100, 2, FALSE)</f>
        <v>Trek 820 - 2016</v>
      </c>
      <c r="E399">
        <v>2</v>
      </c>
      <c r="F399">
        <v>599.99</v>
      </c>
      <c r="G399">
        <v>0.1</v>
      </c>
      <c r="H399">
        <v>59.999000000000002</v>
      </c>
      <c r="I399">
        <f>order_items[[#This Row],[list_price]]-order_items[[#This Row],[Discounted_price]]</f>
        <v>539.99099999999999</v>
      </c>
      <c r="J399">
        <f>VLOOKUP(B399, Products!$A$2:$E$100, 3, FALSE)</f>
        <v>9</v>
      </c>
      <c r="K399">
        <f>VLOOKUP(B399, Products!$A$2:$F$100, 4, FALSE)</f>
        <v>6</v>
      </c>
    </row>
    <row r="400" spans="1:11" x14ac:dyDescent="0.3">
      <c r="A400">
        <v>138</v>
      </c>
      <c r="B400">
        <v>2</v>
      </c>
      <c r="C400">
        <v>6</v>
      </c>
      <c r="D400" t="str">
        <f>VLOOKUP(B400, Products!$A$2:$C$100, 2, FALSE)</f>
        <v>Ritchey Timberwolf Frameset - 2016</v>
      </c>
      <c r="E400">
        <v>1</v>
      </c>
      <c r="F400">
        <v>469.99</v>
      </c>
      <c r="G400">
        <v>0.2</v>
      </c>
      <c r="H400">
        <v>93.998000000000005</v>
      </c>
      <c r="I400">
        <f>order_items[[#This Row],[list_price]]-order_items[[#This Row],[Discounted_price]]</f>
        <v>375.99200000000002</v>
      </c>
      <c r="J400">
        <f>VLOOKUP(B400, Products!$A$2:$E$100, 3, FALSE)</f>
        <v>5</v>
      </c>
      <c r="K400">
        <f>VLOOKUP(B400, Products!$A$2:$F$100, 4, FALSE)</f>
        <v>6</v>
      </c>
    </row>
    <row r="401" spans="1:11" x14ac:dyDescent="0.3">
      <c r="A401">
        <v>139</v>
      </c>
      <c r="B401">
        <v>1</v>
      </c>
      <c r="C401">
        <v>19</v>
      </c>
      <c r="D401" t="str">
        <f>VLOOKUP(B401, Products!$A$2:$C$100, 2, FALSE)</f>
        <v>Trek 820 - 2016</v>
      </c>
      <c r="E401">
        <v>2</v>
      </c>
      <c r="F401">
        <v>449</v>
      </c>
      <c r="G401">
        <v>7.0000000000000007E-2</v>
      </c>
      <c r="H401">
        <v>31.430000000000003</v>
      </c>
      <c r="I401">
        <f>order_items[[#This Row],[list_price]]-order_items[[#This Row],[Discounted_price]]</f>
        <v>417.57</v>
      </c>
      <c r="J401">
        <f>VLOOKUP(B401, Products!$A$2:$E$100, 3, FALSE)</f>
        <v>9</v>
      </c>
      <c r="K401">
        <f>VLOOKUP(B401, Products!$A$2:$F$100, 4, FALSE)</f>
        <v>6</v>
      </c>
    </row>
    <row r="402" spans="1:11" x14ac:dyDescent="0.3">
      <c r="A402">
        <v>139</v>
      </c>
      <c r="B402">
        <v>2</v>
      </c>
      <c r="C402">
        <v>3</v>
      </c>
      <c r="D402" t="str">
        <f>VLOOKUP(B402, Products!$A$2:$C$100, 2, FALSE)</f>
        <v>Ritchey Timberwolf Frameset - 2016</v>
      </c>
      <c r="E402">
        <v>1</v>
      </c>
      <c r="F402">
        <v>999.99</v>
      </c>
      <c r="G402">
        <v>7.0000000000000007E-2</v>
      </c>
      <c r="H402">
        <v>69.999300000000005</v>
      </c>
      <c r="I402">
        <f>order_items[[#This Row],[list_price]]-order_items[[#This Row],[Discounted_price]]</f>
        <v>929.99070000000006</v>
      </c>
      <c r="J402">
        <f>VLOOKUP(B402, Products!$A$2:$E$100, 3, FALSE)</f>
        <v>5</v>
      </c>
      <c r="K402">
        <f>VLOOKUP(B402, Products!$A$2:$F$100, 4, FALSE)</f>
        <v>6</v>
      </c>
    </row>
    <row r="403" spans="1:11" x14ac:dyDescent="0.3">
      <c r="A403">
        <v>140</v>
      </c>
      <c r="B403">
        <v>1</v>
      </c>
      <c r="C403">
        <v>15</v>
      </c>
      <c r="D403" t="str">
        <f>VLOOKUP(B403, Products!$A$2:$C$100, 2, FALSE)</f>
        <v>Trek 820 - 2016</v>
      </c>
      <c r="E403">
        <v>1</v>
      </c>
      <c r="F403">
        <v>529.99</v>
      </c>
      <c r="G403">
        <v>0.2</v>
      </c>
      <c r="H403">
        <v>105.998</v>
      </c>
      <c r="I403">
        <f>order_items[[#This Row],[list_price]]-order_items[[#This Row],[Discounted_price]]</f>
        <v>423.99200000000002</v>
      </c>
      <c r="J403">
        <f>VLOOKUP(B403, Products!$A$2:$E$100, 3, FALSE)</f>
        <v>9</v>
      </c>
      <c r="K403">
        <f>VLOOKUP(B403, Products!$A$2:$F$100, 4, FALSE)</f>
        <v>6</v>
      </c>
    </row>
    <row r="404" spans="1:11" x14ac:dyDescent="0.3">
      <c r="A404">
        <v>140</v>
      </c>
      <c r="B404">
        <v>2</v>
      </c>
      <c r="C404">
        <v>21</v>
      </c>
      <c r="D404" t="str">
        <f>VLOOKUP(B404, Products!$A$2:$C$100, 2, FALSE)</f>
        <v>Ritchey Timberwolf Frameset - 2016</v>
      </c>
      <c r="E404">
        <v>1</v>
      </c>
      <c r="F404">
        <v>269.99</v>
      </c>
      <c r="G404">
        <v>0.2</v>
      </c>
      <c r="H404">
        <v>53.998000000000005</v>
      </c>
      <c r="I404">
        <f>order_items[[#This Row],[list_price]]-order_items[[#This Row],[Discounted_price]]</f>
        <v>215.99200000000002</v>
      </c>
      <c r="J404">
        <f>VLOOKUP(B404, Products!$A$2:$E$100, 3, FALSE)</f>
        <v>5</v>
      </c>
      <c r="K404">
        <f>VLOOKUP(B404, Products!$A$2:$F$100, 4, FALSE)</f>
        <v>6</v>
      </c>
    </row>
    <row r="405" spans="1:11" x14ac:dyDescent="0.3">
      <c r="A405">
        <v>140</v>
      </c>
      <c r="B405">
        <v>3</v>
      </c>
      <c r="C405">
        <v>12</v>
      </c>
      <c r="D405" t="str">
        <f>VLOOKUP(B405, Products!$A$2:$C$100, 2, FALSE)</f>
        <v>Surly Wednesday Frameset - 2016</v>
      </c>
      <c r="E405">
        <v>2</v>
      </c>
      <c r="F405">
        <v>549.99</v>
      </c>
      <c r="G405">
        <v>0.2</v>
      </c>
      <c r="H405">
        <v>109.998</v>
      </c>
      <c r="I405">
        <f>order_items[[#This Row],[list_price]]-order_items[[#This Row],[Discounted_price]]</f>
        <v>439.99200000000002</v>
      </c>
      <c r="J405">
        <f>VLOOKUP(B405, Products!$A$2:$E$100, 3, FALSE)</f>
        <v>8</v>
      </c>
      <c r="K405">
        <f>VLOOKUP(B405, Products!$A$2:$F$100, 4, FALSE)</f>
        <v>6</v>
      </c>
    </row>
    <row r="406" spans="1:11" x14ac:dyDescent="0.3">
      <c r="A406">
        <v>140</v>
      </c>
      <c r="B406">
        <v>4</v>
      </c>
      <c r="C406">
        <v>3</v>
      </c>
      <c r="D406" t="str">
        <f>VLOOKUP(B406, Products!$A$2:$C$100, 2, FALSE)</f>
        <v>Trek Fuel EX 8 29 - 2016</v>
      </c>
      <c r="E406">
        <v>1</v>
      </c>
      <c r="F406">
        <v>999.99</v>
      </c>
      <c r="G406">
        <v>0.05</v>
      </c>
      <c r="H406">
        <v>49.999500000000005</v>
      </c>
      <c r="I406">
        <f>order_items[[#This Row],[list_price]]-order_items[[#This Row],[Discounted_price]]</f>
        <v>949.9905</v>
      </c>
      <c r="J406">
        <f>VLOOKUP(B406, Products!$A$2:$E$100, 3, FALSE)</f>
        <v>9</v>
      </c>
      <c r="K406">
        <f>VLOOKUP(B406, Products!$A$2:$F$100, 4, FALSE)</f>
        <v>6</v>
      </c>
    </row>
    <row r="407" spans="1:11" x14ac:dyDescent="0.3">
      <c r="A407">
        <v>141</v>
      </c>
      <c r="B407">
        <v>1</v>
      </c>
      <c r="C407">
        <v>18</v>
      </c>
      <c r="D407" t="str">
        <f>VLOOKUP(B407, Products!$A$2:$C$100, 2, FALSE)</f>
        <v>Trek 820 - 2016</v>
      </c>
      <c r="E407">
        <v>1</v>
      </c>
      <c r="F407">
        <v>449</v>
      </c>
      <c r="G407">
        <v>0.2</v>
      </c>
      <c r="H407">
        <v>89.800000000000011</v>
      </c>
      <c r="I407">
        <f>order_items[[#This Row],[list_price]]-order_items[[#This Row],[Discounted_price]]</f>
        <v>359.2</v>
      </c>
      <c r="J407">
        <f>VLOOKUP(B407, Products!$A$2:$E$100, 3, FALSE)</f>
        <v>9</v>
      </c>
      <c r="K407">
        <f>VLOOKUP(B407, Products!$A$2:$F$100, 4, FALSE)</f>
        <v>6</v>
      </c>
    </row>
    <row r="408" spans="1:11" x14ac:dyDescent="0.3">
      <c r="A408">
        <v>142</v>
      </c>
      <c r="B408">
        <v>1</v>
      </c>
      <c r="C408">
        <v>16</v>
      </c>
      <c r="D408" t="str">
        <f>VLOOKUP(B408, Products!$A$2:$C$100, 2, FALSE)</f>
        <v>Trek 820 - 2016</v>
      </c>
      <c r="E408">
        <v>2</v>
      </c>
      <c r="F408">
        <v>599.99</v>
      </c>
      <c r="G408">
        <v>0.1</v>
      </c>
      <c r="H408">
        <v>59.999000000000002</v>
      </c>
      <c r="I408">
        <f>order_items[[#This Row],[list_price]]-order_items[[#This Row],[Discounted_price]]</f>
        <v>539.99099999999999</v>
      </c>
      <c r="J408">
        <f>VLOOKUP(B408, Products!$A$2:$E$100, 3, FALSE)</f>
        <v>9</v>
      </c>
      <c r="K408">
        <f>VLOOKUP(B408, Products!$A$2:$F$100, 4, FALSE)</f>
        <v>6</v>
      </c>
    </row>
    <row r="409" spans="1:11" x14ac:dyDescent="0.3">
      <c r="A409">
        <v>142</v>
      </c>
      <c r="B409">
        <v>2</v>
      </c>
      <c r="C409">
        <v>11</v>
      </c>
      <c r="D409" t="str">
        <f>VLOOKUP(B409, Products!$A$2:$C$100, 2, FALSE)</f>
        <v>Ritchey Timberwolf Frameset - 2016</v>
      </c>
      <c r="E409">
        <v>2</v>
      </c>
      <c r="F409">
        <v>1680.99</v>
      </c>
      <c r="G409">
        <v>0.1</v>
      </c>
      <c r="H409">
        <v>168.09900000000002</v>
      </c>
      <c r="I409">
        <f>order_items[[#This Row],[list_price]]-order_items[[#This Row],[Discounted_price]]</f>
        <v>1512.8910000000001</v>
      </c>
      <c r="J409">
        <f>VLOOKUP(B409, Products!$A$2:$E$100, 3, FALSE)</f>
        <v>5</v>
      </c>
      <c r="K409">
        <f>VLOOKUP(B409, Products!$A$2:$F$100, 4, FALSE)</f>
        <v>6</v>
      </c>
    </row>
    <row r="410" spans="1:11" x14ac:dyDescent="0.3">
      <c r="A410">
        <v>142</v>
      </c>
      <c r="B410">
        <v>3</v>
      </c>
      <c r="C410">
        <v>19</v>
      </c>
      <c r="D410" t="str">
        <f>VLOOKUP(B410, Products!$A$2:$C$100, 2, FALSE)</f>
        <v>Surly Wednesday Frameset - 2016</v>
      </c>
      <c r="E410">
        <v>1</v>
      </c>
      <c r="F410">
        <v>449</v>
      </c>
      <c r="G410">
        <v>7.0000000000000007E-2</v>
      </c>
      <c r="H410">
        <v>31.430000000000003</v>
      </c>
      <c r="I410">
        <f>order_items[[#This Row],[list_price]]-order_items[[#This Row],[Discounted_price]]</f>
        <v>417.57</v>
      </c>
      <c r="J410">
        <f>VLOOKUP(B410, Products!$A$2:$E$100, 3, FALSE)</f>
        <v>8</v>
      </c>
      <c r="K410">
        <f>VLOOKUP(B410, Products!$A$2:$F$100, 4, FALSE)</f>
        <v>6</v>
      </c>
    </row>
    <row r="411" spans="1:11" x14ac:dyDescent="0.3">
      <c r="A411">
        <v>143</v>
      </c>
      <c r="B411">
        <v>1</v>
      </c>
      <c r="C411">
        <v>6</v>
      </c>
      <c r="D411" t="str">
        <f>VLOOKUP(B411, Products!$A$2:$C$100, 2, FALSE)</f>
        <v>Trek 820 - 2016</v>
      </c>
      <c r="E411">
        <v>1</v>
      </c>
      <c r="F411">
        <v>469.99</v>
      </c>
      <c r="G411">
        <v>0.2</v>
      </c>
      <c r="H411">
        <v>93.998000000000005</v>
      </c>
      <c r="I411">
        <f>order_items[[#This Row],[list_price]]-order_items[[#This Row],[Discounted_price]]</f>
        <v>375.99200000000002</v>
      </c>
      <c r="J411">
        <f>VLOOKUP(B411, Products!$A$2:$E$100, 3, FALSE)</f>
        <v>9</v>
      </c>
      <c r="K411">
        <f>VLOOKUP(B411, Products!$A$2:$F$100, 4, FALSE)</f>
        <v>6</v>
      </c>
    </row>
    <row r="412" spans="1:11" x14ac:dyDescent="0.3">
      <c r="A412">
        <v>144</v>
      </c>
      <c r="B412">
        <v>1</v>
      </c>
      <c r="C412">
        <v>8</v>
      </c>
      <c r="D412" t="str">
        <f>VLOOKUP(B412, Products!$A$2:$C$100, 2, FALSE)</f>
        <v>Trek 820 - 2016</v>
      </c>
      <c r="E412">
        <v>2</v>
      </c>
      <c r="F412">
        <v>1799.99</v>
      </c>
      <c r="G412">
        <v>0.05</v>
      </c>
      <c r="H412">
        <v>89.999500000000012</v>
      </c>
      <c r="I412">
        <f>order_items[[#This Row],[list_price]]-order_items[[#This Row],[Discounted_price]]</f>
        <v>1709.9904999999999</v>
      </c>
      <c r="J412">
        <f>VLOOKUP(B412, Products!$A$2:$E$100, 3, FALSE)</f>
        <v>9</v>
      </c>
      <c r="K412">
        <f>VLOOKUP(B412, Products!$A$2:$F$100, 4, FALSE)</f>
        <v>6</v>
      </c>
    </row>
    <row r="413" spans="1:11" x14ac:dyDescent="0.3">
      <c r="A413">
        <v>145</v>
      </c>
      <c r="B413">
        <v>1</v>
      </c>
      <c r="C413">
        <v>11</v>
      </c>
      <c r="D413" t="str">
        <f>VLOOKUP(B413, Products!$A$2:$C$100, 2, FALSE)</f>
        <v>Trek 820 - 2016</v>
      </c>
      <c r="E413">
        <v>1</v>
      </c>
      <c r="F413">
        <v>1680.99</v>
      </c>
      <c r="G413">
        <v>0.2</v>
      </c>
      <c r="H413">
        <v>336.19800000000004</v>
      </c>
      <c r="I413">
        <f>order_items[[#This Row],[list_price]]-order_items[[#This Row],[Discounted_price]]</f>
        <v>1344.7919999999999</v>
      </c>
      <c r="J413">
        <f>VLOOKUP(B413, Products!$A$2:$E$100, 3, FALSE)</f>
        <v>9</v>
      </c>
      <c r="K413">
        <f>VLOOKUP(B413, Products!$A$2:$F$100, 4, FALSE)</f>
        <v>6</v>
      </c>
    </row>
    <row r="414" spans="1:11" x14ac:dyDescent="0.3">
      <c r="A414">
        <v>145</v>
      </c>
      <c r="B414">
        <v>2</v>
      </c>
      <c r="C414">
        <v>9</v>
      </c>
      <c r="D414" t="str">
        <f>VLOOKUP(B414, Products!$A$2:$C$100, 2, FALSE)</f>
        <v>Ritchey Timberwolf Frameset - 2016</v>
      </c>
      <c r="E414">
        <v>2</v>
      </c>
      <c r="F414">
        <v>2999.99</v>
      </c>
      <c r="G414">
        <v>0.1</v>
      </c>
      <c r="H414">
        <v>299.99899999999997</v>
      </c>
      <c r="I414">
        <f>order_items[[#This Row],[list_price]]-order_items[[#This Row],[Discounted_price]]</f>
        <v>2699.991</v>
      </c>
      <c r="J414">
        <f>VLOOKUP(B414, Products!$A$2:$E$100, 3, FALSE)</f>
        <v>5</v>
      </c>
      <c r="K414">
        <f>VLOOKUP(B414, Products!$A$2:$F$100, 4, FALSE)</f>
        <v>6</v>
      </c>
    </row>
    <row r="415" spans="1:11" x14ac:dyDescent="0.3">
      <c r="A415">
        <v>146</v>
      </c>
      <c r="B415">
        <v>1</v>
      </c>
      <c r="C415">
        <v>3</v>
      </c>
      <c r="D415" t="str">
        <f>VLOOKUP(B415, Products!$A$2:$C$100, 2, FALSE)</f>
        <v>Trek 820 - 2016</v>
      </c>
      <c r="E415">
        <v>2</v>
      </c>
      <c r="F415">
        <v>999.99</v>
      </c>
      <c r="G415">
        <v>0.2</v>
      </c>
      <c r="H415">
        <v>199.99800000000002</v>
      </c>
      <c r="I415">
        <f>order_items[[#This Row],[list_price]]-order_items[[#This Row],[Discounted_price]]</f>
        <v>799.99199999999996</v>
      </c>
      <c r="J415">
        <f>VLOOKUP(B415, Products!$A$2:$E$100, 3, FALSE)</f>
        <v>9</v>
      </c>
      <c r="K415">
        <f>VLOOKUP(B415, Products!$A$2:$F$100, 4, FALSE)</f>
        <v>6</v>
      </c>
    </row>
    <row r="416" spans="1:11" x14ac:dyDescent="0.3">
      <c r="A416">
        <v>146</v>
      </c>
      <c r="B416">
        <v>2</v>
      </c>
      <c r="C416">
        <v>12</v>
      </c>
      <c r="D416" t="str">
        <f>VLOOKUP(B416, Products!$A$2:$C$100, 2, FALSE)</f>
        <v>Ritchey Timberwolf Frameset - 2016</v>
      </c>
      <c r="E416">
        <v>1</v>
      </c>
      <c r="F416">
        <v>549.99</v>
      </c>
      <c r="G416">
        <v>0.1</v>
      </c>
      <c r="H416">
        <v>54.999000000000002</v>
      </c>
      <c r="I416">
        <f>order_items[[#This Row],[list_price]]-order_items[[#This Row],[Discounted_price]]</f>
        <v>494.99099999999999</v>
      </c>
      <c r="J416">
        <f>VLOOKUP(B416, Products!$A$2:$E$100, 3, FALSE)</f>
        <v>5</v>
      </c>
      <c r="K416">
        <f>VLOOKUP(B416, Products!$A$2:$F$100, 4, FALSE)</f>
        <v>6</v>
      </c>
    </row>
    <row r="417" spans="1:11" x14ac:dyDescent="0.3">
      <c r="A417">
        <v>146</v>
      </c>
      <c r="B417">
        <v>3</v>
      </c>
      <c r="C417">
        <v>20</v>
      </c>
      <c r="D417" t="str">
        <f>VLOOKUP(B417, Products!$A$2:$C$100, 2, FALSE)</f>
        <v>Surly Wednesday Frameset - 2016</v>
      </c>
      <c r="E417">
        <v>2</v>
      </c>
      <c r="F417">
        <v>599.99</v>
      </c>
      <c r="G417">
        <v>0.1</v>
      </c>
      <c r="H417">
        <v>59.999000000000002</v>
      </c>
      <c r="I417">
        <f>order_items[[#This Row],[list_price]]-order_items[[#This Row],[Discounted_price]]</f>
        <v>539.99099999999999</v>
      </c>
      <c r="J417">
        <f>VLOOKUP(B417, Products!$A$2:$E$100, 3, FALSE)</f>
        <v>8</v>
      </c>
      <c r="K417">
        <f>VLOOKUP(B417, Products!$A$2:$F$100, 4, FALSE)</f>
        <v>6</v>
      </c>
    </row>
    <row r="418" spans="1:11" x14ac:dyDescent="0.3">
      <c r="A418">
        <v>146</v>
      </c>
      <c r="B418">
        <v>4</v>
      </c>
      <c r="C418">
        <v>6</v>
      </c>
      <c r="D418" t="str">
        <f>VLOOKUP(B418, Products!$A$2:$C$100, 2, FALSE)</f>
        <v>Trek Fuel EX 8 29 - 2016</v>
      </c>
      <c r="E418">
        <v>2</v>
      </c>
      <c r="F418">
        <v>469.99</v>
      </c>
      <c r="G418">
        <v>0.05</v>
      </c>
      <c r="H418">
        <v>23.499500000000001</v>
      </c>
      <c r="I418">
        <f>order_items[[#This Row],[list_price]]-order_items[[#This Row],[Discounted_price]]</f>
        <v>446.4905</v>
      </c>
      <c r="J418">
        <f>VLOOKUP(B418, Products!$A$2:$E$100, 3, FALSE)</f>
        <v>9</v>
      </c>
      <c r="K418">
        <f>VLOOKUP(B418, Products!$A$2:$F$100, 4, FALSE)</f>
        <v>6</v>
      </c>
    </row>
    <row r="419" spans="1:11" x14ac:dyDescent="0.3">
      <c r="A419">
        <v>146</v>
      </c>
      <c r="B419">
        <v>5</v>
      </c>
      <c r="C419">
        <v>2</v>
      </c>
      <c r="D419" t="str">
        <f>VLOOKUP(B419, Products!$A$2:$C$100, 2, FALSE)</f>
        <v>Heller Shagamaw Frame - 2016</v>
      </c>
      <c r="E419">
        <v>1</v>
      </c>
      <c r="F419">
        <v>749.99</v>
      </c>
      <c r="G419">
        <v>7.0000000000000007E-2</v>
      </c>
      <c r="H419">
        <v>52.499300000000005</v>
      </c>
      <c r="I419">
        <f>order_items[[#This Row],[list_price]]-order_items[[#This Row],[Discounted_price]]</f>
        <v>697.49070000000006</v>
      </c>
      <c r="J419">
        <f>VLOOKUP(B419, Products!$A$2:$E$100, 3, FALSE)</f>
        <v>3</v>
      </c>
      <c r="K419">
        <f>VLOOKUP(B419, Products!$A$2:$F$100, 4, FALSE)</f>
        <v>6</v>
      </c>
    </row>
    <row r="420" spans="1:11" x14ac:dyDescent="0.3">
      <c r="A420">
        <v>147</v>
      </c>
      <c r="B420">
        <v>1</v>
      </c>
      <c r="C420">
        <v>26</v>
      </c>
      <c r="D420" t="str">
        <f>VLOOKUP(B420, Products!$A$2:$C$100, 2, FALSE)</f>
        <v>Trek 820 - 2016</v>
      </c>
      <c r="E420">
        <v>2</v>
      </c>
      <c r="F420">
        <v>599.99</v>
      </c>
      <c r="G420">
        <v>0.2</v>
      </c>
      <c r="H420">
        <v>119.998</v>
      </c>
      <c r="I420">
        <f>order_items[[#This Row],[list_price]]-order_items[[#This Row],[Discounted_price]]</f>
        <v>479.99200000000002</v>
      </c>
      <c r="J420">
        <f>VLOOKUP(B420, Products!$A$2:$E$100, 3, FALSE)</f>
        <v>9</v>
      </c>
      <c r="K420">
        <f>VLOOKUP(B420, Products!$A$2:$F$100, 4, FALSE)</f>
        <v>6</v>
      </c>
    </row>
    <row r="421" spans="1:11" x14ac:dyDescent="0.3">
      <c r="A421">
        <v>148</v>
      </c>
      <c r="B421">
        <v>1</v>
      </c>
      <c r="C421">
        <v>14</v>
      </c>
      <c r="D421" t="str">
        <f>VLOOKUP(B421, Products!$A$2:$C$100, 2, FALSE)</f>
        <v>Trek 820 - 2016</v>
      </c>
      <c r="E421">
        <v>1</v>
      </c>
      <c r="F421">
        <v>269.99</v>
      </c>
      <c r="G421">
        <v>0.05</v>
      </c>
      <c r="H421">
        <v>13.499500000000001</v>
      </c>
      <c r="I421">
        <f>order_items[[#This Row],[list_price]]-order_items[[#This Row],[Discounted_price]]</f>
        <v>256.4905</v>
      </c>
      <c r="J421">
        <f>VLOOKUP(B421, Products!$A$2:$E$100, 3, FALSE)</f>
        <v>9</v>
      </c>
      <c r="K421">
        <f>VLOOKUP(B421, Products!$A$2:$F$100, 4, FALSE)</f>
        <v>6</v>
      </c>
    </row>
    <row r="422" spans="1:11" x14ac:dyDescent="0.3">
      <c r="A422">
        <v>149</v>
      </c>
      <c r="B422">
        <v>1</v>
      </c>
      <c r="C422">
        <v>12</v>
      </c>
      <c r="D422" t="str">
        <f>VLOOKUP(B422, Products!$A$2:$C$100, 2, FALSE)</f>
        <v>Trek 820 - 2016</v>
      </c>
      <c r="E422">
        <v>2</v>
      </c>
      <c r="F422">
        <v>549.99</v>
      </c>
      <c r="G422">
        <v>7.0000000000000007E-2</v>
      </c>
      <c r="H422">
        <v>38.499300000000005</v>
      </c>
      <c r="I422">
        <f>order_items[[#This Row],[list_price]]-order_items[[#This Row],[Discounted_price]]</f>
        <v>511.4907</v>
      </c>
      <c r="J422">
        <f>VLOOKUP(B422, Products!$A$2:$E$100, 3, FALSE)</f>
        <v>9</v>
      </c>
      <c r="K422">
        <f>VLOOKUP(B422, Products!$A$2:$F$100, 4, FALSE)</f>
        <v>6</v>
      </c>
    </row>
    <row r="423" spans="1:11" x14ac:dyDescent="0.3">
      <c r="A423">
        <v>149</v>
      </c>
      <c r="B423">
        <v>2</v>
      </c>
      <c r="C423">
        <v>21</v>
      </c>
      <c r="D423" t="str">
        <f>VLOOKUP(B423, Products!$A$2:$C$100, 2, FALSE)</f>
        <v>Ritchey Timberwolf Frameset - 2016</v>
      </c>
      <c r="E423">
        <v>2</v>
      </c>
      <c r="F423">
        <v>269.99</v>
      </c>
      <c r="G423">
        <v>7.0000000000000007E-2</v>
      </c>
      <c r="H423">
        <v>18.899300000000004</v>
      </c>
      <c r="I423">
        <f>order_items[[#This Row],[list_price]]-order_items[[#This Row],[Discounted_price]]</f>
        <v>251.0907</v>
      </c>
      <c r="J423">
        <f>VLOOKUP(B423, Products!$A$2:$E$100, 3, FALSE)</f>
        <v>5</v>
      </c>
      <c r="K423">
        <f>VLOOKUP(B423, Products!$A$2:$F$100, 4, FALSE)</f>
        <v>6</v>
      </c>
    </row>
    <row r="424" spans="1:11" x14ac:dyDescent="0.3">
      <c r="A424">
        <v>150</v>
      </c>
      <c r="B424">
        <v>1</v>
      </c>
      <c r="C424">
        <v>7</v>
      </c>
      <c r="D424" t="str">
        <f>VLOOKUP(B424, Products!$A$2:$C$100, 2, FALSE)</f>
        <v>Trek 820 - 2016</v>
      </c>
      <c r="E424">
        <v>1</v>
      </c>
      <c r="F424">
        <v>3999.99</v>
      </c>
      <c r="G424">
        <v>0.1</v>
      </c>
      <c r="H424">
        <v>399.99900000000002</v>
      </c>
      <c r="I424">
        <f>order_items[[#This Row],[list_price]]-order_items[[#This Row],[Discounted_price]]</f>
        <v>3599.991</v>
      </c>
      <c r="J424">
        <f>VLOOKUP(B424, Products!$A$2:$E$100, 3, FALSE)</f>
        <v>9</v>
      </c>
      <c r="K424">
        <f>VLOOKUP(B424, Products!$A$2:$F$100, 4, FALSE)</f>
        <v>6</v>
      </c>
    </row>
    <row r="425" spans="1:11" x14ac:dyDescent="0.3">
      <c r="A425">
        <v>150</v>
      </c>
      <c r="B425">
        <v>2</v>
      </c>
      <c r="C425">
        <v>3</v>
      </c>
      <c r="D425" t="str">
        <f>VLOOKUP(B425, Products!$A$2:$C$100, 2, FALSE)</f>
        <v>Ritchey Timberwolf Frameset - 2016</v>
      </c>
      <c r="E425">
        <v>1</v>
      </c>
      <c r="F425">
        <v>999.99</v>
      </c>
      <c r="G425">
        <v>0.2</v>
      </c>
      <c r="H425">
        <v>199.99800000000002</v>
      </c>
      <c r="I425">
        <f>order_items[[#This Row],[list_price]]-order_items[[#This Row],[Discounted_price]]</f>
        <v>799.99199999999996</v>
      </c>
      <c r="J425">
        <f>VLOOKUP(B425, Products!$A$2:$E$100, 3, FALSE)</f>
        <v>5</v>
      </c>
      <c r="K425">
        <f>VLOOKUP(B425, Products!$A$2:$F$100, 4, FALSE)</f>
        <v>6</v>
      </c>
    </row>
    <row r="426" spans="1:11" x14ac:dyDescent="0.3">
      <c r="A426">
        <v>150</v>
      </c>
      <c r="B426">
        <v>3</v>
      </c>
      <c r="C426">
        <v>17</v>
      </c>
      <c r="D426" t="str">
        <f>VLOOKUP(B426, Products!$A$2:$C$100, 2, FALSE)</f>
        <v>Surly Wednesday Frameset - 2016</v>
      </c>
      <c r="E426">
        <v>1</v>
      </c>
      <c r="F426">
        <v>429</v>
      </c>
      <c r="G426">
        <v>7.0000000000000007E-2</v>
      </c>
      <c r="H426">
        <v>30.03</v>
      </c>
      <c r="I426">
        <f>order_items[[#This Row],[list_price]]-order_items[[#This Row],[Discounted_price]]</f>
        <v>398.97</v>
      </c>
      <c r="J426">
        <f>VLOOKUP(B426, Products!$A$2:$E$100, 3, FALSE)</f>
        <v>8</v>
      </c>
      <c r="K426">
        <f>VLOOKUP(B426, Products!$A$2:$F$100, 4, FALSE)</f>
        <v>6</v>
      </c>
    </row>
    <row r="427" spans="1:11" x14ac:dyDescent="0.3">
      <c r="A427">
        <v>150</v>
      </c>
      <c r="B427">
        <v>4</v>
      </c>
      <c r="C427">
        <v>25</v>
      </c>
      <c r="D427" t="str">
        <f>VLOOKUP(B427, Products!$A$2:$C$100, 2, FALSE)</f>
        <v>Trek Fuel EX 8 29 - 2016</v>
      </c>
      <c r="E427">
        <v>2</v>
      </c>
      <c r="F427">
        <v>499.99</v>
      </c>
      <c r="G427">
        <v>7.0000000000000007E-2</v>
      </c>
      <c r="H427">
        <v>34.999300000000005</v>
      </c>
      <c r="I427">
        <f>order_items[[#This Row],[list_price]]-order_items[[#This Row],[Discounted_price]]</f>
        <v>464.9907</v>
      </c>
      <c r="J427">
        <f>VLOOKUP(B427, Products!$A$2:$E$100, 3, FALSE)</f>
        <v>9</v>
      </c>
      <c r="K427">
        <f>VLOOKUP(B427, Products!$A$2:$F$100, 4, FALSE)</f>
        <v>6</v>
      </c>
    </row>
    <row r="428" spans="1:11" x14ac:dyDescent="0.3">
      <c r="A428">
        <v>151</v>
      </c>
      <c r="B428">
        <v>1</v>
      </c>
      <c r="C428">
        <v>17</v>
      </c>
      <c r="D428" t="str">
        <f>VLOOKUP(B428, Products!$A$2:$C$100, 2, FALSE)</f>
        <v>Trek 820 - 2016</v>
      </c>
      <c r="E428">
        <v>1</v>
      </c>
      <c r="F428">
        <v>429</v>
      </c>
      <c r="G428">
        <v>0.1</v>
      </c>
      <c r="H428">
        <v>42.900000000000006</v>
      </c>
      <c r="I428">
        <f>order_items[[#This Row],[list_price]]-order_items[[#This Row],[Discounted_price]]</f>
        <v>386.1</v>
      </c>
      <c r="J428">
        <f>VLOOKUP(B428, Products!$A$2:$E$100, 3, FALSE)</f>
        <v>9</v>
      </c>
      <c r="K428">
        <f>VLOOKUP(B428, Products!$A$2:$F$100, 4, FALSE)</f>
        <v>6</v>
      </c>
    </row>
    <row r="429" spans="1:11" x14ac:dyDescent="0.3">
      <c r="A429">
        <v>151</v>
      </c>
      <c r="B429">
        <v>2</v>
      </c>
      <c r="C429">
        <v>26</v>
      </c>
      <c r="D429" t="str">
        <f>VLOOKUP(B429, Products!$A$2:$C$100, 2, FALSE)</f>
        <v>Ritchey Timberwolf Frameset - 2016</v>
      </c>
      <c r="E429">
        <v>1</v>
      </c>
      <c r="F429">
        <v>599.99</v>
      </c>
      <c r="G429">
        <v>0.1</v>
      </c>
      <c r="H429">
        <v>59.999000000000002</v>
      </c>
      <c r="I429">
        <f>order_items[[#This Row],[list_price]]-order_items[[#This Row],[Discounted_price]]</f>
        <v>539.99099999999999</v>
      </c>
      <c r="J429">
        <f>VLOOKUP(B429, Products!$A$2:$E$100, 3, FALSE)</f>
        <v>5</v>
      </c>
      <c r="K429">
        <f>VLOOKUP(B429, Products!$A$2:$F$100, 4, FALSE)</f>
        <v>6</v>
      </c>
    </row>
    <row r="430" spans="1:11" x14ac:dyDescent="0.3">
      <c r="A430">
        <v>152</v>
      </c>
      <c r="B430">
        <v>1</v>
      </c>
      <c r="C430">
        <v>6</v>
      </c>
      <c r="D430" t="str">
        <f>VLOOKUP(B430, Products!$A$2:$C$100, 2, FALSE)</f>
        <v>Trek 820 - 2016</v>
      </c>
      <c r="E430">
        <v>2</v>
      </c>
      <c r="F430">
        <v>469.99</v>
      </c>
      <c r="G430">
        <v>0.2</v>
      </c>
      <c r="H430">
        <v>93.998000000000005</v>
      </c>
      <c r="I430">
        <f>order_items[[#This Row],[list_price]]-order_items[[#This Row],[Discounted_price]]</f>
        <v>375.99200000000002</v>
      </c>
      <c r="J430">
        <f>VLOOKUP(B430, Products!$A$2:$E$100, 3, FALSE)</f>
        <v>9</v>
      </c>
      <c r="K430">
        <f>VLOOKUP(B430, Products!$A$2:$F$100, 4, FALSE)</f>
        <v>6</v>
      </c>
    </row>
    <row r="431" spans="1:11" x14ac:dyDescent="0.3">
      <c r="A431">
        <v>152</v>
      </c>
      <c r="B431">
        <v>2</v>
      </c>
      <c r="C431">
        <v>22</v>
      </c>
      <c r="D431" t="str">
        <f>VLOOKUP(B431, Products!$A$2:$C$100, 2, FALSE)</f>
        <v>Ritchey Timberwolf Frameset - 2016</v>
      </c>
      <c r="E431">
        <v>2</v>
      </c>
      <c r="F431">
        <v>269.99</v>
      </c>
      <c r="G431">
        <v>0.2</v>
      </c>
      <c r="H431">
        <v>53.998000000000005</v>
      </c>
      <c r="I431">
        <f>order_items[[#This Row],[list_price]]-order_items[[#This Row],[Discounted_price]]</f>
        <v>215.99200000000002</v>
      </c>
      <c r="J431">
        <f>VLOOKUP(B431, Products!$A$2:$E$100, 3, FALSE)</f>
        <v>5</v>
      </c>
      <c r="K431">
        <f>VLOOKUP(B431, Products!$A$2:$F$100, 4, FALSE)</f>
        <v>6</v>
      </c>
    </row>
    <row r="432" spans="1:11" x14ac:dyDescent="0.3">
      <c r="A432">
        <v>152</v>
      </c>
      <c r="B432">
        <v>3</v>
      </c>
      <c r="C432">
        <v>16</v>
      </c>
      <c r="D432" t="str">
        <f>VLOOKUP(B432, Products!$A$2:$C$100, 2, FALSE)</f>
        <v>Surly Wednesday Frameset - 2016</v>
      </c>
      <c r="E432">
        <v>2</v>
      </c>
      <c r="F432">
        <v>599.99</v>
      </c>
      <c r="G432">
        <v>7.0000000000000007E-2</v>
      </c>
      <c r="H432">
        <v>41.999300000000005</v>
      </c>
      <c r="I432">
        <f>order_items[[#This Row],[list_price]]-order_items[[#This Row],[Discounted_price]]</f>
        <v>557.99070000000006</v>
      </c>
      <c r="J432">
        <f>VLOOKUP(B432, Products!$A$2:$E$100, 3, FALSE)</f>
        <v>8</v>
      </c>
      <c r="K432">
        <f>VLOOKUP(B432, Products!$A$2:$F$100, 4, FALSE)</f>
        <v>6</v>
      </c>
    </row>
    <row r="433" spans="1:11" x14ac:dyDescent="0.3">
      <c r="A433">
        <v>153</v>
      </c>
      <c r="B433">
        <v>1</v>
      </c>
      <c r="C433">
        <v>16</v>
      </c>
      <c r="D433" t="str">
        <f>VLOOKUP(B433, Products!$A$2:$C$100, 2, FALSE)</f>
        <v>Trek 820 - 2016</v>
      </c>
      <c r="E433">
        <v>1</v>
      </c>
      <c r="F433">
        <v>599.99</v>
      </c>
      <c r="G433">
        <v>7.0000000000000007E-2</v>
      </c>
      <c r="H433">
        <v>41.999300000000005</v>
      </c>
      <c r="I433">
        <f>order_items[[#This Row],[list_price]]-order_items[[#This Row],[Discounted_price]]</f>
        <v>557.99070000000006</v>
      </c>
      <c r="J433">
        <f>VLOOKUP(B433, Products!$A$2:$E$100, 3, FALSE)</f>
        <v>9</v>
      </c>
      <c r="K433">
        <f>VLOOKUP(B433, Products!$A$2:$F$100, 4, FALSE)</f>
        <v>6</v>
      </c>
    </row>
    <row r="434" spans="1:11" x14ac:dyDescent="0.3">
      <c r="A434">
        <v>153</v>
      </c>
      <c r="B434">
        <v>2</v>
      </c>
      <c r="C434">
        <v>8</v>
      </c>
      <c r="D434" t="str">
        <f>VLOOKUP(B434, Products!$A$2:$C$100, 2, FALSE)</f>
        <v>Ritchey Timberwolf Frameset - 2016</v>
      </c>
      <c r="E434">
        <v>1</v>
      </c>
      <c r="F434">
        <v>1799.99</v>
      </c>
      <c r="G434">
        <v>7.0000000000000007E-2</v>
      </c>
      <c r="H434">
        <v>125.99930000000002</v>
      </c>
      <c r="I434">
        <f>order_items[[#This Row],[list_price]]-order_items[[#This Row],[Discounted_price]]</f>
        <v>1673.9907000000001</v>
      </c>
      <c r="J434">
        <f>VLOOKUP(B434, Products!$A$2:$E$100, 3, FALSE)</f>
        <v>5</v>
      </c>
      <c r="K434">
        <f>VLOOKUP(B434, Products!$A$2:$F$100, 4, FALSE)</f>
        <v>6</v>
      </c>
    </row>
    <row r="435" spans="1:11" x14ac:dyDescent="0.3">
      <c r="A435">
        <v>153</v>
      </c>
      <c r="B435">
        <v>3</v>
      </c>
      <c r="C435">
        <v>15</v>
      </c>
      <c r="D435" t="str">
        <f>VLOOKUP(B435, Products!$A$2:$C$100, 2, FALSE)</f>
        <v>Surly Wednesday Frameset - 2016</v>
      </c>
      <c r="E435">
        <v>2</v>
      </c>
      <c r="F435">
        <v>529.99</v>
      </c>
      <c r="G435">
        <v>0.05</v>
      </c>
      <c r="H435">
        <v>26.499500000000001</v>
      </c>
      <c r="I435">
        <f>order_items[[#This Row],[list_price]]-order_items[[#This Row],[Discounted_price]]</f>
        <v>503.4905</v>
      </c>
      <c r="J435">
        <f>VLOOKUP(B435, Products!$A$2:$E$100, 3, FALSE)</f>
        <v>8</v>
      </c>
      <c r="K435">
        <f>VLOOKUP(B435, Products!$A$2:$F$100, 4, FALSE)</f>
        <v>6</v>
      </c>
    </row>
    <row r="436" spans="1:11" x14ac:dyDescent="0.3">
      <c r="A436">
        <v>154</v>
      </c>
      <c r="B436">
        <v>1</v>
      </c>
      <c r="C436">
        <v>12</v>
      </c>
      <c r="D436" t="str">
        <f>VLOOKUP(B436, Products!$A$2:$C$100, 2, FALSE)</f>
        <v>Trek 820 - 2016</v>
      </c>
      <c r="E436">
        <v>1</v>
      </c>
      <c r="F436">
        <v>549.99</v>
      </c>
      <c r="G436">
        <v>0.1</v>
      </c>
      <c r="H436">
        <v>54.999000000000002</v>
      </c>
      <c r="I436">
        <f>order_items[[#This Row],[list_price]]-order_items[[#This Row],[Discounted_price]]</f>
        <v>494.99099999999999</v>
      </c>
      <c r="J436">
        <f>VLOOKUP(B436, Products!$A$2:$E$100, 3, FALSE)</f>
        <v>9</v>
      </c>
      <c r="K436">
        <f>VLOOKUP(B436, Products!$A$2:$F$100, 4, FALSE)</f>
        <v>6</v>
      </c>
    </row>
    <row r="437" spans="1:11" x14ac:dyDescent="0.3">
      <c r="A437">
        <v>155</v>
      </c>
      <c r="B437">
        <v>1</v>
      </c>
      <c r="C437">
        <v>8</v>
      </c>
      <c r="D437" t="str">
        <f>VLOOKUP(B437, Products!$A$2:$C$100, 2, FALSE)</f>
        <v>Trek 820 - 2016</v>
      </c>
      <c r="E437">
        <v>1</v>
      </c>
      <c r="F437">
        <v>1799.99</v>
      </c>
      <c r="G437">
        <v>0.1</v>
      </c>
      <c r="H437">
        <v>179.99900000000002</v>
      </c>
      <c r="I437">
        <f>order_items[[#This Row],[list_price]]-order_items[[#This Row],[Discounted_price]]</f>
        <v>1619.991</v>
      </c>
      <c r="J437">
        <f>VLOOKUP(B437, Products!$A$2:$E$100, 3, FALSE)</f>
        <v>9</v>
      </c>
      <c r="K437">
        <f>VLOOKUP(B437, Products!$A$2:$F$100, 4, FALSE)</f>
        <v>6</v>
      </c>
    </row>
    <row r="438" spans="1:11" x14ac:dyDescent="0.3">
      <c r="A438">
        <v>156</v>
      </c>
      <c r="B438">
        <v>1</v>
      </c>
      <c r="C438">
        <v>18</v>
      </c>
      <c r="D438" t="str">
        <f>VLOOKUP(B438, Products!$A$2:$C$100, 2, FALSE)</f>
        <v>Trek 820 - 2016</v>
      </c>
      <c r="E438">
        <v>2</v>
      </c>
      <c r="F438">
        <v>449</v>
      </c>
      <c r="G438">
        <v>0.2</v>
      </c>
      <c r="H438">
        <v>89.800000000000011</v>
      </c>
      <c r="I438">
        <f>order_items[[#This Row],[list_price]]-order_items[[#This Row],[Discounted_price]]</f>
        <v>359.2</v>
      </c>
      <c r="J438">
        <f>VLOOKUP(B438, Products!$A$2:$E$100, 3, FALSE)</f>
        <v>9</v>
      </c>
      <c r="K438">
        <f>VLOOKUP(B438, Products!$A$2:$F$100, 4, FALSE)</f>
        <v>6</v>
      </c>
    </row>
    <row r="439" spans="1:11" x14ac:dyDescent="0.3">
      <c r="A439">
        <v>156</v>
      </c>
      <c r="B439">
        <v>2</v>
      </c>
      <c r="C439">
        <v>17</v>
      </c>
      <c r="D439" t="str">
        <f>VLOOKUP(B439, Products!$A$2:$C$100, 2, FALSE)</f>
        <v>Ritchey Timberwolf Frameset - 2016</v>
      </c>
      <c r="E439">
        <v>2</v>
      </c>
      <c r="F439">
        <v>429</v>
      </c>
      <c r="G439">
        <v>0.05</v>
      </c>
      <c r="H439">
        <v>21.450000000000003</v>
      </c>
      <c r="I439">
        <f>order_items[[#This Row],[list_price]]-order_items[[#This Row],[Discounted_price]]</f>
        <v>407.55</v>
      </c>
      <c r="J439">
        <f>VLOOKUP(B439, Products!$A$2:$E$100, 3, FALSE)</f>
        <v>5</v>
      </c>
      <c r="K439">
        <f>VLOOKUP(B439, Products!$A$2:$F$100, 4, FALSE)</f>
        <v>6</v>
      </c>
    </row>
    <row r="440" spans="1:11" x14ac:dyDescent="0.3">
      <c r="A440">
        <v>156</v>
      </c>
      <c r="B440">
        <v>3</v>
      </c>
      <c r="C440">
        <v>6</v>
      </c>
      <c r="D440" t="str">
        <f>VLOOKUP(B440, Products!$A$2:$C$100, 2, FALSE)</f>
        <v>Surly Wednesday Frameset - 2016</v>
      </c>
      <c r="E440">
        <v>1</v>
      </c>
      <c r="F440">
        <v>469.99</v>
      </c>
      <c r="G440">
        <v>7.0000000000000007E-2</v>
      </c>
      <c r="H440">
        <v>32.899300000000004</v>
      </c>
      <c r="I440">
        <f>order_items[[#This Row],[list_price]]-order_items[[#This Row],[Discounted_price]]</f>
        <v>437.09070000000003</v>
      </c>
      <c r="J440">
        <f>VLOOKUP(B440, Products!$A$2:$E$100, 3, FALSE)</f>
        <v>8</v>
      </c>
      <c r="K440">
        <f>VLOOKUP(B440, Products!$A$2:$F$100, 4, FALSE)</f>
        <v>6</v>
      </c>
    </row>
    <row r="441" spans="1:11" x14ac:dyDescent="0.3">
      <c r="A441">
        <v>157</v>
      </c>
      <c r="B441">
        <v>1</v>
      </c>
      <c r="C441">
        <v>4</v>
      </c>
      <c r="D441" t="str">
        <f>VLOOKUP(B441, Products!$A$2:$C$100, 2, FALSE)</f>
        <v>Trek 820 - 2016</v>
      </c>
      <c r="E441">
        <v>1</v>
      </c>
      <c r="F441">
        <v>2899.99</v>
      </c>
      <c r="G441">
        <v>0.1</v>
      </c>
      <c r="H441">
        <v>289.99899999999997</v>
      </c>
      <c r="I441">
        <f>order_items[[#This Row],[list_price]]-order_items[[#This Row],[Discounted_price]]</f>
        <v>2609.991</v>
      </c>
      <c r="J441">
        <f>VLOOKUP(B441, Products!$A$2:$E$100, 3, FALSE)</f>
        <v>9</v>
      </c>
      <c r="K441">
        <f>VLOOKUP(B441, Products!$A$2:$F$100, 4, FALSE)</f>
        <v>6</v>
      </c>
    </row>
    <row r="442" spans="1:11" x14ac:dyDescent="0.3">
      <c r="A442">
        <v>157</v>
      </c>
      <c r="B442">
        <v>2</v>
      </c>
      <c r="C442">
        <v>7</v>
      </c>
      <c r="D442" t="str">
        <f>VLOOKUP(B442, Products!$A$2:$C$100, 2, FALSE)</f>
        <v>Ritchey Timberwolf Frameset - 2016</v>
      </c>
      <c r="E442">
        <v>2</v>
      </c>
      <c r="F442">
        <v>3999.99</v>
      </c>
      <c r="G442">
        <v>7.0000000000000007E-2</v>
      </c>
      <c r="H442">
        <v>279.99930000000001</v>
      </c>
      <c r="I442">
        <f>order_items[[#This Row],[list_price]]-order_items[[#This Row],[Discounted_price]]</f>
        <v>3719.9906999999998</v>
      </c>
      <c r="J442">
        <f>VLOOKUP(B442, Products!$A$2:$E$100, 3, FALSE)</f>
        <v>5</v>
      </c>
      <c r="K442">
        <f>VLOOKUP(B442, Products!$A$2:$F$100, 4, FALSE)</f>
        <v>6</v>
      </c>
    </row>
    <row r="443" spans="1:11" x14ac:dyDescent="0.3">
      <c r="A443">
        <v>158</v>
      </c>
      <c r="B443">
        <v>1</v>
      </c>
      <c r="C443">
        <v>24</v>
      </c>
      <c r="D443" t="str">
        <f>VLOOKUP(B443, Products!$A$2:$C$100, 2, FALSE)</f>
        <v>Trek 820 - 2016</v>
      </c>
      <c r="E443">
        <v>1</v>
      </c>
      <c r="F443">
        <v>549.99</v>
      </c>
      <c r="G443">
        <v>0.1</v>
      </c>
      <c r="H443">
        <v>54.999000000000002</v>
      </c>
      <c r="I443">
        <f>order_items[[#This Row],[list_price]]-order_items[[#This Row],[Discounted_price]]</f>
        <v>494.99099999999999</v>
      </c>
      <c r="J443">
        <f>VLOOKUP(B443, Products!$A$2:$E$100, 3, FALSE)</f>
        <v>9</v>
      </c>
      <c r="K443">
        <f>VLOOKUP(B443, Products!$A$2:$F$100, 4, FALSE)</f>
        <v>6</v>
      </c>
    </row>
    <row r="444" spans="1:11" x14ac:dyDescent="0.3">
      <c r="A444">
        <v>159</v>
      </c>
      <c r="B444">
        <v>1</v>
      </c>
      <c r="C444">
        <v>13</v>
      </c>
      <c r="D444" t="str">
        <f>VLOOKUP(B444, Products!$A$2:$C$100, 2, FALSE)</f>
        <v>Trek 820 - 2016</v>
      </c>
      <c r="E444">
        <v>1</v>
      </c>
      <c r="F444">
        <v>269.99</v>
      </c>
      <c r="G444">
        <v>0.2</v>
      </c>
      <c r="H444">
        <v>53.998000000000005</v>
      </c>
      <c r="I444">
        <f>order_items[[#This Row],[list_price]]-order_items[[#This Row],[Discounted_price]]</f>
        <v>215.99200000000002</v>
      </c>
      <c r="J444">
        <f>VLOOKUP(B444, Products!$A$2:$E$100, 3, FALSE)</f>
        <v>9</v>
      </c>
      <c r="K444">
        <f>VLOOKUP(B444, Products!$A$2:$F$100, 4, FALSE)</f>
        <v>6</v>
      </c>
    </row>
    <row r="445" spans="1:11" x14ac:dyDescent="0.3">
      <c r="A445">
        <v>160</v>
      </c>
      <c r="B445">
        <v>1</v>
      </c>
      <c r="C445">
        <v>21</v>
      </c>
      <c r="D445" t="str">
        <f>VLOOKUP(B445, Products!$A$2:$C$100, 2, FALSE)</f>
        <v>Trek 820 - 2016</v>
      </c>
      <c r="E445">
        <v>1</v>
      </c>
      <c r="F445">
        <v>269.99</v>
      </c>
      <c r="G445">
        <v>7.0000000000000007E-2</v>
      </c>
      <c r="H445">
        <v>18.899300000000004</v>
      </c>
      <c r="I445">
        <f>order_items[[#This Row],[list_price]]-order_items[[#This Row],[Discounted_price]]</f>
        <v>251.0907</v>
      </c>
      <c r="J445">
        <f>VLOOKUP(B445, Products!$A$2:$E$100, 3, FALSE)</f>
        <v>9</v>
      </c>
      <c r="K445">
        <f>VLOOKUP(B445, Products!$A$2:$F$100, 4, FALSE)</f>
        <v>6</v>
      </c>
    </row>
    <row r="446" spans="1:11" x14ac:dyDescent="0.3">
      <c r="A446">
        <v>160</v>
      </c>
      <c r="B446">
        <v>2</v>
      </c>
      <c r="C446">
        <v>15</v>
      </c>
      <c r="D446" t="str">
        <f>VLOOKUP(B446, Products!$A$2:$C$100, 2, FALSE)</f>
        <v>Ritchey Timberwolf Frameset - 2016</v>
      </c>
      <c r="E446">
        <v>2</v>
      </c>
      <c r="F446">
        <v>529.99</v>
      </c>
      <c r="G446">
        <v>7.0000000000000007E-2</v>
      </c>
      <c r="H446">
        <v>37.099300000000007</v>
      </c>
      <c r="I446">
        <f>order_items[[#This Row],[list_price]]-order_items[[#This Row],[Discounted_price]]</f>
        <v>492.89069999999998</v>
      </c>
      <c r="J446">
        <f>VLOOKUP(B446, Products!$A$2:$E$100, 3, FALSE)</f>
        <v>5</v>
      </c>
      <c r="K446">
        <f>VLOOKUP(B446, Products!$A$2:$F$100, 4, FALSE)</f>
        <v>6</v>
      </c>
    </row>
    <row r="447" spans="1:11" x14ac:dyDescent="0.3">
      <c r="A447">
        <v>160</v>
      </c>
      <c r="B447">
        <v>3</v>
      </c>
      <c r="C447">
        <v>18</v>
      </c>
      <c r="D447" t="str">
        <f>VLOOKUP(B447, Products!$A$2:$C$100, 2, FALSE)</f>
        <v>Surly Wednesday Frameset - 2016</v>
      </c>
      <c r="E447">
        <v>2</v>
      </c>
      <c r="F447">
        <v>449</v>
      </c>
      <c r="G447">
        <v>0.1</v>
      </c>
      <c r="H447">
        <v>44.900000000000006</v>
      </c>
      <c r="I447">
        <f>order_items[[#This Row],[list_price]]-order_items[[#This Row],[Discounted_price]]</f>
        <v>404.1</v>
      </c>
      <c r="J447">
        <f>VLOOKUP(B447, Products!$A$2:$E$100, 3, FALSE)</f>
        <v>8</v>
      </c>
      <c r="K447">
        <f>VLOOKUP(B447, Products!$A$2:$F$100, 4, FALSE)</f>
        <v>6</v>
      </c>
    </row>
    <row r="448" spans="1:11" x14ac:dyDescent="0.3">
      <c r="A448">
        <v>160</v>
      </c>
      <c r="B448">
        <v>4</v>
      </c>
      <c r="C448">
        <v>11</v>
      </c>
      <c r="D448" t="str">
        <f>VLOOKUP(B448, Products!$A$2:$C$100, 2, FALSE)</f>
        <v>Trek Fuel EX 8 29 - 2016</v>
      </c>
      <c r="E448">
        <v>1</v>
      </c>
      <c r="F448">
        <v>1680.99</v>
      </c>
      <c r="G448">
        <v>0.05</v>
      </c>
      <c r="H448">
        <v>84.049500000000009</v>
      </c>
      <c r="I448">
        <f>order_items[[#This Row],[list_price]]-order_items[[#This Row],[Discounted_price]]</f>
        <v>1596.9404999999999</v>
      </c>
      <c r="J448">
        <f>VLOOKUP(B448, Products!$A$2:$E$100, 3, FALSE)</f>
        <v>9</v>
      </c>
      <c r="K448">
        <f>VLOOKUP(B448, Products!$A$2:$F$100, 4, FALSE)</f>
        <v>6</v>
      </c>
    </row>
    <row r="449" spans="1:11" x14ac:dyDescent="0.3">
      <c r="A449">
        <v>161</v>
      </c>
      <c r="B449">
        <v>1</v>
      </c>
      <c r="C449">
        <v>24</v>
      </c>
      <c r="D449" t="str">
        <f>VLOOKUP(B449, Products!$A$2:$C$100, 2, FALSE)</f>
        <v>Trek 820 - 2016</v>
      </c>
      <c r="E449">
        <v>2</v>
      </c>
      <c r="F449">
        <v>549.99</v>
      </c>
      <c r="G449">
        <v>7.0000000000000007E-2</v>
      </c>
      <c r="H449">
        <v>38.499300000000005</v>
      </c>
      <c r="I449">
        <f>order_items[[#This Row],[list_price]]-order_items[[#This Row],[Discounted_price]]</f>
        <v>511.4907</v>
      </c>
      <c r="J449">
        <f>VLOOKUP(B449, Products!$A$2:$E$100, 3, FALSE)</f>
        <v>9</v>
      </c>
      <c r="K449">
        <f>VLOOKUP(B449, Products!$A$2:$F$100, 4, FALSE)</f>
        <v>6</v>
      </c>
    </row>
    <row r="450" spans="1:11" x14ac:dyDescent="0.3">
      <c r="A450">
        <v>161</v>
      </c>
      <c r="B450">
        <v>2</v>
      </c>
      <c r="C450">
        <v>22</v>
      </c>
      <c r="D450" t="str">
        <f>VLOOKUP(B450, Products!$A$2:$C$100, 2, FALSE)</f>
        <v>Ritchey Timberwolf Frameset - 2016</v>
      </c>
      <c r="E450">
        <v>1</v>
      </c>
      <c r="F450">
        <v>269.99</v>
      </c>
      <c r="G450">
        <v>0.05</v>
      </c>
      <c r="H450">
        <v>13.499500000000001</v>
      </c>
      <c r="I450">
        <f>order_items[[#This Row],[list_price]]-order_items[[#This Row],[Discounted_price]]</f>
        <v>256.4905</v>
      </c>
      <c r="J450">
        <f>VLOOKUP(B450, Products!$A$2:$E$100, 3, FALSE)</f>
        <v>5</v>
      </c>
      <c r="K450">
        <f>VLOOKUP(B450, Products!$A$2:$F$100, 4, FALSE)</f>
        <v>6</v>
      </c>
    </row>
    <row r="451" spans="1:11" x14ac:dyDescent="0.3">
      <c r="A451">
        <v>161</v>
      </c>
      <c r="B451">
        <v>3</v>
      </c>
      <c r="C451">
        <v>7</v>
      </c>
      <c r="D451" t="str">
        <f>VLOOKUP(B451, Products!$A$2:$C$100, 2, FALSE)</f>
        <v>Surly Wednesday Frameset - 2016</v>
      </c>
      <c r="E451">
        <v>2</v>
      </c>
      <c r="F451">
        <v>3999.99</v>
      </c>
      <c r="G451">
        <v>0.05</v>
      </c>
      <c r="H451">
        <v>199.99950000000001</v>
      </c>
      <c r="I451">
        <f>order_items[[#This Row],[list_price]]-order_items[[#This Row],[Discounted_price]]</f>
        <v>3799.9904999999999</v>
      </c>
      <c r="J451">
        <f>VLOOKUP(B451, Products!$A$2:$E$100, 3, FALSE)</f>
        <v>8</v>
      </c>
      <c r="K451">
        <f>VLOOKUP(B451, Products!$A$2:$F$100, 4, FALSE)</f>
        <v>6</v>
      </c>
    </row>
    <row r="452" spans="1:11" x14ac:dyDescent="0.3">
      <c r="A452">
        <v>162</v>
      </c>
      <c r="B452">
        <v>1</v>
      </c>
      <c r="C452">
        <v>18</v>
      </c>
      <c r="D452" t="str">
        <f>VLOOKUP(B452, Products!$A$2:$C$100, 2, FALSE)</f>
        <v>Trek 820 - 2016</v>
      </c>
      <c r="E452">
        <v>1</v>
      </c>
      <c r="F452">
        <v>449</v>
      </c>
      <c r="G452">
        <v>7.0000000000000007E-2</v>
      </c>
      <c r="H452">
        <v>31.430000000000003</v>
      </c>
      <c r="I452">
        <f>order_items[[#This Row],[list_price]]-order_items[[#This Row],[Discounted_price]]</f>
        <v>417.57</v>
      </c>
      <c r="J452">
        <f>VLOOKUP(B452, Products!$A$2:$E$100, 3, FALSE)</f>
        <v>9</v>
      </c>
      <c r="K452">
        <f>VLOOKUP(B452, Products!$A$2:$F$100, 4, FALSE)</f>
        <v>6</v>
      </c>
    </row>
    <row r="453" spans="1:11" x14ac:dyDescent="0.3">
      <c r="A453">
        <v>162</v>
      </c>
      <c r="B453">
        <v>2</v>
      </c>
      <c r="C453">
        <v>21</v>
      </c>
      <c r="D453" t="str">
        <f>VLOOKUP(B453, Products!$A$2:$C$100, 2, FALSE)</f>
        <v>Ritchey Timberwolf Frameset - 2016</v>
      </c>
      <c r="E453">
        <v>2</v>
      </c>
      <c r="F453">
        <v>269.99</v>
      </c>
      <c r="G453">
        <v>7.0000000000000007E-2</v>
      </c>
      <c r="H453">
        <v>18.899300000000004</v>
      </c>
      <c r="I453">
        <f>order_items[[#This Row],[list_price]]-order_items[[#This Row],[Discounted_price]]</f>
        <v>251.0907</v>
      </c>
      <c r="J453">
        <f>VLOOKUP(B453, Products!$A$2:$E$100, 3, FALSE)</f>
        <v>5</v>
      </c>
      <c r="K453">
        <f>VLOOKUP(B453, Products!$A$2:$F$100, 4, FALSE)</f>
        <v>6</v>
      </c>
    </row>
    <row r="454" spans="1:11" x14ac:dyDescent="0.3">
      <c r="A454">
        <v>162</v>
      </c>
      <c r="B454">
        <v>3</v>
      </c>
      <c r="C454">
        <v>3</v>
      </c>
      <c r="D454" t="str">
        <f>VLOOKUP(B454, Products!$A$2:$C$100, 2, FALSE)</f>
        <v>Surly Wednesday Frameset - 2016</v>
      </c>
      <c r="E454">
        <v>2</v>
      </c>
      <c r="F454">
        <v>999.99</v>
      </c>
      <c r="G454">
        <v>0.1</v>
      </c>
      <c r="H454">
        <v>99.999000000000009</v>
      </c>
      <c r="I454">
        <f>order_items[[#This Row],[list_price]]-order_items[[#This Row],[Discounted_price]]</f>
        <v>899.99099999999999</v>
      </c>
      <c r="J454">
        <f>VLOOKUP(B454, Products!$A$2:$E$100, 3, FALSE)</f>
        <v>8</v>
      </c>
      <c r="K454">
        <f>VLOOKUP(B454, Products!$A$2:$F$100, 4, FALSE)</f>
        <v>6</v>
      </c>
    </row>
    <row r="455" spans="1:11" x14ac:dyDescent="0.3">
      <c r="A455">
        <v>163</v>
      </c>
      <c r="B455">
        <v>1</v>
      </c>
      <c r="C455">
        <v>12</v>
      </c>
      <c r="D455" t="str">
        <f>VLOOKUP(B455, Products!$A$2:$C$100, 2, FALSE)</f>
        <v>Trek 820 - 2016</v>
      </c>
      <c r="E455">
        <v>1</v>
      </c>
      <c r="F455">
        <v>549.99</v>
      </c>
      <c r="G455">
        <v>0.1</v>
      </c>
      <c r="H455">
        <v>54.999000000000002</v>
      </c>
      <c r="I455">
        <f>order_items[[#This Row],[list_price]]-order_items[[#This Row],[Discounted_price]]</f>
        <v>494.99099999999999</v>
      </c>
      <c r="J455">
        <f>VLOOKUP(B455, Products!$A$2:$E$100, 3, FALSE)</f>
        <v>9</v>
      </c>
      <c r="K455">
        <f>VLOOKUP(B455, Products!$A$2:$F$100, 4, FALSE)</f>
        <v>6</v>
      </c>
    </row>
    <row r="456" spans="1:11" x14ac:dyDescent="0.3">
      <c r="A456">
        <v>163</v>
      </c>
      <c r="B456">
        <v>2</v>
      </c>
      <c r="C456">
        <v>18</v>
      </c>
      <c r="D456" t="str">
        <f>VLOOKUP(B456, Products!$A$2:$C$100, 2, FALSE)</f>
        <v>Ritchey Timberwolf Frameset - 2016</v>
      </c>
      <c r="E456">
        <v>1</v>
      </c>
      <c r="F456">
        <v>449</v>
      </c>
      <c r="G456">
        <v>0.2</v>
      </c>
      <c r="H456">
        <v>89.800000000000011</v>
      </c>
      <c r="I456">
        <f>order_items[[#This Row],[list_price]]-order_items[[#This Row],[Discounted_price]]</f>
        <v>359.2</v>
      </c>
      <c r="J456">
        <f>VLOOKUP(B456, Products!$A$2:$E$100, 3, FALSE)</f>
        <v>5</v>
      </c>
      <c r="K456">
        <f>VLOOKUP(B456, Products!$A$2:$F$100, 4, FALSE)</f>
        <v>6</v>
      </c>
    </row>
    <row r="457" spans="1:11" x14ac:dyDescent="0.3">
      <c r="A457">
        <v>164</v>
      </c>
      <c r="B457">
        <v>1</v>
      </c>
      <c r="C457">
        <v>4</v>
      </c>
      <c r="D457" t="str">
        <f>VLOOKUP(B457, Products!$A$2:$C$100, 2, FALSE)</f>
        <v>Trek 820 - 2016</v>
      </c>
      <c r="E457">
        <v>2</v>
      </c>
      <c r="F457">
        <v>2899.99</v>
      </c>
      <c r="G457">
        <v>0.05</v>
      </c>
      <c r="H457">
        <v>144.99949999999998</v>
      </c>
      <c r="I457">
        <f>order_items[[#This Row],[list_price]]-order_items[[#This Row],[Discounted_price]]</f>
        <v>2754.9904999999999</v>
      </c>
      <c r="J457">
        <f>VLOOKUP(B457, Products!$A$2:$E$100, 3, FALSE)</f>
        <v>9</v>
      </c>
      <c r="K457">
        <f>VLOOKUP(B457, Products!$A$2:$F$100, 4, FALSE)</f>
        <v>6</v>
      </c>
    </row>
    <row r="458" spans="1:11" x14ac:dyDescent="0.3">
      <c r="A458">
        <v>164</v>
      </c>
      <c r="B458">
        <v>2</v>
      </c>
      <c r="C458">
        <v>10</v>
      </c>
      <c r="D458" t="str">
        <f>VLOOKUP(B458, Products!$A$2:$C$100, 2, FALSE)</f>
        <v>Ritchey Timberwolf Frameset - 2016</v>
      </c>
      <c r="E458">
        <v>2</v>
      </c>
      <c r="F458">
        <v>1549</v>
      </c>
      <c r="G458">
        <v>0.05</v>
      </c>
      <c r="H458">
        <v>77.45</v>
      </c>
      <c r="I458">
        <f>order_items[[#This Row],[list_price]]-order_items[[#This Row],[Discounted_price]]</f>
        <v>1471.55</v>
      </c>
      <c r="J458">
        <f>VLOOKUP(B458, Products!$A$2:$E$100, 3, FALSE)</f>
        <v>5</v>
      </c>
      <c r="K458">
        <f>VLOOKUP(B458, Products!$A$2:$F$100, 4, FALSE)</f>
        <v>6</v>
      </c>
    </row>
    <row r="459" spans="1:11" x14ac:dyDescent="0.3">
      <c r="A459">
        <v>164</v>
      </c>
      <c r="B459">
        <v>3</v>
      </c>
      <c r="C459">
        <v>14</v>
      </c>
      <c r="D459" t="str">
        <f>VLOOKUP(B459, Products!$A$2:$C$100, 2, FALSE)</f>
        <v>Surly Wednesday Frameset - 2016</v>
      </c>
      <c r="E459">
        <v>1</v>
      </c>
      <c r="F459">
        <v>269.99</v>
      </c>
      <c r="G459">
        <v>0.1</v>
      </c>
      <c r="H459">
        <v>26.999000000000002</v>
      </c>
      <c r="I459">
        <f>order_items[[#This Row],[list_price]]-order_items[[#This Row],[Discounted_price]]</f>
        <v>242.99100000000001</v>
      </c>
      <c r="J459">
        <f>VLOOKUP(B459, Products!$A$2:$E$100, 3, FALSE)</f>
        <v>8</v>
      </c>
      <c r="K459">
        <f>VLOOKUP(B459, Products!$A$2:$F$100, 4, FALSE)</f>
        <v>6</v>
      </c>
    </row>
    <row r="460" spans="1:11" x14ac:dyDescent="0.3">
      <c r="A460">
        <v>165</v>
      </c>
      <c r="B460">
        <v>1</v>
      </c>
      <c r="C460">
        <v>4</v>
      </c>
      <c r="D460" t="str">
        <f>VLOOKUP(B460, Products!$A$2:$C$100, 2, FALSE)</f>
        <v>Trek 820 - 2016</v>
      </c>
      <c r="E460">
        <v>2</v>
      </c>
      <c r="F460">
        <v>2899.99</v>
      </c>
      <c r="G460">
        <v>0.05</v>
      </c>
      <c r="H460">
        <v>144.99949999999998</v>
      </c>
      <c r="I460">
        <f>order_items[[#This Row],[list_price]]-order_items[[#This Row],[Discounted_price]]</f>
        <v>2754.9904999999999</v>
      </c>
      <c r="J460">
        <f>VLOOKUP(B460, Products!$A$2:$E$100, 3, FALSE)</f>
        <v>9</v>
      </c>
      <c r="K460">
        <f>VLOOKUP(B460, Products!$A$2:$F$100, 4, FALSE)</f>
        <v>6</v>
      </c>
    </row>
    <row r="461" spans="1:11" x14ac:dyDescent="0.3">
      <c r="A461">
        <v>165</v>
      </c>
      <c r="B461">
        <v>2</v>
      </c>
      <c r="C461">
        <v>23</v>
      </c>
      <c r="D461" t="str">
        <f>VLOOKUP(B461, Products!$A$2:$C$100, 2, FALSE)</f>
        <v>Ritchey Timberwolf Frameset - 2016</v>
      </c>
      <c r="E461">
        <v>1</v>
      </c>
      <c r="F461">
        <v>299.99</v>
      </c>
      <c r="G461">
        <v>0.2</v>
      </c>
      <c r="H461">
        <v>59.998000000000005</v>
      </c>
      <c r="I461">
        <f>order_items[[#This Row],[list_price]]-order_items[[#This Row],[Discounted_price]]</f>
        <v>239.99200000000002</v>
      </c>
      <c r="J461">
        <f>VLOOKUP(B461, Products!$A$2:$E$100, 3, FALSE)</f>
        <v>5</v>
      </c>
      <c r="K461">
        <f>VLOOKUP(B461, Products!$A$2:$F$100, 4, FALSE)</f>
        <v>6</v>
      </c>
    </row>
    <row r="462" spans="1:11" x14ac:dyDescent="0.3">
      <c r="A462">
        <v>165</v>
      </c>
      <c r="B462">
        <v>3</v>
      </c>
      <c r="C462">
        <v>2</v>
      </c>
      <c r="D462" t="str">
        <f>VLOOKUP(B462, Products!$A$2:$C$100, 2, FALSE)</f>
        <v>Surly Wednesday Frameset - 2016</v>
      </c>
      <c r="E462">
        <v>1</v>
      </c>
      <c r="F462">
        <v>749.99</v>
      </c>
      <c r="G462">
        <v>0.05</v>
      </c>
      <c r="H462">
        <v>37.499500000000005</v>
      </c>
      <c r="I462">
        <f>order_items[[#This Row],[list_price]]-order_items[[#This Row],[Discounted_price]]</f>
        <v>712.4905</v>
      </c>
      <c r="J462">
        <f>VLOOKUP(B462, Products!$A$2:$E$100, 3, FALSE)</f>
        <v>8</v>
      </c>
      <c r="K462">
        <f>VLOOKUP(B462, Products!$A$2:$F$100, 4, FALSE)</f>
        <v>6</v>
      </c>
    </row>
    <row r="463" spans="1:11" x14ac:dyDescent="0.3">
      <c r="A463">
        <v>166</v>
      </c>
      <c r="B463">
        <v>1</v>
      </c>
      <c r="C463">
        <v>10</v>
      </c>
      <c r="D463" t="str">
        <f>VLOOKUP(B463, Products!$A$2:$C$100, 2, FALSE)</f>
        <v>Trek 820 - 2016</v>
      </c>
      <c r="E463">
        <v>2</v>
      </c>
      <c r="F463">
        <v>1549</v>
      </c>
      <c r="G463">
        <v>0.1</v>
      </c>
      <c r="H463">
        <v>154.9</v>
      </c>
      <c r="I463">
        <f>order_items[[#This Row],[list_price]]-order_items[[#This Row],[Discounted_price]]</f>
        <v>1394.1</v>
      </c>
      <c r="J463">
        <f>VLOOKUP(B463, Products!$A$2:$E$100, 3, FALSE)</f>
        <v>9</v>
      </c>
      <c r="K463">
        <f>VLOOKUP(B463, Products!$A$2:$F$100, 4, FALSE)</f>
        <v>6</v>
      </c>
    </row>
    <row r="464" spans="1:11" x14ac:dyDescent="0.3">
      <c r="A464">
        <v>166</v>
      </c>
      <c r="B464">
        <v>2</v>
      </c>
      <c r="C464">
        <v>11</v>
      </c>
      <c r="D464" t="str">
        <f>VLOOKUP(B464, Products!$A$2:$C$100, 2, FALSE)</f>
        <v>Ritchey Timberwolf Frameset - 2016</v>
      </c>
      <c r="E464">
        <v>1</v>
      </c>
      <c r="F464">
        <v>1680.99</v>
      </c>
      <c r="G464">
        <v>0.2</v>
      </c>
      <c r="H464">
        <v>336.19800000000004</v>
      </c>
      <c r="I464">
        <f>order_items[[#This Row],[list_price]]-order_items[[#This Row],[Discounted_price]]</f>
        <v>1344.7919999999999</v>
      </c>
      <c r="J464">
        <f>VLOOKUP(B464, Products!$A$2:$E$100, 3, FALSE)</f>
        <v>5</v>
      </c>
      <c r="K464">
        <f>VLOOKUP(B464, Products!$A$2:$F$100, 4, FALSE)</f>
        <v>6</v>
      </c>
    </row>
    <row r="465" spans="1:11" x14ac:dyDescent="0.3">
      <c r="A465">
        <v>167</v>
      </c>
      <c r="B465">
        <v>1</v>
      </c>
      <c r="C465">
        <v>12</v>
      </c>
      <c r="D465" t="str">
        <f>VLOOKUP(B465, Products!$A$2:$C$100, 2, FALSE)</f>
        <v>Trek 820 - 2016</v>
      </c>
      <c r="E465">
        <v>1</v>
      </c>
      <c r="F465">
        <v>549.99</v>
      </c>
      <c r="G465">
        <v>0.05</v>
      </c>
      <c r="H465">
        <v>27.499500000000001</v>
      </c>
      <c r="I465">
        <f>order_items[[#This Row],[list_price]]-order_items[[#This Row],[Discounted_price]]</f>
        <v>522.4905</v>
      </c>
      <c r="J465">
        <f>VLOOKUP(B465, Products!$A$2:$E$100, 3, FALSE)</f>
        <v>9</v>
      </c>
      <c r="K465">
        <f>VLOOKUP(B465, Products!$A$2:$F$100, 4, FALSE)</f>
        <v>6</v>
      </c>
    </row>
    <row r="466" spans="1:11" x14ac:dyDescent="0.3">
      <c r="A466">
        <v>167</v>
      </c>
      <c r="B466">
        <v>2</v>
      </c>
      <c r="C466">
        <v>10</v>
      </c>
      <c r="D466" t="str">
        <f>VLOOKUP(B466, Products!$A$2:$C$100, 2, FALSE)</f>
        <v>Ritchey Timberwolf Frameset - 2016</v>
      </c>
      <c r="E466">
        <v>1</v>
      </c>
      <c r="F466">
        <v>1549</v>
      </c>
      <c r="G466">
        <v>0.2</v>
      </c>
      <c r="H466">
        <v>309.8</v>
      </c>
      <c r="I466">
        <f>order_items[[#This Row],[list_price]]-order_items[[#This Row],[Discounted_price]]</f>
        <v>1239.2</v>
      </c>
      <c r="J466">
        <f>VLOOKUP(B466, Products!$A$2:$E$100, 3, FALSE)</f>
        <v>5</v>
      </c>
      <c r="K466">
        <f>VLOOKUP(B466, Products!$A$2:$F$100, 4, FALSE)</f>
        <v>6</v>
      </c>
    </row>
    <row r="467" spans="1:11" x14ac:dyDescent="0.3">
      <c r="A467">
        <v>167</v>
      </c>
      <c r="B467">
        <v>3</v>
      </c>
      <c r="C467">
        <v>13</v>
      </c>
      <c r="D467" t="str">
        <f>VLOOKUP(B467, Products!$A$2:$C$100, 2, FALSE)</f>
        <v>Surly Wednesday Frameset - 2016</v>
      </c>
      <c r="E467">
        <v>2</v>
      </c>
      <c r="F467">
        <v>269.99</v>
      </c>
      <c r="G467">
        <v>0.05</v>
      </c>
      <c r="H467">
        <v>13.499500000000001</v>
      </c>
      <c r="I467">
        <f>order_items[[#This Row],[list_price]]-order_items[[#This Row],[Discounted_price]]</f>
        <v>256.4905</v>
      </c>
      <c r="J467">
        <f>VLOOKUP(B467, Products!$A$2:$E$100, 3, FALSE)</f>
        <v>8</v>
      </c>
      <c r="K467">
        <f>VLOOKUP(B467, Products!$A$2:$F$100, 4, FALSE)</f>
        <v>6</v>
      </c>
    </row>
    <row r="468" spans="1:11" x14ac:dyDescent="0.3">
      <c r="A468">
        <v>167</v>
      </c>
      <c r="B468">
        <v>4</v>
      </c>
      <c r="C468">
        <v>7</v>
      </c>
      <c r="D468" t="str">
        <f>VLOOKUP(B468, Products!$A$2:$C$100, 2, FALSE)</f>
        <v>Trek Fuel EX 8 29 - 2016</v>
      </c>
      <c r="E468">
        <v>2</v>
      </c>
      <c r="F468">
        <v>3999.99</v>
      </c>
      <c r="G468">
        <v>0.05</v>
      </c>
      <c r="H468">
        <v>199.99950000000001</v>
      </c>
      <c r="I468">
        <f>order_items[[#This Row],[list_price]]-order_items[[#This Row],[Discounted_price]]</f>
        <v>3799.9904999999999</v>
      </c>
      <c r="J468">
        <f>VLOOKUP(B468, Products!$A$2:$E$100, 3, FALSE)</f>
        <v>9</v>
      </c>
      <c r="K468">
        <f>VLOOKUP(B468, Products!$A$2:$F$100, 4, FALSE)</f>
        <v>6</v>
      </c>
    </row>
    <row r="469" spans="1:11" x14ac:dyDescent="0.3">
      <c r="A469">
        <v>168</v>
      </c>
      <c r="B469">
        <v>1</v>
      </c>
      <c r="C469">
        <v>6</v>
      </c>
      <c r="D469" t="str">
        <f>VLOOKUP(B469, Products!$A$2:$C$100, 2, FALSE)</f>
        <v>Trek 820 - 2016</v>
      </c>
      <c r="E469">
        <v>1</v>
      </c>
      <c r="F469">
        <v>469.99</v>
      </c>
      <c r="G469">
        <v>0.1</v>
      </c>
      <c r="H469">
        <v>46.999000000000002</v>
      </c>
      <c r="I469">
        <f>order_items[[#This Row],[list_price]]-order_items[[#This Row],[Discounted_price]]</f>
        <v>422.99099999999999</v>
      </c>
      <c r="J469">
        <f>VLOOKUP(B469, Products!$A$2:$E$100, 3, FALSE)</f>
        <v>9</v>
      </c>
      <c r="K469">
        <f>VLOOKUP(B469, Products!$A$2:$F$100, 4, FALSE)</f>
        <v>6</v>
      </c>
    </row>
    <row r="470" spans="1:11" x14ac:dyDescent="0.3">
      <c r="A470">
        <v>168</v>
      </c>
      <c r="B470">
        <v>2</v>
      </c>
      <c r="C470">
        <v>11</v>
      </c>
      <c r="D470" t="str">
        <f>VLOOKUP(B470, Products!$A$2:$C$100, 2, FALSE)</f>
        <v>Ritchey Timberwolf Frameset - 2016</v>
      </c>
      <c r="E470">
        <v>2</v>
      </c>
      <c r="F470">
        <v>1680.99</v>
      </c>
      <c r="G470">
        <v>7.0000000000000007E-2</v>
      </c>
      <c r="H470">
        <v>117.66930000000001</v>
      </c>
      <c r="I470">
        <f>order_items[[#This Row],[list_price]]-order_items[[#This Row],[Discounted_price]]</f>
        <v>1563.3207</v>
      </c>
      <c r="J470">
        <f>VLOOKUP(B470, Products!$A$2:$E$100, 3, FALSE)</f>
        <v>5</v>
      </c>
      <c r="K470">
        <f>VLOOKUP(B470, Products!$A$2:$F$100, 4, FALSE)</f>
        <v>6</v>
      </c>
    </row>
    <row r="471" spans="1:11" x14ac:dyDescent="0.3">
      <c r="A471">
        <v>168</v>
      </c>
      <c r="B471">
        <v>3</v>
      </c>
      <c r="C471">
        <v>12</v>
      </c>
      <c r="D471" t="str">
        <f>VLOOKUP(B471, Products!$A$2:$C$100, 2, FALSE)</f>
        <v>Surly Wednesday Frameset - 2016</v>
      </c>
      <c r="E471">
        <v>2</v>
      </c>
      <c r="F471">
        <v>549.99</v>
      </c>
      <c r="G471">
        <v>7.0000000000000007E-2</v>
      </c>
      <c r="H471">
        <v>38.499300000000005</v>
      </c>
      <c r="I471">
        <f>order_items[[#This Row],[list_price]]-order_items[[#This Row],[Discounted_price]]</f>
        <v>511.4907</v>
      </c>
      <c r="J471">
        <f>VLOOKUP(B471, Products!$A$2:$E$100, 3, FALSE)</f>
        <v>8</v>
      </c>
      <c r="K471">
        <f>VLOOKUP(B471, Products!$A$2:$F$100, 4, FALSE)</f>
        <v>6</v>
      </c>
    </row>
    <row r="472" spans="1:11" x14ac:dyDescent="0.3">
      <c r="A472">
        <v>168</v>
      </c>
      <c r="B472">
        <v>4</v>
      </c>
      <c r="C472">
        <v>22</v>
      </c>
      <c r="D472" t="str">
        <f>VLOOKUP(B472, Products!$A$2:$C$100, 2, FALSE)</f>
        <v>Trek Fuel EX 8 29 - 2016</v>
      </c>
      <c r="E472">
        <v>2</v>
      </c>
      <c r="F472">
        <v>269.99</v>
      </c>
      <c r="G472">
        <v>0.2</v>
      </c>
      <c r="H472">
        <v>53.998000000000005</v>
      </c>
      <c r="I472">
        <f>order_items[[#This Row],[list_price]]-order_items[[#This Row],[Discounted_price]]</f>
        <v>215.99200000000002</v>
      </c>
      <c r="J472">
        <f>VLOOKUP(B472, Products!$A$2:$E$100, 3, FALSE)</f>
        <v>9</v>
      </c>
      <c r="K472">
        <f>VLOOKUP(B472, Products!$A$2:$F$100, 4, FALSE)</f>
        <v>6</v>
      </c>
    </row>
    <row r="473" spans="1:11" x14ac:dyDescent="0.3">
      <c r="A473">
        <v>169</v>
      </c>
      <c r="B473">
        <v>1</v>
      </c>
      <c r="C473">
        <v>20</v>
      </c>
      <c r="D473" t="str">
        <f>VLOOKUP(B473, Products!$A$2:$C$100, 2, FALSE)</f>
        <v>Trek 820 - 2016</v>
      </c>
      <c r="E473">
        <v>2</v>
      </c>
      <c r="F473">
        <v>599.99</v>
      </c>
      <c r="G473">
        <v>0.1</v>
      </c>
      <c r="H473">
        <v>59.999000000000002</v>
      </c>
      <c r="I473">
        <f>order_items[[#This Row],[list_price]]-order_items[[#This Row],[Discounted_price]]</f>
        <v>539.99099999999999</v>
      </c>
      <c r="J473">
        <f>VLOOKUP(B473, Products!$A$2:$E$100, 3, FALSE)</f>
        <v>9</v>
      </c>
      <c r="K473">
        <f>VLOOKUP(B473, Products!$A$2:$F$100, 4, FALSE)</f>
        <v>6</v>
      </c>
    </row>
    <row r="474" spans="1:11" x14ac:dyDescent="0.3">
      <c r="A474">
        <v>169</v>
      </c>
      <c r="B474">
        <v>2</v>
      </c>
      <c r="C474">
        <v>5</v>
      </c>
      <c r="D474" t="str">
        <f>VLOOKUP(B474, Products!$A$2:$C$100, 2, FALSE)</f>
        <v>Ritchey Timberwolf Frameset - 2016</v>
      </c>
      <c r="E474">
        <v>1</v>
      </c>
      <c r="F474">
        <v>1320.99</v>
      </c>
      <c r="G474">
        <v>0.05</v>
      </c>
      <c r="H474">
        <v>66.049500000000009</v>
      </c>
      <c r="I474">
        <f>order_items[[#This Row],[list_price]]-order_items[[#This Row],[Discounted_price]]</f>
        <v>1254.9404999999999</v>
      </c>
      <c r="J474">
        <f>VLOOKUP(B474, Products!$A$2:$E$100, 3, FALSE)</f>
        <v>5</v>
      </c>
      <c r="K474">
        <f>VLOOKUP(B474, Products!$A$2:$F$100, 4, FALSE)</f>
        <v>6</v>
      </c>
    </row>
    <row r="475" spans="1:11" x14ac:dyDescent="0.3">
      <c r="A475">
        <v>169</v>
      </c>
      <c r="B475">
        <v>3</v>
      </c>
      <c r="C475">
        <v>10</v>
      </c>
      <c r="D475" t="str">
        <f>VLOOKUP(B475, Products!$A$2:$C$100, 2, FALSE)</f>
        <v>Surly Wednesday Frameset - 2016</v>
      </c>
      <c r="E475">
        <v>1</v>
      </c>
      <c r="F475">
        <v>1549</v>
      </c>
      <c r="G475">
        <v>0.2</v>
      </c>
      <c r="H475">
        <v>309.8</v>
      </c>
      <c r="I475">
        <f>order_items[[#This Row],[list_price]]-order_items[[#This Row],[Discounted_price]]</f>
        <v>1239.2</v>
      </c>
      <c r="J475">
        <f>VLOOKUP(B475, Products!$A$2:$E$100, 3, FALSE)</f>
        <v>8</v>
      </c>
      <c r="K475">
        <f>VLOOKUP(B475, Products!$A$2:$F$100, 4, FALSE)</f>
        <v>6</v>
      </c>
    </row>
    <row r="476" spans="1:11" x14ac:dyDescent="0.3">
      <c r="A476">
        <v>169</v>
      </c>
      <c r="B476">
        <v>4</v>
      </c>
      <c r="C476">
        <v>11</v>
      </c>
      <c r="D476" t="str">
        <f>VLOOKUP(B476, Products!$A$2:$C$100, 2, FALSE)</f>
        <v>Trek Fuel EX 8 29 - 2016</v>
      </c>
      <c r="E476">
        <v>1</v>
      </c>
      <c r="F476">
        <v>1680.99</v>
      </c>
      <c r="G476">
        <v>0.2</v>
      </c>
      <c r="H476">
        <v>336.19800000000004</v>
      </c>
      <c r="I476">
        <f>order_items[[#This Row],[list_price]]-order_items[[#This Row],[Discounted_price]]</f>
        <v>1344.7919999999999</v>
      </c>
      <c r="J476">
        <f>VLOOKUP(B476, Products!$A$2:$E$100, 3, FALSE)</f>
        <v>9</v>
      </c>
      <c r="K476">
        <f>VLOOKUP(B476, Products!$A$2:$F$100, 4, FALSE)</f>
        <v>6</v>
      </c>
    </row>
    <row r="477" spans="1:11" x14ac:dyDescent="0.3">
      <c r="A477">
        <v>169</v>
      </c>
      <c r="B477">
        <v>5</v>
      </c>
      <c r="C477">
        <v>14</v>
      </c>
      <c r="D477" t="str">
        <f>VLOOKUP(B477, Products!$A$2:$C$100, 2, FALSE)</f>
        <v>Heller Shagamaw Frame - 2016</v>
      </c>
      <c r="E477">
        <v>2</v>
      </c>
      <c r="F477">
        <v>269.99</v>
      </c>
      <c r="G477">
        <v>0.05</v>
      </c>
      <c r="H477">
        <v>13.499500000000001</v>
      </c>
      <c r="I477">
        <f>order_items[[#This Row],[list_price]]-order_items[[#This Row],[Discounted_price]]</f>
        <v>256.4905</v>
      </c>
      <c r="J477">
        <f>VLOOKUP(B477, Products!$A$2:$E$100, 3, FALSE)</f>
        <v>3</v>
      </c>
      <c r="K477">
        <f>VLOOKUP(B477, Products!$A$2:$F$100, 4, FALSE)</f>
        <v>6</v>
      </c>
    </row>
    <row r="478" spans="1:11" x14ac:dyDescent="0.3">
      <c r="A478">
        <v>170</v>
      </c>
      <c r="B478">
        <v>1</v>
      </c>
      <c r="C478">
        <v>12</v>
      </c>
      <c r="D478" t="str">
        <f>VLOOKUP(B478, Products!$A$2:$C$100, 2, FALSE)</f>
        <v>Trek 820 - 2016</v>
      </c>
      <c r="E478">
        <v>2</v>
      </c>
      <c r="F478">
        <v>549.99</v>
      </c>
      <c r="G478">
        <v>0.1</v>
      </c>
      <c r="H478">
        <v>54.999000000000002</v>
      </c>
      <c r="I478">
        <f>order_items[[#This Row],[list_price]]-order_items[[#This Row],[Discounted_price]]</f>
        <v>494.99099999999999</v>
      </c>
      <c r="J478">
        <f>VLOOKUP(B478, Products!$A$2:$E$100, 3, FALSE)</f>
        <v>9</v>
      </c>
      <c r="K478">
        <f>VLOOKUP(B478, Products!$A$2:$F$100, 4, FALSE)</f>
        <v>6</v>
      </c>
    </row>
    <row r="479" spans="1:11" x14ac:dyDescent="0.3">
      <c r="A479">
        <v>170</v>
      </c>
      <c r="B479">
        <v>2</v>
      </c>
      <c r="C479">
        <v>24</v>
      </c>
      <c r="D479" t="str">
        <f>VLOOKUP(B479, Products!$A$2:$C$100, 2, FALSE)</f>
        <v>Ritchey Timberwolf Frameset - 2016</v>
      </c>
      <c r="E479">
        <v>1</v>
      </c>
      <c r="F479">
        <v>549.99</v>
      </c>
      <c r="G479">
        <v>0.05</v>
      </c>
      <c r="H479">
        <v>27.499500000000001</v>
      </c>
      <c r="I479">
        <f>order_items[[#This Row],[list_price]]-order_items[[#This Row],[Discounted_price]]</f>
        <v>522.4905</v>
      </c>
      <c r="J479">
        <f>VLOOKUP(B479, Products!$A$2:$E$100, 3, FALSE)</f>
        <v>5</v>
      </c>
      <c r="K479">
        <f>VLOOKUP(B479, Products!$A$2:$F$100, 4, FALSE)</f>
        <v>6</v>
      </c>
    </row>
    <row r="480" spans="1:11" x14ac:dyDescent="0.3">
      <c r="A480">
        <v>170</v>
      </c>
      <c r="B480">
        <v>3</v>
      </c>
      <c r="C480">
        <v>7</v>
      </c>
      <c r="D480" t="str">
        <f>VLOOKUP(B480, Products!$A$2:$C$100, 2, FALSE)</f>
        <v>Surly Wednesday Frameset - 2016</v>
      </c>
      <c r="E480">
        <v>1</v>
      </c>
      <c r="F480">
        <v>3999.99</v>
      </c>
      <c r="G480">
        <v>0.2</v>
      </c>
      <c r="H480">
        <v>799.99800000000005</v>
      </c>
      <c r="I480">
        <f>order_items[[#This Row],[list_price]]-order_items[[#This Row],[Discounted_price]]</f>
        <v>3199.9919999999997</v>
      </c>
      <c r="J480">
        <f>VLOOKUP(B480, Products!$A$2:$E$100, 3, FALSE)</f>
        <v>8</v>
      </c>
      <c r="K480">
        <f>VLOOKUP(B480, Products!$A$2:$F$100, 4, FALSE)</f>
        <v>6</v>
      </c>
    </row>
    <row r="481" spans="1:11" x14ac:dyDescent="0.3">
      <c r="A481">
        <v>170</v>
      </c>
      <c r="B481">
        <v>4</v>
      </c>
      <c r="C481">
        <v>18</v>
      </c>
      <c r="D481" t="str">
        <f>VLOOKUP(B481, Products!$A$2:$C$100, 2, FALSE)</f>
        <v>Trek Fuel EX 8 29 - 2016</v>
      </c>
      <c r="E481">
        <v>2</v>
      </c>
      <c r="F481">
        <v>449</v>
      </c>
      <c r="G481">
        <v>0.05</v>
      </c>
      <c r="H481">
        <v>22.450000000000003</v>
      </c>
      <c r="I481">
        <f>order_items[[#This Row],[list_price]]-order_items[[#This Row],[Discounted_price]]</f>
        <v>426.55</v>
      </c>
      <c r="J481">
        <f>VLOOKUP(B481, Products!$A$2:$E$100, 3, FALSE)</f>
        <v>9</v>
      </c>
      <c r="K481">
        <f>VLOOKUP(B481, Products!$A$2:$F$100, 4, FALSE)</f>
        <v>6</v>
      </c>
    </row>
    <row r="482" spans="1:11" x14ac:dyDescent="0.3">
      <c r="A482">
        <v>171</v>
      </c>
      <c r="B482">
        <v>1</v>
      </c>
      <c r="C482">
        <v>8</v>
      </c>
      <c r="D482" t="str">
        <f>VLOOKUP(B482, Products!$A$2:$C$100, 2, FALSE)</f>
        <v>Trek 820 - 2016</v>
      </c>
      <c r="E482">
        <v>1</v>
      </c>
      <c r="F482">
        <v>1799.99</v>
      </c>
      <c r="G482">
        <v>0.05</v>
      </c>
      <c r="H482">
        <v>89.999500000000012</v>
      </c>
      <c r="I482">
        <f>order_items[[#This Row],[list_price]]-order_items[[#This Row],[Discounted_price]]</f>
        <v>1709.9904999999999</v>
      </c>
      <c r="J482">
        <f>VLOOKUP(B482, Products!$A$2:$E$100, 3, FALSE)</f>
        <v>9</v>
      </c>
      <c r="K482">
        <f>VLOOKUP(B482, Products!$A$2:$F$100, 4, FALSE)</f>
        <v>6</v>
      </c>
    </row>
    <row r="483" spans="1:11" x14ac:dyDescent="0.3">
      <c r="A483">
        <v>172</v>
      </c>
      <c r="B483">
        <v>1</v>
      </c>
      <c r="C483">
        <v>23</v>
      </c>
      <c r="D483" t="str">
        <f>VLOOKUP(B483, Products!$A$2:$C$100, 2, FALSE)</f>
        <v>Trek 820 - 2016</v>
      </c>
      <c r="E483">
        <v>1</v>
      </c>
      <c r="F483">
        <v>299.99</v>
      </c>
      <c r="G483">
        <v>7.0000000000000007E-2</v>
      </c>
      <c r="H483">
        <v>20.999300000000002</v>
      </c>
      <c r="I483">
        <f>order_items[[#This Row],[list_price]]-order_items[[#This Row],[Discounted_price]]</f>
        <v>278.9907</v>
      </c>
      <c r="J483">
        <f>VLOOKUP(B483, Products!$A$2:$E$100, 3, FALSE)</f>
        <v>9</v>
      </c>
      <c r="K483">
        <f>VLOOKUP(B483, Products!$A$2:$F$100, 4, FALSE)</f>
        <v>6</v>
      </c>
    </row>
    <row r="484" spans="1:11" x14ac:dyDescent="0.3">
      <c r="A484">
        <v>172</v>
      </c>
      <c r="B484">
        <v>2</v>
      </c>
      <c r="C484">
        <v>16</v>
      </c>
      <c r="D484" t="str">
        <f>VLOOKUP(B484, Products!$A$2:$C$100, 2, FALSE)</f>
        <v>Ritchey Timberwolf Frameset - 2016</v>
      </c>
      <c r="E484">
        <v>1</v>
      </c>
      <c r="F484">
        <v>599.99</v>
      </c>
      <c r="G484">
        <v>0.2</v>
      </c>
      <c r="H484">
        <v>119.998</v>
      </c>
      <c r="I484">
        <f>order_items[[#This Row],[list_price]]-order_items[[#This Row],[Discounted_price]]</f>
        <v>479.99200000000002</v>
      </c>
      <c r="J484">
        <f>VLOOKUP(B484, Products!$A$2:$E$100, 3, FALSE)</f>
        <v>5</v>
      </c>
      <c r="K484">
        <f>VLOOKUP(B484, Products!$A$2:$F$100, 4, FALSE)</f>
        <v>6</v>
      </c>
    </row>
    <row r="485" spans="1:11" x14ac:dyDescent="0.3">
      <c r="A485">
        <v>173</v>
      </c>
      <c r="B485">
        <v>1</v>
      </c>
      <c r="C485">
        <v>14</v>
      </c>
      <c r="D485" t="str">
        <f>VLOOKUP(B485, Products!$A$2:$C$100, 2, FALSE)</f>
        <v>Trek 820 - 2016</v>
      </c>
      <c r="E485">
        <v>1</v>
      </c>
      <c r="F485">
        <v>269.99</v>
      </c>
      <c r="G485">
        <v>0.05</v>
      </c>
      <c r="H485">
        <v>13.499500000000001</v>
      </c>
      <c r="I485">
        <f>order_items[[#This Row],[list_price]]-order_items[[#This Row],[Discounted_price]]</f>
        <v>256.4905</v>
      </c>
      <c r="J485">
        <f>VLOOKUP(B485, Products!$A$2:$E$100, 3, FALSE)</f>
        <v>9</v>
      </c>
      <c r="K485">
        <f>VLOOKUP(B485, Products!$A$2:$F$100, 4, FALSE)</f>
        <v>6</v>
      </c>
    </row>
    <row r="486" spans="1:11" x14ac:dyDescent="0.3">
      <c r="A486">
        <v>173</v>
      </c>
      <c r="B486">
        <v>2</v>
      </c>
      <c r="C486">
        <v>16</v>
      </c>
      <c r="D486" t="str">
        <f>VLOOKUP(B486, Products!$A$2:$C$100, 2, FALSE)</f>
        <v>Ritchey Timberwolf Frameset - 2016</v>
      </c>
      <c r="E486">
        <v>1</v>
      </c>
      <c r="F486">
        <v>599.99</v>
      </c>
      <c r="G486">
        <v>0.2</v>
      </c>
      <c r="H486">
        <v>119.998</v>
      </c>
      <c r="I486">
        <f>order_items[[#This Row],[list_price]]-order_items[[#This Row],[Discounted_price]]</f>
        <v>479.99200000000002</v>
      </c>
      <c r="J486">
        <f>VLOOKUP(B486, Products!$A$2:$E$100, 3, FALSE)</f>
        <v>5</v>
      </c>
      <c r="K486">
        <f>VLOOKUP(B486, Products!$A$2:$F$100, 4, FALSE)</f>
        <v>6</v>
      </c>
    </row>
    <row r="487" spans="1:11" x14ac:dyDescent="0.3">
      <c r="A487">
        <v>173</v>
      </c>
      <c r="B487">
        <v>3</v>
      </c>
      <c r="C487">
        <v>20</v>
      </c>
      <c r="D487" t="str">
        <f>VLOOKUP(B487, Products!$A$2:$C$100, 2, FALSE)</f>
        <v>Surly Wednesday Frameset - 2016</v>
      </c>
      <c r="E487">
        <v>2</v>
      </c>
      <c r="F487">
        <v>599.99</v>
      </c>
      <c r="G487">
        <v>0.05</v>
      </c>
      <c r="H487">
        <v>29.999500000000001</v>
      </c>
      <c r="I487">
        <f>order_items[[#This Row],[list_price]]-order_items[[#This Row],[Discounted_price]]</f>
        <v>569.9905</v>
      </c>
      <c r="J487">
        <f>VLOOKUP(B487, Products!$A$2:$E$100, 3, FALSE)</f>
        <v>8</v>
      </c>
      <c r="K487">
        <f>VLOOKUP(B487, Products!$A$2:$F$100, 4, FALSE)</f>
        <v>6</v>
      </c>
    </row>
    <row r="488" spans="1:11" x14ac:dyDescent="0.3">
      <c r="A488">
        <v>174</v>
      </c>
      <c r="B488">
        <v>1</v>
      </c>
      <c r="C488">
        <v>22</v>
      </c>
      <c r="D488" t="str">
        <f>VLOOKUP(B488, Products!$A$2:$C$100, 2, FALSE)</f>
        <v>Trek 820 - 2016</v>
      </c>
      <c r="E488">
        <v>2</v>
      </c>
      <c r="F488">
        <v>269.99</v>
      </c>
      <c r="G488">
        <v>0.2</v>
      </c>
      <c r="H488">
        <v>53.998000000000005</v>
      </c>
      <c r="I488">
        <f>order_items[[#This Row],[list_price]]-order_items[[#This Row],[Discounted_price]]</f>
        <v>215.99200000000002</v>
      </c>
      <c r="J488">
        <f>VLOOKUP(B488, Products!$A$2:$E$100, 3, FALSE)</f>
        <v>9</v>
      </c>
      <c r="K488">
        <f>VLOOKUP(B488, Products!$A$2:$F$100, 4, FALSE)</f>
        <v>6</v>
      </c>
    </row>
    <row r="489" spans="1:11" x14ac:dyDescent="0.3">
      <c r="A489">
        <v>174</v>
      </c>
      <c r="B489">
        <v>2</v>
      </c>
      <c r="C489">
        <v>19</v>
      </c>
      <c r="D489" t="str">
        <f>VLOOKUP(B489, Products!$A$2:$C$100, 2, FALSE)</f>
        <v>Ritchey Timberwolf Frameset - 2016</v>
      </c>
      <c r="E489">
        <v>2</v>
      </c>
      <c r="F489">
        <v>449</v>
      </c>
      <c r="G489">
        <v>0.1</v>
      </c>
      <c r="H489">
        <v>44.900000000000006</v>
      </c>
      <c r="I489">
        <f>order_items[[#This Row],[list_price]]-order_items[[#This Row],[Discounted_price]]</f>
        <v>404.1</v>
      </c>
      <c r="J489">
        <f>VLOOKUP(B489, Products!$A$2:$E$100, 3, FALSE)</f>
        <v>5</v>
      </c>
      <c r="K489">
        <f>VLOOKUP(B489, Products!$A$2:$F$100, 4, FALSE)</f>
        <v>6</v>
      </c>
    </row>
    <row r="490" spans="1:11" x14ac:dyDescent="0.3">
      <c r="A490">
        <v>175</v>
      </c>
      <c r="B490">
        <v>1</v>
      </c>
      <c r="C490">
        <v>5</v>
      </c>
      <c r="D490" t="str">
        <f>VLOOKUP(B490, Products!$A$2:$C$100, 2, FALSE)</f>
        <v>Trek 820 - 2016</v>
      </c>
      <c r="E490">
        <v>1</v>
      </c>
      <c r="F490">
        <v>1320.99</v>
      </c>
      <c r="G490">
        <v>0.1</v>
      </c>
      <c r="H490">
        <v>132.09900000000002</v>
      </c>
      <c r="I490">
        <f>order_items[[#This Row],[list_price]]-order_items[[#This Row],[Discounted_price]]</f>
        <v>1188.8910000000001</v>
      </c>
      <c r="J490">
        <f>VLOOKUP(B490, Products!$A$2:$E$100, 3, FALSE)</f>
        <v>9</v>
      </c>
      <c r="K490">
        <f>VLOOKUP(B490, Products!$A$2:$F$100, 4, FALSE)</f>
        <v>6</v>
      </c>
    </row>
    <row r="491" spans="1:11" x14ac:dyDescent="0.3">
      <c r="A491">
        <v>175</v>
      </c>
      <c r="B491">
        <v>2</v>
      </c>
      <c r="C491">
        <v>2</v>
      </c>
      <c r="D491" t="str">
        <f>VLOOKUP(B491, Products!$A$2:$C$100, 2, FALSE)</f>
        <v>Ritchey Timberwolf Frameset - 2016</v>
      </c>
      <c r="E491">
        <v>2</v>
      </c>
      <c r="F491">
        <v>749.99</v>
      </c>
      <c r="G491">
        <v>0.2</v>
      </c>
      <c r="H491">
        <v>149.99800000000002</v>
      </c>
      <c r="I491">
        <f>order_items[[#This Row],[list_price]]-order_items[[#This Row],[Discounted_price]]</f>
        <v>599.99199999999996</v>
      </c>
      <c r="J491">
        <f>VLOOKUP(B491, Products!$A$2:$E$100, 3, FALSE)</f>
        <v>5</v>
      </c>
      <c r="K491">
        <f>VLOOKUP(B491, Products!$A$2:$F$100, 4, FALSE)</f>
        <v>6</v>
      </c>
    </row>
    <row r="492" spans="1:11" x14ac:dyDescent="0.3">
      <c r="A492">
        <v>175</v>
      </c>
      <c r="B492">
        <v>3</v>
      </c>
      <c r="C492">
        <v>21</v>
      </c>
      <c r="D492" t="str">
        <f>VLOOKUP(B492, Products!$A$2:$C$100, 2, FALSE)</f>
        <v>Surly Wednesday Frameset - 2016</v>
      </c>
      <c r="E492">
        <v>2</v>
      </c>
      <c r="F492">
        <v>269.99</v>
      </c>
      <c r="G492">
        <v>0.1</v>
      </c>
      <c r="H492">
        <v>26.999000000000002</v>
      </c>
      <c r="I492">
        <f>order_items[[#This Row],[list_price]]-order_items[[#This Row],[Discounted_price]]</f>
        <v>242.99100000000001</v>
      </c>
      <c r="J492">
        <f>VLOOKUP(B492, Products!$A$2:$E$100, 3, FALSE)</f>
        <v>8</v>
      </c>
      <c r="K492">
        <f>VLOOKUP(B492, Products!$A$2:$F$100, 4, FALSE)</f>
        <v>6</v>
      </c>
    </row>
    <row r="493" spans="1:11" x14ac:dyDescent="0.3">
      <c r="A493">
        <v>175</v>
      </c>
      <c r="B493">
        <v>4</v>
      </c>
      <c r="C493">
        <v>19</v>
      </c>
      <c r="D493" t="str">
        <f>VLOOKUP(B493, Products!$A$2:$C$100, 2, FALSE)</f>
        <v>Trek Fuel EX 8 29 - 2016</v>
      </c>
      <c r="E493">
        <v>1</v>
      </c>
      <c r="F493">
        <v>449</v>
      </c>
      <c r="G493">
        <v>7.0000000000000007E-2</v>
      </c>
      <c r="H493">
        <v>31.430000000000003</v>
      </c>
      <c r="I493">
        <f>order_items[[#This Row],[list_price]]-order_items[[#This Row],[Discounted_price]]</f>
        <v>417.57</v>
      </c>
      <c r="J493">
        <f>VLOOKUP(B493, Products!$A$2:$E$100, 3, FALSE)</f>
        <v>9</v>
      </c>
      <c r="K493">
        <f>VLOOKUP(B493, Products!$A$2:$F$100, 4, FALSE)</f>
        <v>6</v>
      </c>
    </row>
    <row r="494" spans="1:11" x14ac:dyDescent="0.3">
      <c r="A494">
        <v>176</v>
      </c>
      <c r="B494">
        <v>1</v>
      </c>
      <c r="C494">
        <v>2</v>
      </c>
      <c r="D494" t="str">
        <f>VLOOKUP(B494, Products!$A$2:$C$100, 2, FALSE)</f>
        <v>Trek 820 - 2016</v>
      </c>
      <c r="E494">
        <v>2</v>
      </c>
      <c r="F494">
        <v>749.99</v>
      </c>
      <c r="G494">
        <v>7.0000000000000007E-2</v>
      </c>
      <c r="H494">
        <v>52.499300000000005</v>
      </c>
      <c r="I494">
        <f>order_items[[#This Row],[list_price]]-order_items[[#This Row],[Discounted_price]]</f>
        <v>697.49070000000006</v>
      </c>
      <c r="J494">
        <f>VLOOKUP(B494, Products!$A$2:$E$100, 3, FALSE)</f>
        <v>9</v>
      </c>
      <c r="K494">
        <f>VLOOKUP(B494, Products!$A$2:$F$100, 4, FALSE)</f>
        <v>6</v>
      </c>
    </row>
    <row r="495" spans="1:11" x14ac:dyDescent="0.3">
      <c r="A495">
        <v>176</v>
      </c>
      <c r="B495">
        <v>2</v>
      </c>
      <c r="C495">
        <v>11</v>
      </c>
      <c r="D495" t="str">
        <f>VLOOKUP(B495, Products!$A$2:$C$100, 2, FALSE)</f>
        <v>Ritchey Timberwolf Frameset - 2016</v>
      </c>
      <c r="E495">
        <v>2</v>
      </c>
      <c r="F495">
        <v>1680.99</v>
      </c>
      <c r="G495">
        <v>0.2</v>
      </c>
      <c r="H495">
        <v>336.19800000000004</v>
      </c>
      <c r="I495">
        <f>order_items[[#This Row],[list_price]]-order_items[[#This Row],[Discounted_price]]</f>
        <v>1344.7919999999999</v>
      </c>
      <c r="J495">
        <f>VLOOKUP(B495, Products!$A$2:$E$100, 3, FALSE)</f>
        <v>5</v>
      </c>
      <c r="K495">
        <f>VLOOKUP(B495, Products!$A$2:$F$100, 4, FALSE)</f>
        <v>6</v>
      </c>
    </row>
    <row r="496" spans="1:11" x14ac:dyDescent="0.3">
      <c r="A496">
        <v>176</v>
      </c>
      <c r="B496">
        <v>3</v>
      </c>
      <c r="C496">
        <v>16</v>
      </c>
      <c r="D496" t="str">
        <f>VLOOKUP(B496, Products!$A$2:$C$100, 2, FALSE)</f>
        <v>Surly Wednesday Frameset - 2016</v>
      </c>
      <c r="E496">
        <v>2</v>
      </c>
      <c r="F496">
        <v>599.99</v>
      </c>
      <c r="G496">
        <v>0.05</v>
      </c>
      <c r="H496">
        <v>29.999500000000001</v>
      </c>
      <c r="I496">
        <f>order_items[[#This Row],[list_price]]-order_items[[#This Row],[Discounted_price]]</f>
        <v>569.9905</v>
      </c>
      <c r="J496">
        <f>VLOOKUP(B496, Products!$A$2:$E$100, 3, FALSE)</f>
        <v>8</v>
      </c>
      <c r="K496">
        <f>VLOOKUP(B496, Products!$A$2:$F$100, 4, FALSE)</f>
        <v>6</v>
      </c>
    </row>
    <row r="497" spans="1:11" x14ac:dyDescent="0.3">
      <c r="A497">
        <v>177</v>
      </c>
      <c r="B497">
        <v>1</v>
      </c>
      <c r="C497">
        <v>20</v>
      </c>
      <c r="D497" t="str">
        <f>VLOOKUP(B497, Products!$A$2:$C$100, 2, FALSE)</f>
        <v>Trek 820 - 2016</v>
      </c>
      <c r="E497">
        <v>2</v>
      </c>
      <c r="F497">
        <v>599.99</v>
      </c>
      <c r="G497">
        <v>0.1</v>
      </c>
      <c r="H497">
        <v>59.999000000000002</v>
      </c>
      <c r="I497">
        <f>order_items[[#This Row],[list_price]]-order_items[[#This Row],[Discounted_price]]</f>
        <v>539.99099999999999</v>
      </c>
      <c r="J497">
        <f>VLOOKUP(B497, Products!$A$2:$E$100, 3, FALSE)</f>
        <v>9</v>
      </c>
      <c r="K497">
        <f>VLOOKUP(B497, Products!$A$2:$F$100, 4, FALSE)</f>
        <v>6</v>
      </c>
    </row>
    <row r="498" spans="1:11" x14ac:dyDescent="0.3">
      <c r="A498">
        <v>178</v>
      </c>
      <c r="B498">
        <v>1</v>
      </c>
      <c r="C498">
        <v>10</v>
      </c>
      <c r="D498" t="str">
        <f>VLOOKUP(B498, Products!$A$2:$C$100, 2, FALSE)</f>
        <v>Trek 820 - 2016</v>
      </c>
      <c r="E498">
        <v>2</v>
      </c>
      <c r="F498">
        <v>1549</v>
      </c>
      <c r="G498">
        <v>0.2</v>
      </c>
      <c r="H498">
        <v>309.8</v>
      </c>
      <c r="I498">
        <f>order_items[[#This Row],[list_price]]-order_items[[#This Row],[Discounted_price]]</f>
        <v>1239.2</v>
      </c>
      <c r="J498">
        <f>VLOOKUP(B498, Products!$A$2:$E$100, 3, FALSE)</f>
        <v>9</v>
      </c>
      <c r="K498">
        <f>VLOOKUP(B498, Products!$A$2:$F$100, 4, FALSE)</f>
        <v>6</v>
      </c>
    </row>
    <row r="499" spans="1:11" x14ac:dyDescent="0.3">
      <c r="A499">
        <v>178</v>
      </c>
      <c r="B499">
        <v>2</v>
      </c>
      <c r="C499">
        <v>12</v>
      </c>
      <c r="D499" t="str">
        <f>VLOOKUP(B499, Products!$A$2:$C$100, 2, FALSE)</f>
        <v>Ritchey Timberwolf Frameset - 2016</v>
      </c>
      <c r="E499">
        <v>1</v>
      </c>
      <c r="F499">
        <v>549.99</v>
      </c>
      <c r="G499">
        <v>0.05</v>
      </c>
      <c r="H499">
        <v>27.499500000000001</v>
      </c>
      <c r="I499">
        <f>order_items[[#This Row],[list_price]]-order_items[[#This Row],[Discounted_price]]</f>
        <v>522.4905</v>
      </c>
      <c r="J499">
        <f>VLOOKUP(B499, Products!$A$2:$E$100, 3, FALSE)</f>
        <v>5</v>
      </c>
      <c r="K499">
        <f>VLOOKUP(B499, Products!$A$2:$F$100, 4, FALSE)</f>
        <v>6</v>
      </c>
    </row>
    <row r="500" spans="1:11" x14ac:dyDescent="0.3">
      <c r="A500">
        <v>178</v>
      </c>
      <c r="B500">
        <v>3</v>
      </c>
      <c r="C500">
        <v>3</v>
      </c>
      <c r="D500" t="str">
        <f>VLOOKUP(B500, Products!$A$2:$C$100, 2, FALSE)</f>
        <v>Surly Wednesday Frameset - 2016</v>
      </c>
      <c r="E500">
        <v>1</v>
      </c>
      <c r="F500">
        <v>999.99</v>
      </c>
      <c r="G500">
        <v>0.1</v>
      </c>
      <c r="H500">
        <v>99.999000000000009</v>
      </c>
      <c r="I500">
        <f>order_items[[#This Row],[list_price]]-order_items[[#This Row],[Discounted_price]]</f>
        <v>899.99099999999999</v>
      </c>
      <c r="J500">
        <f>VLOOKUP(B500, Products!$A$2:$E$100, 3, FALSE)</f>
        <v>8</v>
      </c>
      <c r="K500">
        <f>VLOOKUP(B500, Products!$A$2:$F$100, 4, FALSE)</f>
        <v>6</v>
      </c>
    </row>
    <row r="501" spans="1:11" x14ac:dyDescent="0.3">
      <c r="A501">
        <v>178</v>
      </c>
      <c r="B501">
        <v>4</v>
      </c>
      <c r="C501">
        <v>18</v>
      </c>
      <c r="D501" t="str">
        <f>VLOOKUP(B501, Products!$A$2:$C$100, 2, FALSE)</f>
        <v>Trek Fuel EX 8 29 - 2016</v>
      </c>
      <c r="E501">
        <v>1</v>
      </c>
      <c r="F501">
        <v>449</v>
      </c>
      <c r="G501">
        <v>7.0000000000000007E-2</v>
      </c>
      <c r="H501">
        <v>31.430000000000003</v>
      </c>
      <c r="I501">
        <f>order_items[[#This Row],[list_price]]-order_items[[#This Row],[Discounted_price]]</f>
        <v>417.57</v>
      </c>
      <c r="J501">
        <f>VLOOKUP(B501, Products!$A$2:$E$100, 3, FALSE)</f>
        <v>9</v>
      </c>
      <c r="K501">
        <f>VLOOKUP(B501, Products!$A$2:$F$100, 4, FALSE)</f>
        <v>6</v>
      </c>
    </row>
    <row r="502" spans="1:11" x14ac:dyDescent="0.3">
      <c r="A502">
        <v>179</v>
      </c>
      <c r="B502">
        <v>1</v>
      </c>
      <c r="C502">
        <v>13</v>
      </c>
      <c r="D502" t="str">
        <f>VLOOKUP(B502, Products!$A$2:$C$100, 2, FALSE)</f>
        <v>Trek 820 - 2016</v>
      </c>
      <c r="E502">
        <v>2</v>
      </c>
      <c r="F502">
        <v>269.99</v>
      </c>
      <c r="G502">
        <v>0.05</v>
      </c>
      <c r="H502">
        <v>13.499500000000001</v>
      </c>
      <c r="I502">
        <f>order_items[[#This Row],[list_price]]-order_items[[#This Row],[Discounted_price]]</f>
        <v>256.4905</v>
      </c>
      <c r="J502">
        <f>VLOOKUP(B502, Products!$A$2:$E$100, 3, FALSE)</f>
        <v>9</v>
      </c>
      <c r="K502">
        <f>VLOOKUP(B502, Products!$A$2:$F$100, 4, FALSE)</f>
        <v>6</v>
      </c>
    </row>
    <row r="503" spans="1:11" x14ac:dyDescent="0.3">
      <c r="A503">
        <v>179</v>
      </c>
      <c r="B503">
        <v>2</v>
      </c>
      <c r="C503">
        <v>26</v>
      </c>
      <c r="D503" t="str">
        <f>VLOOKUP(B503, Products!$A$2:$C$100, 2, FALSE)</f>
        <v>Ritchey Timberwolf Frameset - 2016</v>
      </c>
      <c r="E503">
        <v>1</v>
      </c>
      <c r="F503">
        <v>599.99</v>
      </c>
      <c r="G503">
        <v>0.1</v>
      </c>
      <c r="H503">
        <v>59.999000000000002</v>
      </c>
      <c r="I503">
        <f>order_items[[#This Row],[list_price]]-order_items[[#This Row],[Discounted_price]]</f>
        <v>539.99099999999999</v>
      </c>
      <c r="J503">
        <f>VLOOKUP(B503, Products!$A$2:$E$100, 3, FALSE)</f>
        <v>5</v>
      </c>
      <c r="K503">
        <f>VLOOKUP(B503, Products!$A$2:$F$100, 4, FALSE)</f>
        <v>6</v>
      </c>
    </row>
    <row r="504" spans="1:11" x14ac:dyDescent="0.3">
      <c r="A504">
        <v>179</v>
      </c>
      <c r="B504">
        <v>3</v>
      </c>
      <c r="C504">
        <v>18</v>
      </c>
      <c r="D504" t="str">
        <f>VLOOKUP(B504, Products!$A$2:$C$100, 2, FALSE)</f>
        <v>Surly Wednesday Frameset - 2016</v>
      </c>
      <c r="E504">
        <v>1</v>
      </c>
      <c r="F504">
        <v>449</v>
      </c>
      <c r="G504">
        <v>0.2</v>
      </c>
      <c r="H504">
        <v>89.800000000000011</v>
      </c>
      <c r="I504">
        <f>order_items[[#This Row],[list_price]]-order_items[[#This Row],[Discounted_price]]</f>
        <v>359.2</v>
      </c>
      <c r="J504">
        <f>VLOOKUP(B504, Products!$A$2:$E$100, 3, FALSE)</f>
        <v>8</v>
      </c>
      <c r="K504">
        <f>VLOOKUP(B504, Products!$A$2:$F$100, 4, FALSE)</f>
        <v>6</v>
      </c>
    </row>
    <row r="505" spans="1:11" x14ac:dyDescent="0.3">
      <c r="A505">
        <v>179</v>
      </c>
      <c r="B505">
        <v>4</v>
      </c>
      <c r="C505">
        <v>12</v>
      </c>
      <c r="D505" t="str">
        <f>VLOOKUP(B505, Products!$A$2:$C$100, 2, FALSE)</f>
        <v>Trek Fuel EX 8 29 - 2016</v>
      </c>
      <c r="E505">
        <v>2</v>
      </c>
      <c r="F505">
        <v>549.99</v>
      </c>
      <c r="G505">
        <v>0.2</v>
      </c>
      <c r="H505">
        <v>109.998</v>
      </c>
      <c r="I505">
        <f>order_items[[#This Row],[list_price]]-order_items[[#This Row],[Discounted_price]]</f>
        <v>439.99200000000002</v>
      </c>
      <c r="J505">
        <f>VLOOKUP(B505, Products!$A$2:$E$100, 3, FALSE)</f>
        <v>9</v>
      </c>
      <c r="K505">
        <f>VLOOKUP(B505, Products!$A$2:$F$100, 4, FALSE)</f>
        <v>6</v>
      </c>
    </row>
    <row r="506" spans="1:11" x14ac:dyDescent="0.3">
      <c r="A506">
        <v>179</v>
      </c>
      <c r="B506">
        <v>5</v>
      </c>
      <c r="C506">
        <v>20</v>
      </c>
      <c r="D506" t="str">
        <f>VLOOKUP(B506, Products!$A$2:$C$100, 2, FALSE)</f>
        <v>Heller Shagamaw Frame - 2016</v>
      </c>
      <c r="E506">
        <v>2</v>
      </c>
      <c r="F506">
        <v>599.99</v>
      </c>
      <c r="G506">
        <v>0.1</v>
      </c>
      <c r="H506">
        <v>59.999000000000002</v>
      </c>
      <c r="I506">
        <f>order_items[[#This Row],[list_price]]-order_items[[#This Row],[Discounted_price]]</f>
        <v>539.99099999999999</v>
      </c>
      <c r="J506">
        <f>VLOOKUP(B506, Products!$A$2:$E$100, 3, FALSE)</f>
        <v>3</v>
      </c>
      <c r="K506">
        <f>VLOOKUP(B506, Products!$A$2:$F$100, 4, FALSE)</f>
        <v>6</v>
      </c>
    </row>
    <row r="507" spans="1:11" x14ac:dyDescent="0.3">
      <c r="A507">
        <v>180</v>
      </c>
      <c r="B507">
        <v>1</v>
      </c>
      <c r="C507">
        <v>16</v>
      </c>
      <c r="D507" t="str">
        <f>VLOOKUP(B507, Products!$A$2:$C$100, 2, FALSE)</f>
        <v>Trek 820 - 2016</v>
      </c>
      <c r="E507">
        <v>1</v>
      </c>
      <c r="F507">
        <v>599.99</v>
      </c>
      <c r="G507">
        <v>7.0000000000000007E-2</v>
      </c>
      <c r="H507">
        <v>41.999300000000005</v>
      </c>
      <c r="I507">
        <f>order_items[[#This Row],[list_price]]-order_items[[#This Row],[Discounted_price]]</f>
        <v>557.99070000000006</v>
      </c>
      <c r="J507">
        <f>VLOOKUP(B507, Products!$A$2:$E$100, 3, FALSE)</f>
        <v>9</v>
      </c>
      <c r="K507">
        <f>VLOOKUP(B507, Products!$A$2:$F$100, 4, FALSE)</f>
        <v>6</v>
      </c>
    </row>
    <row r="508" spans="1:11" x14ac:dyDescent="0.3">
      <c r="A508">
        <v>181</v>
      </c>
      <c r="B508">
        <v>1</v>
      </c>
      <c r="C508">
        <v>10</v>
      </c>
      <c r="D508" t="str">
        <f>VLOOKUP(B508, Products!$A$2:$C$100, 2, FALSE)</f>
        <v>Trek 820 - 2016</v>
      </c>
      <c r="E508">
        <v>1</v>
      </c>
      <c r="F508">
        <v>1549</v>
      </c>
      <c r="G508">
        <v>0.05</v>
      </c>
      <c r="H508">
        <v>77.45</v>
      </c>
      <c r="I508">
        <f>order_items[[#This Row],[list_price]]-order_items[[#This Row],[Discounted_price]]</f>
        <v>1471.55</v>
      </c>
      <c r="J508">
        <f>VLOOKUP(B508, Products!$A$2:$E$100, 3, FALSE)</f>
        <v>9</v>
      </c>
      <c r="K508">
        <f>VLOOKUP(B508, Products!$A$2:$F$100, 4, FALSE)</f>
        <v>6</v>
      </c>
    </row>
    <row r="509" spans="1:11" x14ac:dyDescent="0.3">
      <c r="A509">
        <v>181</v>
      </c>
      <c r="B509">
        <v>2</v>
      </c>
      <c r="C509">
        <v>11</v>
      </c>
      <c r="D509" t="str">
        <f>VLOOKUP(B509, Products!$A$2:$C$100, 2, FALSE)</f>
        <v>Ritchey Timberwolf Frameset - 2016</v>
      </c>
      <c r="E509">
        <v>1</v>
      </c>
      <c r="F509">
        <v>1680.99</v>
      </c>
      <c r="G509">
        <v>0.1</v>
      </c>
      <c r="H509">
        <v>168.09900000000002</v>
      </c>
      <c r="I509">
        <f>order_items[[#This Row],[list_price]]-order_items[[#This Row],[Discounted_price]]</f>
        <v>1512.8910000000001</v>
      </c>
      <c r="J509">
        <f>VLOOKUP(B509, Products!$A$2:$E$100, 3, FALSE)</f>
        <v>5</v>
      </c>
      <c r="K509">
        <f>VLOOKUP(B509, Products!$A$2:$F$100, 4, FALSE)</f>
        <v>6</v>
      </c>
    </row>
    <row r="510" spans="1:11" x14ac:dyDescent="0.3">
      <c r="A510">
        <v>181</v>
      </c>
      <c r="B510">
        <v>3</v>
      </c>
      <c r="C510">
        <v>15</v>
      </c>
      <c r="D510" t="str">
        <f>VLOOKUP(B510, Products!$A$2:$C$100, 2, FALSE)</f>
        <v>Surly Wednesday Frameset - 2016</v>
      </c>
      <c r="E510">
        <v>2</v>
      </c>
      <c r="F510">
        <v>529.99</v>
      </c>
      <c r="G510">
        <v>0.2</v>
      </c>
      <c r="H510">
        <v>105.998</v>
      </c>
      <c r="I510">
        <f>order_items[[#This Row],[list_price]]-order_items[[#This Row],[Discounted_price]]</f>
        <v>423.99200000000002</v>
      </c>
      <c r="J510">
        <f>VLOOKUP(B510, Products!$A$2:$E$100, 3, FALSE)</f>
        <v>8</v>
      </c>
      <c r="K510">
        <f>VLOOKUP(B510, Products!$A$2:$F$100, 4, FALSE)</f>
        <v>6</v>
      </c>
    </row>
    <row r="511" spans="1:11" x14ac:dyDescent="0.3">
      <c r="A511">
        <v>181</v>
      </c>
      <c r="B511">
        <v>4</v>
      </c>
      <c r="C511">
        <v>24</v>
      </c>
      <c r="D511" t="str">
        <f>VLOOKUP(B511, Products!$A$2:$C$100, 2, FALSE)</f>
        <v>Trek Fuel EX 8 29 - 2016</v>
      </c>
      <c r="E511">
        <v>2</v>
      </c>
      <c r="F511">
        <v>549.99</v>
      </c>
      <c r="G511">
        <v>0.05</v>
      </c>
      <c r="H511">
        <v>27.499500000000001</v>
      </c>
      <c r="I511">
        <f>order_items[[#This Row],[list_price]]-order_items[[#This Row],[Discounted_price]]</f>
        <v>522.4905</v>
      </c>
      <c r="J511">
        <f>VLOOKUP(B511, Products!$A$2:$E$100, 3, FALSE)</f>
        <v>9</v>
      </c>
      <c r="K511">
        <f>VLOOKUP(B511, Products!$A$2:$F$100, 4, FALSE)</f>
        <v>6</v>
      </c>
    </row>
    <row r="512" spans="1:11" x14ac:dyDescent="0.3">
      <c r="A512">
        <v>182</v>
      </c>
      <c r="B512">
        <v>1</v>
      </c>
      <c r="C512">
        <v>25</v>
      </c>
      <c r="D512" t="str">
        <f>VLOOKUP(B512, Products!$A$2:$C$100, 2, FALSE)</f>
        <v>Trek 820 - 2016</v>
      </c>
      <c r="E512">
        <v>2</v>
      </c>
      <c r="F512">
        <v>499.99</v>
      </c>
      <c r="G512">
        <v>0.05</v>
      </c>
      <c r="H512">
        <v>24.999500000000001</v>
      </c>
      <c r="I512">
        <f>order_items[[#This Row],[list_price]]-order_items[[#This Row],[Discounted_price]]</f>
        <v>474.9905</v>
      </c>
      <c r="J512">
        <f>VLOOKUP(B512, Products!$A$2:$E$100, 3, FALSE)</f>
        <v>9</v>
      </c>
      <c r="K512">
        <f>VLOOKUP(B512, Products!$A$2:$F$100, 4, FALSE)</f>
        <v>6</v>
      </c>
    </row>
    <row r="513" spans="1:11" x14ac:dyDescent="0.3">
      <c r="A513">
        <v>182</v>
      </c>
      <c r="B513">
        <v>2</v>
      </c>
      <c r="C513">
        <v>24</v>
      </c>
      <c r="D513" t="str">
        <f>VLOOKUP(B513, Products!$A$2:$C$100, 2, FALSE)</f>
        <v>Ritchey Timberwolf Frameset - 2016</v>
      </c>
      <c r="E513">
        <v>2</v>
      </c>
      <c r="F513">
        <v>549.99</v>
      </c>
      <c r="G513">
        <v>7.0000000000000007E-2</v>
      </c>
      <c r="H513">
        <v>38.499300000000005</v>
      </c>
      <c r="I513">
        <f>order_items[[#This Row],[list_price]]-order_items[[#This Row],[Discounted_price]]</f>
        <v>511.4907</v>
      </c>
      <c r="J513">
        <f>VLOOKUP(B513, Products!$A$2:$E$100, 3, FALSE)</f>
        <v>5</v>
      </c>
      <c r="K513">
        <f>VLOOKUP(B513, Products!$A$2:$F$100, 4, FALSE)</f>
        <v>6</v>
      </c>
    </row>
    <row r="514" spans="1:11" x14ac:dyDescent="0.3">
      <c r="A514">
        <v>183</v>
      </c>
      <c r="B514">
        <v>1</v>
      </c>
      <c r="C514">
        <v>11</v>
      </c>
      <c r="D514" t="str">
        <f>VLOOKUP(B514, Products!$A$2:$C$100, 2, FALSE)</f>
        <v>Trek 820 - 2016</v>
      </c>
      <c r="E514">
        <v>2</v>
      </c>
      <c r="F514">
        <v>1680.99</v>
      </c>
      <c r="G514">
        <v>0.2</v>
      </c>
      <c r="H514">
        <v>336.19800000000004</v>
      </c>
      <c r="I514">
        <f>order_items[[#This Row],[list_price]]-order_items[[#This Row],[Discounted_price]]</f>
        <v>1344.7919999999999</v>
      </c>
      <c r="J514">
        <f>VLOOKUP(B514, Products!$A$2:$E$100, 3, FALSE)</f>
        <v>9</v>
      </c>
      <c r="K514">
        <f>VLOOKUP(B514, Products!$A$2:$F$100, 4, FALSE)</f>
        <v>6</v>
      </c>
    </row>
    <row r="515" spans="1:11" x14ac:dyDescent="0.3">
      <c r="A515">
        <v>183</v>
      </c>
      <c r="B515">
        <v>2</v>
      </c>
      <c r="C515">
        <v>12</v>
      </c>
      <c r="D515" t="str">
        <f>VLOOKUP(B515, Products!$A$2:$C$100, 2, FALSE)</f>
        <v>Ritchey Timberwolf Frameset - 2016</v>
      </c>
      <c r="E515">
        <v>2</v>
      </c>
      <c r="F515">
        <v>549.99</v>
      </c>
      <c r="G515">
        <v>0.05</v>
      </c>
      <c r="H515">
        <v>27.499500000000001</v>
      </c>
      <c r="I515">
        <f>order_items[[#This Row],[list_price]]-order_items[[#This Row],[Discounted_price]]</f>
        <v>522.4905</v>
      </c>
      <c r="J515">
        <f>VLOOKUP(B515, Products!$A$2:$E$100, 3, FALSE)</f>
        <v>5</v>
      </c>
      <c r="K515">
        <f>VLOOKUP(B515, Products!$A$2:$F$100, 4, FALSE)</f>
        <v>6</v>
      </c>
    </row>
    <row r="516" spans="1:11" x14ac:dyDescent="0.3">
      <c r="A516">
        <v>183</v>
      </c>
      <c r="B516">
        <v>3</v>
      </c>
      <c r="C516">
        <v>19</v>
      </c>
      <c r="D516" t="str">
        <f>VLOOKUP(B516, Products!$A$2:$C$100, 2, FALSE)</f>
        <v>Surly Wednesday Frameset - 2016</v>
      </c>
      <c r="E516">
        <v>1</v>
      </c>
      <c r="F516">
        <v>449</v>
      </c>
      <c r="G516">
        <v>7.0000000000000007E-2</v>
      </c>
      <c r="H516">
        <v>31.430000000000003</v>
      </c>
      <c r="I516">
        <f>order_items[[#This Row],[list_price]]-order_items[[#This Row],[Discounted_price]]</f>
        <v>417.57</v>
      </c>
      <c r="J516">
        <f>VLOOKUP(B516, Products!$A$2:$E$100, 3, FALSE)</f>
        <v>8</v>
      </c>
      <c r="K516">
        <f>VLOOKUP(B516, Products!$A$2:$F$100, 4, FALSE)</f>
        <v>6</v>
      </c>
    </row>
    <row r="517" spans="1:11" x14ac:dyDescent="0.3">
      <c r="A517">
        <v>183</v>
      </c>
      <c r="B517">
        <v>4</v>
      </c>
      <c r="C517">
        <v>17</v>
      </c>
      <c r="D517" t="str">
        <f>VLOOKUP(B517, Products!$A$2:$C$100, 2, FALSE)</f>
        <v>Trek Fuel EX 8 29 - 2016</v>
      </c>
      <c r="E517">
        <v>1</v>
      </c>
      <c r="F517">
        <v>429</v>
      </c>
      <c r="G517">
        <v>7.0000000000000007E-2</v>
      </c>
      <c r="H517">
        <v>30.03</v>
      </c>
      <c r="I517">
        <f>order_items[[#This Row],[list_price]]-order_items[[#This Row],[Discounted_price]]</f>
        <v>398.97</v>
      </c>
      <c r="J517">
        <f>VLOOKUP(B517, Products!$A$2:$E$100, 3, FALSE)</f>
        <v>9</v>
      </c>
      <c r="K517">
        <f>VLOOKUP(B517, Products!$A$2:$F$100, 4, FALSE)</f>
        <v>6</v>
      </c>
    </row>
    <row r="518" spans="1:11" x14ac:dyDescent="0.3">
      <c r="A518">
        <v>184</v>
      </c>
      <c r="B518">
        <v>1</v>
      </c>
      <c r="C518">
        <v>4</v>
      </c>
      <c r="D518" t="str">
        <f>VLOOKUP(B518, Products!$A$2:$C$100, 2, FALSE)</f>
        <v>Trek 820 - 2016</v>
      </c>
      <c r="E518">
        <v>1</v>
      </c>
      <c r="F518">
        <v>2899.99</v>
      </c>
      <c r="G518">
        <v>0.2</v>
      </c>
      <c r="H518">
        <v>579.99799999999993</v>
      </c>
      <c r="I518">
        <f>order_items[[#This Row],[list_price]]-order_items[[#This Row],[Discounted_price]]</f>
        <v>2319.9919999999997</v>
      </c>
      <c r="J518">
        <f>VLOOKUP(B518, Products!$A$2:$E$100, 3, FALSE)</f>
        <v>9</v>
      </c>
      <c r="K518">
        <f>VLOOKUP(B518, Products!$A$2:$F$100, 4, FALSE)</f>
        <v>6</v>
      </c>
    </row>
    <row r="519" spans="1:11" x14ac:dyDescent="0.3">
      <c r="A519">
        <v>184</v>
      </c>
      <c r="B519">
        <v>2</v>
      </c>
      <c r="C519">
        <v>5</v>
      </c>
      <c r="D519" t="str">
        <f>VLOOKUP(B519, Products!$A$2:$C$100, 2, FALSE)</f>
        <v>Ritchey Timberwolf Frameset - 2016</v>
      </c>
      <c r="E519">
        <v>1</v>
      </c>
      <c r="F519">
        <v>1320.99</v>
      </c>
      <c r="G519">
        <v>0.1</v>
      </c>
      <c r="H519">
        <v>132.09900000000002</v>
      </c>
      <c r="I519">
        <f>order_items[[#This Row],[list_price]]-order_items[[#This Row],[Discounted_price]]</f>
        <v>1188.8910000000001</v>
      </c>
      <c r="J519">
        <f>VLOOKUP(B519, Products!$A$2:$E$100, 3, FALSE)</f>
        <v>5</v>
      </c>
      <c r="K519">
        <f>VLOOKUP(B519, Products!$A$2:$F$100, 4, FALSE)</f>
        <v>6</v>
      </c>
    </row>
    <row r="520" spans="1:11" x14ac:dyDescent="0.3">
      <c r="A520">
        <v>184</v>
      </c>
      <c r="B520">
        <v>3</v>
      </c>
      <c r="C520">
        <v>14</v>
      </c>
      <c r="D520" t="str">
        <f>VLOOKUP(B520, Products!$A$2:$C$100, 2, FALSE)</f>
        <v>Surly Wednesday Frameset - 2016</v>
      </c>
      <c r="E520">
        <v>1</v>
      </c>
      <c r="F520">
        <v>269.99</v>
      </c>
      <c r="G520">
        <v>0.1</v>
      </c>
      <c r="H520">
        <v>26.999000000000002</v>
      </c>
      <c r="I520">
        <f>order_items[[#This Row],[list_price]]-order_items[[#This Row],[Discounted_price]]</f>
        <v>242.99100000000001</v>
      </c>
      <c r="J520">
        <f>VLOOKUP(B520, Products!$A$2:$E$100, 3, FALSE)</f>
        <v>8</v>
      </c>
      <c r="K520">
        <f>VLOOKUP(B520, Products!$A$2:$F$100, 4, FALSE)</f>
        <v>6</v>
      </c>
    </row>
    <row r="521" spans="1:11" x14ac:dyDescent="0.3">
      <c r="A521">
        <v>185</v>
      </c>
      <c r="B521">
        <v>1</v>
      </c>
      <c r="C521">
        <v>20</v>
      </c>
      <c r="D521" t="str">
        <f>VLOOKUP(B521, Products!$A$2:$C$100, 2, FALSE)</f>
        <v>Trek 820 - 2016</v>
      </c>
      <c r="E521">
        <v>1</v>
      </c>
      <c r="F521">
        <v>599.99</v>
      </c>
      <c r="G521">
        <v>0.1</v>
      </c>
      <c r="H521">
        <v>59.999000000000002</v>
      </c>
      <c r="I521">
        <f>order_items[[#This Row],[list_price]]-order_items[[#This Row],[Discounted_price]]</f>
        <v>539.99099999999999</v>
      </c>
      <c r="J521">
        <f>VLOOKUP(B521, Products!$A$2:$E$100, 3, FALSE)</f>
        <v>9</v>
      </c>
      <c r="K521">
        <f>VLOOKUP(B521, Products!$A$2:$F$100, 4, FALSE)</f>
        <v>6</v>
      </c>
    </row>
    <row r="522" spans="1:11" x14ac:dyDescent="0.3">
      <c r="A522">
        <v>185</v>
      </c>
      <c r="B522">
        <v>2</v>
      </c>
      <c r="C522">
        <v>8</v>
      </c>
      <c r="D522" t="str">
        <f>VLOOKUP(B522, Products!$A$2:$C$100, 2, FALSE)</f>
        <v>Ritchey Timberwolf Frameset - 2016</v>
      </c>
      <c r="E522">
        <v>1</v>
      </c>
      <c r="F522">
        <v>1799.99</v>
      </c>
      <c r="G522">
        <v>0.05</v>
      </c>
      <c r="H522">
        <v>89.999500000000012</v>
      </c>
      <c r="I522">
        <f>order_items[[#This Row],[list_price]]-order_items[[#This Row],[Discounted_price]]</f>
        <v>1709.9904999999999</v>
      </c>
      <c r="J522">
        <f>VLOOKUP(B522, Products!$A$2:$E$100, 3, FALSE)</f>
        <v>5</v>
      </c>
      <c r="K522">
        <f>VLOOKUP(B522, Products!$A$2:$F$100, 4, FALSE)</f>
        <v>6</v>
      </c>
    </row>
    <row r="523" spans="1:11" x14ac:dyDescent="0.3">
      <c r="A523">
        <v>186</v>
      </c>
      <c r="B523">
        <v>1</v>
      </c>
      <c r="C523">
        <v>4</v>
      </c>
      <c r="D523" t="str">
        <f>VLOOKUP(B523, Products!$A$2:$C$100, 2, FALSE)</f>
        <v>Trek 820 - 2016</v>
      </c>
      <c r="E523">
        <v>1</v>
      </c>
      <c r="F523">
        <v>2899.99</v>
      </c>
      <c r="G523">
        <v>0.1</v>
      </c>
      <c r="H523">
        <v>289.99899999999997</v>
      </c>
      <c r="I523">
        <f>order_items[[#This Row],[list_price]]-order_items[[#This Row],[Discounted_price]]</f>
        <v>2609.991</v>
      </c>
      <c r="J523">
        <f>VLOOKUP(B523, Products!$A$2:$E$100, 3, FALSE)</f>
        <v>9</v>
      </c>
      <c r="K523">
        <f>VLOOKUP(B523, Products!$A$2:$F$100, 4, FALSE)</f>
        <v>6</v>
      </c>
    </row>
    <row r="524" spans="1:11" x14ac:dyDescent="0.3">
      <c r="A524">
        <v>186</v>
      </c>
      <c r="B524">
        <v>2</v>
      </c>
      <c r="C524">
        <v>6</v>
      </c>
      <c r="D524" t="str">
        <f>VLOOKUP(B524, Products!$A$2:$C$100, 2, FALSE)</f>
        <v>Ritchey Timberwolf Frameset - 2016</v>
      </c>
      <c r="E524">
        <v>1</v>
      </c>
      <c r="F524">
        <v>469.99</v>
      </c>
      <c r="G524">
        <v>0.1</v>
      </c>
      <c r="H524">
        <v>46.999000000000002</v>
      </c>
      <c r="I524">
        <f>order_items[[#This Row],[list_price]]-order_items[[#This Row],[Discounted_price]]</f>
        <v>422.99099999999999</v>
      </c>
      <c r="J524">
        <f>VLOOKUP(B524, Products!$A$2:$E$100, 3, FALSE)</f>
        <v>5</v>
      </c>
      <c r="K524">
        <f>VLOOKUP(B524, Products!$A$2:$F$100, 4, FALSE)</f>
        <v>6</v>
      </c>
    </row>
    <row r="525" spans="1:11" x14ac:dyDescent="0.3">
      <c r="A525">
        <v>187</v>
      </c>
      <c r="B525">
        <v>1</v>
      </c>
      <c r="C525">
        <v>5</v>
      </c>
      <c r="D525" t="str">
        <f>VLOOKUP(B525, Products!$A$2:$C$100, 2, FALSE)</f>
        <v>Trek 820 - 2016</v>
      </c>
      <c r="E525">
        <v>1</v>
      </c>
      <c r="F525">
        <v>1320.99</v>
      </c>
      <c r="G525">
        <v>0.05</v>
      </c>
      <c r="H525">
        <v>66.049500000000009</v>
      </c>
      <c r="I525">
        <f>order_items[[#This Row],[list_price]]-order_items[[#This Row],[Discounted_price]]</f>
        <v>1254.9404999999999</v>
      </c>
      <c r="J525">
        <f>VLOOKUP(B525, Products!$A$2:$E$100, 3, FALSE)</f>
        <v>9</v>
      </c>
      <c r="K525">
        <f>VLOOKUP(B525, Products!$A$2:$F$100, 4, FALSE)</f>
        <v>6</v>
      </c>
    </row>
    <row r="526" spans="1:11" x14ac:dyDescent="0.3">
      <c r="A526">
        <v>188</v>
      </c>
      <c r="B526">
        <v>1</v>
      </c>
      <c r="C526">
        <v>7</v>
      </c>
      <c r="D526" t="str">
        <f>VLOOKUP(B526, Products!$A$2:$C$100, 2, FALSE)</f>
        <v>Trek 820 - 2016</v>
      </c>
      <c r="E526">
        <v>2</v>
      </c>
      <c r="F526">
        <v>3999.99</v>
      </c>
      <c r="G526">
        <v>7.0000000000000007E-2</v>
      </c>
      <c r="H526">
        <v>279.99930000000001</v>
      </c>
      <c r="I526">
        <f>order_items[[#This Row],[list_price]]-order_items[[#This Row],[Discounted_price]]</f>
        <v>3719.9906999999998</v>
      </c>
      <c r="J526">
        <f>VLOOKUP(B526, Products!$A$2:$E$100, 3, FALSE)</f>
        <v>9</v>
      </c>
      <c r="K526">
        <f>VLOOKUP(B526, Products!$A$2:$F$100, 4, FALSE)</f>
        <v>6</v>
      </c>
    </row>
    <row r="527" spans="1:11" x14ac:dyDescent="0.3">
      <c r="A527">
        <v>189</v>
      </c>
      <c r="B527">
        <v>1</v>
      </c>
      <c r="C527">
        <v>16</v>
      </c>
      <c r="D527" t="str">
        <f>VLOOKUP(B527, Products!$A$2:$C$100, 2, FALSE)</f>
        <v>Trek 820 - 2016</v>
      </c>
      <c r="E527">
        <v>2</v>
      </c>
      <c r="F527">
        <v>599.99</v>
      </c>
      <c r="G527">
        <v>0.2</v>
      </c>
      <c r="H527">
        <v>119.998</v>
      </c>
      <c r="I527">
        <f>order_items[[#This Row],[list_price]]-order_items[[#This Row],[Discounted_price]]</f>
        <v>479.99200000000002</v>
      </c>
      <c r="J527">
        <f>VLOOKUP(B527, Products!$A$2:$E$100, 3, FALSE)</f>
        <v>9</v>
      </c>
      <c r="K527">
        <f>VLOOKUP(B527, Products!$A$2:$F$100, 4, FALSE)</f>
        <v>6</v>
      </c>
    </row>
    <row r="528" spans="1:11" x14ac:dyDescent="0.3">
      <c r="A528">
        <v>190</v>
      </c>
      <c r="B528">
        <v>1</v>
      </c>
      <c r="C528">
        <v>24</v>
      </c>
      <c r="D528" t="str">
        <f>VLOOKUP(B528, Products!$A$2:$C$100, 2, FALSE)</f>
        <v>Trek 820 - 2016</v>
      </c>
      <c r="E528">
        <v>1</v>
      </c>
      <c r="F528">
        <v>549.99</v>
      </c>
      <c r="G528">
        <v>0.05</v>
      </c>
      <c r="H528">
        <v>27.499500000000001</v>
      </c>
      <c r="I528">
        <f>order_items[[#This Row],[list_price]]-order_items[[#This Row],[Discounted_price]]</f>
        <v>522.4905</v>
      </c>
      <c r="J528">
        <f>VLOOKUP(B528, Products!$A$2:$E$100, 3, FALSE)</f>
        <v>9</v>
      </c>
      <c r="K528">
        <f>VLOOKUP(B528, Products!$A$2:$F$100, 4, FALSE)</f>
        <v>6</v>
      </c>
    </row>
    <row r="529" spans="1:11" x14ac:dyDescent="0.3">
      <c r="A529">
        <v>190</v>
      </c>
      <c r="B529">
        <v>2</v>
      </c>
      <c r="C529">
        <v>15</v>
      </c>
      <c r="D529" t="str">
        <f>VLOOKUP(B529, Products!$A$2:$C$100, 2, FALSE)</f>
        <v>Ritchey Timberwolf Frameset - 2016</v>
      </c>
      <c r="E529">
        <v>1</v>
      </c>
      <c r="F529">
        <v>529.99</v>
      </c>
      <c r="G529">
        <v>0.2</v>
      </c>
      <c r="H529">
        <v>105.998</v>
      </c>
      <c r="I529">
        <f>order_items[[#This Row],[list_price]]-order_items[[#This Row],[Discounted_price]]</f>
        <v>423.99200000000002</v>
      </c>
      <c r="J529">
        <f>VLOOKUP(B529, Products!$A$2:$E$100, 3, FALSE)</f>
        <v>5</v>
      </c>
      <c r="K529">
        <f>VLOOKUP(B529, Products!$A$2:$F$100, 4, FALSE)</f>
        <v>6</v>
      </c>
    </row>
    <row r="530" spans="1:11" x14ac:dyDescent="0.3">
      <c r="A530">
        <v>190</v>
      </c>
      <c r="B530">
        <v>3</v>
      </c>
      <c r="C530">
        <v>3</v>
      </c>
      <c r="D530" t="str">
        <f>VLOOKUP(B530, Products!$A$2:$C$100, 2, FALSE)</f>
        <v>Surly Wednesday Frameset - 2016</v>
      </c>
      <c r="E530">
        <v>2</v>
      </c>
      <c r="F530">
        <v>999.99</v>
      </c>
      <c r="G530">
        <v>0.2</v>
      </c>
      <c r="H530">
        <v>199.99800000000002</v>
      </c>
      <c r="I530">
        <f>order_items[[#This Row],[list_price]]-order_items[[#This Row],[Discounted_price]]</f>
        <v>799.99199999999996</v>
      </c>
      <c r="J530">
        <f>VLOOKUP(B530, Products!$A$2:$E$100, 3, FALSE)</f>
        <v>8</v>
      </c>
      <c r="K530">
        <f>VLOOKUP(B530, Products!$A$2:$F$100, 4, FALSE)</f>
        <v>6</v>
      </c>
    </row>
    <row r="531" spans="1:11" x14ac:dyDescent="0.3">
      <c r="A531">
        <v>191</v>
      </c>
      <c r="B531">
        <v>1</v>
      </c>
      <c r="C531">
        <v>25</v>
      </c>
      <c r="D531" t="str">
        <f>VLOOKUP(B531, Products!$A$2:$C$100, 2, FALSE)</f>
        <v>Trek 820 - 2016</v>
      </c>
      <c r="E531">
        <v>1</v>
      </c>
      <c r="F531">
        <v>499.99</v>
      </c>
      <c r="G531">
        <v>0.05</v>
      </c>
      <c r="H531">
        <v>24.999500000000001</v>
      </c>
      <c r="I531">
        <f>order_items[[#This Row],[list_price]]-order_items[[#This Row],[Discounted_price]]</f>
        <v>474.9905</v>
      </c>
      <c r="J531">
        <f>VLOOKUP(B531, Products!$A$2:$E$100, 3, FALSE)</f>
        <v>9</v>
      </c>
      <c r="K531">
        <f>VLOOKUP(B531, Products!$A$2:$F$100, 4, FALSE)</f>
        <v>6</v>
      </c>
    </row>
    <row r="532" spans="1:11" x14ac:dyDescent="0.3">
      <c r="A532">
        <v>191</v>
      </c>
      <c r="B532">
        <v>2</v>
      </c>
      <c r="C532">
        <v>12</v>
      </c>
      <c r="D532" t="str">
        <f>VLOOKUP(B532, Products!$A$2:$C$100, 2, FALSE)</f>
        <v>Ritchey Timberwolf Frameset - 2016</v>
      </c>
      <c r="E532">
        <v>2</v>
      </c>
      <c r="F532">
        <v>549.99</v>
      </c>
      <c r="G532">
        <v>0.2</v>
      </c>
      <c r="H532">
        <v>109.998</v>
      </c>
      <c r="I532">
        <f>order_items[[#This Row],[list_price]]-order_items[[#This Row],[Discounted_price]]</f>
        <v>439.99200000000002</v>
      </c>
      <c r="J532">
        <f>VLOOKUP(B532, Products!$A$2:$E$100, 3, FALSE)</f>
        <v>5</v>
      </c>
      <c r="K532">
        <f>VLOOKUP(B532, Products!$A$2:$F$100, 4, FALSE)</f>
        <v>6</v>
      </c>
    </row>
    <row r="533" spans="1:11" x14ac:dyDescent="0.3">
      <c r="A533">
        <v>191</v>
      </c>
      <c r="B533">
        <v>3</v>
      </c>
      <c r="C533">
        <v>3</v>
      </c>
      <c r="D533" t="str">
        <f>VLOOKUP(B533, Products!$A$2:$C$100, 2, FALSE)</f>
        <v>Surly Wednesday Frameset - 2016</v>
      </c>
      <c r="E533">
        <v>1</v>
      </c>
      <c r="F533">
        <v>999.99</v>
      </c>
      <c r="G533">
        <v>7.0000000000000007E-2</v>
      </c>
      <c r="H533">
        <v>69.999300000000005</v>
      </c>
      <c r="I533">
        <f>order_items[[#This Row],[list_price]]-order_items[[#This Row],[Discounted_price]]</f>
        <v>929.99070000000006</v>
      </c>
      <c r="J533">
        <f>VLOOKUP(B533, Products!$A$2:$E$100, 3, FALSE)</f>
        <v>8</v>
      </c>
      <c r="K533">
        <f>VLOOKUP(B533, Products!$A$2:$F$100, 4, FALSE)</f>
        <v>6</v>
      </c>
    </row>
    <row r="534" spans="1:11" x14ac:dyDescent="0.3">
      <c r="A534">
        <v>191</v>
      </c>
      <c r="B534">
        <v>4</v>
      </c>
      <c r="C534">
        <v>8</v>
      </c>
      <c r="D534" t="str">
        <f>VLOOKUP(B534, Products!$A$2:$C$100, 2, FALSE)</f>
        <v>Trek Fuel EX 8 29 - 2016</v>
      </c>
      <c r="E534">
        <v>2</v>
      </c>
      <c r="F534">
        <v>1799.99</v>
      </c>
      <c r="G534">
        <v>0.05</v>
      </c>
      <c r="H534">
        <v>89.999500000000012</v>
      </c>
      <c r="I534">
        <f>order_items[[#This Row],[list_price]]-order_items[[#This Row],[Discounted_price]]</f>
        <v>1709.9904999999999</v>
      </c>
      <c r="J534">
        <f>VLOOKUP(B534, Products!$A$2:$E$100, 3, FALSE)</f>
        <v>9</v>
      </c>
      <c r="K534">
        <f>VLOOKUP(B534, Products!$A$2:$F$100, 4, FALSE)</f>
        <v>6</v>
      </c>
    </row>
    <row r="535" spans="1:11" x14ac:dyDescent="0.3">
      <c r="A535">
        <v>191</v>
      </c>
      <c r="B535">
        <v>5</v>
      </c>
      <c r="C535">
        <v>23</v>
      </c>
      <c r="D535" t="str">
        <f>VLOOKUP(B535, Products!$A$2:$C$100, 2, FALSE)</f>
        <v>Heller Shagamaw Frame - 2016</v>
      </c>
      <c r="E535">
        <v>1</v>
      </c>
      <c r="F535">
        <v>299.99</v>
      </c>
      <c r="G535">
        <v>0.05</v>
      </c>
      <c r="H535">
        <v>14.999500000000001</v>
      </c>
      <c r="I535">
        <f>order_items[[#This Row],[list_price]]-order_items[[#This Row],[Discounted_price]]</f>
        <v>284.9905</v>
      </c>
      <c r="J535">
        <f>VLOOKUP(B535, Products!$A$2:$E$100, 3, FALSE)</f>
        <v>3</v>
      </c>
      <c r="K535">
        <f>VLOOKUP(B535, Products!$A$2:$F$100, 4, FALSE)</f>
        <v>6</v>
      </c>
    </row>
    <row r="536" spans="1:11" x14ac:dyDescent="0.3">
      <c r="A536">
        <v>192</v>
      </c>
      <c r="B536">
        <v>1</v>
      </c>
      <c r="C536">
        <v>8</v>
      </c>
      <c r="D536" t="str">
        <f>VLOOKUP(B536, Products!$A$2:$C$100, 2, FALSE)</f>
        <v>Trek 820 - 2016</v>
      </c>
      <c r="E536">
        <v>2</v>
      </c>
      <c r="F536">
        <v>1799.99</v>
      </c>
      <c r="G536">
        <v>0.1</v>
      </c>
      <c r="H536">
        <v>179.99900000000002</v>
      </c>
      <c r="I536">
        <f>order_items[[#This Row],[list_price]]-order_items[[#This Row],[Discounted_price]]</f>
        <v>1619.991</v>
      </c>
      <c r="J536">
        <f>VLOOKUP(B536, Products!$A$2:$E$100, 3, FALSE)</f>
        <v>9</v>
      </c>
      <c r="K536">
        <f>VLOOKUP(B536, Products!$A$2:$F$100, 4, FALSE)</f>
        <v>6</v>
      </c>
    </row>
    <row r="537" spans="1:11" x14ac:dyDescent="0.3">
      <c r="A537">
        <v>192</v>
      </c>
      <c r="B537">
        <v>2</v>
      </c>
      <c r="C537">
        <v>25</v>
      </c>
      <c r="D537" t="str">
        <f>VLOOKUP(B537, Products!$A$2:$C$100, 2, FALSE)</f>
        <v>Ritchey Timberwolf Frameset - 2016</v>
      </c>
      <c r="E537">
        <v>1</v>
      </c>
      <c r="F537">
        <v>499.99</v>
      </c>
      <c r="G537">
        <v>7.0000000000000007E-2</v>
      </c>
      <c r="H537">
        <v>34.999300000000005</v>
      </c>
      <c r="I537">
        <f>order_items[[#This Row],[list_price]]-order_items[[#This Row],[Discounted_price]]</f>
        <v>464.9907</v>
      </c>
      <c r="J537">
        <f>VLOOKUP(B537, Products!$A$2:$E$100, 3, FALSE)</f>
        <v>5</v>
      </c>
      <c r="K537">
        <f>VLOOKUP(B537, Products!$A$2:$F$100, 4, FALSE)</f>
        <v>6</v>
      </c>
    </row>
    <row r="538" spans="1:11" x14ac:dyDescent="0.3">
      <c r="A538">
        <v>192</v>
      </c>
      <c r="B538">
        <v>3</v>
      </c>
      <c r="C538">
        <v>2</v>
      </c>
      <c r="D538" t="str">
        <f>VLOOKUP(B538, Products!$A$2:$C$100, 2, FALSE)</f>
        <v>Surly Wednesday Frameset - 2016</v>
      </c>
      <c r="E538">
        <v>1</v>
      </c>
      <c r="F538">
        <v>749.99</v>
      </c>
      <c r="G538">
        <v>0.05</v>
      </c>
      <c r="H538">
        <v>37.499500000000005</v>
      </c>
      <c r="I538">
        <f>order_items[[#This Row],[list_price]]-order_items[[#This Row],[Discounted_price]]</f>
        <v>712.4905</v>
      </c>
      <c r="J538">
        <f>VLOOKUP(B538, Products!$A$2:$E$100, 3, FALSE)</f>
        <v>8</v>
      </c>
      <c r="K538">
        <f>VLOOKUP(B538, Products!$A$2:$F$100, 4, FALSE)</f>
        <v>6</v>
      </c>
    </row>
    <row r="539" spans="1:11" x14ac:dyDescent="0.3">
      <c r="A539">
        <v>192</v>
      </c>
      <c r="B539">
        <v>4</v>
      </c>
      <c r="C539">
        <v>24</v>
      </c>
      <c r="D539" t="str">
        <f>VLOOKUP(B539, Products!$A$2:$C$100, 2, FALSE)</f>
        <v>Trek Fuel EX 8 29 - 2016</v>
      </c>
      <c r="E539">
        <v>2</v>
      </c>
      <c r="F539">
        <v>549.99</v>
      </c>
      <c r="G539">
        <v>7.0000000000000007E-2</v>
      </c>
      <c r="H539">
        <v>38.499300000000005</v>
      </c>
      <c r="I539">
        <f>order_items[[#This Row],[list_price]]-order_items[[#This Row],[Discounted_price]]</f>
        <v>511.4907</v>
      </c>
      <c r="J539">
        <f>VLOOKUP(B539, Products!$A$2:$E$100, 3, FALSE)</f>
        <v>9</v>
      </c>
      <c r="K539">
        <f>VLOOKUP(B539, Products!$A$2:$F$100, 4, FALSE)</f>
        <v>6</v>
      </c>
    </row>
    <row r="540" spans="1:11" x14ac:dyDescent="0.3">
      <c r="A540">
        <v>192</v>
      </c>
      <c r="B540">
        <v>5</v>
      </c>
      <c r="C540">
        <v>10</v>
      </c>
      <c r="D540" t="str">
        <f>VLOOKUP(B540, Products!$A$2:$C$100, 2, FALSE)</f>
        <v>Heller Shagamaw Frame - 2016</v>
      </c>
      <c r="E540">
        <v>2</v>
      </c>
      <c r="F540">
        <v>1549</v>
      </c>
      <c r="G540">
        <v>0.2</v>
      </c>
      <c r="H540">
        <v>309.8</v>
      </c>
      <c r="I540">
        <f>order_items[[#This Row],[list_price]]-order_items[[#This Row],[Discounted_price]]</f>
        <v>1239.2</v>
      </c>
      <c r="J540">
        <f>VLOOKUP(B540, Products!$A$2:$E$100, 3, FALSE)</f>
        <v>3</v>
      </c>
      <c r="K540">
        <f>VLOOKUP(B540, Products!$A$2:$F$100, 4, FALSE)</f>
        <v>6</v>
      </c>
    </row>
    <row r="541" spans="1:11" x14ac:dyDescent="0.3">
      <c r="A541">
        <v>193</v>
      </c>
      <c r="B541">
        <v>1</v>
      </c>
      <c r="C541">
        <v>12</v>
      </c>
      <c r="D541" t="str">
        <f>VLOOKUP(B541, Products!$A$2:$C$100, 2, FALSE)</f>
        <v>Trek 820 - 2016</v>
      </c>
      <c r="E541">
        <v>2</v>
      </c>
      <c r="F541">
        <v>549.99</v>
      </c>
      <c r="G541">
        <v>0.1</v>
      </c>
      <c r="H541">
        <v>54.999000000000002</v>
      </c>
      <c r="I541">
        <f>order_items[[#This Row],[list_price]]-order_items[[#This Row],[Discounted_price]]</f>
        <v>494.99099999999999</v>
      </c>
      <c r="J541">
        <f>VLOOKUP(B541, Products!$A$2:$E$100, 3, FALSE)</f>
        <v>9</v>
      </c>
      <c r="K541">
        <f>VLOOKUP(B541, Products!$A$2:$F$100, 4, FALSE)</f>
        <v>6</v>
      </c>
    </row>
    <row r="542" spans="1:11" x14ac:dyDescent="0.3">
      <c r="A542">
        <v>194</v>
      </c>
      <c r="B542">
        <v>1</v>
      </c>
      <c r="C542">
        <v>21</v>
      </c>
      <c r="D542" t="str">
        <f>VLOOKUP(B542, Products!$A$2:$C$100, 2, FALSE)</f>
        <v>Trek 820 - 2016</v>
      </c>
      <c r="E542">
        <v>2</v>
      </c>
      <c r="F542">
        <v>269.99</v>
      </c>
      <c r="G542">
        <v>0.2</v>
      </c>
      <c r="H542">
        <v>53.998000000000005</v>
      </c>
      <c r="I542">
        <f>order_items[[#This Row],[list_price]]-order_items[[#This Row],[Discounted_price]]</f>
        <v>215.99200000000002</v>
      </c>
      <c r="J542">
        <f>VLOOKUP(B542, Products!$A$2:$E$100, 3, FALSE)</f>
        <v>9</v>
      </c>
      <c r="K542">
        <f>VLOOKUP(B542, Products!$A$2:$F$100, 4, FALSE)</f>
        <v>6</v>
      </c>
    </row>
    <row r="543" spans="1:11" x14ac:dyDescent="0.3">
      <c r="A543">
        <v>195</v>
      </c>
      <c r="B543">
        <v>1</v>
      </c>
      <c r="C543">
        <v>18</v>
      </c>
      <c r="D543" t="str">
        <f>VLOOKUP(B543, Products!$A$2:$C$100, 2, FALSE)</f>
        <v>Trek 820 - 2016</v>
      </c>
      <c r="E543">
        <v>1</v>
      </c>
      <c r="F543">
        <v>449</v>
      </c>
      <c r="G543">
        <v>0.2</v>
      </c>
      <c r="H543">
        <v>89.800000000000011</v>
      </c>
      <c r="I543">
        <f>order_items[[#This Row],[list_price]]-order_items[[#This Row],[Discounted_price]]</f>
        <v>359.2</v>
      </c>
      <c r="J543">
        <f>VLOOKUP(B543, Products!$A$2:$E$100, 3, FALSE)</f>
        <v>9</v>
      </c>
      <c r="K543">
        <f>VLOOKUP(B543, Products!$A$2:$F$100, 4, FALSE)</f>
        <v>6</v>
      </c>
    </row>
    <row r="544" spans="1:11" x14ac:dyDescent="0.3">
      <c r="A544">
        <v>195</v>
      </c>
      <c r="B544">
        <v>2</v>
      </c>
      <c r="C544">
        <v>14</v>
      </c>
      <c r="D544" t="str">
        <f>VLOOKUP(B544, Products!$A$2:$C$100, 2, FALSE)</f>
        <v>Ritchey Timberwolf Frameset - 2016</v>
      </c>
      <c r="E544">
        <v>1</v>
      </c>
      <c r="F544">
        <v>269.99</v>
      </c>
      <c r="G544">
        <v>0.05</v>
      </c>
      <c r="H544">
        <v>13.499500000000001</v>
      </c>
      <c r="I544">
        <f>order_items[[#This Row],[list_price]]-order_items[[#This Row],[Discounted_price]]</f>
        <v>256.4905</v>
      </c>
      <c r="J544">
        <f>VLOOKUP(B544, Products!$A$2:$E$100, 3, FALSE)</f>
        <v>5</v>
      </c>
      <c r="K544">
        <f>VLOOKUP(B544, Products!$A$2:$F$100, 4, FALSE)</f>
        <v>6</v>
      </c>
    </row>
    <row r="545" spans="1:11" x14ac:dyDescent="0.3">
      <c r="A545">
        <v>195</v>
      </c>
      <c r="B545">
        <v>3</v>
      </c>
      <c r="C545">
        <v>5</v>
      </c>
      <c r="D545" t="str">
        <f>VLOOKUP(B545, Products!$A$2:$C$100, 2, FALSE)</f>
        <v>Surly Wednesday Frameset - 2016</v>
      </c>
      <c r="E545">
        <v>2</v>
      </c>
      <c r="F545">
        <v>1320.99</v>
      </c>
      <c r="G545">
        <v>0.2</v>
      </c>
      <c r="H545">
        <v>264.19800000000004</v>
      </c>
      <c r="I545">
        <f>order_items[[#This Row],[list_price]]-order_items[[#This Row],[Discounted_price]]</f>
        <v>1056.7919999999999</v>
      </c>
      <c r="J545">
        <f>VLOOKUP(B545, Products!$A$2:$E$100, 3, FALSE)</f>
        <v>8</v>
      </c>
      <c r="K545">
        <f>VLOOKUP(B545, Products!$A$2:$F$100, 4, FALSE)</f>
        <v>6</v>
      </c>
    </row>
    <row r="546" spans="1:11" x14ac:dyDescent="0.3">
      <c r="A546">
        <v>195</v>
      </c>
      <c r="B546">
        <v>4</v>
      </c>
      <c r="C546">
        <v>4</v>
      </c>
      <c r="D546" t="str">
        <f>VLOOKUP(B546, Products!$A$2:$C$100, 2, FALSE)</f>
        <v>Trek Fuel EX 8 29 - 2016</v>
      </c>
      <c r="E546">
        <v>2</v>
      </c>
      <c r="F546">
        <v>2899.99</v>
      </c>
      <c r="G546">
        <v>0.2</v>
      </c>
      <c r="H546">
        <v>579.99799999999993</v>
      </c>
      <c r="I546">
        <f>order_items[[#This Row],[list_price]]-order_items[[#This Row],[Discounted_price]]</f>
        <v>2319.9919999999997</v>
      </c>
      <c r="J546">
        <f>VLOOKUP(B546, Products!$A$2:$E$100, 3, FALSE)</f>
        <v>9</v>
      </c>
      <c r="K546">
        <f>VLOOKUP(B546, Products!$A$2:$F$100, 4, FALSE)</f>
        <v>6</v>
      </c>
    </row>
    <row r="547" spans="1:11" x14ac:dyDescent="0.3">
      <c r="A547">
        <v>195</v>
      </c>
      <c r="B547">
        <v>5</v>
      </c>
      <c r="C547">
        <v>21</v>
      </c>
      <c r="D547" t="str">
        <f>VLOOKUP(B547, Products!$A$2:$C$100, 2, FALSE)</f>
        <v>Heller Shagamaw Frame - 2016</v>
      </c>
      <c r="E547">
        <v>2</v>
      </c>
      <c r="F547">
        <v>269.99</v>
      </c>
      <c r="G547">
        <v>0.1</v>
      </c>
      <c r="H547">
        <v>26.999000000000002</v>
      </c>
      <c r="I547">
        <f>order_items[[#This Row],[list_price]]-order_items[[#This Row],[Discounted_price]]</f>
        <v>242.99100000000001</v>
      </c>
      <c r="J547">
        <f>VLOOKUP(B547, Products!$A$2:$E$100, 3, FALSE)</f>
        <v>3</v>
      </c>
      <c r="K547">
        <f>VLOOKUP(B547, Products!$A$2:$F$100, 4, FALSE)</f>
        <v>6</v>
      </c>
    </row>
    <row r="548" spans="1:11" x14ac:dyDescent="0.3">
      <c r="A548">
        <v>196</v>
      </c>
      <c r="B548">
        <v>1</v>
      </c>
      <c r="C548">
        <v>6</v>
      </c>
      <c r="D548" t="str">
        <f>VLOOKUP(B548, Products!$A$2:$C$100, 2, FALSE)</f>
        <v>Trek 820 - 2016</v>
      </c>
      <c r="E548">
        <v>1</v>
      </c>
      <c r="F548">
        <v>469.99</v>
      </c>
      <c r="G548">
        <v>0.05</v>
      </c>
      <c r="H548">
        <v>23.499500000000001</v>
      </c>
      <c r="I548">
        <f>order_items[[#This Row],[list_price]]-order_items[[#This Row],[Discounted_price]]</f>
        <v>446.4905</v>
      </c>
      <c r="J548">
        <f>VLOOKUP(B548, Products!$A$2:$E$100, 3, FALSE)</f>
        <v>9</v>
      </c>
      <c r="K548">
        <f>VLOOKUP(B548, Products!$A$2:$F$100, 4, FALSE)</f>
        <v>6</v>
      </c>
    </row>
    <row r="549" spans="1:11" x14ac:dyDescent="0.3">
      <c r="A549">
        <v>196</v>
      </c>
      <c r="B549">
        <v>2</v>
      </c>
      <c r="C549">
        <v>3</v>
      </c>
      <c r="D549" t="str">
        <f>VLOOKUP(B549, Products!$A$2:$C$100, 2, FALSE)</f>
        <v>Ritchey Timberwolf Frameset - 2016</v>
      </c>
      <c r="E549">
        <v>2</v>
      </c>
      <c r="F549">
        <v>999.99</v>
      </c>
      <c r="G549">
        <v>7.0000000000000007E-2</v>
      </c>
      <c r="H549">
        <v>69.999300000000005</v>
      </c>
      <c r="I549">
        <f>order_items[[#This Row],[list_price]]-order_items[[#This Row],[Discounted_price]]</f>
        <v>929.99070000000006</v>
      </c>
      <c r="J549">
        <f>VLOOKUP(B549, Products!$A$2:$E$100, 3, FALSE)</f>
        <v>5</v>
      </c>
      <c r="K549">
        <f>VLOOKUP(B549, Products!$A$2:$F$100, 4, FALSE)</f>
        <v>6</v>
      </c>
    </row>
    <row r="550" spans="1:11" x14ac:dyDescent="0.3">
      <c r="A550">
        <v>196</v>
      </c>
      <c r="B550">
        <v>3</v>
      </c>
      <c r="C550">
        <v>10</v>
      </c>
      <c r="D550" t="str">
        <f>VLOOKUP(B550, Products!$A$2:$C$100, 2, FALSE)</f>
        <v>Surly Wednesday Frameset - 2016</v>
      </c>
      <c r="E550">
        <v>2</v>
      </c>
      <c r="F550">
        <v>1549</v>
      </c>
      <c r="G550">
        <v>7.0000000000000007E-2</v>
      </c>
      <c r="H550">
        <v>108.43</v>
      </c>
      <c r="I550">
        <f>order_items[[#This Row],[list_price]]-order_items[[#This Row],[Discounted_price]]</f>
        <v>1440.57</v>
      </c>
      <c r="J550">
        <f>VLOOKUP(B550, Products!$A$2:$E$100, 3, FALSE)</f>
        <v>8</v>
      </c>
      <c r="K550">
        <f>VLOOKUP(B550, Products!$A$2:$F$100, 4, FALSE)</f>
        <v>6</v>
      </c>
    </row>
    <row r="551" spans="1:11" x14ac:dyDescent="0.3">
      <c r="A551">
        <v>196</v>
      </c>
      <c r="B551">
        <v>4</v>
      </c>
      <c r="C551">
        <v>12</v>
      </c>
      <c r="D551" t="str">
        <f>VLOOKUP(B551, Products!$A$2:$C$100, 2, FALSE)</f>
        <v>Trek Fuel EX 8 29 - 2016</v>
      </c>
      <c r="E551">
        <v>1</v>
      </c>
      <c r="F551">
        <v>549.99</v>
      </c>
      <c r="G551">
        <v>7.0000000000000007E-2</v>
      </c>
      <c r="H551">
        <v>38.499300000000005</v>
      </c>
      <c r="I551">
        <f>order_items[[#This Row],[list_price]]-order_items[[#This Row],[Discounted_price]]</f>
        <v>511.4907</v>
      </c>
      <c r="J551">
        <f>VLOOKUP(B551, Products!$A$2:$E$100, 3, FALSE)</f>
        <v>9</v>
      </c>
      <c r="K551">
        <f>VLOOKUP(B551, Products!$A$2:$F$100, 4, FALSE)</f>
        <v>6</v>
      </c>
    </row>
    <row r="552" spans="1:11" x14ac:dyDescent="0.3">
      <c r="A552">
        <v>196</v>
      </c>
      <c r="B552">
        <v>5</v>
      </c>
      <c r="C552">
        <v>20</v>
      </c>
      <c r="D552" t="str">
        <f>VLOOKUP(B552, Products!$A$2:$C$100, 2, FALSE)</f>
        <v>Heller Shagamaw Frame - 2016</v>
      </c>
      <c r="E552">
        <v>1</v>
      </c>
      <c r="F552">
        <v>599.99</v>
      </c>
      <c r="G552">
        <v>0.1</v>
      </c>
      <c r="H552">
        <v>59.999000000000002</v>
      </c>
      <c r="I552">
        <f>order_items[[#This Row],[list_price]]-order_items[[#This Row],[Discounted_price]]</f>
        <v>539.99099999999999</v>
      </c>
      <c r="J552">
        <f>VLOOKUP(B552, Products!$A$2:$E$100, 3, FALSE)</f>
        <v>3</v>
      </c>
      <c r="K552">
        <f>VLOOKUP(B552, Products!$A$2:$F$100, 4, FALSE)</f>
        <v>6</v>
      </c>
    </row>
    <row r="553" spans="1:11" x14ac:dyDescent="0.3">
      <c r="A553">
        <v>197</v>
      </c>
      <c r="B553">
        <v>1</v>
      </c>
      <c r="C553">
        <v>4</v>
      </c>
      <c r="D553" t="str">
        <f>VLOOKUP(B553, Products!$A$2:$C$100, 2, FALSE)</f>
        <v>Trek 820 - 2016</v>
      </c>
      <c r="E553">
        <v>2</v>
      </c>
      <c r="F553">
        <v>2899.99</v>
      </c>
      <c r="G553">
        <v>0.2</v>
      </c>
      <c r="H553">
        <v>579.99799999999993</v>
      </c>
      <c r="I553">
        <f>order_items[[#This Row],[list_price]]-order_items[[#This Row],[Discounted_price]]</f>
        <v>2319.9919999999997</v>
      </c>
      <c r="J553">
        <f>VLOOKUP(B553, Products!$A$2:$E$100, 3, FALSE)</f>
        <v>9</v>
      </c>
      <c r="K553">
        <f>VLOOKUP(B553, Products!$A$2:$F$100, 4, FALSE)</f>
        <v>6</v>
      </c>
    </row>
    <row r="554" spans="1:11" x14ac:dyDescent="0.3">
      <c r="A554">
        <v>197</v>
      </c>
      <c r="B554">
        <v>2</v>
      </c>
      <c r="C554">
        <v>2</v>
      </c>
      <c r="D554" t="str">
        <f>VLOOKUP(B554, Products!$A$2:$C$100, 2, FALSE)</f>
        <v>Ritchey Timberwolf Frameset - 2016</v>
      </c>
      <c r="E554">
        <v>2</v>
      </c>
      <c r="F554">
        <v>749.99</v>
      </c>
      <c r="G554">
        <v>7.0000000000000007E-2</v>
      </c>
      <c r="H554">
        <v>52.499300000000005</v>
      </c>
      <c r="I554">
        <f>order_items[[#This Row],[list_price]]-order_items[[#This Row],[Discounted_price]]</f>
        <v>697.49070000000006</v>
      </c>
      <c r="J554">
        <f>VLOOKUP(B554, Products!$A$2:$E$100, 3, FALSE)</f>
        <v>5</v>
      </c>
      <c r="K554">
        <f>VLOOKUP(B554, Products!$A$2:$F$100, 4, FALSE)</f>
        <v>6</v>
      </c>
    </row>
    <row r="555" spans="1:11" x14ac:dyDescent="0.3">
      <c r="A555">
        <v>198</v>
      </c>
      <c r="B555">
        <v>1</v>
      </c>
      <c r="C555">
        <v>6</v>
      </c>
      <c r="D555" t="str">
        <f>VLOOKUP(B555, Products!$A$2:$C$100, 2, FALSE)</f>
        <v>Trek 820 - 2016</v>
      </c>
      <c r="E555">
        <v>2</v>
      </c>
      <c r="F555">
        <v>469.99</v>
      </c>
      <c r="G555">
        <v>0.05</v>
      </c>
      <c r="H555">
        <v>23.499500000000001</v>
      </c>
      <c r="I555">
        <f>order_items[[#This Row],[list_price]]-order_items[[#This Row],[Discounted_price]]</f>
        <v>446.4905</v>
      </c>
      <c r="J555">
        <f>VLOOKUP(B555, Products!$A$2:$E$100, 3, FALSE)</f>
        <v>9</v>
      </c>
      <c r="K555">
        <f>VLOOKUP(B555, Products!$A$2:$F$100, 4, FALSE)</f>
        <v>6</v>
      </c>
    </row>
    <row r="556" spans="1:11" x14ac:dyDescent="0.3">
      <c r="A556">
        <v>198</v>
      </c>
      <c r="B556">
        <v>2</v>
      </c>
      <c r="C556">
        <v>20</v>
      </c>
      <c r="D556" t="str">
        <f>VLOOKUP(B556, Products!$A$2:$C$100, 2, FALSE)</f>
        <v>Ritchey Timberwolf Frameset - 2016</v>
      </c>
      <c r="E556">
        <v>2</v>
      </c>
      <c r="F556">
        <v>599.99</v>
      </c>
      <c r="G556">
        <v>7.0000000000000007E-2</v>
      </c>
      <c r="H556">
        <v>41.999300000000005</v>
      </c>
      <c r="I556">
        <f>order_items[[#This Row],[list_price]]-order_items[[#This Row],[Discounted_price]]</f>
        <v>557.99070000000006</v>
      </c>
      <c r="J556">
        <f>VLOOKUP(B556, Products!$A$2:$E$100, 3, FALSE)</f>
        <v>5</v>
      </c>
      <c r="K556">
        <f>VLOOKUP(B556, Products!$A$2:$F$100, 4, FALSE)</f>
        <v>6</v>
      </c>
    </row>
    <row r="557" spans="1:11" x14ac:dyDescent="0.3">
      <c r="A557">
        <v>198</v>
      </c>
      <c r="B557">
        <v>3</v>
      </c>
      <c r="C557">
        <v>8</v>
      </c>
      <c r="D557" t="str">
        <f>VLOOKUP(B557, Products!$A$2:$C$100, 2, FALSE)</f>
        <v>Surly Wednesday Frameset - 2016</v>
      </c>
      <c r="E557">
        <v>2</v>
      </c>
      <c r="F557">
        <v>1799.99</v>
      </c>
      <c r="G557">
        <v>0.2</v>
      </c>
      <c r="H557">
        <v>359.99800000000005</v>
      </c>
      <c r="I557">
        <f>order_items[[#This Row],[list_price]]-order_items[[#This Row],[Discounted_price]]</f>
        <v>1439.992</v>
      </c>
      <c r="J557">
        <f>VLOOKUP(B557, Products!$A$2:$E$100, 3, FALSE)</f>
        <v>8</v>
      </c>
      <c r="K557">
        <f>VLOOKUP(B557, Products!$A$2:$F$100, 4, FALSE)</f>
        <v>6</v>
      </c>
    </row>
    <row r="558" spans="1:11" x14ac:dyDescent="0.3">
      <c r="A558">
        <v>198</v>
      </c>
      <c r="B558">
        <v>4</v>
      </c>
      <c r="C558">
        <v>13</v>
      </c>
      <c r="D558" t="str">
        <f>VLOOKUP(B558, Products!$A$2:$C$100, 2, FALSE)</f>
        <v>Trek Fuel EX 8 29 - 2016</v>
      </c>
      <c r="E558">
        <v>2</v>
      </c>
      <c r="F558">
        <v>269.99</v>
      </c>
      <c r="G558">
        <v>0.05</v>
      </c>
      <c r="H558">
        <v>13.499500000000001</v>
      </c>
      <c r="I558">
        <f>order_items[[#This Row],[list_price]]-order_items[[#This Row],[Discounted_price]]</f>
        <v>256.4905</v>
      </c>
      <c r="J558">
        <f>VLOOKUP(B558, Products!$A$2:$E$100, 3, FALSE)</f>
        <v>9</v>
      </c>
      <c r="K558">
        <f>VLOOKUP(B558, Products!$A$2:$F$100, 4, FALSE)</f>
        <v>6</v>
      </c>
    </row>
    <row r="559" spans="1:11" x14ac:dyDescent="0.3">
      <c r="A559">
        <v>198</v>
      </c>
      <c r="B559">
        <v>5</v>
      </c>
      <c r="C559">
        <v>17</v>
      </c>
      <c r="D559" t="str">
        <f>VLOOKUP(B559, Products!$A$2:$C$100, 2, FALSE)</f>
        <v>Heller Shagamaw Frame - 2016</v>
      </c>
      <c r="E559">
        <v>1</v>
      </c>
      <c r="F559">
        <v>429</v>
      </c>
      <c r="G559">
        <v>0.05</v>
      </c>
      <c r="H559">
        <v>21.450000000000003</v>
      </c>
      <c r="I559">
        <f>order_items[[#This Row],[list_price]]-order_items[[#This Row],[Discounted_price]]</f>
        <v>407.55</v>
      </c>
      <c r="J559">
        <f>VLOOKUP(B559, Products!$A$2:$E$100, 3, FALSE)</f>
        <v>3</v>
      </c>
      <c r="K559">
        <f>VLOOKUP(B559, Products!$A$2:$F$100, 4, FALSE)</f>
        <v>6</v>
      </c>
    </row>
    <row r="560" spans="1:11" x14ac:dyDescent="0.3">
      <c r="A560">
        <v>199</v>
      </c>
      <c r="B560">
        <v>1</v>
      </c>
      <c r="C560">
        <v>25</v>
      </c>
      <c r="D560" t="str">
        <f>VLOOKUP(B560, Products!$A$2:$C$100, 2, FALSE)</f>
        <v>Trek 820 - 2016</v>
      </c>
      <c r="E560">
        <v>2</v>
      </c>
      <c r="F560">
        <v>499.99</v>
      </c>
      <c r="G560">
        <v>0.05</v>
      </c>
      <c r="H560">
        <v>24.999500000000001</v>
      </c>
      <c r="I560">
        <f>order_items[[#This Row],[list_price]]-order_items[[#This Row],[Discounted_price]]</f>
        <v>474.9905</v>
      </c>
      <c r="J560">
        <f>VLOOKUP(B560, Products!$A$2:$E$100, 3, FALSE)</f>
        <v>9</v>
      </c>
      <c r="K560">
        <f>VLOOKUP(B560, Products!$A$2:$F$100, 4, FALSE)</f>
        <v>6</v>
      </c>
    </row>
    <row r="561" spans="1:11" x14ac:dyDescent="0.3">
      <c r="A561">
        <v>199</v>
      </c>
      <c r="B561">
        <v>2</v>
      </c>
      <c r="C561">
        <v>18</v>
      </c>
      <c r="D561" t="str">
        <f>VLOOKUP(B561, Products!$A$2:$C$100, 2, FALSE)</f>
        <v>Ritchey Timberwolf Frameset - 2016</v>
      </c>
      <c r="E561">
        <v>2</v>
      </c>
      <c r="F561">
        <v>449</v>
      </c>
      <c r="G561">
        <v>7.0000000000000007E-2</v>
      </c>
      <c r="H561">
        <v>31.430000000000003</v>
      </c>
      <c r="I561">
        <f>order_items[[#This Row],[list_price]]-order_items[[#This Row],[Discounted_price]]</f>
        <v>417.57</v>
      </c>
      <c r="J561">
        <f>VLOOKUP(B561, Products!$A$2:$E$100, 3, FALSE)</f>
        <v>5</v>
      </c>
      <c r="K561">
        <f>VLOOKUP(B561, Products!$A$2:$F$100, 4, FALSE)</f>
        <v>6</v>
      </c>
    </row>
    <row r="562" spans="1:11" x14ac:dyDescent="0.3">
      <c r="A562">
        <v>199</v>
      </c>
      <c r="B562">
        <v>3</v>
      </c>
      <c r="C562">
        <v>4</v>
      </c>
      <c r="D562" t="str">
        <f>VLOOKUP(B562, Products!$A$2:$C$100, 2, FALSE)</f>
        <v>Surly Wednesday Frameset - 2016</v>
      </c>
      <c r="E562">
        <v>1</v>
      </c>
      <c r="F562">
        <v>2899.99</v>
      </c>
      <c r="G562">
        <v>0.2</v>
      </c>
      <c r="H562">
        <v>579.99799999999993</v>
      </c>
      <c r="I562">
        <f>order_items[[#This Row],[list_price]]-order_items[[#This Row],[Discounted_price]]</f>
        <v>2319.9919999999997</v>
      </c>
      <c r="J562">
        <f>VLOOKUP(B562, Products!$A$2:$E$100, 3, FALSE)</f>
        <v>8</v>
      </c>
      <c r="K562">
        <f>VLOOKUP(B562, Products!$A$2:$F$100, 4, FALSE)</f>
        <v>6</v>
      </c>
    </row>
    <row r="563" spans="1:11" x14ac:dyDescent="0.3">
      <c r="A563">
        <v>200</v>
      </c>
      <c r="B563">
        <v>1</v>
      </c>
      <c r="C563">
        <v>23</v>
      </c>
      <c r="D563" t="str">
        <f>VLOOKUP(B563, Products!$A$2:$C$100, 2, FALSE)</f>
        <v>Trek 820 - 2016</v>
      </c>
      <c r="E563">
        <v>2</v>
      </c>
      <c r="F563">
        <v>299.99</v>
      </c>
      <c r="G563">
        <v>0.05</v>
      </c>
      <c r="H563">
        <v>14.999500000000001</v>
      </c>
      <c r="I563">
        <f>order_items[[#This Row],[list_price]]-order_items[[#This Row],[Discounted_price]]</f>
        <v>284.9905</v>
      </c>
      <c r="J563">
        <f>VLOOKUP(B563, Products!$A$2:$E$100, 3, FALSE)</f>
        <v>9</v>
      </c>
      <c r="K563">
        <f>VLOOKUP(B563, Products!$A$2:$F$100, 4, FALSE)</f>
        <v>6</v>
      </c>
    </row>
    <row r="564" spans="1:11" x14ac:dyDescent="0.3">
      <c r="A564">
        <v>200</v>
      </c>
      <c r="B564">
        <v>2</v>
      </c>
      <c r="C564">
        <v>22</v>
      </c>
      <c r="D564" t="str">
        <f>VLOOKUP(B564, Products!$A$2:$C$100, 2, FALSE)</f>
        <v>Ritchey Timberwolf Frameset - 2016</v>
      </c>
      <c r="E564">
        <v>2</v>
      </c>
      <c r="F564">
        <v>269.99</v>
      </c>
      <c r="G564">
        <v>7.0000000000000007E-2</v>
      </c>
      <c r="H564">
        <v>18.899300000000004</v>
      </c>
      <c r="I564">
        <f>order_items[[#This Row],[list_price]]-order_items[[#This Row],[Discounted_price]]</f>
        <v>251.0907</v>
      </c>
      <c r="J564">
        <f>VLOOKUP(B564, Products!$A$2:$E$100, 3, FALSE)</f>
        <v>5</v>
      </c>
      <c r="K564">
        <f>VLOOKUP(B564, Products!$A$2:$F$100, 4, FALSE)</f>
        <v>6</v>
      </c>
    </row>
    <row r="565" spans="1:11" x14ac:dyDescent="0.3">
      <c r="A565">
        <v>201</v>
      </c>
      <c r="B565">
        <v>1</v>
      </c>
      <c r="C565">
        <v>24</v>
      </c>
      <c r="D565" t="str">
        <f>VLOOKUP(B565, Products!$A$2:$C$100, 2, FALSE)</f>
        <v>Trek 820 - 2016</v>
      </c>
      <c r="E565">
        <v>1</v>
      </c>
      <c r="F565">
        <v>549.99</v>
      </c>
      <c r="G565">
        <v>0.05</v>
      </c>
      <c r="H565">
        <v>27.499500000000001</v>
      </c>
      <c r="I565">
        <f>order_items[[#This Row],[list_price]]-order_items[[#This Row],[Discounted_price]]</f>
        <v>522.4905</v>
      </c>
      <c r="J565">
        <f>VLOOKUP(B565, Products!$A$2:$E$100, 3, FALSE)</f>
        <v>9</v>
      </c>
      <c r="K565">
        <f>VLOOKUP(B565, Products!$A$2:$F$100, 4, FALSE)</f>
        <v>6</v>
      </c>
    </row>
    <row r="566" spans="1:11" x14ac:dyDescent="0.3">
      <c r="A566">
        <v>201</v>
      </c>
      <c r="B566">
        <v>2</v>
      </c>
      <c r="C566">
        <v>7</v>
      </c>
      <c r="D566" t="str">
        <f>VLOOKUP(B566, Products!$A$2:$C$100, 2, FALSE)</f>
        <v>Ritchey Timberwolf Frameset - 2016</v>
      </c>
      <c r="E566">
        <v>1</v>
      </c>
      <c r="F566">
        <v>3999.99</v>
      </c>
      <c r="G566">
        <v>0.2</v>
      </c>
      <c r="H566">
        <v>799.99800000000005</v>
      </c>
      <c r="I566">
        <f>order_items[[#This Row],[list_price]]-order_items[[#This Row],[Discounted_price]]</f>
        <v>3199.9919999999997</v>
      </c>
      <c r="J566">
        <f>VLOOKUP(B566, Products!$A$2:$E$100, 3, FALSE)</f>
        <v>5</v>
      </c>
      <c r="K566">
        <f>VLOOKUP(B566, Products!$A$2:$F$100, 4, FALSE)</f>
        <v>6</v>
      </c>
    </row>
    <row r="567" spans="1:11" x14ac:dyDescent="0.3">
      <c r="A567">
        <v>201</v>
      </c>
      <c r="B567">
        <v>3</v>
      </c>
      <c r="C567">
        <v>14</v>
      </c>
      <c r="D567" t="str">
        <f>VLOOKUP(B567, Products!$A$2:$C$100, 2, FALSE)</f>
        <v>Surly Wednesday Frameset - 2016</v>
      </c>
      <c r="E567">
        <v>2</v>
      </c>
      <c r="F567">
        <v>269.99</v>
      </c>
      <c r="G567">
        <v>0.1</v>
      </c>
      <c r="H567">
        <v>26.999000000000002</v>
      </c>
      <c r="I567">
        <f>order_items[[#This Row],[list_price]]-order_items[[#This Row],[Discounted_price]]</f>
        <v>242.99100000000001</v>
      </c>
      <c r="J567">
        <f>VLOOKUP(B567, Products!$A$2:$E$100, 3, FALSE)</f>
        <v>8</v>
      </c>
      <c r="K567">
        <f>VLOOKUP(B567, Products!$A$2:$F$100, 4, FALSE)</f>
        <v>6</v>
      </c>
    </row>
    <row r="568" spans="1:11" x14ac:dyDescent="0.3">
      <c r="A568">
        <v>201</v>
      </c>
      <c r="B568">
        <v>4</v>
      </c>
      <c r="C568">
        <v>17</v>
      </c>
      <c r="D568" t="str">
        <f>VLOOKUP(B568, Products!$A$2:$C$100, 2, FALSE)</f>
        <v>Trek Fuel EX 8 29 - 2016</v>
      </c>
      <c r="E568">
        <v>1</v>
      </c>
      <c r="F568">
        <v>429</v>
      </c>
      <c r="G568">
        <v>0.05</v>
      </c>
      <c r="H568">
        <v>21.450000000000003</v>
      </c>
      <c r="I568">
        <f>order_items[[#This Row],[list_price]]-order_items[[#This Row],[Discounted_price]]</f>
        <v>407.55</v>
      </c>
      <c r="J568">
        <f>VLOOKUP(B568, Products!$A$2:$E$100, 3, FALSE)</f>
        <v>9</v>
      </c>
      <c r="K568">
        <f>VLOOKUP(B568, Products!$A$2:$F$100, 4, FALSE)</f>
        <v>6</v>
      </c>
    </row>
    <row r="569" spans="1:11" x14ac:dyDescent="0.3">
      <c r="A569">
        <v>202</v>
      </c>
      <c r="B569">
        <v>1</v>
      </c>
      <c r="C569">
        <v>8</v>
      </c>
      <c r="D569" t="str">
        <f>VLOOKUP(B569, Products!$A$2:$C$100, 2, FALSE)</f>
        <v>Trek 820 - 2016</v>
      </c>
      <c r="E569">
        <v>1</v>
      </c>
      <c r="F569">
        <v>1799.99</v>
      </c>
      <c r="G569">
        <v>7.0000000000000007E-2</v>
      </c>
      <c r="H569">
        <v>125.99930000000002</v>
      </c>
      <c r="I569">
        <f>order_items[[#This Row],[list_price]]-order_items[[#This Row],[Discounted_price]]</f>
        <v>1673.9907000000001</v>
      </c>
      <c r="J569">
        <f>VLOOKUP(B569, Products!$A$2:$E$100, 3, FALSE)</f>
        <v>9</v>
      </c>
      <c r="K569">
        <f>VLOOKUP(B569, Products!$A$2:$F$100, 4, FALSE)</f>
        <v>6</v>
      </c>
    </row>
    <row r="570" spans="1:11" x14ac:dyDescent="0.3">
      <c r="A570">
        <v>202</v>
      </c>
      <c r="B570">
        <v>2</v>
      </c>
      <c r="C570">
        <v>17</v>
      </c>
      <c r="D570" t="str">
        <f>VLOOKUP(B570, Products!$A$2:$C$100, 2, FALSE)</f>
        <v>Ritchey Timberwolf Frameset - 2016</v>
      </c>
      <c r="E570">
        <v>1</v>
      </c>
      <c r="F570">
        <v>429</v>
      </c>
      <c r="G570">
        <v>0.05</v>
      </c>
      <c r="H570">
        <v>21.450000000000003</v>
      </c>
      <c r="I570">
        <f>order_items[[#This Row],[list_price]]-order_items[[#This Row],[Discounted_price]]</f>
        <v>407.55</v>
      </c>
      <c r="J570">
        <f>VLOOKUP(B570, Products!$A$2:$E$100, 3, FALSE)</f>
        <v>5</v>
      </c>
      <c r="K570">
        <f>VLOOKUP(B570, Products!$A$2:$F$100, 4, FALSE)</f>
        <v>6</v>
      </c>
    </row>
    <row r="571" spans="1:11" x14ac:dyDescent="0.3">
      <c r="A571">
        <v>202</v>
      </c>
      <c r="B571">
        <v>3</v>
      </c>
      <c r="C571">
        <v>15</v>
      </c>
      <c r="D571" t="str">
        <f>VLOOKUP(B571, Products!$A$2:$C$100, 2, FALSE)</f>
        <v>Surly Wednesday Frameset - 2016</v>
      </c>
      <c r="E571">
        <v>2</v>
      </c>
      <c r="F571">
        <v>529.99</v>
      </c>
      <c r="G571">
        <v>0.05</v>
      </c>
      <c r="H571">
        <v>26.499500000000001</v>
      </c>
      <c r="I571">
        <f>order_items[[#This Row],[list_price]]-order_items[[#This Row],[Discounted_price]]</f>
        <v>503.4905</v>
      </c>
      <c r="J571">
        <f>VLOOKUP(B571, Products!$A$2:$E$100, 3, FALSE)</f>
        <v>8</v>
      </c>
      <c r="K571">
        <f>VLOOKUP(B571, Products!$A$2:$F$100, 4, FALSE)</f>
        <v>6</v>
      </c>
    </row>
    <row r="572" spans="1:11" x14ac:dyDescent="0.3">
      <c r="A572">
        <v>202</v>
      </c>
      <c r="B572">
        <v>4</v>
      </c>
      <c r="C572">
        <v>25</v>
      </c>
      <c r="D572" t="str">
        <f>VLOOKUP(B572, Products!$A$2:$C$100, 2, FALSE)</f>
        <v>Trek Fuel EX 8 29 - 2016</v>
      </c>
      <c r="E572">
        <v>2</v>
      </c>
      <c r="F572">
        <v>499.99</v>
      </c>
      <c r="G572">
        <v>0.05</v>
      </c>
      <c r="H572">
        <v>24.999500000000001</v>
      </c>
      <c r="I572">
        <f>order_items[[#This Row],[list_price]]-order_items[[#This Row],[Discounted_price]]</f>
        <v>474.9905</v>
      </c>
      <c r="J572">
        <f>VLOOKUP(B572, Products!$A$2:$E$100, 3, FALSE)</f>
        <v>9</v>
      </c>
      <c r="K572">
        <f>VLOOKUP(B572, Products!$A$2:$F$100, 4, FALSE)</f>
        <v>6</v>
      </c>
    </row>
    <row r="573" spans="1:11" x14ac:dyDescent="0.3">
      <c r="A573">
        <v>203</v>
      </c>
      <c r="B573">
        <v>1</v>
      </c>
      <c r="C573">
        <v>26</v>
      </c>
      <c r="D573" t="str">
        <f>VLOOKUP(B573, Products!$A$2:$C$100, 2, FALSE)</f>
        <v>Trek 820 - 2016</v>
      </c>
      <c r="E573">
        <v>1</v>
      </c>
      <c r="F573">
        <v>599.99</v>
      </c>
      <c r="G573">
        <v>0.05</v>
      </c>
      <c r="H573">
        <v>29.999500000000001</v>
      </c>
      <c r="I573">
        <f>order_items[[#This Row],[list_price]]-order_items[[#This Row],[Discounted_price]]</f>
        <v>569.9905</v>
      </c>
      <c r="J573">
        <f>VLOOKUP(B573, Products!$A$2:$E$100, 3, FALSE)</f>
        <v>9</v>
      </c>
      <c r="K573">
        <f>VLOOKUP(B573, Products!$A$2:$F$100, 4, FALSE)</f>
        <v>6</v>
      </c>
    </row>
    <row r="574" spans="1:11" x14ac:dyDescent="0.3">
      <c r="A574">
        <v>203</v>
      </c>
      <c r="B574">
        <v>2</v>
      </c>
      <c r="C574">
        <v>3</v>
      </c>
      <c r="D574" t="str">
        <f>VLOOKUP(B574, Products!$A$2:$C$100, 2, FALSE)</f>
        <v>Ritchey Timberwolf Frameset - 2016</v>
      </c>
      <c r="E574">
        <v>2</v>
      </c>
      <c r="F574">
        <v>999.99</v>
      </c>
      <c r="G574">
        <v>0.1</v>
      </c>
      <c r="H574">
        <v>99.999000000000009</v>
      </c>
      <c r="I574">
        <f>order_items[[#This Row],[list_price]]-order_items[[#This Row],[Discounted_price]]</f>
        <v>899.99099999999999</v>
      </c>
      <c r="J574">
        <f>VLOOKUP(B574, Products!$A$2:$E$100, 3, FALSE)</f>
        <v>5</v>
      </c>
      <c r="K574">
        <f>VLOOKUP(B574, Products!$A$2:$F$100, 4, FALSE)</f>
        <v>6</v>
      </c>
    </row>
    <row r="575" spans="1:11" x14ac:dyDescent="0.3">
      <c r="A575">
        <v>203</v>
      </c>
      <c r="B575">
        <v>3</v>
      </c>
      <c r="C575">
        <v>17</v>
      </c>
      <c r="D575" t="str">
        <f>VLOOKUP(B575, Products!$A$2:$C$100, 2, FALSE)</f>
        <v>Surly Wednesday Frameset - 2016</v>
      </c>
      <c r="E575">
        <v>2</v>
      </c>
      <c r="F575">
        <v>429</v>
      </c>
      <c r="G575">
        <v>0.2</v>
      </c>
      <c r="H575">
        <v>85.800000000000011</v>
      </c>
      <c r="I575">
        <f>order_items[[#This Row],[list_price]]-order_items[[#This Row],[Discounted_price]]</f>
        <v>343.2</v>
      </c>
      <c r="J575">
        <f>VLOOKUP(B575, Products!$A$2:$E$100, 3, FALSE)</f>
        <v>8</v>
      </c>
      <c r="K575">
        <f>VLOOKUP(B575, Products!$A$2:$F$100, 4, FALSE)</f>
        <v>6</v>
      </c>
    </row>
    <row r="576" spans="1:11" x14ac:dyDescent="0.3">
      <c r="A576">
        <v>203</v>
      </c>
      <c r="B576">
        <v>4</v>
      </c>
      <c r="C576">
        <v>19</v>
      </c>
      <c r="D576" t="str">
        <f>VLOOKUP(B576, Products!$A$2:$C$100, 2, FALSE)</f>
        <v>Trek Fuel EX 8 29 - 2016</v>
      </c>
      <c r="E576">
        <v>2</v>
      </c>
      <c r="F576">
        <v>449</v>
      </c>
      <c r="G576">
        <v>7.0000000000000007E-2</v>
      </c>
      <c r="H576">
        <v>31.430000000000003</v>
      </c>
      <c r="I576">
        <f>order_items[[#This Row],[list_price]]-order_items[[#This Row],[Discounted_price]]</f>
        <v>417.57</v>
      </c>
      <c r="J576">
        <f>VLOOKUP(B576, Products!$A$2:$E$100, 3, FALSE)</f>
        <v>9</v>
      </c>
      <c r="K576">
        <f>VLOOKUP(B576, Products!$A$2:$F$100, 4, FALSE)</f>
        <v>6</v>
      </c>
    </row>
    <row r="577" spans="1:11" x14ac:dyDescent="0.3">
      <c r="A577">
        <v>204</v>
      </c>
      <c r="B577">
        <v>1</v>
      </c>
      <c r="C577">
        <v>6</v>
      </c>
      <c r="D577" t="str">
        <f>VLOOKUP(B577, Products!$A$2:$C$100, 2, FALSE)</f>
        <v>Trek 820 - 2016</v>
      </c>
      <c r="E577">
        <v>2</v>
      </c>
      <c r="F577">
        <v>469.99</v>
      </c>
      <c r="G577">
        <v>7.0000000000000007E-2</v>
      </c>
      <c r="H577">
        <v>32.899300000000004</v>
      </c>
      <c r="I577">
        <f>order_items[[#This Row],[list_price]]-order_items[[#This Row],[Discounted_price]]</f>
        <v>437.09070000000003</v>
      </c>
      <c r="J577">
        <f>VLOOKUP(B577, Products!$A$2:$E$100, 3, FALSE)</f>
        <v>9</v>
      </c>
      <c r="K577">
        <f>VLOOKUP(B577, Products!$A$2:$F$100, 4, FALSE)</f>
        <v>6</v>
      </c>
    </row>
    <row r="578" spans="1:11" x14ac:dyDescent="0.3">
      <c r="A578">
        <v>204</v>
      </c>
      <c r="B578">
        <v>2</v>
      </c>
      <c r="C578">
        <v>17</v>
      </c>
      <c r="D578" t="str">
        <f>VLOOKUP(B578, Products!$A$2:$C$100, 2, FALSE)</f>
        <v>Ritchey Timberwolf Frameset - 2016</v>
      </c>
      <c r="E578">
        <v>2</v>
      </c>
      <c r="F578">
        <v>429</v>
      </c>
      <c r="G578">
        <v>0.1</v>
      </c>
      <c r="H578">
        <v>42.900000000000006</v>
      </c>
      <c r="I578">
        <f>order_items[[#This Row],[list_price]]-order_items[[#This Row],[Discounted_price]]</f>
        <v>386.1</v>
      </c>
      <c r="J578">
        <f>VLOOKUP(B578, Products!$A$2:$E$100, 3, FALSE)</f>
        <v>5</v>
      </c>
      <c r="K578">
        <f>VLOOKUP(B578, Products!$A$2:$F$100, 4, FALSE)</f>
        <v>6</v>
      </c>
    </row>
    <row r="579" spans="1:11" x14ac:dyDescent="0.3">
      <c r="A579">
        <v>205</v>
      </c>
      <c r="B579">
        <v>1</v>
      </c>
      <c r="C579">
        <v>22</v>
      </c>
      <c r="D579" t="str">
        <f>VLOOKUP(B579, Products!$A$2:$C$100, 2, FALSE)</f>
        <v>Trek 820 - 2016</v>
      </c>
      <c r="E579">
        <v>2</v>
      </c>
      <c r="F579">
        <v>269.99</v>
      </c>
      <c r="G579">
        <v>0.05</v>
      </c>
      <c r="H579">
        <v>13.499500000000001</v>
      </c>
      <c r="I579">
        <f>order_items[[#This Row],[list_price]]-order_items[[#This Row],[Discounted_price]]</f>
        <v>256.4905</v>
      </c>
      <c r="J579">
        <f>VLOOKUP(B579, Products!$A$2:$E$100, 3, FALSE)</f>
        <v>9</v>
      </c>
      <c r="K579">
        <f>VLOOKUP(B579, Products!$A$2:$F$100, 4, FALSE)</f>
        <v>6</v>
      </c>
    </row>
    <row r="580" spans="1:11" x14ac:dyDescent="0.3">
      <c r="A580">
        <v>205</v>
      </c>
      <c r="B580">
        <v>2</v>
      </c>
      <c r="C580">
        <v>24</v>
      </c>
      <c r="D580" t="str">
        <f>VLOOKUP(B580, Products!$A$2:$C$100, 2, FALSE)</f>
        <v>Ritchey Timberwolf Frameset - 2016</v>
      </c>
      <c r="E580">
        <v>2</v>
      </c>
      <c r="F580">
        <v>549.99</v>
      </c>
      <c r="G580">
        <v>0.1</v>
      </c>
      <c r="H580">
        <v>54.999000000000002</v>
      </c>
      <c r="I580">
        <f>order_items[[#This Row],[list_price]]-order_items[[#This Row],[Discounted_price]]</f>
        <v>494.99099999999999</v>
      </c>
      <c r="J580">
        <f>VLOOKUP(B580, Products!$A$2:$E$100, 3, FALSE)</f>
        <v>5</v>
      </c>
      <c r="K580">
        <f>VLOOKUP(B580, Products!$A$2:$F$100, 4, FALSE)</f>
        <v>6</v>
      </c>
    </row>
    <row r="581" spans="1:11" x14ac:dyDescent="0.3">
      <c r="A581">
        <v>206</v>
      </c>
      <c r="B581">
        <v>1</v>
      </c>
      <c r="C581">
        <v>25</v>
      </c>
      <c r="D581" t="str">
        <f>VLOOKUP(B581, Products!$A$2:$C$100, 2, FALSE)</f>
        <v>Trek 820 - 2016</v>
      </c>
      <c r="E581">
        <v>1</v>
      </c>
      <c r="F581">
        <v>499.99</v>
      </c>
      <c r="G581">
        <v>0.05</v>
      </c>
      <c r="H581">
        <v>24.999500000000001</v>
      </c>
      <c r="I581">
        <f>order_items[[#This Row],[list_price]]-order_items[[#This Row],[Discounted_price]]</f>
        <v>474.9905</v>
      </c>
      <c r="J581">
        <f>VLOOKUP(B581, Products!$A$2:$E$100, 3, FALSE)</f>
        <v>9</v>
      </c>
      <c r="K581">
        <f>VLOOKUP(B581, Products!$A$2:$F$100, 4, FALSE)</f>
        <v>6</v>
      </c>
    </row>
    <row r="582" spans="1:11" x14ac:dyDescent="0.3">
      <c r="A582">
        <v>206</v>
      </c>
      <c r="B582">
        <v>2</v>
      </c>
      <c r="C582">
        <v>20</v>
      </c>
      <c r="D582" t="str">
        <f>VLOOKUP(B582, Products!$A$2:$C$100, 2, FALSE)</f>
        <v>Ritchey Timberwolf Frameset - 2016</v>
      </c>
      <c r="E582">
        <v>1</v>
      </c>
      <c r="F582">
        <v>599.99</v>
      </c>
      <c r="G582">
        <v>0.2</v>
      </c>
      <c r="H582">
        <v>119.998</v>
      </c>
      <c r="I582">
        <f>order_items[[#This Row],[list_price]]-order_items[[#This Row],[Discounted_price]]</f>
        <v>479.99200000000002</v>
      </c>
      <c r="J582">
        <f>VLOOKUP(B582, Products!$A$2:$E$100, 3, FALSE)</f>
        <v>5</v>
      </c>
      <c r="K582">
        <f>VLOOKUP(B582, Products!$A$2:$F$100, 4, FALSE)</f>
        <v>6</v>
      </c>
    </row>
    <row r="583" spans="1:11" x14ac:dyDescent="0.3">
      <c r="A583">
        <v>207</v>
      </c>
      <c r="B583">
        <v>1</v>
      </c>
      <c r="C583">
        <v>12</v>
      </c>
      <c r="D583" t="str">
        <f>VLOOKUP(B583, Products!$A$2:$C$100, 2, FALSE)</f>
        <v>Trek 820 - 2016</v>
      </c>
      <c r="E583">
        <v>2</v>
      </c>
      <c r="F583">
        <v>549.99</v>
      </c>
      <c r="G583">
        <v>0.2</v>
      </c>
      <c r="H583">
        <v>109.998</v>
      </c>
      <c r="I583">
        <f>order_items[[#This Row],[list_price]]-order_items[[#This Row],[Discounted_price]]</f>
        <v>439.99200000000002</v>
      </c>
      <c r="J583">
        <f>VLOOKUP(B583, Products!$A$2:$E$100, 3, FALSE)</f>
        <v>9</v>
      </c>
      <c r="K583">
        <f>VLOOKUP(B583, Products!$A$2:$F$100, 4, FALSE)</f>
        <v>6</v>
      </c>
    </row>
    <row r="584" spans="1:11" x14ac:dyDescent="0.3">
      <c r="A584">
        <v>207</v>
      </c>
      <c r="B584">
        <v>2</v>
      </c>
      <c r="C584">
        <v>5</v>
      </c>
      <c r="D584" t="str">
        <f>VLOOKUP(B584, Products!$A$2:$C$100, 2, FALSE)</f>
        <v>Ritchey Timberwolf Frameset - 2016</v>
      </c>
      <c r="E584">
        <v>1</v>
      </c>
      <c r="F584">
        <v>1320.99</v>
      </c>
      <c r="G584">
        <v>0.05</v>
      </c>
      <c r="H584">
        <v>66.049500000000009</v>
      </c>
      <c r="I584">
        <f>order_items[[#This Row],[list_price]]-order_items[[#This Row],[Discounted_price]]</f>
        <v>1254.9404999999999</v>
      </c>
      <c r="J584">
        <f>VLOOKUP(B584, Products!$A$2:$E$100, 3, FALSE)</f>
        <v>5</v>
      </c>
      <c r="K584">
        <f>VLOOKUP(B584, Products!$A$2:$F$100, 4, FALSE)</f>
        <v>6</v>
      </c>
    </row>
    <row r="585" spans="1:11" x14ac:dyDescent="0.3">
      <c r="A585">
        <v>207</v>
      </c>
      <c r="B585">
        <v>3</v>
      </c>
      <c r="C585">
        <v>11</v>
      </c>
      <c r="D585" t="str">
        <f>VLOOKUP(B585, Products!$A$2:$C$100, 2, FALSE)</f>
        <v>Surly Wednesday Frameset - 2016</v>
      </c>
      <c r="E585">
        <v>2</v>
      </c>
      <c r="F585">
        <v>1680.99</v>
      </c>
      <c r="G585">
        <v>7.0000000000000007E-2</v>
      </c>
      <c r="H585">
        <v>117.66930000000001</v>
      </c>
      <c r="I585">
        <f>order_items[[#This Row],[list_price]]-order_items[[#This Row],[Discounted_price]]</f>
        <v>1563.3207</v>
      </c>
      <c r="J585">
        <f>VLOOKUP(B585, Products!$A$2:$E$100, 3, FALSE)</f>
        <v>8</v>
      </c>
      <c r="K585">
        <f>VLOOKUP(B585, Products!$A$2:$F$100, 4, FALSE)</f>
        <v>6</v>
      </c>
    </row>
    <row r="586" spans="1:11" x14ac:dyDescent="0.3">
      <c r="A586">
        <v>207</v>
      </c>
      <c r="B586">
        <v>4</v>
      </c>
      <c r="C586">
        <v>7</v>
      </c>
      <c r="D586" t="str">
        <f>VLOOKUP(B586, Products!$A$2:$C$100, 2, FALSE)</f>
        <v>Trek Fuel EX 8 29 - 2016</v>
      </c>
      <c r="E586">
        <v>2</v>
      </c>
      <c r="F586">
        <v>3999.99</v>
      </c>
      <c r="G586">
        <v>0.1</v>
      </c>
      <c r="H586">
        <v>399.99900000000002</v>
      </c>
      <c r="I586">
        <f>order_items[[#This Row],[list_price]]-order_items[[#This Row],[Discounted_price]]</f>
        <v>3599.991</v>
      </c>
      <c r="J586">
        <f>VLOOKUP(B586, Products!$A$2:$E$100, 3, FALSE)</f>
        <v>9</v>
      </c>
      <c r="K586">
        <f>VLOOKUP(B586, Products!$A$2:$F$100, 4, FALSE)</f>
        <v>6</v>
      </c>
    </row>
    <row r="587" spans="1:11" x14ac:dyDescent="0.3">
      <c r="A587">
        <v>208</v>
      </c>
      <c r="B587">
        <v>1</v>
      </c>
      <c r="C587">
        <v>6</v>
      </c>
      <c r="D587" t="str">
        <f>VLOOKUP(B587, Products!$A$2:$C$100, 2, FALSE)</f>
        <v>Trek 820 - 2016</v>
      </c>
      <c r="E587">
        <v>2</v>
      </c>
      <c r="F587">
        <v>469.99</v>
      </c>
      <c r="G587">
        <v>0.05</v>
      </c>
      <c r="H587">
        <v>23.499500000000001</v>
      </c>
      <c r="I587">
        <f>order_items[[#This Row],[list_price]]-order_items[[#This Row],[Discounted_price]]</f>
        <v>446.4905</v>
      </c>
      <c r="J587">
        <f>VLOOKUP(B587, Products!$A$2:$E$100, 3, FALSE)</f>
        <v>9</v>
      </c>
      <c r="K587">
        <f>VLOOKUP(B587, Products!$A$2:$F$100, 4, FALSE)</f>
        <v>6</v>
      </c>
    </row>
    <row r="588" spans="1:11" x14ac:dyDescent="0.3">
      <c r="A588">
        <v>208</v>
      </c>
      <c r="B588">
        <v>2</v>
      </c>
      <c r="C588">
        <v>4</v>
      </c>
      <c r="D588" t="str">
        <f>VLOOKUP(B588, Products!$A$2:$C$100, 2, FALSE)</f>
        <v>Ritchey Timberwolf Frameset - 2016</v>
      </c>
      <c r="E588">
        <v>2</v>
      </c>
      <c r="F588">
        <v>2899.99</v>
      </c>
      <c r="G588">
        <v>7.0000000000000007E-2</v>
      </c>
      <c r="H588">
        <v>202.99930000000001</v>
      </c>
      <c r="I588">
        <f>order_items[[#This Row],[list_price]]-order_items[[#This Row],[Discounted_price]]</f>
        <v>2696.9906999999998</v>
      </c>
      <c r="J588">
        <f>VLOOKUP(B588, Products!$A$2:$E$100, 3, FALSE)</f>
        <v>5</v>
      </c>
      <c r="K588">
        <f>VLOOKUP(B588, Products!$A$2:$F$100, 4, FALSE)</f>
        <v>6</v>
      </c>
    </row>
    <row r="589" spans="1:11" x14ac:dyDescent="0.3">
      <c r="A589">
        <v>208</v>
      </c>
      <c r="B589">
        <v>3</v>
      </c>
      <c r="C589">
        <v>3</v>
      </c>
      <c r="D589" t="str">
        <f>VLOOKUP(B589, Products!$A$2:$C$100, 2, FALSE)</f>
        <v>Surly Wednesday Frameset - 2016</v>
      </c>
      <c r="E589">
        <v>1</v>
      </c>
      <c r="F589">
        <v>999.99</v>
      </c>
      <c r="G589">
        <v>0.05</v>
      </c>
      <c r="H589">
        <v>49.999500000000005</v>
      </c>
      <c r="I589">
        <f>order_items[[#This Row],[list_price]]-order_items[[#This Row],[Discounted_price]]</f>
        <v>949.9905</v>
      </c>
      <c r="J589">
        <f>VLOOKUP(B589, Products!$A$2:$E$100, 3, FALSE)</f>
        <v>8</v>
      </c>
      <c r="K589">
        <f>VLOOKUP(B589, Products!$A$2:$F$100, 4, FALSE)</f>
        <v>6</v>
      </c>
    </row>
    <row r="590" spans="1:11" x14ac:dyDescent="0.3">
      <c r="A590">
        <v>208</v>
      </c>
      <c r="B590">
        <v>4</v>
      </c>
      <c r="C590">
        <v>12</v>
      </c>
      <c r="D590" t="str">
        <f>VLOOKUP(B590, Products!$A$2:$C$100, 2, FALSE)</f>
        <v>Trek Fuel EX 8 29 - 2016</v>
      </c>
      <c r="E590">
        <v>1</v>
      </c>
      <c r="F590">
        <v>549.99</v>
      </c>
      <c r="G590">
        <v>0.2</v>
      </c>
      <c r="H590">
        <v>109.998</v>
      </c>
      <c r="I590">
        <f>order_items[[#This Row],[list_price]]-order_items[[#This Row],[Discounted_price]]</f>
        <v>439.99200000000002</v>
      </c>
      <c r="J590">
        <f>VLOOKUP(B590, Products!$A$2:$E$100, 3, FALSE)</f>
        <v>9</v>
      </c>
      <c r="K590">
        <f>VLOOKUP(B590, Products!$A$2:$F$100, 4, FALSE)</f>
        <v>6</v>
      </c>
    </row>
    <row r="591" spans="1:11" x14ac:dyDescent="0.3">
      <c r="A591">
        <v>208</v>
      </c>
      <c r="B591">
        <v>5</v>
      </c>
      <c r="C591">
        <v>10</v>
      </c>
      <c r="D591" t="str">
        <f>VLOOKUP(B591, Products!$A$2:$C$100, 2, FALSE)</f>
        <v>Heller Shagamaw Frame - 2016</v>
      </c>
      <c r="E591">
        <v>2</v>
      </c>
      <c r="F591">
        <v>1549</v>
      </c>
      <c r="G591">
        <v>0.05</v>
      </c>
      <c r="H591">
        <v>77.45</v>
      </c>
      <c r="I591">
        <f>order_items[[#This Row],[list_price]]-order_items[[#This Row],[Discounted_price]]</f>
        <v>1471.55</v>
      </c>
      <c r="J591">
        <f>VLOOKUP(B591, Products!$A$2:$E$100, 3, FALSE)</f>
        <v>3</v>
      </c>
      <c r="K591">
        <f>VLOOKUP(B591, Products!$A$2:$F$100, 4, FALSE)</f>
        <v>6</v>
      </c>
    </row>
    <row r="592" spans="1:11" x14ac:dyDescent="0.3">
      <c r="A592">
        <v>209</v>
      </c>
      <c r="B592">
        <v>1</v>
      </c>
      <c r="C592">
        <v>13</v>
      </c>
      <c r="D592" t="str">
        <f>VLOOKUP(B592, Products!$A$2:$C$100, 2, FALSE)</f>
        <v>Trek 820 - 2016</v>
      </c>
      <c r="E592">
        <v>1</v>
      </c>
      <c r="F592">
        <v>269.99</v>
      </c>
      <c r="G592">
        <v>0.1</v>
      </c>
      <c r="H592">
        <v>26.999000000000002</v>
      </c>
      <c r="I592">
        <f>order_items[[#This Row],[list_price]]-order_items[[#This Row],[Discounted_price]]</f>
        <v>242.99100000000001</v>
      </c>
      <c r="J592">
        <f>VLOOKUP(B592, Products!$A$2:$E$100, 3, FALSE)</f>
        <v>9</v>
      </c>
      <c r="K592">
        <f>VLOOKUP(B592, Products!$A$2:$F$100, 4, FALSE)</f>
        <v>6</v>
      </c>
    </row>
    <row r="593" spans="1:11" x14ac:dyDescent="0.3">
      <c r="A593">
        <v>210</v>
      </c>
      <c r="B593">
        <v>1</v>
      </c>
      <c r="C593">
        <v>14</v>
      </c>
      <c r="D593" t="str">
        <f>VLOOKUP(B593, Products!$A$2:$C$100, 2, FALSE)</f>
        <v>Trek 820 - 2016</v>
      </c>
      <c r="E593">
        <v>1</v>
      </c>
      <c r="F593">
        <v>269.99</v>
      </c>
      <c r="G593">
        <v>7.0000000000000007E-2</v>
      </c>
      <c r="H593">
        <v>18.899300000000004</v>
      </c>
      <c r="I593">
        <f>order_items[[#This Row],[list_price]]-order_items[[#This Row],[Discounted_price]]</f>
        <v>251.0907</v>
      </c>
      <c r="J593">
        <f>VLOOKUP(B593, Products!$A$2:$E$100, 3, FALSE)</f>
        <v>9</v>
      </c>
      <c r="K593">
        <f>VLOOKUP(B593, Products!$A$2:$F$100, 4, FALSE)</f>
        <v>6</v>
      </c>
    </row>
    <row r="594" spans="1:11" x14ac:dyDescent="0.3">
      <c r="A594">
        <v>210</v>
      </c>
      <c r="B594">
        <v>2</v>
      </c>
      <c r="C594">
        <v>13</v>
      </c>
      <c r="D594" t="str">
        <f>VLOOKUP(B594, Products!$A$2:$C$100, 2, FALSE)</f>
        <v>Ritchey Timberwolf Frameset - 2016</v>
      </c>
      <c r="E594">
        <v>2</v>
      </c>
      <c r="F594">
        <v>269.99</v>
      </c>
      <c r="G594">
        <v>0.2</v>
      </c>
      <c r="H594">
        <v>53.998000000000005</v>
      </c>
      <c r="I594">
        <f>order_items[[#This Row],[list_price]]-order_items[[#This Row],[Discounted_price]]</f>
        <v>215.99200000000002</v>
      </c>
      <c r="J594">
        <f>VLOOKUP(B594, Products!$A$2:$E$100, 3, FALSE)</f>
        <v>5</v>
      </c>
      <c r="K594">
        <f>VLOOKUP(B594, Products!$A$2:$F$100, 4, FALSE)</f>
        <v>6</v>
      </c>
    </row>
    <row r="595" spans="1:11" x14ac:dyDescent="0.3">
      <c r="A595">
        <v>211</v>
      </c>
      <c r="B595">
        <v>1</v>
      </c>
      <c r="C595">
        <v>10</v>
      </c>
      <c r="D595" t="str">
        <f>VLOOKUP(B595, Products!$A$2:$C$100, 2, FALSE)</f>
        <v>Trek 820 - 2016</v>
      </c>
      <c r="E595">
        <v>1</v>
      </c>
      <c r="F595">
        <v>1549</v>
      </c>
      <c r="G595">
        <v>7.0000000000000007E-2</v>
      </c>
      <c r="H595">
        <v>108.43</v>
      </c>
      <c r="I595">
        <f>order_items[[#This Row],[list_price]]-order_items[[#This Row],[Discounted_price]]</f>
        <v>1440.57</v>
      </c>
      <c r="J595">
        <f>VLOOKUP(B595, Products!$A$2:$E$100, 3, FALSE)</f>
        <v>9</v>
      </c>
      <c r="K595">
        <f>VLOOKUP(B595, Products!$A$2:$F$100, 4, FALSE)</f>
        <v>6</v>
      </c>
    </row>
    <row r="596" spans="1:11" x14ac:dyDescent="0.3">
      <c r="A596">
        <v>211</v>
      </c>
      <c r="B596">
        <v>2</v>
      </c>
      <c r="C596">
        <v>2</v>
      </c>
      <c r="D596" t="str">
        <f>VLOOKUP(B596, Products!$A$2:$C$100, 2, FALSE)</f>
        <v>Ritchey Timberwolf Frameset - 2016</v>
      </c>
      <c r="E596">
        <v>2</v>
      </c>
      <c r="F596">
        <v>749.99</v>
      </c>
      <c r="G596">
        <v>7.0000000000000007E-2</v>
      </c>
      <c r="H596">
        <v>52.499300000000005</v>
      </c>
      <c r="I596">
        <f>order_items[[#This Row],[list_price]]-order_items[[#This Row],[Discounted_price]]</f>
        <v>697.49070000000006</v>
      </c>
      <c r="J596">
        <f>VLOOKUP(B596, Products!$A$2:$E$100, 3, FALSE)</f>
        <v>5</v>
      </c>
      <c r="K596">
        <f>VLOOKUP(B596, Products!$A$2:$F$100, 4, FALSE)</f>
        <v>6</v>
      </c>
    </row>
    <row r="597" spans="1:11" x14ac:dyDescent="0.3">
      <c r="A597">
        <v>212</v>
      </c>
      <c r="B597">
        <v>1</v>
      </c>
      <c r="C597">
        <v>16</v>
      </c>
      <c r="D597" t="str">
        <f>VLOOKUP(B597, Products!$A$2:$C$100, 2, FALSE)</f>
        <v>Trek 820 - 2016</v>
      </c>
      <c r="E597">
        <v>2</v>
      </c>
      <c r="F597">
        <v>599.99</v>
      </c>
      <c r="G597">
        <v>7.0000000000000007E-2</v>
      </c>
      <c r="H597">
        <v>41.999300000000005</v>
      </c>
      <c r="I597">
        <f>order_items[[#This Row],[list_price]]-order_items[[#This Row],[Discounted_price]]</f>
        <v>557.99070000000006</v>
      </c>
      <c r="J597">
        <f>VLOOKUP(B597, Products!$A$2:$E$100, 3, FALSE)</f>
        <v>9</v>
      </c>
      <c r="K597">
        <f>VLOOKUP(B597, Products!$A$2:$F$100, 4, FALSE)</f>
        <v>6</v>
      </c>
    </row>
    <row r="598" spans="1:11" x14ac:dyDescent="0.3">
      <c r="A598">
        <v>212</v>
      </c>
      <c r="B598">
        <v>2</v>
      </c>
      <c r="C598">
        <v>12</v>
      </c>
      <c r="D598" t="str">
        <f>VLOOKUP(B598, Products!$A$2:$C$100, 2, FALSE)</f>
        <v>Ritchey Timberwolf Frameset - 2016</v>
      </c>
      <c r="E598">
        <v>2</v>
      </c>
      <c r="F598">
        <v>549.99</v>
      </c>
      <c r="G598">
        <v>0.2</v>
      </c>
      <c r="H598">
        <v>109.998</v>
      </c>
      <c r="I598">
        <f>order_items[[#This Row],[list_price]]-order_items[[#This Row],[Discounted_price]]</f>
        <v>439.99200000000002</v>
      </c>
      <c r="J598">
        <f>VLOOKUP(B598, Products!$A$2:$E$100, 3, FALSE)</f>
        <v>5</v>
      </c>
      <c r="K598">
        <f>VLOOKUP(B598, Products!$A$2:$F$100, 4, FALSE)</f>
        <v>6</v>
      </c>
    </row>
    <row r="599" spans="1:11" x14ac:dyDescent="0.3">
      <c r="A599">
        <v>212</v>
      </c>
      <c r="B599">
        <v>3</v>
      </c>
      <c r="C599">
        <v>19</v>
      </c>
      <c r="D599" t="str">
        <f>VLOOKUP(B599, Products!$A$2:$C$100, 2, FALSE)</f>
        <v>Surly Wednesday Frameset - 2016</v>
      </c>
      <c r="E599">
        <v>1</v>
      </c>
      <c r="F599">
        <v>449</v>
      </c>
      <c r="G599">
        <v>0.1</v>
      </c>
      <c r="H599">
        <v>44.900000000000006</v>
      </c>
      <c r="I599">
        <f>order_items[[#This Row],[list_price]]-order_items[[#This Row],[Discounted_price]]</f>
        <v>404.1</v>
      </c>
      <c r="J599">
        <f>VLOOKUP(B599, Products!$A$2:$E$100, 3, FALSE)</f>
        <v>8</v>
      </c>
      <c r="K599">
        <f>VLOOKUP(B599, Products!$A$2:$F$100, 4, FALSE)</f>
        <v>6</v>
      </c>
    </row>
    <row r="600" spans="1:11" x14ac:dyDescent="0.3">
      <c r="A600">
        <v>212</v>
      </c>
      <c r="B600">
        <v>4</v>
      </c>
      <c r="C600">
        <v>7</v>
      </c>
      <c r="D600" t="str">
        <f>VLOOKUP(B600, Products!$A$2:$C$100, 2, FALSE)</f>
        <v>Trek Fuel EX 8 29 - 2016</v>
      </c>
      <c r="E600">
        <v>1</v>
      </c>
      <c r="F600">
        <v>3999.99</v>
      </c>
      <c r="G600">
        <v>0.2</v>
      </c>
      <c r="H600">
        <v>799.99800000000005</v>
      </c>
      <c r="I600">
        <f>order_items[[#This Row],[list_price]]-order_items[[#This Row],[Discounted_price]]</f>
        <v>3199.9919999999997</v>
      </c>
      <c r="J600">
        <f>VLOOKUP(B600, Products!$A$2:$E$100, 3, FALSE)</f>
        <v>9</v>
      </c>
      <c r="K600">
        <f>VLOOKUP(B600, Products!$A$2:$F$100, 4, FALSE)</f>
        <v>6</v>
      </c>
    </row>
    <row r="601" spans="1:11" x14ac:dyDescent="0.3">
      <c r="A601">
        <v>213</v>
      </c>
      <c r="B601">
        <v>1</v>
      </c>
      <c r="C601">
        <v>13</v>
      </c>
      <c r="D601" t="str">
        <f>VLOOKUP(B601, Products!$A$2:$C$100, 2, FALSE)</f>
        <v>Trek 820 - 2016</v>
      </c>
      <c r="E601">
        <v>1</v>
      </c>
      <c r="F601">
        <v>269.99</v>
      </c>
      <c r="G601">
        <v>0.1</v>
      </c>
      <c r="H601">
        <v>26.999000000000002</v>
      </c>
      <c r="I601">
        <f>order_items[[#This Row],[list_price]]-order_items[[#This Row],[Discounted_price]]</f>
        <v>242.99100000000001</v>
      </c>
      <c r="J601">
        <f>VLOOKUP(B601, Products!$A$2:$E$100, 3, FALSE)</f>
        <v>9</v>
      </c>
      <c r="K601">
        <f>VLOOKUP(B601, Products!$A$2:$F$100, 4, FALSE)</f>
        <v>6</v>
      </c>
    </row>
    <row r="602" spans="1:11" x14ac:dyDescent="0.3">
      <c r="A602">
        <v>214</v>
      </c>
      <c r="B602">
        <v>1</v>
      </c>
      <c r="C602">
        <v>21</v>
      </c>
      <c r="D602" t="str">
        <f>VLOOKUP(B602, Products!$A$2:$C$100, 2, FALSE)</f>
        <v>Trek 820 - 2016</v>
      </c>
      <c r="E602">
        <v>1</v>
      </c>
      <c r="F602">
        <v>269.99</v>
      </c>
      <c r="G602">
        <v>0.1</v>
      </c>
      <c r="H602">
        <v>26.999000000000002</v>
      </c>
      <c r="I602">
        <f>order_items[[#This Row],[list_price]]-order_items[[#This Row],[Discounted_price]]</f>
        <v>242.99100000000001</v>
      </c>
      <c r="J602">
        <f>VLOOKUP(B602, Products!$A$2:$E$100, 3, FALSE)</f>
        <v>9</v>
      </c>
      <c r="K602">
        <f>VLOOKUP(B602, Products!$A$2:$F$100, 4, FALSE)</f>
        <v>6</v>
      </c>
    </row>
    <row r="603" spans="1:11" x14ac:dyDescent="0.3">
      <c r="A603">
        <v>215</v>
      </c>
      <c r="B603">
        <v>1</v>
      </c>
      <c r="C603">
        <v>19</v>
      </c>
      <c r="D603" t="str">
        <f>VLOOKUP(B603, Products!$A$2:$C$100, 2, FALSE)</f>
        <v>Trek 820 - 2016</v>
      </c>
      <c r="E603">
        <v>1</v>
      </c>
      <c r="F603">
        <v>449</v>
      </c>
      <c r="G603">
        <v>7.0000000000000007E-2</v>
      </c>
      <c r="H603">
        <v>31.430000000000003</v>
      </c>
      <c r="I603">
        <f>order_items[[#This Row],[list_price]]-order_items[[#This Row],[Discounted_price]]</f>
        <v>417.57</v>
      </c>
      <c r="J603">
        <f>VLOOKUP(B603, Products!$A$2:$E$100, 3, FALSE)</f>
        <v>9</v>
      </c>
      <c r="K603">
        <f>VLOOKUP(B603, Products!$A$2:$F$100, 4, FALSE)</f>
        <v>6</v>
      </c>
    </row>
    <row r="604" spans="1:11" x14ac:dyDescent="0.3">
      <c r="A604">
        <v>215</v>
      </c>
      <c r="B604">
        <v>2</v>
      </c>
      <c r="C604">
        <v>12</v>
      </c>
      <c r="D604" t="str">
        <f>VLOOKUP(B604, Products!$A$2:$C$100, 2, FALSE)</f>
        <v>Ritchey Timberwolf Frameset - 2016</v>
      </c>
      <c r="E604">
        <v>2</v>
      </c>
      <c r="F604">
        <v>549.99</v>
      </c>
      <c r="G604">
        <v>0.1</v>
      </c>
      <c r="H604">
        <v>54.999000000000002</v>
      </c>
      <c r="I604">
        <f>order_items[[#This Row],[list_price]]-order_items[[#This Row],[Discounted_price]]</f>
        <v>494.99099999999999</v>
      </c>
      <c r="J604">
        <f>VLOOKUP(B604, Products!$A$2:$E$100, 3, FALSE)</f>
        <v>5</v>
      </c>
      <c r="K604">
        <f>VLOOKUP(B604, Products!$A$2:$F$100, 4, FALSE)</f>
        <v>6</v>
      </c>
    </row>
    <row r="605" spans="1:11" x14ac:dyDescent="0.3">
      <c r="A605">
        <v>216</v>
      </c>
      <c r="B605">
        <v>1</v>
      </c>
      <c r="C605">
        <v>22</v>
      </c>
      <c r="D605" t="str">
        <f>VLOOKUP(B605, Products!$A$2:$C$100, 2, FALSE)</f>
        <v>Trek 820 - 2016</v>
      </c>
      <c r="E605">
        <v>2</v>
      </c>
      <c r="F605">
        <v>269.99</v>
      </c>
      <c r="G605">
        <v>0.1</v>
      </c>
      <c r="H605">
        <v>26.999000000000002</v>
      </c>
      <c r="I605">
        <f>order_items[[#This Row],[list_price]]-order_items[[#This Row],[Discounted_price]]</f>
        <v>242.99100000000001</v>
      </c>
      <c r="J605">
        <f>VLOOKUP(B605, Products!$A$2:$E$100, 3, FALSE)</f>
        <v>9</v>
      </c>
      <c r="K605">
        <f>VLOOKUP(B605, Products!$A$2:$F$100, 4, FALSE)</f>
        <v>6</v>
      </c>
    </row>
    <row r="606" spans="1:11" x14ac:dyDescent="0.3">
      <c r="A606">
        <v>216</v>
      </c>
      <c r="B606">
        <v>2</v>
      </c>
      <c r="C606">
        <v>16</v>
      </c>
      <c r="D606" t="str">
        <f>VLOOKUP(B606, Products!$A$2:$C$100, 2, FALSE)</f>
        <v>Ritchey Timberwolf Frameset - 2016</v>
      </c>
      <c r="E606">
        <v>2</v>
      </c>
      <c r="F606">
        <v>599.99</v>
      </c>
      <c r="G606">
        <v>0.05</v>
      </c>
      <c r="H606">
        <v>29.999500000000001</v>
      </c>
      <c r="I606">
        <f>order_items[[#This Row],[list_price]]-order_items[[#This Row],[Discounted_price]]</f>
        <v>569.9905</v>
      </c>
      <c r="J606">
        <f>VLOOKUP(B606, Products!$A$2:$E$100, 3, FALSE)</f>
        <v>5</v>
      </c>
      <c r="K606">
        <f>VLOOKUP(B606, Products!$A$2:$F$100, 4, FALSE)</f>
        <v>6</v>
      </c>
    </row>
    <row r="607" spans="1:11" x14ac:dyDescent="0.3">
      <c r="A607">
        <v>217</v>
      </c>
      <c r="B607">
        <v>1</v>
      </c>
      <c r="C607">
        <v>18</v>
      </c>
      <c r="D607" t="str">
        <f>VLOOKUP(B607, Products!$A$2:$C$100, 2, FALSE)</f>
        <v>Trek 820 - 2016</v>
      </c>
      <c r="E607">
        <v>1</v>
      </c>
      <c r="F607">
        <v>449</v>
      </c>
      <c r="G607">
        <v>0.1</v>
      </c>
      <c r="H607">
        <v>44.900000000000006</v>
      </c>
      <c r="I607">
        <f>order_items[[#This Row],[list_price]]-order_items[[#This Row],[Discounted_price]]</f>
        <v>404.1</v>
      </c>
      <c r="J607">
        <f>VLOOKUP(B607, Products!$A$2:$E$100, 3, FALSE)</f>
        <v>9</v>
      </c>
      <c r="K607">
        <f>VLOOKUP(B607, Products!$A$2:$F$100, 4, FALSE)</f>
        <v>6</v>
      </c>
    </row>
    <row r="608" spans="1:11" x14ac:dyDescent="0.3">
      <c r="A608">
        <v>217</v>
      </c>
      <c r="B608">
        <v>2</v>
      </c>
      <c r="C608">
        <v>10</v>
      </c>
      <c r="D608" t="str">
        <f>VLOOKUP(B608, Products!$A$2:$C$100, 2, FALSE)</f>
        <v>Ritchey Timberwolf Frameset - 2016</v>
      </c>
      <c r="E608">
        <v>2</v>
      </c>
      <c r="F608">
        <v>1549</v>
      </c>
      <c r="G608">
        <v>0.1</v>
      </c>
      <c r="H608">
        <v>154.9</v>
      </c>
      <c r="I608">
        <f>order_items[[#This Row],[list_price]]-order_items[[#This Row],[Discounted_price]]</f>
        <v>1394.1</v>
      </c>
      <c r="J608">
        <f>VLOOKUP(B608, Products!$A$2:$E$100, 3, FALSE)</f>
        <v>5</v>
      </c>
      <c r="K608">
        <f>VLOOKUP(B608, Products!$A$2:$F$100, 4, FALSE)</f>
        <v>6</v>
      </c>
    </row>
    <row r="609" spans="1:11" x14ac:dyDescent="0.3">
      <c r="A609">
        <v>217</v>
      </c>
      <c r="B609">
        <v>3</v>
      </c>
      <c r="C609">
        <v>17</v>
      </c>
      <c r="D609" t="str">
        <f>VLOOKUP(B609, Products!$A$2:$C$100, 2, FALSE)</f>
        <v>Surly Wednesday Frameset - 2016</v>
      </c>
      <c r="E609">
        <v>1</v>
      </c>
      <c r="F609">
        <v>429</v>
      </c>
      <c r="G609">
        <v>7.0000000000000007E-2</v>
      </c>
      <c r="H609">
        <v>30.03</v>
      </c>
      <c r="I609">
        <f>order_items[[#This Row],[list_price]]-order_items[[#This Row],[Discounted_price]]</f>
        <v>398.97</v>
      </c>
      <c r="J609">
        <f>VLOOKUP(B609, Products!$A$2:$E$100, 3, FALSE)</f>
        <v>8</v>
      </c>
      <c r="K609">
        <f>VLOOKUP(B609, Products!$A$2:$F$100, 4, FALSE)</f>
        <v>6</v>
      </c>
    </row>
    <row r="610" spans="1:11" x14ac:dyDescent="0.3">
      <c r="A610">
        <v>218</v>
      </c>
      <c r="B610">
        <v>1</v>
      </c>
      <c r="C610">
        <v>2</v>
      </c>
      <c r="D610" t="str">
        <f>VLOOKUP(B610, Products!$A$2:$C$100, 2, FALSE)</f>
        <v>Trek 820 - 2016</v>
      </c>
      <c r="E610">
        <v>2</v>
      </c>
      <c r="F610">
        <v>749.99</v>
      </c>
      <c r="G610">
        <v>0.1</v>
      </c>
      <c r="H610">
        <v>74.999000000000009</v>
      </c>
      <c r="I610">
        <f>order_items[[#This Row],[list_price]]-order_items[[#This Row],[Discounted_price]]</f>
        <v>674.99099999999999</v>
      </c>
      <c r="J610">
        <f>VLOOKUP(B610, Products!$A$2:$E$100, 3, FALSE)</f>
        <v>9</v>
      </c>
      <c r="K610">
        <f>VLOOKUP(B610, Products!$A$2:$F$100, 4, FALSE)</f>
        <v>6</v>
      </c>
    </row>
    <row r="611" spans="1:11" x14ac:dyDescent="0.3">
      <c r="A611">
        <v>218</v>
      </c>
      <c r="B611">
        <v>2</v>
      </c>
      <c r="C611">
        <v>13</v>
      </c>
      <c r="D611" t="str">
        <f>VLOOKUP(B611, Products!$A$2:$C$100, 2, FALSE)</f>
        <v>Ritchey Timberwolf Frameset - 2016</v>
      </c>
      <c r="E611">
        <v>1</v>
      </c>
      <c r="F611">
        <v>269.99</v>
      </c>
      <c r="G611">
        <v>7.0000000000000007E-2</v>
      </c>
      <c r="H611">
        <v>18.899300000000004</v>
      </c>
      <c r="I611">
        <f>order_items[[#This Row],[list_price]]-order_items[[#This Row],[Discounted_price]]</f>
        <v>251.0907</v>
      </c>
      <c r="J611">
        <f>VLOOKUP(B611, Products!$A$2:$E$100, 3, FALSE)</f>
        <v>5</v>
      </c>
      <c r="K611">
        <f>VLOOKUP(B611, Products!$A$2:$F$100, 4, FALSE)</f>
        <v>6</v>
      </c>
    </row>
    <row r="612" spans="1:11" x14ac:dyDescent="0.3">
      <c r="A612">
        <v>218</v>
      </c>
      <c r="B612">
        <v>3</v>
      </c>
      <c r="C612">
        <v>12</v>
      </c>
      <c r="D612" t="str">
        <f>VLOOKUP(B612, Products!$A$2:$C$100, 2, FALSE)</f>
        <v>Surly Wednesday Frameset - 2016</v>
      </c>
      <c r="E612">
        <v>1</v>
      </c>
      <c r="F612">
        <v>549.99</v>
      </c>
      <c r="G612">
        <v>0.05</v>
      </c>
      <c r="H612">
        <v>27.499500000000001</v>
      </c>
      <c r="I612">
        <f>order_items[[#This Row],[list_price]]-order_items[[#This Row],[Discounted_price]]</f>
        <v>522.4905</v>
      </c>
      <c r="J612">
        <f>VLOOKUP(B612, Products!$A$2:$E$100, 3, FALSE)</f>
        <v>8</v>
      </c>
      <c r="K612">
        <f>VLOOKUP(B612, Products!$A$2:$F$100, 4, FALSE)</f>
        <v>6</v>
      </c>
    </row>
    <row r="613" spans="1:11" x14ac:dyDescent="0.3">
      <c r="A613">
        <v>219</v>
      </c>
      <c r="B613">
        <v>1</v>
      </c>
      <c r="C613">
        <v>26</v>
      </c>
      <c r="D613" t="str">
        <f>VLOOKUP(B613, Products!$A$2:$C$100, 2, FALSE)</f>
        <v>Trek 820 - 2016</v>
      </c>
      <c r="E613">
        <v>1</v>
      </c>
      <c r="F613">
        <v>599.99</v>
      </c>
      <c r="G613">
        <v>0.05</v>
      </c>
      <c r="H613">
        <v>29.999500000000001</v>
      </c>
      <c r="I613">
        <f>order_items[[#This Row],[list_price]]-order_items[[#This Row],[Discounted_price]]</f>
        <v>569.9905</v>
      </c>
      <c r="J613">
        <f>VLOOKUP(B613, Products!$A$2:$E$100, 3, FALSE)</f>
        <v>9</v>
      </c>
      <c r="K613">
        <f>VLOOKUP(B613, Products!$A$2:$F$100, 4, FALSE)</f>
        <v>6</v>
      </c>
    </row>
    <row r="614" spans="1:11" x14ac:dyDescent="0.3">
      <c r="A614">
        <v>219</v>
      </c>
      <c r="B614">
        <v>2</v>
      </c>
      <c r="C614">
        <v>5</v>
      </c>
      <c r="D614" t="str">
        <f>VLOOKUP(B614, Products!$A$2:$C$100, 2, FALSE)</f>
        <v>Ritchey Timberwolf Frameset - 2016</v>
      </c>
      <c r="E614">
        <v>1</v>
      </c>
      <c r="F614">
        <v>1320.99</v>
      </c>
      <c r="G614">
        <v>0.2</v>
      </c>
      <c r="H614">
        <v>264.19800000000004</v>
      </c>
      <c r="I614">
        <f>order_items[[#This Row],[list_price]]-order_items[[#This Row],[Discounted_price]]</f>
        <v>1056.7919999999999</v>
      </c>
      <c r="J614">
        <f>VLOOKUP(B614, Products!$A$2:$E$100, 3, FALSE)</f>
        <v>5</v>
      </c>
      <c r="K614">
        <f>VLOOKUP(B614, Products!$A$2:$F$100, 4, FALSE)</f>
        <v>6</v>
      </c>
    </row>
    <row r="615" spans="1:11" x14ac:dyDescent="0.3">
      <c r="A615">
        <v>220</v>
      </c>
      <c r="B615">
        <v>1</v>
      </c>
      <c r="C615">
        <v>6</v>
      </c>
      <c r="D615" t="str">
        <f>VLOOKUP(B615, Products!$A$2:$C$100, 2, FALSE)</f>
        <v>Trek 820 - 2016</v>
      </c>
      <c r="E615">
        <v>2</v>
      </c>
      <c r="F615">
        <v>469.99</v>
      </c>
      <c r="G615">
        <v>0.05</v>
      </c>
      <c r="H615">
        <v>23.499500000000001</v>
      </c>
      <c r="I615">
        <f>order_items[[#This Row],[list_price]]-order_items[[#This Row],[Discounted_price]]</f>
        <v>446.4905</v>
      </c>
      <c r="J615">
        <f>VLOOKUP(B615, Products!$A$2:$E$100, 3, FALSE)</f>
        <v>9</v>
      </c>
      <c r="K615">
        <f>VLOOKUP(B615, Products!$A$2:$F$100, 4, FALSE)</f>
        <v>6</v>
      </c>
    </row>
    <row r="616" spans="1:11" x14ac:dyDescent="0.3">
      <c r="A616">
        <v>220</v>
      </c>
      <c r="B616">
        <v>2</v>
      </c>
      <c r="C616">
        <v>25</v>
      </c>
      <c r="D616" t="str">
        <f>VLOOKUP(B616, Products!$A$2:$C$100, 2, FALSE)</f>
        <v>Ritchey Timberwolf Frameset - 2016</v>
      </c>
      <c r="E616">
        <v>1</v>
      </c>
      <c r="F616">
        <v>499.99</v>
      </c>
      <c r="G616">
        <v>7.0000000000000007E-2</v>
      </c>
      <c r="H616">
        <v>34.999300000000005</v>
      </c>
      <c r="I616">
        <f>order_items[[#This Row],[list_price]]-order_items[[#This Row],[Discounted_price]]</f>
        <v>464.9907</v>
      </c>
      <c r="J616">
        <f>VLOOKUP(B616, Products!$A$2:$E$100, 3, FALSE)</f>
        <v>5</v>
      </c>
      <c r="K616">
        <f>VLOOKUP(B616, Products!$A$2:$F$100, 4, FALSE)</f>
        <v>6</v>
      </c>
    </row>
    <row r="617" spans="1:11" x14ac:dyDescent="0.3">
      <c r="A617">
        <v>220</v>
      </c>
      <c r="B617">
        <v>3</v>
      </c>
      <c r="C617">
        <v>22</v>
      </c>
      <c r="D617" t="str">
        <f>VLOOKUP(B617, Products!$A$2:$C$100, 2, FALSE)</f>
        <v>Surly Wednesday Frameset - 2016</v>
      </c>
      <c r="E617">
        <v>2</v>
      </c>
      <c r="F617">
        <v>269.99</v>
      </c>
      <c r="G617">
        <v>0.1</v>
      </c>
      <c r="H617">
        <v>26.999000000000002</v>
      </c>
      <c r="I617">
        <f>order_items[[#This Row],[list_price]]-order_items[[#This Row],[Discounted_price]]</f>
        <v>242.99100000000001</v>
      </c>
      <c r="J617">
        <f>VLOOKUP(B617, Products!$A$2:$E$100, 3, FALSE)</f>
        <v>8</v>
      </c>
      <c r="K617">
        <f>VLOOKUP(B617, Products!$A$2:$F$100, 4, FALSE)</f>
        <v>6</v>
      </c>
    </row>
    <row r="618" spans="1:11" x14ac:dyDescent="0.3">
      <c r="A618">
        <v>220</v>
      </c>
      <c r="B618">
        <v>4</v>
      </c>
      <c r="C618">
        <v>3</v>
      </c>
      <c r="D618" t="str">
        <f>VLOOKUP(B618, Products!$A$2:$C$100, 2, FALSE)</f>
        <v>Trek Fuel EX 8 29 - 2016</v>
      </c>
      <c r="E618">
        <v>2</v>
      </c>
      <c r="F618">
        <v>999.99</v>
      </c>
      <c r="G618">
        <v>0.2</v>
      </c>
      <c r="H618">
        <v>199.99800000000002</v>
      </c>
      <c r="I618">
        <f>order_items[[#This Row],[list_price]]-order_items[[#This Row],[Discounted_price]]</f>
        <v>799.99199999999996</v>
      </c>
      <c r="J618">
        <f>VLOOKUP(B618, Products!$A$2:$E$100, 3, FALSE)</f>
        <v>9</v>
      </c>
      <c r="K618">
        <f>VLOOKUP(B618, Products!$A$2:$F$100, 4, FALSE)</f>
        <v>6</v>
      </c>
    </row>
    <row r="619" spans="1:11" x14ac:dyDescent="0.3">
      <c r="A619">
        <v>221</v>
      </c>
      <c r="B619">
        <v>1</v>
      </c>
      <c r="C619">
        <v>11</v>
      </c>
      <c r="D619" t="str">
        <f>VLOOKUP(B619, Products!$A$2:$C$100, 2, FALSE)</f>
        <v>Trek 820 - 2016</v>
      </c>
      <c r="E619">
        <v>2</v>
      </c>
      <c r="F619">
        <v>1680.99</v>
      </c>
      <c r="G619">
        <v>7.0000000000000007E-2</v>
      </c>
      <c r="H619">
        <v>117.66930000000001</v>
      </c>
      <c r="I619">
        <f>order_items[[#This Row],[list_price]]-order_items[[#This Row],[Discounted_price]]</f>
        <v>1563.3207</v>
      </c>
      <c r="J619">
        <f>VLOOKUP(B619, Products!$A$2:$E$100, 3, FALSE)</f>
        <v>9</v>
      </c>
      <c r="K619">
        <f>VLOOKUP(B619, Products!$A$2:$F$100, 4, FALSE)</f>
        <v>6</v>
      </c>
    </row>
    <row r="620" spans="1:11" x14ac:dyDescent="0.3">
      <c r="A620">
        <v>222</v>
      </c>
      <c r="B620">
        <v>1</v>
      </c>
      <c r="C620">
        <v>10</v>
      </c>
      <c r="D620" t="str">
        <f>VLOOKUP(B620, Products!$A$2:$C$100, 2, FALSE)</f>
        <v>Trek 820 - 2016</v>
      </c>
      <c r="E620">
        <v>1</v>
      </c>
      <c r="F620">
        <v>1549</v>
      </c>
      <c r="G620">
        <v>0.1</v>
      </c>
      <c r="H620">
        <v>154.9</v>
      </c>
      <c r="I620">
        <f>order_items[[#This Row],[list_price]]-order_items[[#This Row],[Discounted_price]]</f>
        <v>1394.1</v>
      </c>
      <c r="J620">
        <f>VLOOKUP(B620, Products!$A$2:$E$100, 3, FALSE)</f>
        <v>9</v>
      </c>
      <c r="K620">
        <f>VLOOKUP(B620, Products!$A$2:$F$100, 4, FALSE)</f>
        <v>6</v>
      </c>
    </row>
    <row r="621" spans="1:11" x14ac:dyDescent="0.3">
      <c r="A621">
        <v>222</v>
      </c>
      <c r="B621">
        <v>2</v>
      </c>
      <c r="C621">
        <v>2</v>
      </c>
      <c r="D621" t="str">
        <f>VLOOKUP(B621, Products!$A$2:$C$100, 2, FALSE)</f>
        <v>Ritchey Timberwolf Frameset - 2016</v>
      </c>
      <c r="E621">
        <v>2</v>
      </c>
      <c r="F621">
        <v>749.99</v>
      </c>
      <c r="G621">
        <v>0.1</v>
      </c>
      <c r="H621">
        <v>74.999000000000009</v>
      </c>
      <c r="I621">
        <f>order_items[[#This Row],[list_price]]-order_items[[#This Row],[Discounted_price]]</f>
        <v>674.99099999999999</v>
      </c>
      <c r="J621">
        <f>VLOOKUP(B621, Products!$A$2:$E$100, 3, FALSE)</f>
        <v>5</v>
      </c>
      <c r="K621">
        <f>VLOOKUP(B621, Products!$A$2:$F$100, 4, FALSE)</f>
        <v>6</v>
      </c>
    </row>
    <row r="622" spans="1:11" x14ac:dyDescent="0.3">
      <c r="A622">
        <v>223</v>
      </c>
      <c r="B622">
        <v>1</v>
      </c>
      <c r="C622">
        <v>7</v>
      </c>
      <c r="D622" t="str">
        <f>VLOOKUP(B622, Products!$A$2:$C$100, 2, FALSE)</f>
        <v>Trek 820 - 2016</v>
      </c>
      <c r="E622">
        <v>2</v>
      </c>
      <c r="F622">
        <v>3999.99</v>
      </c>
      <c r="G622">
        <v>0.05</v>
      </c>
      <c r="H622">
        <v>199.99950000000001</v>
      </c>
      <c r="I622">
        <f>order_items[[#This Row],[list_price]]-order_items[[#This Row],[Discounted_price]]</f>
        <v>3799.9904999999999</v>
      </c>
      <c r="J622">
        <f>VLOOKUP(B622, Products!$A$2:$E$100, 3, FALSE)</f>
        <v>9</v>
      </c>
      <c r="K622">
        <f>VLOOKUP(B622, Products!$A$2:$F$100, 4, FALSE)</f>
        <v>6</v>
      </c>
    </row>
    <row r="623" spans="1:11" x14ac:dyDescent="0.3">
      <c r="A623">
        <v>223</v>
      </c>
      <c r="B623">
        <v>2</v>
      </c>
      <c r="C623">
        <v>5</v>
      </c>
      <c r="D623" t="str">
        <f>VLOOKUP(B623, Products!$A$2:$C$100, 2, FALSE)</f>
        <v>Ritchey Timberwolf Frameset - 2016</v>
      </c>
      <c r="E623">
        <v>1</v>
      </c>
      <c r="F623">
        <v>1320.99</v>
      </c>
      <c r="G623">
        <v>0.2</v>
      </c>
      <c r="H623">
        <v>264.19800000000004</v>
      </c>
      <c r="I623">
        <f>order_items[[#This Row],[list_price]]-order_items[[#This Row],[Discounted_price]]</f>
        <v>1056.7919999999999</v>
      </c>
      <c r="J623">
        <f>VLOOKUP(B623, Products!$A$2:$E$100, 3, FALSE)</f>
        <v>5</v>
      </c>
      <c r="K623">
        <f>VLOOKUP(B623, Products!$A$2:$F$100, 4, FALSE)</f>
        <v>6</v>
      </c>
    </row>
    <row r="624" spans="1:11" x14ac:dyDescent="0.3">
      <c r="A624">
        <v>223</v>
      </c>
      <c r="B624">
        <v>3</v>
      </c>
      <c r="C624">
        <v>21</v>
      </c>
      <c r="D624" t="str">
        <f>VLOOKUP(B624, Products!$A$2:$C$100, 2, FALSE)</f>
        <v>Surly Wednesday Frameset - 2016</v>
      </c>
      <c r="E624">
        <v>2</v>
      </c>
      <c r="F624">
        <v>269.99</v>
      </c>
      <c r="G624">
        <v>0.1</v>
      </c>
      <c r="H624">
        <v>26.999000000000002</v>
      </c>
      <c r="I624">
        <f>order_items[[#This Row],[list_price]]-order_items[[#This Row],[Discounted_price]]</f>
        <v>242.99100000000001</v>
      </c>
      <c r="J624">
        <f>VLOOKUP(B624, Products!$A$2:$E$100, 3, FALSE)</f>
        <v>8</v>
      </c>
      <c r="K624">
        <f>VLOOKUP(B624, Products!$A$2:$F$100, 4, FALSE)</f>
        <v>6</v>
      </c>
    </row>
    <row r="625" spans="1:11" x14ac:dyDescent="0.3">
      <c r="A625">
        <v>223</v>
      </c>
      <c r="B625">
        <v>4</v>
      </c>
      <c r="C625">
        <v>20</v>
      </c>
      <c r="D625" t="str">
        <f>VLOOKUP(B625, Products!$A$2:$C$100, 2, FALSE)</f>
        <v>Trek Fuel EX 8 29 - 2016</v>
      </c>
      <c r="E625">
        <v>1</v>
      </c>
      <c r="F625">
        <v>599.99</v>
      </c>
      <c r="G625">
        <v>0.05</v>
      </c>
      <c r="H625">
        <v>29.999500000000001</v>
      </c>
      <c r="I625">
        <f>order_items[[#This Row],[list_price]]-order_items[[#This Row],[Discounted_price]]</f>
        <v>569.9905</v>
      </c>
      <c r="J625">
        <f>VLOOKUP(B625, Products!$A$2:$E$100, 3, FALSE)</f>
        <v>9</v>
      </c>
      <c r="K625">
        <f>VLOOKUP(B625, Products!$A$2:$F$100, 4, FALSE)</f>
        <v>6</v>
      </c>
    </row>
    <row r="626" spans="1:11" x14ac:dyDescent="0.3">
      <c r="A626">
        <v>223</v>
      </c>
      <c r="B626">
        <v>5</v>
      </c>
      <c r="C626">
        <v>15</v>
      </c>
      <c r="D626" t="str">
        <f>VLOOKUP(B626, Products!$A$2:$C$100, 2, FALSE)</f>
        <v>Heller Shagamaw Frame - 2016</v>
      </c>
      <c r="E626">
        <v>1</v>
      </c>
      <c r="F626">
        <v>529.99</v>
      </c>
      <c r="G626">
        <v>0.05</v>
      </c>
      <c r="H626">
        <v>26.499500000000001</v>
      </c>
      <c r="I626">
        <f>order_items[[#This Row],[list_price]]-order_items[[#This Row],[Discounted_price]]</f>
        <v>503.4905</v>
      </c>
      <c r="J626">
        <f>VLOOKUP(B626, Products!$A$2:$E$100, 3, FALSE)</f>
        <v>3</v>
      </c>
      <c r="K626">
        <f>VLOOKUP(B626, Products!$A$2:$F$100, 4, FALSE)</f>
        <v>6</v>
      </c>
    </row>
    <row r="627" spans="1:11" x14ac:dyDescent="0.3">
      <c r="A627">
        <v>224</v>
      </c>
      <c r="B627">
        <v>1</v>
      </c>
      <c r="C627">
        <v>6</v>
      </c>
      <c r="D627" t="str">
        <f>VLOOKUP(B627, Products!$A$2:$C$100, 2, FALSE)</f>
        <v>Trek 820 - 2016</v>
      </c>
      <c r="E627">
        <v>1</v>
      </c>
      <c r="F627">
        <v>469.99</v>
      </c>
      <c r="G627">
        <v>7.0000000000000007E-2</v>
      </c>
      <c r="H627">
        <v>32.899300000000004</v>
      </c>
      <c r="I627">
        <f>order_items[[#This Row],[list_price]]-order_items[[#This Row],[Discounted_price]]</f>
        <v>437.09070000000003</v>
      </c>
      <c r="J627">
        <f>VLOOKUP(B627, Products!$A$2:$E$100, 3, FALSE)</f>
        <v>9</v>
      </c>
      <c r="K627">
        <f>VLOOKUP(B627, Products!$A$2:$F$100, 4, FALSE)</f>
        <v>6</v>
      </c>
    </row>
    <row r="628" spans="1:11" x14ac:dyDescent="0.3">
      <c r="A628">
        <v>224</v>
      </c>
      <c r="B628">
        <v>2</v>
      </c>
      <c r="C628">
        <v>11</v>
      </c>
      <c r="D628" t="str">
        <f>VLOOKUP(B628, Products!$A$2:$C$100, 2, FALSE)</f>
        <v>Ritchey Timberwolf Frameset - 2016</v>
      </c>
      <c r="E628">
        <v>2</v>
      </c>
      <c r="F628">
        <v>1680.99</v>
      </c>
      <c r="G628">
        <v>0.1</v>
      </c>
      <c r="H628">
        <v>168.09900000000002</v>
      </c>
      <c r="I628">
        <f>order_items[[#This Row],[list_price]]-order_items[[#This Row],[Discounted_price]]</f>
        <v>1512.8910000000001</v>
      </c>
      <c r="J628">
        <f>VLOOKUP(B628, Products!$A$2:$E$100, 3, FALSE)</f>
        <v>5</v>
      </c>
      <c r="K628">
        <f>VLOOKUP(B628, Products!$A$2:$F$100, 4, FALSE)</f>
        <v>6</v>
      </c>
    </row>
    <row r="629" spans="1:11" x14ac:dyDescent="0.3">
      <c r="A629">
        <v>224</v>
      </c>
      <c r="B629">
        <v>3</v>
      </c>
      <c r="C629">
        <v>10</v>
      </c>
      <c r="D629" t="str">
        <f>VLOOKUP(B629, Products!$A$2:$C$100, 2, FALSE)</f>
        <v>Surly Wednesday Frameset - 2016</v>
      </c>
      <c r="E629">
        <v>2</v>
      </c>
      <c r="F629">
        <v>1549</v>
      </c>
      <c r="G629">
        <v>0.2</v>
      </c>
      <c r="H629">
        <v>309.8</v>
      </c>
      <c r="I629">
        <f>order_items[[#This Row],[list_price]]-order_items[[#This Row],[Discounted_price]]</f>
        <v>1239.2</v>
      </c>
      <c r="J629">
        <f>VLOOKUP(B629, Products!$A$2:$E$100, 3, FALSE)</f>
        <v>8</v>
      </c>
      <c r="K629">
        <f>VLOOKUP(B629, Products!$A$2:$F$100, 4, FALSE)</f>
        <v>6</v>
      </c>
    </row>
    <row r="630" spans="1:11" x14ac:dyDescent="0.3">
      <c r="A630">
        <v>224</v>
      </c>
      <c r="B630">
        <v>4</v>
      </c>
      <c r="C630">
        <v>25</v>
      </c>
      <c r="D630" t="str">
        <f>VLOOKUP(B630, Products!$A$2:$C$100, 2, FALSE)</f>
        <v>Trek Fuel EX 8 29 - 2016</v>
      </c>
      <c r="E630">
        <v>1</v>
      </c>
      <c r="F630">
        <v>499.99</v>
      </c>
      <c r="G630">
        <v>0.05</v>
      </c>
      <c r="H630">
        <v>24.999500000000001</v>
      </c>
      <c r="I630">
        <f>order_items[[#This Row],[list_price]]-order_items[[#This Row],[Discounted_price]]</f>
        <v>474.9905</v>
      </c>
      <c r="J630">
        <f>VLOOKUP(B630, Products!$A$2:$E$100, 3, FALSE)</f>
        <v>9</v>
      </c>
      <c r="K630">
        <f>VLOOKUP(B630, Products!$A$2:$F$100, 4, FALSE)</f>
        <v>6</v>
      </c>
    </row>
    <row r="631" spans="1:11" x14ac:dyDescent="0.3">
      <c r="A631">
        <v>225</v>
      </c>
      <c r="B631">
        <v>1</v>
      </c>
      <c r="C631">
        <v>21</v>
      </c>
      <c r="D631" t="str">
        <f>VLOOKUP(B631, Products!$A$2:$C$100, 2, FALSE)</f>
        <v>Trek 820 - 2016</v>
      </c>
      <c r="E631">
        <v>1</v>
      </c>
      <c r="F631">
        <v>269.99</v>
      </c>
      <c r="G631">
        <v>0.1</v>
      </c>
      <c r="H631">
        <v>26.999000000000002</v>
      </c>
      <c r="I631">
        <f>order_items[[#This Row],[list_price]]-order_items[[#This Row],[Discounted_price]]</f>
        <v>242.99100000000001</v>
      </c>
      <c r="J631">
        <f>VLOOKUP(B631, Products!$A$2:$E$100, 3, FALSE)</f>
        <v>9</v>
      </c>
      <c r="K631">
        <f>VLOOKUP(B631, Products!$A$2:$F$100, 4, FALSE)</f>
        <v>6</v>
      </c>
    </row>
    <row r="632" spans="1:11" x14ac:dyDescent="0.3">
      <c r="A632">
        <v>225</v>
      </c>
      <c r="B632">
        <v>2</v>
      </c>
      <c r="C632">
        <v>9</v>
      </c>
      <c r="D632" t="str">
        <f>VLOOKUP(B632, Products!$A$2:$C$100, 2, FALSE)</f>
        <v>Ritchey Timberwolf Frameset - 2016</v>
      </c>
      <c r="E632">
        <v>1</v>
      </c>
      <c r="F632">
        <v>2999.99</v>
      </c>
      <c r="G632">
        <v>0.1</v>
      </c>
      <c r="H632">
        <v>299.99899999999997</v>
      </c>
      <c r="I632">
        <f>order_items[[#This Row],[list_price]]-order_items[[#This Row],[Discounted_price]]</f>
        <v>2699.991</v>
      </c>
      <c r="J632">
        <f>VLOOKUP(B632, Products!$A$2:$E$100, 3, FALSE)</f>
        <v>5</v>
      </c>
      <c r="K632">
        <f>VLOOKUP(B632, Products!$A$2:$F$100, 4, FALSE)</f>
        <v>6</v>
      </c>
    </row>
    <row r="633" spans="1:11" x14ac:dyDescent="0.3">
      <c r="A633">
        <v>226</v>
      </c>
      <c r="B633">
        <v>1</v>
      </c>
      <c r="C633">
        <v>2</v>
      </c>
      <c r="D633" t="str">
        <f>VLOOKUP(B633, Products!$A$2:$C$100, 2, FALSE)</f>
        <v>Trek 820 - 2016</v>
      </c>
      <c r="E633">
        <v>1</v>
      </c>
      <c r="F633">
        <v>749.99</v>
      </c>
      <c r="G633">
        <v>0.05</v>
      </c>
      <c r="H633">
        <v>37.499500000000005</v>
      </c>
      <c r="I633">
        <f>order_items[[#This Row],[list_price]]-order_items[[#This Row],[Discounted_price]]</f>
        <v>712.4905</v>
      </c>
      <c r="J633">
        <f>VLOOKUP(B633, Products!$A$2:$E$100, 3, FALSE)</f>
        <v>9</v>
      </c>
      <c r="K633">
        <f>VLOOKUP(B633, Products!$A$2:$F$100, 4, FALSE)</f>
        <v>6</v>
      </c>
    </row>
    <row r="634" spans="1:11" x14ac:dyDescent="0.3">
      <c r="A634">
        <v>227</v>
      </c>
      <c r="B634">
        <v>1</v>
      </c>
      <c r="C634">
        <v>3</v>
      </c>
      <c r="D634" t="str">
        <f>VLOOKUP(B634, Products!$A$2:$C$100, 2, FALSE)</f>
        <v>Trek 820 - 2016</v>
      </c>
      <c r="E634">
        <v>2</v>
      </c>
      <c r="F634">
        <v>999.99</v>
      </c>
      <c r="G634">
        <v>0.05</v>
      </c>
      <c r="H634">
        <v>49.999500000000005</v>
      </c>
      <c r="I634">
        <f>order_items[[#This Row],[list_price]]-order_items[[#This Row],[Discounted_price]]</f>
        <v>949.9905</v>
      </c>
      <c r="J634">
        <f>VLOOKUP(B634, Products!$A$2:$E$100, 3, FALSE)</f>
        <v>9</v>
      </c>
      <c r="K634">
        <f>VLOOKUP(B634, Products!$A$2:$F$100, 4, FALSE)</f>
        <v>6</v>
      </c>
    </row>
    <row r="635" spans="1:11" x14ac:dyDescent="0.3">
      <c r="A635">
        <v>227</v>
      </c>
      <c r="B635">
        <v>2</v>
      </c>
      <c r="C635">
        <v>15</v>
      </c>
      <c r="D635" t="str">
        <f>VLOOKUP(B635, Products!$A$2:$C$100, 2, FALSE)</f>
        <v>Ritchey Timberwolf Frameset - 2016</v>
      </c>
      <c r="E635">
        <v>2</v>
      </c>
      <c r="F635">
        <v>529.99</v>
      </c>
      <c r="G635">
        <v>0.1</v>
      </c>
      <c r="H635">
        <v>52.999000000000002</v>
      </c>
      <c r="I635">
        <f>order_items[[#This Row],[list_price]]-order_items[[#This Row],[Discounted_price]]</f>
        <v>476.99099999999999</v>
      </c>
      <c r="J635">
        <f>VLOOKUP(B635, Products!$A$2:$E$100, 3, FALSE)</f>
        <v>5</v>
      </c>
      <c r="K635">
        <f>VLOOKUP(B635, Products!$A$2:$F$100, 4, FALSE)</f>
        <v>6</v>
      </c>
    </row>
    <row r="636" spans="1:11" x14ac:dyDescent="0.3">
      <c r="A636">
        <v>228</v>
      </c>
      <c r="B636">
        <v>1</v>
      </c>
      <c r="C636">
        <v>25</v>
      </c>
      <c r="D636" t="str">
        <f>VLOOKUP(B636, Products!$A$2:$C$100, 2, FALSE)</f>
        <v>Trek 820 - 2016</v>
      </c>
      <c r="E636">
        <v>1</v>
      </c>
      <c r="F636">
        <v>499.99</v>
      </c>
      <c r="G636">
        <v>0.2</v>
      </c>
      <c r="H636">
        <v>99.998000000000005</v>
      </c>
      <c r="I636">
        <f>order_items[[#This Row],[list_price]]-order_items[[#This Row],[Discounted_price]]</f>
        <v>399.99200000000002</v>
      </c>
      <c r="J636">
        <f>VLOOKUP(B636, Products!$A$2:$E$100, 3, FALSE)</f>
        <v>9</v>
      </c>
      <c r="K636">
        <f>VLOOKUP(B636, Products!$A$2:$F$100, 4, FALSE)</f>
        <v>6</v>
      </c>
    </row>
    <row r="637" spans="1:11" x14ac:dyDescent="0.3">
      <c r="A637">
        <v>228</v>
      </c>
      <c r="B637">
        <v>2</v>
      </c>
      <c r="C637">
        <v>2</v>
      </c>
      <c r="D637" t="str">
        <f>VLOOKUP(B637, Products!$A$2:$C$100, 2, FALSE)</f>
        <v>Ritchey Timberwolf Frameset - 2016</v>
      </c>
      <c r="E637">
        <v>2</v>
      </c>
      <c r="F637">
        <v>749.99</v>
      </c>
      <c r="G637">
        <v>7.0000000000000007E-2</v>
      </c>
      <c r="H637">
        <v>52.499300000000005</v>
      </c>
      <c r="I637">
        <f>order_items[[#This Row],[list_price]]-order_items[[#This Row],[Discounted_price]]</f>
        <v>697.49070000000006</v>
      </c>
      <c r="J637">
        <f>VLOOKUP(B637, Products!$A$2:$E$100, 3, FALSE)</f>
        <v>5</v>
      </c>
      <c r="K637">
        <f>VLOOKUP(B637, Products!$A$2:$F$100, 4, FALSE)</f>
        <v>6</v>
      </c>
    </row>
    <row r="638" spans="1:11" x14ac:dyDescent="0.3">
      <c r="A638">
        <v>228</v>
      </c>
      <c r="B638">
        <v>3</v>
      </c>
      <c r="C638">
        <v>23</v>
      </c>
      <c r="D638" t="str">
        <f>VLOOKUP(B638, Products!$A$2:$C$100, 2, FALSE)</f>
        <v>Surly Wednesday Frameset - 2016</v>
      </c>
      <c r="E638">
        <v>2</v>
      </c>
      <c r="F638">
        <v>299.99</v>
      </c>
      <c r="G638">
        <v>0.1</v>
      </c>
      <c r="H638">
        <v>29.999000000000002</v>
      </c>
      <c r="I638">
        <f>order_items[[#This Row],[list_price]]-order_items[[#This Row],[Discounted_price]]</f>
        <v>269.99099999999999</v>
      </c>
      <c r="J638">
        <f>VLOOKUP(B638, Products!$A$2:$E$100, 3, FALSE)</f>
        <v>8</v>
      </c>
      <c r="K638">
        <f>VLOOKUP(B638, Products!$A$2:$F$100, 4, FALSE)</f>
        <v>6</v>
      </c>
    </row>
    <row r="639" spans="1:11" x14ac:dyDescent="0.3">
      <c r="A639">
        <v>228</v>
      </c>
      <c r="B639">
        <v>4</v>
      </c>
      <c r="C639">
        <v>4</v>
      </c>
      <c r="D639" t="str">
        <f>VLOOKUP(B639, Products!$A$2:$C$100, 2, FALSE)</f>
        <v>Trek Fuel EX 8 29 - 2016</v>
      </c>
      <c r="E639">
        <v>1</v>
      </c>
      <c r="F639">
        <v>2899.99</v>
      </c>
      <c r="G639">
        <v>0.2</v>
      </c>
      <c r="H639">
        <v>579.99799999999993</v>
      </c>
      <c r="I639">
        <f>order_items[[#This Row],[list_price]]-order_items[[#This Row],[Discounted_price]]</f>
        <v>2319.9919999999997</v>
      </c>
      <c r="J639">
        <f>VLOOKUP(B639, Products!$A$2:$E$100, 3, FALSE)</f>
        <v>9</v>
      </c>
      <c r="K639">
        <f>VLOOKUP(B639, Products!$A$2:$F$100, 4, FALSE)</f>
        <v>6</v>
      </c>
    </row>
    <row r="640" spans="1:11" x14ac:dyDescent="0.3">
      <c r="A640">
        <v>228</v>
      </c>
      <c r="B640">
        <v>5</v>
      </c>
      <c r="C640">
        <v>22</v>
      </c>
      <c r="D640" t="str">
        <f>VLOOKUP(B640, Products!$A$2:$C$100, 2, FALSE)</f>
        <v>Heller Shagamaw Frame - 2016</v>
      </c>
      <c r="E640">
        <v>1</v>
      </c>
      <c r="F640">
        <v>269.99</v>
      </c>
      <c r="G640">
        <v>0.05</v>
      </c>
      <c r="H640">
        <v>13.499500000000001</v>
      </c>
      <c r="I640">
        <f>order_items[[#This Row],[list_price]]-order_items[[#This Row],[Discounted_price]]</f>
        <v>256.4905</v>
      </c>
      <c r="J640">
        <f>VLOOKUP(B640, Products!$A$2:$E$100, 3, FALSE)</f>
        <v>3</v>
      </c>
      <c r="K640">
        <f>VLOOKUP(B640, Products!$A$2:$F$100, 4, FALSE)</f>
        <v>6</v>
      </c>
    </row>
    <row r="641" spans="1:11" x14ac:dyDescent="0.3">
      <c r="A641">
        <v>229</v>
      </c>
      <c r="B641">
        <v>1</v>
      </c>
      <c r="C641">
        <v>25</v>
      </c>
      <c r="D641" t="str">
        <f>VLOOKUP(B641, Products!$A$2:$C$100, 2, FALSE)</f>
        <v>Trek 820 - 2016</v>
      </c>
      <c r="E641">
        <v>2</v>
      </c>
      <c r="F641">
        <v>499.99</v>
      </c>
      <c r="G641">
        <v>0.2</v>
      </c>
      <c r="H641">
        <v>99.998000000000005</v>
      </c>
      <c r="I641">
        <f>order_items[[#This Row],[list_price]]-order_items[[#This Row],[Discounted_price]]</f>
        <v>399.99200000000002</v>
      </c>
      <c r="J641">
        <f>VLOOKUP(B641, Products!$A$2:$E$100, 3, FALSE)</f>
        <v>9</v>
      </c>
      <c r="K641">
        <f>VLOOKUP(B641, Products!$A$2:$F$100, 4, FALSE)</f>
        <v>6</v>
      </c>
    </row>
    <row r="642" spans="1:11" x14ac:dyDescent="0.3">
      <c r="A642">
        <v>229</v>
      </c>
      <c r="B642">
        <v>2</v>
      </c>
      <c r="C642">
        <v>5</v>
      </c>
      <c r="D642" t="str">
        <f>VLOOKUP(B642, Products!$A$2:$C$100, 2, FALSE)</f>
        <v>Ritchey Timberwolf Frameset - 2016</v>
      </c>
      <c r="E642">
        <v>2</v>
      </c>
      <c r="F642">
        <v>1320.99</v>
      </c>
      <c r="G642">
        <v>0.1</v>
      </c>
      <c r="H642">
        <v>132.09900000000002</v>
      </c>
      <c r="I642">
        <f>order_items[[#This Row],[list_price]]-order_items[[#This Row],[Discounted_price]]</f>
        <v>1188.8910000000001</v>
      </c>
      <c r="J642">
        <f>VLOOKUP(B642, Products!$A$2:$E$100, 3, FALSE)</f>
        <v>5</v>
      </c>
      <c r="K642">
        <f>VLOOKUP(B642, Products!$A$2:$F$100, 4, FALSE)</f>
        <v>6</v>
      </c>
    </row>
    <row r="643" spans="1:11" x14ac:dyDescent="0.3">
      <c r="A643">
        <v>229</v>
      </c>
      <c r="B643">
        <v>3</v>
      </c>
      <c r="C643">
        <v>8</v>
      </c>
      <c r="D643" t="str">
        <f>VLOOKUP(B643, Products!$A$2:$C$100, 2, FALSE)</f>
        <v>Surly Wednesday Frameset - 2016</v>
      </c>
      <c r="E643">
        <v>1</v>
      </c>
      <c r="F643">
        <v>1799.99</v>
      </c>
      <c r="G643">
        <v>0.2</v>
      </c>
      <c r="H643">
        <v>359.99800000000005</v>
      </c>
      <c r="I643">
        <f>order_items[[#This Row],[list_price]]-order_items[[#This Row],[Discounted_price]]</f>
        <v>1439.992</v>
      </c>
      <c r="J643">
        <f>VLOOKUP(B643, Products!$A$2:$E$100, 3, FALSE)</f>
        <v>8</v>
      </c>
      <c r="K643">
        <f>VLOOKUP(B643, Products!$A$2:$F$100, 4, FALSE)</f>
        <v>6</v>
      </c>
    </row>
    <row r="644" spans="1:11" x14ac:dyDescent="0.3">
      <c r="A644">
        <v>230</v>
      </c>
      <c r="B644">
        <v>1</v>
      </c>
      <c r="C644">
        <v>11</v>
      </c>
      <c r="D644" t="str">
        <f>VLOOKUP(B644, Products!$A$2:$C$100, 2, FALSE)</f>
        <v>Trek 820 - 2016</v>
      </c>
      <c r="E644">
        <v>2</v>
      </c>
      <c r="F644">
        <v>1680.99</v>
      </c>
      <c r="G644">
        <v>7.0000000000000007E-2</v>
      </c>
      <c r="H644">
        <v>117.66930000000001</v>
      </c>
      <c r="I644">
        <f>order_items[[#This Row],[list_price]]-order_items[[#This Row],[Discounted_price]]</f>
        <v>1563.3207</v>
      </c>
      <c r="J644">
        <f>VLOOKUP(B644, Products!$A$2:$E$100, 3, FALSE)</f>
        <v>9</v>
      </c>
      <c r="K644">
        <f>VLOOKUP(B644, Products!$A$2:$F$100, 4, FALSE)</f>
        <v>6</v>
      </c>
    </row>
    <row r="645" spans="1:11" x14ac:dyDescent="0.3">
      <c r="A645">
        <v>231</v>
      </c>
      <c r="B645">
        <v>1</v>
      </c>
      <c r="C645">
        <v>8</v>
      </c>
      <c r="D645" t="str">
        <f>VLOOKUP(B645, Products!$A$2:$C$100, 2, FALSE)</f>
        <v>Trek 820 - 2016</v>
      </c>
      <c r="E645">
        <v>2</v>
      </c>
      <c r="F645">
        <v>1799.99</v>
      </c>
      <c r="G645">
        <v>7.0000000000000007E-2</v>
      </c>
      <c r="H645">
        <v>125.99930000000002</v>
      </c>
      <c r="I645">
        <f>order_items[[#This Row],[list_price]]-order_items[[#This Row],[Discounted_price]]</f>
        <v>1673.9907000000001</v>
      </c>
      <c r="J645">
        <f>VLOOKUP(B645, Products!$A$2:$E$100, 3, FALSE)</f>
        <v>9</v>
      </c>
      <c r="K645">
        <f>VLOOKUP(B645, Products!$A$2:$F$100, 4, FALSE)</f>
        <v>6</v>
      </c>
    </row>
    <row r="646" spans="1:11" x14ac:dyDescent="0.3">
      <c r="A646">
        <v>231</v>
      </c>
      <c r="B646">
        <v>2</v>
      </c>
      <c r="C646">
        <v>14</v>
      </c>
      <c r="D646" t="str">
        <f>VLOOKUP(B646, Products!$A$2:$C$100, 2, FALSE)</f>
        <v>Ritchey Timberwolf Frameset - 2016</v>
      </c>
      <c r="E646">
        <v>2</v>
      </c>
      <c r="F646">
        <v>269.99</v>
      </c>
      <c r="G646">
        <v>0.2</v>
      </c>
      <c r="H646">
        <v>53.998000000000005</v>
      </c>
      <c r="I646">
        <f>order_items[[#This Row],[list_price]]-order_items[[#This Row],[Discounted_price]]</f>
        <v>215.99200000000002</v>
      </c>
      <c r="J646">
        <f>VLOOKUP(B646, Products!$A$2:$E$100, 3, FALSE)</f>
        <v>5</v>
      </c>
      <c r="K646">
        <f>VLOOKUP(B646, Products!$A$2:$F$100, 4, FALSE)</f>
        <v>6</v>
      </c>
    </row>
    <row r="647" spans="1:11" x14ac:dyDescent="0.3">
      <c r="A647">
        <v>231</v>
      </c>
      <c r="B647">
        <v>3</v>
      </c>
      <c r="C647">
        <v>5</v>
      </c>
      <c r="D647" t="str">
        <f>VLOOKUP(B647, Products!$A$2:$C$100, 2, FALSE)</f>
        <v>Surly Wednesday Frameset - 2016</v>
      </c>
      <c r="E647">
        <v>2</v>
      </c>
      <c r="F647">
        <v>1320.99</v>
      </c>
      <c r="G647">
        <v>0.2</v>
      </c>
      <c r="H647">
        <v>264.19800000000004</v>
      </c>
      <c r="I647">
        <f>order_items[[#This Row],[list_price]]-order_items[[#This Row],[Discounted_price]]</f>
        <v>1056.7919999999999</v>
      </c>
      <c r="J647">
        <f>VLOOKUP(B647, Products!$A$2:$E$100, 3, FALSE)</f>
        <v>8</v>
      </c>
      <c r="K647">
        <f>VLOOKUP(B647, Products!$A$2:$F$100, 4, FALSE)</f>
        <v>6</v>
      </c>
    </row>
    <row r="648" spans="1:11" x14ac:dyDescent="0.3">
      <c r="A648">
        <v>232</v>
      </c>
      <c r="B648">
        <v>1</v>
      </c>
      <c r="C648">
        <v>18</v>
      </c>
      <c r="D648" t="str">
        <f>VLOOKUP(B648, Products!$A$2:$C$100, 2, FALSE)</f>
        <v>Trek 820 - 2016</v>
      </c>
      <c r="E648">
        <v>1</v>
      </c>
      <c r="F648">
        <v>449</v>
      </c>
      <c r="G648">
        <v>7.0000000000000007E-2</v>
      </c>
      <c r="H648">
        <v>31.430000000000003</v>
      </c>
      <c r="I648">
        <f>order_items[[#This Row],[list_price]]-order_items[[#This Row],[Discounted_price]]</f>
        <v>417.57</v>
      </c>
      <c r="J648">
        <f>VLOOKUP(B648, Products!$A$2:$E$100, 3, FALSE)</f>
        <v>9</v>
      </c>
      <c r="K648">
        <f>VLOOKUP(B648, Products!$A$2:$F$100, 4, FALSE)</f>
        <v>6</v>
      </c>
    </row>
    <row r="649" spans="1:11" x14ac:dyDescent="0.3">
      <c r="A649">
        <v>232</v>
      </c>
      <c r="B649">
        <v>2</v>
      </c>
      <c r="C649">
        <v>11</v>
      </c>
      <c r="D649" t="str">
        <f>VLOOKUP(B649, Products!$A$2:$C$100, 2, FALSE)</f>
        <v>Ritchey Timberwolf Frameset - 2016</v>
      </c>
      <c r="E649">
        <v>2</v>
      </c>
      <c r="F649">
        <v>1680.99</v>
      </c>
      <c r="G649">
        <v>0.05</v>
      </c>
      <c r="H649">
        <v>84.049500000000009</v>
      </c>
      <c r="I649">
        <f>order_items[[#This Row],[list_price]]-order_items[[#This Row],[Discounted_price]]</f>
        <v>1596.9404999999999</v>
      </c>
      <c r="J649">
        <f>VLOOKUP(B649, Products!$A$2:$E$100, 3, FALSE)</f>
        <v>5</v>
      </c>
      <c r="K649">
        <f>VLOOKUP(B649, Products!$A$2:$F$100, 4, FALSE)</f>
        <v>6</v>
      </c>
    </row>
    <row r="650" spans="1:11" x14ac:dyDescent="0.3">
      <c r="A650">
        <v>232</v>
      </c>
      <c r="B650">
        <v>3</v>
      </c>
      <c r="C650">
        <v>26</v>
      </c>
      <c r="D650" t="str">
        <f>VLOOKUP(B650, Products!$A$2:$C$100, 2, FALSE)</f>
        <v>Surly Wednesday Frameset - 2016</v>
      </c>
      <c r="E650">
        <v>2</v>
      </c>
      <c r="F650">
        <v>599.99</v>
      </c>
      <c r="G650">
        <v>7.0000000000000007E-2</v>
      </c>
      <c r="H650">
        <v>41.999300000000005</v>
      </c>
      <c r="I650">
        <f>order_items[[#This Row],[list_price]]-order_items[[#This Row],[Discounted_price]]</f>
        <v>557.99070000000006</v>
      </c>
      <c r="J650">
        <f>VLOOKUP(B650, Products!$A$2:$E$100, 3, FALSE)</f>
        <v>8</v>
      </c>
      <c r="K650">
        <f>VLOOKUP(B650, Products!$A$2:$F$100, 4, FALSE)</f>
        <v>6</v>
      </c>
    </row>
    <row r="651" spans="1:11" x14ac:dyDescent="0.3">
      <c r="A651">
        <v>232</v>
      </c>
      <c r="B651">
        <v>4</v>
      </c>
      <c r="C651">
        <v>8</v>
      </c>
      <c r="D651" t="str">
        <f>VLOOKUP(B651, Products!$A$2:$C$100, 2, FALSE)</f>
        <v>Trek Fuel EX 8 29 - 2016</v>
      </c>
      <c r="E651">
        <v>2</v>
      </c>
      <c r="F651">
        <v>1799.99</v>
      </c>
      <c r="G651">
        <v>0.1</v>
      </c>
      <c r="H651">
        <v>179.99900000000002</v>
      </c>
      <c r="I651">
        <f>order_items[[#This Row],[list_price]]-order_items[[#This Row],[Discounted_price]]</f>
        <v>1619.991</v>
      </c>
      <c r="J651">
        <f>VLOOKUP(B651, Products!$A$2:$E$100, 3, FALSE)</f>
        <v>9</v>
      </c>
      <c r="K651">
        <f>VLOOKUP(B651, Products!$A$2:$F$100, 4, FALSE)</f>
        <v>6</v>
      </c>
    </row>
    <row r="652" spans="1:11" x14ac:dyDescent="0.3">
      <c r="A652">
        <v>233</v>
      </c>
      <c r="B652">
        <v>1</v>
      </c>
      <c r="C652">
        <v>14</v>
      </c>
      <c r="D652" t="str">
        <f>VLOOKUP(B652, Products!$A$2:$C$100, 2, FALSE)</f>
        <v>Trek 820 - 2016</v>
      </c>
      <c r="E652">
        <v>1</v>
      </c>
      <c r="F652">
        <v>269.99</v>
      </c>
      <c r="G652">
        <v>0.1</v>
      </c>
      <c r="H652">
        <v>26.999000000000002</v>
      </c>
      <c r="I652">
        <f>order_items[[#This Row],[list_price]]-order_items[[#This Row],[Discounted_price]]</f>
        <v>242.99100000000001</v>
      </c>
      <c r="J652">
        <f>VLOOKUP(B652, Products!$A$2:$E$100, 3, FALSE)</f>
        <v>9</v>
      </c>
      <c r="K652">
        <f>VLOOKUP(B652, Products!$A$2:$F$100, 4, FALSE)</f>
        <v>6</v>
      </c>
    </row>
    <row r="653" spans="1:11" x14ac:dyDescent="0.3">
      <c r="A653">
        <v>233</v>
      </c>
      <c r="B653">
        <v>2</v>
      </c>
      <c r="C653">
        <v>16</v>
      </c>
      <c r="D653" t="str">
        <f>VLOOKUP(B653, Products!$A$2:$C$100, 2, FALSE)</f>
        <v>Ritchey Timberwolf Frameset - 2016</v>
      </c>
      <c r="E653">
        <v>2</v>
      </c>
      <c r="F653">
        <v>599.99</v>
      </c>
      <c r="G653">
        <v>0.1</v>
      </c>
      <c r="H653">
        <v>59.999000000000002</v>
      </c>
      <c r="I653">
        <f>order_items[[#This Row],[list_price]]-order_items[[#This Row],[Discounted_price]]</f>
        <v>539.99099999999999</v>
      </c>
      <c r="J653">
        <f>VLOOKUP(B653, Products!$A$2:$E$100, 3, FALSE)</f>
        <v>5</v>
      </c>
      <c r="K653">
        <f>VLOOKUP(B653, Products!$A$2:$F$100, 4, FALSE)</f>
        <v>6</v>
      </c>
    </row>
    <row r="654" spans="1:11" x14ac:dyDescent="0.3">
      <c r="A654">
        <v>233</v>
      </c>
      <c r="B654">
        <v>3</v>
      </c>
      <c r="C654">
        <v>12</v>
      </c>
      <c r="D654" t="str">
        <f>VLOOKUP(B654, Products!$A$2:$C$100, 2, FALSE)</f>
        <v>Surly Wednesday Frameset - 2016</v>
      </c>
      <c r="E654">
        <v>1</v>
      </c>
      <c r="F654">
        <v>549.99</v>
      </c>
      <c r="G654">
        <v>0.2</v>
      </c>
      <c r="H654">
        <v>109.998</v>
      </c>
      <c r="I654">
        <f>order_items[[#This Row],[list_price]]-order_items[[#This Row],[Discounted_price]]</f>
        <v>439.99200000000002</v>
      </c>
      <c r="J654">
        <f>VLOOKUP(B654, Products!$A$2:$E$100, 3, FALSE)</f>
        <v>8</v>
      </c>
      <c r="K654">
        <f>VLOOKUP(B654, Products!$A$2:$F$100, 4, FALSE)</f>
        <v>6</v>
      </c>
    </row>
    <row r="655" spans="1:11" x14ac:dyDescent="0.3">
      <c r="A655">
        <v>233</v>
      </c>
      <c r="B655">
        <v>4</v>
      </c>
      <c r="C655">
        <v>15</v>
      </c>
      <c r="D655" t="str">
        <f>VLOOKUP(B655, Products!$A$2:$C$100, 2, FALSE)</f>
        <v>Trek Fuel EX 8 29 - 2016</v>
      </c>
      <c r="E655">
        <v>2</v>
      </c>
      <c r="F655">
        <v>529.99</v>
      </c>
      <c r="G655">
        <v>7.0000000000000007E-2</v>
      </c>
      <c r="H655">
        <v>37.099300000000007</v>
      </c>
      <c r="I655">
        <f>order_items[[#This Row],[list_price]]-order_items[[#This Row],[Discounted_price]]</f>
        <v>492.89069999999998</v>
      </c>
      <c r="J655">
        <f>VLOOKUP(B655, Products!$A$2:$E$100, 3, FALSE)</f>
        <v>9</v>
      </c>
      <c r="K655">
        <f>VLOOKUP(B655, Products!$A$2:$F$100, 4, FALSE)</f>
        <v>6</v>
      </c>
    </row>
    <row r="656" spans="1:11" x14ac:dyDescent="0.3">
      <c r="A656">
        <v>234</v>
      </c>
      <c r="B656">
        <v>1</v>
      </c>
      <c r="C656">
        <v>11</v>
      </c>
      <c r="D656" t="str">
        <f>VLOOKUP(B656, Products!$A$2:$C$100, 2, FALSE)</f>
        <v>Trek 820 - 2016</v>
      </c>
      <c r="E656">
        <v>2</v>
      </c>
      <c r="F656">
        <v>1680.99</v>
      </c>
      <c r="G656">
        <v>0.2</v>
      </c>
      <c r="H656">
        <v>336.19800000000004</v>
      </c>
      <c r="I656">
        <f>order_items[[#This Row],[list_price]]-order_items[[#This Row],[Discounted_price]]</f>
        <v>1344.7919999999999</v>
      </c>
      <c r="J656">
        <f>VLOOKUP(B656, Products!$A$2:$E$100, 3, FALSE)</f>
        <v>9</v>
      </c>
      <c r="K656">
        <f>VLOOKUP(B656, Products!$A$2:$F$100, 4, FALSE)</f>
        <v>6</v>
      </c>
    </row>
    <row r="657" spans="1:11" x14ac:dyDescent="0.3">
      <c r="A657">
        <v>234</v>
      </c>
      <c r="B657">
        <v>2</v>
      </c>
      <c r="C657">
        <v>17</v>
      </c>
      <c r="D657" t="str">
        <f>VLOOKUP(B657, Products!$A$2:$C$100, 2, FALSE)</f>
        <v>Ritchey Timberwolf Frameset - 2016</v>
      </c>
      <c r="E657">
        <v>2</v>
      </c>
      <c r="F657">
        <v>429</v>
      </c>
      <c r="G657">
        <v>0.05</v>
      </c>
      <c r="H657">
        <v>21.450000000000003</v>
      </c>
      <c r="I657">
        <f>order_items[[#This Row],[list_price]]-order_items[[#This Row],[Discounted_price]]</f>
        <v>407.55</v>
      </c>
      <c r="J657">
        <f>VLOOKUP(B657, Products!$A$2:$E$100, 3, FALSE)</f>
        <v>5</v>
      </c>
      <c r="K657">
        <f>VLOOKUP(B657, Products!$A$2:$F$100, 4, FALSE)</f>
        <v>6</v>
      </c>
    </row>
    <row r="658" spans="1:11" x14ac:dyDescent="0.3">
      <c r="A658">
        <v>234</v>
      </c>
      <c r="B658">
        <v>3</v>
      </c>
      <c r="C658">
        <v>12</v>
      </c>
      <c r="D658" t="str">
        <f>VLOOKUP(B658, Products!$A$2:$C$100, 2, FALSE)</f>
        <v>Surly Wednesday Frameset - 2016</v>
      </c>
      <c r="E658">
        <v>1</v>
      </c>
      <c r="F658">
        <v>549.99</v>
      </c>
      <c r="G658">
        <v>0.1</v>
      </c>
      <c r="H658">
        <v>54.999000000000002</v>
      </c>
      <c r="I658">
        <f>order_items[[#This Row],[list_price]]-order_items[[#This Row],[Discounted_price]]</f>
        <v>494.99099999999999</v>
      </c>
      <c r="J658">
        <f>VLOOKUP(B658, Products!$A$2:$E$100, 3, FALSE)</f>
        <v>8</v>
      </c>
      <c r="K658">
        <f>VLOOKUP(B658, Products!$A$2:$F$100, 4, FALSE)</f>
        <v>6</v>
      </c>
    </row>
    <row r="659" spans="1:11" x14ac:dyDescent="0.3">
      <c r="A659">
        <v>234</v>
      </c>
      <c r="B659">
        <v>4</v>
      </c>
      <c r="C659">
        <v>7</v>
      </c>
      <c r="D659" t="str">
        <f>VLOOKUP(B659, Products!$A$2:$C$100, 2, FALSE)</f>
        <v>Trek Fuel EX 8 29 - 2016</v>
      </c>
      <c r="E659">
        <v>1</v>
      </c>
      <c r="F659">
        <v>3999.99</v>
      </c>
      <c r="G659">
        <v>0.05</v>
      </c>
      <c r="H659">
        <v>199.99950000000001</v>
      </c>
      <c r="I659">
        <f>order_items[[#This Row],[list_price]]-order_items[[#This Row],[Discounted_price]]</f>
        <v>3799.9904999999999</v>
      </c>
      <c r="J659">
        <f>VLOOKUP(B659, Products!$A$2:$E$100, 3, FALSE)</f>
        <v>9</v>
      </c>
      <c r="K659">
        <f>VLOOKUP(B659, Products!$A$2:$F$100, 4, FALSE)</f>
        <v>6</v>
      </c>
    </row>
    <row r="660" spans="1:11" x14ac:dyDescent="0.3">
      <c r="A660">
        <v>234</v>
      </c>
      <c r="B660">
        <v>5</v>
      </c>
      <c r="C660">
        <v>23</v>
      </c>
      <c r="D660" t="str">
        <f>VLOOKUP(B660, Products!$A$2:$C$100, 2, FALSE)</f>
        <v>Heller Shagamaw Frame - 2016</v>
      </c>
      <c r="E660">
        <v>1</v>
      </c>
      <c r="F660">
        <v>299.99</v>
      </c>
      <c r="G660">
        <v>0.1</v>
      </c>
      <c r="H660">
        <v>29.999000000000002</v>
      </c>
      <c r="I660">
        <f>order_items[[#This Row],[list_price]]-order_items[[#This Row],[Discounted_price]]</f>
        <v>269.99099999999999</v>
      </c>
      <c r="J660">
        <f>VLOOKUP(B660, Products!$A$2:$E$100, 3, FALSE)</f>
        <v>3</v>
      </c>
      <c r="K660">
        <f>VLOOKUP(B660, Products!$A$2:$F$100, 4, FALSE)</f>
        <v>6</v>
      </c>
    </row>
    <row r="661" spans="1:11" x14ac:dyDescent="0.3">
      <c r="A661">
        <v>235</v>
      </c>
      <c r="B661">
        <v>1</v>
      </c>
      <c r="C661">
        <v>6</v>
      </c>
      <c r="D661" t="str">
        <f>VLOOKUP(B661, Products!$A$2:$C$100, 2, FALSE)</f>
        <v>Trek 820 - 2016</v>
      </c>
      <c r="E661">
        <v>1</v>
      </c>
      <c r="F661">
        <v>469.99</v>
      </c>
      <c r="G661">
        <v>7.0000000000000007E-2</v>
      </c>
      <c r="H661">
        <v>32.899300000000004</v>
      </c>
      <c r="I661">
        <f>order_items[[#This Row],[list_price]]-order_items[[#This Row],[Discounted_price]]</f>
        <v>437.09070000000003</v>
      </c>
      <c r="J661">
        <f>VLOOKUP(B661, Products!$A$2:$E$100, 3, FALSE)</f>
        <v>9</v>
      </c>
      <c r="K661">
        <f>VLOOKUP(B661, Products!$A$2:$F$100, 4, FALSE)</f>
        <v>6</v>
      </c>
    </row>
    <row r="662" spans="1:11" x14ac:dyDescent="0.3">
      <c r="A662">
        <v>235</v>
      </c>
      <c r="B662">
        <v>2</v>
      </c>
      <c r="C662">
        <v>13</v>
      </c>
      <c r="D662" t="str">
        <f>VLOOKUP(B662, Products!$A$2:$C$100, 2, FALSE)</f>
        <v>Ritchey Timberwolf Frameset - 2016</v>
      </c>
      <c r="E662">
        <v>2</v>
      </c>
      <c r="F662">
        <v>269.99</v>
      </c>
      <c r="G662">
        <v>0.05</v>
      </c>
      <c r="H662">
        <v>13.499500000000001</v>
      </c>
      <c r="I662">
        <f>order_items[[#This Row],[list_price]]-order_items[[#This Row],[Discounted_price]]</f>
        <v>256.4905</v>
      </c>
      <c r="J662">
        <f>VLOOKUP(B662, Products!$A$2:$E$100, 3, FALSE)</f>
        <v>5</v>
      </c>
      <c r="K662">
        <f>VLOOKUP(B662, Products!$A$2:$F$100, 4, FALSE)</f>
        <v>6</v>
      </c>
    </row>
    <row r="663" spans="1:11" x14ac:dyDescent="0.3">
      <c r="A663">
        <v>235</v>
      </c>
      <c r="B663">
        <v>3</v>
      </c>
      <c r="C663">
        <v>7</v>
      </c>
      <c r="D663" t="str">
        <f>VLOOKUP(B663, Products!$A$2:$C$100, 2, FALSE)</f>
        <v>Surly Wednesday Frameset - 2016</v>
      </c>
      <c r="E663">
        <v>2</v>
      </c>
      <c r="F663">
        <v>3999.99</v>
      </c>
      <c r="G663">
        <v>0.05</v>
      </c>
      <c r="H663">
        <v>199.99950000000001</v>
      </c>
      <c r="I663">
        <f>order_items[[#This Row],[list_price]]-order_items[[#This Row],[Discounted_price]]</f>
        <v>3799.9904999999999</v>
      </c>
      <c r="J663">
        <f>VLOOKUP(B663, Products!$A$2:$E$100, 3, FALSE)</f>
        <v>8</v>
      </c>
      <c r="K663">
        <f>VLOOKUP(B663, Products!$A$2:$F$100, 4, FALSE)</f>
        <v>6</v>
      </c>
    </row>
    <row r="664" spans="1:11" x14ac:dyDescent="0.3">
      <c r="A664">
        <v>236</v>
      </c>
      <c r="B664">
        <v>1</v>
      </c>
      <c r="C664">
        <v>3</v>
      </c>
      <c r="D664" t="str">
        <f>VLOOKUP(B664, Products!$A$2:$C$100, 2, FALSE)</f>
        <v>Trek 820 - 2016</v>
      </c>
      <c r="E664">
        <v>2</v>
      </c>
      <c r="F664">
        <v>999.99</v>
      </c>
      <c r="G664">
        <v>7.0000000000000007E-2</v>
      </c>
      <c r="H664">
        <v>69.999300000000005</v>
      </c>
      <c r="I664">
        <f>order_items[[#This Row],[list_price]]-order_items[[#This Row],[Discounted_price]]</f>
        <v>929.99070000000006</v>
      </c>
      <c r="J664">
        <f>VLOOKUP(B664, Products!$A$2:$E$100, 3, FALSE)</f>
        <v>9</v>
      </c>
      <c r="K664">
        <f>VLOOKUP(B664, Products!$A$2:$F$100, 4, FALSE)</f>
        <v>6</v>
      </c>
    </row>
    <row r="665" spans="1:11" x14ac:dyDescent="0.3">
      <c r="A665">
        <v>236</v>
      </c>
      <c r="B665">
        <v>2</v>
      </c>
      <c r="C665">
        <v>2</v>
      </c>
      <c r="D665" t="str">
        <f>VLOOKUP(B665, Products!$A$2:$C$100, 2, FALSE)</f>
        <v>Ritchey Timberwolf Frameset - 2016</v>
      </c>
      <c r="E665">
        <v>2</v>
      </c>
      <c r="F665">
        <v>749.99</v>
      </c>
      <c r="G665">
        <v>0.1</v>
      </c>
      <c r="H665">
        <v>74.999000000000009</v>
      </c>
      <c r="I665">
        <f>order_items[[#This Row],[list_price]]-order_items[[#This Row],[Discounted_price]]</f>
        <v>674.99099999999999</v>
      </c>
      <c r="J665">
        <f>VLOOKUP(B665, Products!$A$2:$E$100, 3, FALSE)</f>
        <v>5</v>
      </c>
      <c r="K665">
        <f>VLOOKUP(B665, Products!$A$2:$F$100, 4, FALSE)</f>
        <v>6</v>
      </c>
    </row>
    <row r="666" spans="1:11" x14ac:dyDescent="0.3">
      <c r="A666">
        <v>236</v>
      </c>
      <c r="B666">
        <v>3</v>
      </c>
      <c r="C666">
        <v>4</v>
      </c>
      <c r="D666" t="str">
        <f>VLOOKUP(B666, Products!$A$2:$C$100, 2, FALSE)</f>
        <v>Surly Wednesday Frameset - 2016</v>
      </c>
      <c r="E666">
        <v>2</v>
      </c>
      <c r="F666">
        <v>2899.99</v>
      </c>
      <c r="G666">
        <v>0.1</v>
      </c>
      <c r="H666">
        <v>289.99899999999997</v>
      </c>
      <c r="I666">
        <f>order_items[[#This Row],[list_price]]-order_items[[#This Row],[Discounted_price]]</f>
        <v>2609.991</v>
      </c>
      <c r="J666">
        <f>VLOOKUP(B666, Products!$A$2:$E$100, 3, FALSE)</f>
        <v>8</v>
      </c>
      <c r="K666">
        <f>VLOOKUP(B666, Products!$A$2:$F$100, 4, FALSE)</f>
        <v>6</v>
      </c>
    </row>
    <row r="667" spans="1:11" x14ac:dyDescent="0.3">
      <c r="A667">
        <v>237</v>
      </c>
      <c r="B667">
        <v>1</v>
      </c>
      <c r="C667">
        <v>15</v>
      </c>
      <c r="D667" t="str">
        <f>VLOOKUP(B667, Products!$A$2:$C$100, 2, FALSE)</f>
        <v>Trek 820 - 2016</v>
      </c>
      <c r="E667">
        <v>1</v>
      </c>
      <c r="F667">
        <v>529.99</v>
      </c>
      <c r="G667">
        <v>0.2</v>
      </c>
      <c r="H667">
        <v>105.998</v>
      </c>
      <c r="I667">
        <f>order_items[[#This Row],[list_price]]-order_items[[#This Row],[Discounted_price]]</f>
        <v>423.99200000000002</v>
      </c>
      <c r="J667">
        <f>VLOOKUP(B667, Products!$A$2:$E$100, 3, FALSE)</f>
        <v>9</v>
      </c>
      <c r="K667">
        <f>VLOOKUP(B667, Products!$A$2:$F$100, 4, FALSE)</f>
        <v>6</v>
      </c>
    </row>
    <row r="668" spans="1:11" x14ac:dyDescent="0.3">
      <c r="A668">
        <v>237</v>
      </c>
      <c r="B668">
        <v>2</v>
      </c>
      <c r="C668">
        <v>24</v>
      </c>
      <c r="D668" t="str">
        <f>VLOOKUP(B668, Products!$A$2:$C$100, 2, FALSE)</f>
        <v>Ritchey Timberwolf Frameset - 2016</v>
      </c>
      <c r="E668">
        <v>1</v>
      </c>
      <c r="F668">
        <v>549.99</v>
      </c>
      <c r="G668">
        <v>7.0000000000000007E-2</v>
      </c>
      <c r="H668">
        <v>38.499300000000005</v>
      </c>
      <c r="I668">
        <f>order_items[[#This Row],[list_price]]-order_items[[#This Row],[Discounted_price]]</f>
        <v>511.4907</v>
      </c>
      <c r="J668">
        <f>VLOOKUP(B668, Products!$A$2:$E$100, 3, FALSE)</f>
        <v>5</v>
      </c>
      <c r="K668">
        <f>VLOOKUP(B668, Products!$A$2:$F$100, 4, FALSE)</f>
        <v>6</v>
      </c>
    </row>
    <row r="669" spans="1:11" x14ac:dyDescent="0.3">
      <c r="A669">
        <v>237</v>
      </c>
      <c r="B669">
        <v>3</v>
      </c>
      <c r="C669">
        <v>20</v>
      </c>
      <c r="D669" t="str">
        <f>VLOOKUP(B669, Products!$A$2:$C$100, 2, FALSE)</f>
        <v>Surly Wednesday Frameset - 2016</v>
      </c>
      <c r="E669">
        <v>2</v>
      </c>
      <c r="F669">
        <v>599.99</v>
      </c>
      <c r="G669">
        <v>0.2</v>
      </c>
      <c r="H669">
        <v>119.998</v>
      </c>
      <c r="I669">
        <f>order_items[[#This Row],[list_price]]-order_items[[#This Row],[Discounted_price]]</f>
        <v>479.99200000000002</v>
      </c>
      <c r="J669">
        <f>VLOOKUP(B669, Products!$A$2:$E$100, 3, FALSE)</f>
        <v>8</v>
      </c>
      <c r="K669">
        <f>VLOOKUP(B669, Products!$A$2:$F$100, 4, FALSE)</f>
        <v>6</v>
      </c>
    </row>
    <row r="670" spans="1:11" x14ac:dyDescent="0.3">
      <c r="A670">
        <v>237</v>
      </c>
      <c r="B670">
        <v>4</v>
      </c>
      <c r="C670">
        <v>26</v>
      </c>
      <c r="D670" t="str">
        <f>VLOOKUP(B670, Products!$A$2:$C$100, 2, FALSE)</f>
        <v>Trek Fuel EX 8 29 - 2016</v>
      </c>
      <c r="E670">
        <v>1</v>
      </c>
      <c r="F670">
        <v>599.99</v>
      </c>
      <c r="G670">
        <v>0.05</v>
      </c>
      <c r="H670">
        <v>29.999500000000001</v>
      </c>
      <c r="I670">
        <f>order_items[[#This Row],[list_price]]-order_items[[#This Row],[Discounted_price]]</f>
        <v>569.9905</v>
      </c>
      <c r="J670">
        <f>VLOOKUP(B670, Products!$A$2:$E$100, 3, FALSE)</f>
        <v>9</v>
      </c>
      <c r="K670">
        <f>VLOOKUP(B670, Products!$A$2:$F$100, 4, FALSE)</f>
        <v>6</v>
      </c>
    </row>
    <row r="671" spans="1:11" x14ac:dyDescent="0.3">
      <c r="A671">
        <v>238</v>
      </c>
      <c r="B671">
        <v>1</v>
      </c>
      <c r="C671">
        <v>20</v>
      </c>
      <c r="D671" t="str">
        <f>VLOOKUP(B671, Products!$A$2:$C$100, 2, FALSE)</f>
        <v>Trek 820 - 2016</v>
      </c>
      <c r="E671">
        <v>2</v>
      </c>
      <c r="F671">
        <v>599.99</v>
      </c>
      <c r="G671">
        <v>0.2</v>
      </c>
      <c r="H671">
        <v>119.998</v>
      </c>
      <c r="I671">
        <f>order_items[[#This Row],[list_price]]-order_items[[#This Row],[Discounted_price]]</f>
        <v>479.99200000000002</v>
      </c>
      <c r="J671">
        <f>VLOOKUP(B671, Products!$A$2:$E$100, 3, FALSE)</f>
        <v>9</v>
      </c>
      <c r="K671">
        <f>VLOOKUP(B671, Products!$A$2:$F$100, 4, FALSE)</f>
        <v>6</v>
      </c>
    </row>
    <row r="672" spans="1:11" x14ac:dyDescent="0.3">
      <c r="A672">
        <v>238</v>
      </c>
      <c r="B672">
        <v>2</v>
      </c>
      <c r="C672">
        <v>25</v>
      </c>
      <c r="D672" t="str">
        <f>VLOOKUP(B672, Products!$A$2:$C$100, 2, FALSE)</f>
        <v>Ritchey Timberwolf Frameset - 2016</v>
      </c>
      <c r="E672">
        <v>1</v>
      </c>
      <c r="F672">
        <v>499.99</v>
      </c>
      <c r="G672">
        <v>7.0000000000000007E-2</v>
      </c>
      <c r="H672">
        <v>34.999300000000005</v>
      </c>
      <c r="I672">
        <f>order_items[[#This Row],[list_price]]-order_items[[#This Row],[Discounted_price]]</f>
        <v>464.9907</v>
      </c>
      <c r="J672">
        <f>VLOOKUP(B672, Products!$A$2:$E$100, 3, FALSE)</f>
        <v>5</v>
      </c>
      <c r="K672">
        <f>VLOOKUP(B672, Products!$A$2:$F$100, 4, FALSE)</f>
        <v>6</v>
      </c>
    </row>
    <row r="673" spans="1:11" x14ac:dyDescent="0.3">
      <c r="A673">
        <v>238</v>
      </c>
      <c r="B673">
        <v>3</v>
      </c>
      <c r="C673">
        <v>13</v>
      </c>
      <c r="D673" t="str">
        <f>VLOOKUP(B673, Products!$A$2:$C$100, 2, FALSE)</f>
        <v>Surly Wednesday Frameset - 2016</v>
      </c>
      <c r="E673">
        <v>2</v>
      </c>
      <c r="F673">
        <v>269.99</v>
      </c>
      <c r="G673">
        <v>0.2</v>
      </c>
      <c r="H673">
        <v>53.998000000000005</v>
      </c>
      <c r="I673">
        <f>order_items[[#This Row],[list_price]]-order_items[[#This Row],[Discounted_price]]</f>
        <v>215.99200000000002</v>
      </c>
      <c r="J673">
        <f>VLOOKUP(B673, Products!$A$2:$E$100, 3, FALSE)</f>
        <v>8</v>
      </c>
      <c r="K673">
        <f>VLOOKUP(B673, Products!$A$2:$F$100, 4, FALSE)</f>
        <v>6</v>
      </c>
    </row>
    <row r="674" spans="1:11" x14ac:dyDescent="0.3">
      <c r="A674">
        <v>238</v>
      </c>
      <c r="B674">
        <v>4</v>
      </c>
      <c r="C674">
        <v>22</v>
      </c>
      <c r="D674" t="str">
        <f>VLOOKUP(B674, Products!$A$2:$C$100, 2, FALSE)</f>
        <v>Trek Fuel EX 8 29 - 2016</v>
      </c>
      <c r="E674">
        <v>2</v>
      </c>
      <c r="F674">
        <v>269.99</v>
      </c>
      <c r="G674">
        <v>0.05</v>
      </c>
      <c r="H674">
        <v>13.499500000000001</v>
      </c>
      <c r="I674">
        <f>order_items[[#This Row],[list_price]]-order_items[[#This Row],[Discounted_price]]</f>
        <v>256.4905</v>
      </c>
      <c r="J674">
        <f>VLOOKUP(B674, Products!$A$2:$E$100, 3, FALSE)</f>
        <v>9</v>
      </c>
      <c r="K674">
        <f>VLOOKUP(B674, Products!$A$2:$F$100, 4, FALSE)</f>
        <v>6</v>
      </c>
    </row>
    <row r="675" spans="1:11" x14ac:dyDescent="0.3">
      <c r="A675">
        <v>238</v>
      </c>
      <c r="B675">
        <v>5</v>
      </c>
      <c r="C675">
        <v>7</v>
      </c>
      <c r="D675" t="str">
        <f>VLOOKUP(B675, Products!$A$2:$C$100, 2, FALSE)</f>
        <v>Heller Shagamaw Frame - 2016</v>
      </c>
      <c r="E675">
        <v>1</v>
      </c>
      <c r="F675">
        <v>3999.99</v>
      </c>
      <c r="G675">
        <v>7.0000000000000007E-2</v>
      </c>
      <c r="H675">
        <v>279.99930000000001</v>
      </c>
      <c r="I675">
        <f>order_items[[#This Row],[list_price]]-order_items[[#This Row],[Discounted_price]]</f>
        <v>3719.9906999999998</v>
      </c>
      <c r="J675">
        <f>VLOOKUP(B675, Products!$A$2:$E$100, 3, FALSE)</f>
        <v>3</v>
      </c>
      <c r="K675">
        <f>VLOOKUP(B675, Products!$A$2:$F$100, 4, FALSE)</f>
        <v>6</v>
      </c>
    </row>
    <row r="676" spans="1:11" x14ac:dyDescent="0.3">
      <c r="A676">
        <v>239</v>
      </c>
      <c r="B676">
        <v>1</v>
      </c>
      <c r="C676">
        <v>16</v>
      </c>
      <c r="D676" t="str">
        <f>VLOOKUP(B676, Products!$A$2:$C$100, 2, FALSE)</f>
        <v>Trek 820 - 2016</v>
      </c>
      <c r="E676">
        <v>2</v>
      </c>
      <c r="F676">
        <v>599.99</v>
      </c>
      <c r="G676">
        <v>0.1</v>
      </c>
      <c r="H676">
        <v>59.999000000000002</v>
      </c>
      <c r="I676">
        <f>order_items[[#This Row],[list_price]]-order_items[[#This Row],[Discounted_price]]</f>
        <v>539.99099999999999</v>
      </c>
      <c r="J676">
        <f>VLOOKUP(B676, Products!$A$2:$E$100, 3, FALSE)</f>
        <v>9</v>
      </c>
      <c r="K676">
        <f>VLOOKUP(B676, Products!$A$2:$F$100, 4, FALSE)</f>
        <v>6</v>
      </c>
    </row>
    <row r="677" spans="1:11" x14ac:dyDescent="0.3">
      <c r="A677">
        <v>239</v>
      </c>
      <c r="B677">
        <v>2</v>
      </c>
      <c r="C677">
        <v>21</v>
      </c>
      <c r="D677" t="str">
        <f>VLOOKUP(B677, Products!$A$2:$C$100, 2, FALSE)</f>
        <v>Ritchey Timberwolf Frameset - 2016</v>
      </c>
      <c r="E677">
        <v>2</v>
      </c>
      <c r="F677">
        <v>269.99</v>
      </c>
      <c r="G677">
        <v>0.05</v>
      </c>
      <c r="H677">
        <v>13.499500000000001</v>
      </c>
      <c r="I677">
        <f>order_items[[#This Row],[list_price]]-order_items[[#This Row],[Discounted_price]]</f>
        <v>256.4905</v>
      </c>
      <c r="J677">
        <f>VLOOKUP(B677, Products!$A$2:$E$100, 3, FALSE)</f>
        <v>5</v>
      </c>
      <c r="K677">
        <f>VLOOKUP(B677, Products!$A$2:$F$100, 4, FALSE)</f>
        <v>6</v>
      </c>
    </row>
    <row r="678" spans="1:11" x14ac:dyDescent="0.3">
      <c r="A678">
        <v>239</v>
      </c>
      <c r="B678">
        <v>3</v>
      </c>
      <c r="C678">
        <v>18</v>
      </c>
      <c r="D678" t="str">
        <f>VLOOKUP(B678, Products!$A$2:$C$100, 2, FALSE)</f>
        <v>Surly Wednesday Frameset - 2016</v>
      </c>
      <c r="E678">
        <v>1</v>
      </c>
      <c r="F678">
        <v>449</v>
      </c>
      <c r="G678">
        <v>7.0000000000000007E-2</v>
      </c>
      <c r="H678">
        <v>31.430000000000003</v>
      </c>
      <c r="I678">
        <f>order_items[[#This Row],[list_price]]-order_items[[#This Row],[Discounted_price]]</f>
        <v>417.57</v>
      </c>
      <c r="J678">
        <f>VLOOKUP(B678, Products!$A$2:$E$100, 3, FALSE)</f>
        <v>8</v>
      </c>
      <c r="K678">
        <f>VLOOKUP(B678, Products!$A$2:$F$100, 4, FALSE)</f>
        <v>6</v>
      </c>
    </row>
    <row r="679" spans="1:11" x14ac:dyDescent="0.3">
      <c r="A679">
        <v>239</v>
      </c>
      <c r="B679">
        <v>4</v>
      </c>
      <c r="C679">
        <v>4</v>
      </c>
      <c r="D679" t="str">
        <f>VLOOKUP(B679, Products!$A$2:$C$100, 2, FALSE)</f>
        <v>Trek Fuel EX 8 29 - 2016</v>
      </c>
      <c r="E679">
        <v>2</v>
      </c>
      <c r="F679">
        <v>2899.99</v>
      </c>
      <c r="G679">
        <v>7.0000000000000007E-2</v>
      </c>
      <c r="H679">
        <v>202.99930000000001</v>
      </c>
      <c r="I679">
        <f>order_items[[#This Row],[list_price]]-order_items[[#This Row],[Discounted_price]]</f>
        <v>2696.9906999999998</v>
      </c>
      <c r="J679">
        <f>VLOOKUP(B679, Products!$A$2:$E$100, 3, FALSE)</f>
        <v>9</v>
      </c>
      <c r="K679">
        <f>VLOOKUP(B679, Products!$A$2:$F$100, 4, FALSE)</f>
        <v>6</v>
      </c>
    </row>
    <row r="680" spans="1:11" x14ac:dyDescent="0.3">
      <c r="A680">
        <v>240</v>
      </c>
      <c r="B680">
        <v>1</v>
      </c>
      <c r="C680">
        <v>9</v>
      </c>
      <c r="D680" t="str">
        <f>VLOOKUP(B680, Products!$A$2:$C$100, 2, FALSE)</f>
        <v>Trek 820 - 2016</v>
      </c>
      <c r="E680">
        <v>1</v>
      </c>
      <c r="F680">
        <v>2999.99</v>
      </c>
      <c r="G680">
        <v>7.0000000000000007E-2</v>
      </c>
      <c r="H680">
        <v>209.99930000000001</v>
      </c>
      <c r="I680">
        <f>order_items[[#This Row],[list_price]]-order_items[[#This Row],[Discounted_price]]</f>
        <v>2789.9906999999998</v>
      </c>
      <c r="J680">
        <f>VLOOKUP(B680, Products!$A$2:$E$100, 3, FALSE)</f>
        <v>9</v>
      </c>
      <c r="K680">
        <f>VLOOKUP(B680, Products!$A$2:$F$100, 4, FALSE)</f>
        <v>6</v>
      </c>
    </row>
    <row r="681" spans="1:11" x14ac:dyDescent="0.3">
      <c r="A681">
        <v>240</v>
      </c>
      <c r="B681">
        <v>2</v>
      </c>
      <c r="C681">
        <v>8</v>
      </c>
      <c r="D681" t="str">
        <f>VLOOKUP(B681, Products!$A$2:$C$100, 2, FALSE)</f>
        <v>Ritchey Timberwolf Frameset - 2016</v>
      </c>
      <c r="E681">
        <v>1</v>
      </c>
      <c r="F681">
        <v>1799.99</v>
      </c>
      <c r="G681">
        <v>7.0000000000000007E-2</v>
      </c>
      <c r="H681">
        <v>125.99930000000002</v>
      </c>
      <c r="I681">
        <f>order_items[[#This Row],[list_price]]-order_items[[#This Row],[Discounted_price]]</f>
        <v>1673.9907000000001</v>
      </c>
      <c r="J681">
        <f>VLOOKUP(B681, Products!$A$2:$E$100, 3, FALSE)</f>
        <v>5</v>
      </c>
      <c r="K681">
        <f>VLOOKUP(B681, Products!$A$2:$F$100, 4, FALSE)</f>
        <v>6</v>
      </c>
    </row>
    <row r="682" spans="1:11" x14ac:dyDescent="0.3">
      <c r="A682">
        <v>240</v>
      </c>
      <c r="B682">
        <v>3</v>
      </c>
      <c r="C682">
        <v>5</v>
      </c>
      <c r="D682" t="str">
        <f>VLOOKUP(B682, Products!$A$2:$C$100, 2, FALSE)</f>
        <v>Surly Wednesday Frameset - 2016</v>
      </c>
      <c r="E682">
        <v>1</v>
      </c>
      <c r="F682">
        <v>1320.99</v>
      </c>
      <c r="G682">
        <v>7.0000000000000007E-2</v>
      </c>
      <c r="H682">
        <v>92.469300000000004</v>
      </c>
      <c r="I682">
        <f>order_items[[#This Row],[list_price]]-order_items[[#This Row],[Discounted_price]]</f>
        <v>1228.5207</v>
      </c>
      <c r="J682">
        <f>VLOOKUP(B682, Products!$A$2:$E$100, 3, FALSE)</f>
        <v>8</v>
      </c>
      <c r="K682">
        <f>VLOOKUP(B682, Products!$A$2:$F$100, 4, FALSE)</f>
        <v>6</v>
      </c>
    </row>
    <row r="683" spans="1:11" x14ac:dyDescent="0.3">
      <c r="A683">
        <v>240</v>
      </c>
      <c r="B683">
        <v>4</v>
      </c>
      <c r="C683">
        <v>18</v>
      </c>
      <c r="D683" t="str">
        <f>VLOOKUP(B683, Products!$A$2:$C$100, 2, FALSE)</f>
        <v>Trek Fuel EX 8 29 - 2016</v>
      </c>
      <c r="E683">
        <v>2</v>
      </c>
      <c r="F683">
        <v>449</v>
      </c>
      <c r="G683">
        <v>7.0000000000000007E-2</v>
      </c>
      <c r="H683">
        <v>31.430000000000003</v>
      </c>
      <c r="I683">
        <f>order_items[[#This Row],[list_price]]-order_items[[#This Row],[Discounted_price]]</f>
        <v>417.57</v>
      </c>
      <c r="J683">
        <f>VLOOKUP(B683, Products!$A$2:$E$100, 3, FALSE)</f>
        <v>9</v>
      </c>
      <c r="K683">
        <f>VLOOKUP(B683, Products!$A$2:$F$100, 4, FALSE)</f>
        <v>6</v>
      </c>
    </row>
    <row r="684" spans="1:11" x14ac:dyDescent="0.3">
      <c r="A684">
        <v>241</v>
      </c>
      <c r="B684">
        <v>1</v>
      </c>
      <c r="C684">
        <v>7</v>
      </c>
      <c r="D684" t="str">
        <f>VLOOKUP(B684, Products!$A$2:$C$100, 2, FALSE)</f>
        <v>Trek 820 - 2016</v>
      </c>
      <c r="E684">
        <v>1</v>
      </c>
      <c r="F684">
        <v>3999.99</v>
      </c>
      <c r="G684">
        <v>0.2</v>
      </c>
      <c r="H684">
        <v>799.99800000000005</v>
      </c>
      <c r="I684">
        <f>order_items[[#This Row],[list_price]]-order_items[[#This Row],[Discounted_price]]</f>
        <v>3199.9919999999997</v>
      </c>
      <c r="J684">
        <f>VLOOKUP(B684, Products!$A$2:$E$100, 3, FALSE)</f>
        <v>9</v>
      </c>
      <c r="K684">
        <f>VLOOKUP(B684, Products!$A$2:$F$100, 4, FALSE)</f>
        <v>6</v>
      </c>
    </row>
    <row r="685" spans="1:11" x14ac:dyDescent="0.3">
      <c r="A685">
        <v>242</v>
      </c>
      <c r="B685">
        <v>1</v>
      </c>
      <c r="C685">
        <v>3</v>
      </c>
      <c r="D685" t="str">
        <f>VLOOKUP(B685, Products!$A$2:$C$100, 2, FALSE)</f>
        <v>Trek 820 - 2016</v>
      </c>
      <c r="E685">
        <v>1</v>
      </c>
      <c r="F685">
        <v>999.99</v>
      </c>
      <c r="G685">
        <v>0.2</v>
      </c>
      <c r="H685">
        <v>199.99800000000002</v>
      </c>
      <c r="I685">
        <f>order_items[[#This Row],[list_price]]-order_items[[#This Row],[Discounted_price]]</f>
        <v>799.99199999999996</v>
      </c>
      <c r="J685">
        <f>VLOOKUP(B685, Products!$A$2:$E$100, 3, FALSE)</f>
        <v>9</v>
      </c>
      <c r="K685">
        <f>VLOOKUP(B685, Products!$A$2:$F$100, 4, FALSE)</f>
        <v>6</v>
      </c>
    </row>
    <row r="686" spans="1:11" x14ac:dyDescent="0.3">
      <c r="A686">
        <v>243</v>
      </c>
      <c r="B686">
        <v>1</v>
      </c>
      <c r="C686">
        <v>25</v>
      </c>
      <c r="D686" t="str">
        <f>VLOOKUP(B686, Products!$A$2:$C$100, 2, FALSE)</f>
        <v>Trek 820 - 2016</v>
      </c>
      <c r="E686">
        <v>2</v>
      </c>
      <c r="F686">
        <v>499.99</v>
      </c>
      <c r="G686">
        <v>0.05</v>
      </c>
      <c r="H686">
        <v>24.999500000000001</v>
      </c>
      <c r="I686">
        <f>order_items[[#This Row],[list_price]]-order_items[[#This Row],[Discounted_price]]</f>
        <v>474.9905</v>
      </c>
      <c r="J686">
        <f>VLOOKUP(B686, Products!$A$2:$E$100, 3, FALSE)</f>
        <v>9</v>
      </c>
      <c r="K686">
        <f>VLOOKUP(B686, Products!$A$2:$F$100, 4, FALSE)</f>
        <v>6</v>
      </c>
    </row>
    <row r="687" spans="1:11" x14ac:dyDescent="0.3">
      <c r="A687">
        <v>243</v>
      </c>
      <c r="B687">
        <v>2</v>
      </c>
      <c r="C687">
        <v>19</v>
      </c>
      <c r="D687" t="str">
        <f>VLOOKUP(B687, Products!$A$2:$C$100, 2, FALSE)</f>
        <v>Ritchey Timberwolf Frameset - 2016</v>
      </c>
      <c r="E687">
        <v>2</v>
      </c>
      <c r="F687">
        <v>449</v>
      </c>
      <c r="G687">
        <v>7.0000000000000007E-2</v>
      </c>
      <c r="H687">
        <v>31.430000000000003</v>
      </c>
      <c r="I687">
        <f>order_items[[#This Row],[list_price]]-order_items[[#This Row],[Discounted_price]]</f>
        <v>417.57</v>
      </c>
      <c r="J687">
        <f>VLOOKUP(B687, Products!$A$2:$E$100, 3, FALSE)</f>
        <v>5</v>
      </c>
      <c r="K687">
        <f>VLOOKUP(B687, Products!$A$2:$F$100, 4, FALSE)</f>
        <v>6</v>
      </c>
    </row>
    <row r="688" spans="1:11" x14ac:dyDescent="0.3">
      <c r="A688">
        <v>243</v>
      </c>
      <c r="B688">
        <v>3</v>
      </c>
      <c r="C688">
        <v>7</v>
      </c>
      <c r="D688" t="str">
        <f>VLOOKUP(B688, Products!$A$2:$C$100, 2, FALSE)</f>
        <v>Surly Wednesday Frameset - 2016</v>
      </c>
      <c r="E688">
        <v>2</v>
      </c>
      <c r="F688">
        <v>3999.99</v>
      </c>
      <c r="G688">
        <v>0.05</v>
      </c>
      <c r="H688">
        <v>199.99950000000001</v>
      </c>
      <c r="I688">
        <f>order_items[[#This Row],[list_price]]-order_items[[#This Row],[Discounted_price]]</f>
        <v>3799.9904999999999</v>
      </c>
      <c r="J688">
        <f>VLOOKUP(B688, Products!$A$2:$E$100, 3, FALSE)</f>
        <v>8</v>
      </c>
      <c r="K688">
        <f>VLOOKUP(B688, Products!$A$2:$F$100, 4, FALSE)</f>
        <v>6</v>
      </c>
    </row>
    <row r="689" spans="1:11" x14ac:dyDescent="0.3">
      <c r="A689">
        <v>244</v>
      </c>
      <c r="B689">
        <v>1</v>
      </c>
      <c r="C689">
        <v>19</v>
      </c>
      <c r="D689" t="str">
        <f>VLOOKUP(B689, Products!$A$2:$C$100, 2, FALSE)</f>
        <v>Trek 820 - 2016</v>
      </c>
      <c r="E689">
        <v>1</v>
      </c>
      <c r="F689">
        <v>449</v>
      </c>
      <c r="G689">
        <v>7.0000000000000007E-2</v>
      </c>
      <c r="H689">
        <v>31.430000000000003</v>
      </c>
      <c r="I689">
        <f>order_items[[#This Row],[list_price]]-order_items[[#This Row],[Discounted_price]]</f>
        <v>417.57</v>
      </c>
      <c r="J689">
        <f>VLOOKUP(B689, Products!$A$2:$E$100, 3, FALSE)</f>
        <v>9</v>
      </c>
      <c r="K689">
        <f>VLOOKUP(B689, Products!$A$2:$F$100, 4, FALSE)</f>
        <v>6</v>
      </c>
    </row>
    <row r="690" spans="1:11" x14ac:dyDescent="0.3">
      <c r="A690">
        <v>244</v>
      </c>
      <c r="B690">
        <v>2</v>
      </c>
      <c r="C690">
        <v>25</v>
      </c>
      <c r="D690" t="str">
        <f>VLOOKUP(B690, Products!$A$2:$C$100, 2, FALSE)</f>
        <v>Ritchey Timberwolf Frameset - 2016</v>
      </c>
      <c r="E690">
        <v>1</v>
      </c>
      <c r="F690">
        <v>499.99</v>
      </c>
      <c r="G690">
        <v>0.2</v>
      </c>
      <c r="H690">
        <v>99.998000000000005</v>
      </c>
      <c r="I690">
        <f>order_items[[#This Row],[list_price]]-order_items[[#This Row],[Discounted_price]]</f>
        <v>399.99200000000002</v>
      </c>
      <c r="J690">
        <f>VLOOKUP(B690, Products!$A$2:$E$100, 3, FALSE)</f>
        <v>5</v>
      </c>
      <c r="K690">
        <f>VLOOKUP(B690, Products!$A$2:$F$100, 4, FALSE)</f>
        <v>6</v>
      </c>
    </row>
    <row r="691" spans="1:11" x14ac:dyDescent="0.3">
      <c r="A691">
        <v>244</v>
      </c>
      <c r="B691">
        <v>3</v>
      </c>
      <c r="C691">
        <v>22</v>
      </c>
      <c r="D691" t="str">
        <f>VLOOKUP(B691, Products!$A$2:$C$100, 2, FALSE)</f>
        <v>Surly Wednesday Frameset - 2016</v>
      </c>
      <c r="E691">
        <v>1</v>
      </c>
      <c r="F691">
        <v>269.99</v>
      </c>
      <c r="G691">
        <v>0.1</v>
      </c>
      <c r="H691">
        <v>26.999000000000002</v>
      </c>
      <c r="I691">
        <f>order_items[[#This Row],[list_price]]-order_items[[#This Row],[Discounted_price]]</f>
        <v>242.99100000000001</v>
      </c>
      <c r="J691">
        <f>VLOOKUP(B691, Products!$A$2:$E$100, 3, FALSE)</f>
        <v>8</v>
      </c>
      <c r="K691">
        <f>VLOOKUP(B691, Products!$A$2:$F$100, 4, FALSE)</f>
        <v>6</v>
      </c>
    </row>
    <row r="692" spans="1:11" x14ac:dyDescent="0.3">
      <c r="A692">
        <v>245</v>
      </c>
      <c r="B692">
        <v>1</v>
      </c>
      <c r="C692">
        <v>10</v>
      </c>
      <c r="D692" t="str">
        <f>VLOOKUP(B692, Products!$A$2:$C$100, 2, FALSE)</f>
        <v>Trek 820 - 2016</v>
      </c>
      <c r="E692">
        <v>2</v>
      </c>
      <c r="F692">
        <v>1549</v>
      </c>
      <c r="G692">
        <v>0.05</v>
      </c>
      <c r="H692">
        <v>77.45</v>
      </c>
      <c r="I692">
        <f>order_items[[#This Row],[list_price]]-order_items[[#This Row],[Discounted_price]]</f>
        <v>1471.55</v>
      </c>
      <c r="J692">
        <f>VLOOKUP(B692, Products!$A$2:$E$100, 3, FALSE)</f>
        <v>9</v>
      </c>
      <c r="K692">
        <f>VLOOKUP(B692, Products!$A$2:$F$100, 4, FALSE)</f>
        <v>6</v>
      </c>
    </row>
    <row r="693" spans="1:11" x14ac:dyDescent="0.3">
      <c r="A693">
        <v>245</v>
      </c>
      <c r="B693">
        <v>2</v>
      </c>
      <c r="C693">
        <v>8</v>
      </c>
      <c r="D693" t="str">
        <f>VLOOKUP(B693, Products!$A$2:$C$100, 2, FALSE)</f>
        <v>Ritchey Timberwolf Frameset - 2016</v>
      </c>
      <c r="E693">
        <v>1</v>
      </c>
      <c r="F693">
        <v>1799.99</v>
      </c>
      <c r="G693">
        <v>0.1</v>
      </c>
      <c r="H693">
        <v>179.99900000000002</v>
      </c>
      <c r="I693">
        <f>order_items[[#This Row],[list_price]]-order_items[[#This Row],[Discounted_price]]</f>
        <v>1619.991</v>
      </c>
      <c r="J693">
        <f>VLOOKUP(B693, Products!$A$2:$E$100, 3, FALSE)</f>
        <v>5</v>
      </c>
      <c r="K693">
        <f>VLOOKUP(B693, Products!$A$2:$F$100, 4, FALSE)</f>
        <v>6</v>
      </c>
    </row>
    <row r="694" spans="1:11" x14ac:dyDescent="0.3">
      <c r="A694">
        <v>246</v>
      </c>
      <c r="B694">
        <v>1</v>
      </c>
      <c r="C694">
        <v>17</v>
      </c>
      <c r="D694" t="str">
        <f>VLOOKUP(B694, Products!$A$2:$C$100, 2, FALSE)</f>
        <v>Trek 820 - 2016</v>
      </c>
      <c r="E694">
        <v>2</v>
      </c>
      <c r="F694">
        <v>429</v>
      </c>
      <c r="G694">
        <v>0.2</v>
      </c>
      <c r="H694">
        <v>85.800000000000011</v>
      </c>
      <c r="I694">
        <f>order_items[[#This Row],[list_price]]-order_items[[#This Row],[Discounted_price]]</f>
        <v>343.2</v>
      </c>
      <c r="J694">
        <f>VLOOKUP(B694, Products!$A$2:$E$100, 3, FALSE)</f>
        <v>9</v>
      </c>
      <c r="K694">
        <f>VLOOKUP(B694, Products!$A$2:$F$100, 4, FALSE)</f>
        <v>6</v>
      </c>
    </row>
    <row r="695" spans="1:11" x14ac:dyDescent="0.3">
      <c r="A695">
        <v>247</v>
      </c>
      <c r="B695">
        <v>1</v>
      </c>
      <c r="C695">
        <v>25</v>
      </c>
      <c r="D695" t="str">
        <f>VLOOKUP(B695, Products!$A$2:$C$100, 2, FALSE)</f>
        <v>Trek 820 - 2016</v>
      </c>
      <c r="E695">
        <v>1</v>
      </c>
      <c r="F695">
        <v>499.99</v>
      </c>
      <c r="G695">
        <v>7.0000000000000007E-2</v>
      </c>
      <c r="H695">
        <v>34.999300000000005</v>
      </c>
      <c r="I695">
        <f>order_items[[#This Row],[list_price]]-order_items[[#This Row],[Discounted_price]]</f>
        <v>464.9907</v>
      </c>
      <c r="J695">
        <f>VLOOKUP(B695, Products!$A$2:$E$100, 3, FALSE)</f>
        <v>9</v>
      </c>
      <c r="K695">
        <f>VLOOKUP(B695, Products!$A$2:$F$100, 4, FALSE)</f>
        <v>6</v>
      </c>
    </row>
    <row r="696" spans="1:11" x14ac:dyDescent="0.3">
      <c r="A696">
        <v>247</v>
      </c>
      <c r="B696">
        <v>2</v>
      </c>
      <c r="C696">
        <v>3</v>
      </c>
      <c r="D696" t="str">
        <f>VLOOKUP(B696, Products!$A$2:$C$100, 2, FALSE)</f>
        <v>Ritchey Timberwolf Frameset - 2016</v>
      </c>
      <c r="E696">
        <v>1</v>
      </c>
      <c r="F696">
        <v>999.99</v>
      </c>
      <c r="G696">
        <v>0.2</v>
      </c>
      <c r="H696">
        <v>199.99800000000002</v>
      </c>
      <c r="I696">
        <f>order_items[[#This Row],[list_price]]-order_items[[#This Row],[Discounted_price]]</f>
        <v>799.99199999999996</v>
      </c>
      <c r="J696">
        <f>VLOOKUP(B696, Products!$A$2:$E$100, 3, FALSE)</f>
        <v>5</v>
      </c>
      <c r="K696">
        <f>VLOOKUP(B696, Products!$A$2:$F$100, 4, FALSE)</f>
        <v>6</v>
      </c>
    </row>
    <row r="697" spans="1:11" x14ac:dyDescent="0.3">
      <c r="A697">
        <v>248</v>
      </c>
      <c r="B697">
        <v>1</v>
      </c>
      <c r="C697">
        <v>13</v>
      </c>
      <c r="D697" t="str">
        <f>VLOOKUP(B697, Products!$A$2:$C$100, 2, FALSE)</f>
        <v>Trek 820 - 2016</v>
      </c>
      <c r="E697">
        <v>1</v>
      </c>
      <c r="F697">
        <v>269.99</v>
      </c>
      <c r="G697">
        <v>0.1</v>
      </c>
      <c r="H697">
        <v>26.999000000000002</v>
      </c>
      <c r="I697">
        <f>order_items[[#This Row],[list_price]]-order_items[[#This Row],[Discounted_price]]</f>
        <v>242.99100000000001</v>
      </c>
      <c r="J697">
        <f>VLOOKUP(B697, Products!$A$2:$E$100, 3, FALSE)</f>
        <v>9</v>
      </c>
      <c r="K697">
        <f>VLOOKUP(B697, Products!$A$2:$F$100, 4, FALSE)</f>
        <v>6</v>
      </c>
    </row>
    <row r="698" spans="1:11" x14ac:dyDescent="0.3">
      <c r="A698">
        <v>248</v>
      </c>
      <c r="B698">
        <v>2</v>
      </c>
      <c r="C698">
        <v>26</v>
      </c>
      <c r="D698" t="str">
        <f>VLOOKUP(B698, Products!$A$2:$C$100, 2, FALSE)</f>
        <v>Ritchey Timberwolf Frameset - 2016</v>
      </c>
      <c r="E698">
        <v>2</v>
      </c>
      <c r="F698">
        <v>599.99</v>
      </c>
      <c r="G698">
        <v>0.1</v>
      </c>
      <c r="H698">
        <v>59.999000000000002</v>
      </c>
      <c r="I698">
        <f>order_items[[#This Row],[list_price]]-order_items[[#This Row],[Discounted_price]]</f>
        <v>539.99099999999999</v>
      </c>
      <c r="J698">
        <f>VLOOKUP(B698, Products!$A$2:$E$100, 3, FALSE)</f>
        <v>5</v>
      </c>
      <c r="K698">
        <f>VLOOKUP(B698, Products!$A$2:$F$100, 4, FALSE)</f>
        <v>6</v>
      </c>
    </row>
    <row r="699" spans="1:11" x14ac:dyDescent="0.3">
      <c r="A699">
        <v>248</v>
      </c>
      <c r="B699">
        <v>3</v>
      </c>
      <c r="C699">
        <v>17</v>
      </c>
      <c r="D699" t="str">
        <f>VLOOKUP(B699, Products!$A$2:$C$100, 2, FALSE)</f>
        <v>Surly Wednesday Frameset - 2016</v>
      </c>
      <c r="E699">
        <v>1</v>
      </c>
      <c r="F699">
        <v>429</v>
      </c>
      <c r="G699">
        <v>0.1</v>
      </c>
      <c r="H699">
        <v>42.900000000000006</v>
      </c>
      <c r="I699">
        <f>order_items[[#This Row],[list_price]]-order_items[[#This Row],[Discounted_price]]</f>
        <v>386.1</v>
      </c>
      <c r="J699">
        <f>VLOOKUP(B699, Products!$A$2:$E$100, 3, FALSE)</f>
        <v>8</v>
      </c>
      <c r="K699">
        <f>VLOOKUP(B699, Products!$A$2:$F$100, 4, FALSE)</f>
        <v>6</v>
      </c>
    </row>
    <row r="700" spans="1:11" x14ac:dyDescent="0.3">
      <c r="A700">
        <v>248</v>
      </c>
      <c r="B700">
        <v>4</v>
      </c>
      <c r="C700">
        <v>9</v>
      </c>
      <c r="D700" t="str">
        <f>VLOOKUP(B700, Products!$A$2:$C$100, 2, FALSE)</f>
        <v>Trek Fuel EX 8 29 - 2016</v>
      </c>
      <c r="E700">
        <v>1</v>
      </c>
      <c r="F700">
        <v>2999.99</v>
      </c>
      <c r="G700">
        <v>0.2</v>
      </c>
      <c r="H700">
        <v>599.99799999999993</v>
      </c>
      <c r="I700">
        <f>order_items[[#This Row],[list_price]]-order_items[[#This Row],[Discounted_price]]</f>
        <v>2399.9919999999997</v>
      </c>
      <c r="J700">
        <f>VLOOKUP(B700, Products!$A$2:$E$100, 3, FALSE)</f>
        <v>9</v>
      </c>
      <c r="K700">
        <f>VLOOKUP(B700, Products!$A$2:$F$100, 4, FALSE)</f>
        <v>6</v>
      </c>
    </row>
    <row r="701" spans="1:11" x14ac:dyDescent="0.3">
      <c r="A701">
        <v>249</v>
      </c>
      <c r="B701">
        <v>1</v>
      </c>
      <c r="C701">
        <v>7</v>
      </c>
      <c r="D701" t="str">
        <f>VLOOKUP(B701, Products!$A$2:$C$100, 2, FALSE)</f>
        <v>Trek 820 - 2016</v>
      </c>
      <c r="E701">
        <v>2</v>
      </c>
      <c r="F701">
        <v>3999.99</v>
      </c>
      <c r="G701">
        <v>0.05</v>
      </c>
      <c r="H701">
        <v>199.99950000000001</v>
      </c>
      <c r="I701">
        <f>order_items[[#This Row],[list_price]]-order_items[[#This Row],[Discounted_price]]</f>
        <v>3799.9904999999999</v>
      </c>
      <c r="J701">
        <f>VLOOKUP(B701, Products!$A$2:$E$100, 3, FALSE)</f>
        <v>9</v>
      </c>
      <c r="K701">
        <f>VLOOKUP(B701, Products!$A$2:$F$100, 4, FALSE)</f>
        <v>6</v>
      </c>
    </row>
    <row r="702" spans="1:11" x14ac:dyDescent="0.3">
      <c r="A702">
        <v>249</v>
      </c>
      <c r="B702">
        <v>2</v>
      </c>
      <c r="C702">
        <v>18</v>
      </c>
      <c r="D702" t="str">
        <f>VLOOKUP(B702, Products!$A$2:$C$100, 2, FALSE)</f>
        <v>Ritchey Timberwolf Frameset - 2016</v>
      </c>
      <c r="E702">
        <v>2</v>
      </c>
      <c r="F702">
        <v>449</v>
      </c>
      <c r="G702">
        <v>0.05</v>
      </c>
      <c r="H702">
        <v>22.450000000000003</v>
      </c>
      <c r="I702">
        <f>order_items[[#This Row],[list_price]]-order_items[[#This Row],[Discounted_price]]</f>
        <v>426.55</v>
      </c>
      <c r="J702">
        <f>VLOOKUP(B702, Products!$A$2:$E$100, 3, FALSE)</f>
        <v>5</v>
      </c>
      <c r="K702">
        <f>VLOOKUP(B702, Products!$A$2:$F$100, 4, FALSE)</f>
        <v>6</v>
      </c>
    </row>
    <row r="703" spans="1:11" x14ac:dyDescent="0.3">
      <c r="A703">
        <v>249</v>
      </c>
      <c r="B703">
        <v>3</v>
      </c>
      <c r="C703">
        <v>22</v>
      </c>
      <c r="D703" t="str">
        <f>VLOOKUP(B703, Products!$A$2:$C$100, 2, FALSE)</f>
        <v>Surly Wednesday Frameset - 2016</v>
      </c>
      <c r="E703">
        <v>1</v>
      </c>
      <c r="F703">
        <v>269.99</v>
      </c>
      <c r="G703">
        <v>0.1</v>
      </c>
      <c r="H703">
        <v>26.999000000000002</v>
      </c>
      <c r="I703">
        <f>order_items[[#This Row],[list_price]]-order_items[[#This Row],[Discounted_price]]</f>
        <v>242.99100000000001</v>
      </c>
      <c r="J703">
        <f>VLOOKUP(B703, Products!$A$2:$E$100, 3, FALSE)</f>
        <v>8</v>
      </c>
      <c r="K703">
        <f>VLOOKUP(B703, Products!$A$2:$F$100, 4, FALSE)</f>
        <v>6</v>
      </c>
    </row>
    <row r="704" spans="1:11" x14ac:dyDescent="0.3">
      <c r="A704">
        <v>250</v>
      </c>
      <c r="B704">
        <v>1</v>
      </c>
      <c r="C704">
        <v>17</v>
      </c>
      <c r="D704" t="str">
        <f>VLOOKUP(B704, Products!$A$2:$C$100, 2, FALSE)</f>
        <v>Trek 820 - 2016</v>
      </c>
      <c r="E704">
        <v>2</v>
      </c>
      <c r="F704">
        <v>429</v>
      </c>
      <c r="G704">
        <v>0.05</v>
      </c>
      <c r="H704">
        <v>21.450000000000003</v>
      </c>
      <c r="I704">
        <f>order_items[[#This Row],[list_price]]-order_items[[#This Row],[Discounted_price]]</f>
        <v>407.55</v>
      </c>
      <c r="J704">
        <f>VLOOKUP(B704, Products!$A$2:$E$100, 3, FALSE)</f>
        <v>9</v>
      </c>
      <c r="K704">
        <f>VLOOKUP(B704, Products!$A$2:$F$100, 4, FALSE)</f>
        <v>6</v>
      </c>
    </row>
    <row r="705" spans="1:11" x14ac:dyDescent="0.3">
      <c r="A705">
        <v>250</v>
      </c>
      <c r="B705">
        <v>2</v>
      </c>
      <c r="C705">
        <v>11</v>
      </c>
      <c r="D705" t="str">
        <f>VLOOKUP(B705, Products!$A$2:$C$100, 2, FALSE)</f>
        <v>Ritchey Timberwolf Frameset - 2016</v>
      </c>
      <c r="E705">
        <v>2</v>
      </c>
      <c r="F705">
        <v>1680.99</v>
      </c>
      <c r="G705">
        <v>0.1</v>
      </c>
      <c r="H705">
        <v>168.09900000000002</v>
      </c>
      <c r="I705">
        <f>order_items[[#This Row],[list_price]]-order_items[[#This Row],[Discounted_price]]</f>
        <v>1512.8910000000001</v>
      </c>
      <c r="J705">
        <f>VLOOKUP(B705, Products!$A$2:$E$100, 3, FALSE)</f>
        <v>5</v>
      </c>
      <c r="K705">
        <f>VLOOKUP(B705, Products!$A$2:$F$100, 4, FALSE)</f>
        <v>6</v>
      </c>
    </row>
    <row r="706" spans="1:11" x14ac:dyDescent="0.3">
      <c r="A706">
        <v>251</v>
      </c>
      <c r="B706">
        <v>1</v>
      </c>
      <c r="C706">
        <v>23</v>
      </c>
      <c r="D706" t="str">
        <f>VLOOKUP(B706, Products!$A$2:$C$100, 2, FALSE)</f>
        <v>Trek 820 - 2016</v>
      </c>
      <c r="E706">
        <v>2</v>
      </c>
      <c r="F706">
        <v>299.99</v>
      </c>
      <c r="G706">
        <v>0.2</v>
      </c>
      <c r="H706">
        <v>59.998000000000005</v>
      </c>
      <c r="I706">
        <f>order_items[[#This Row],[list_price]]-order_items[[#This Row],[Discounted_price]]</f>
        <v>239.99200000000002</v>
      </c>
      <c r="J706">
        <f>VLOOKUP(B706, Products!$A$2:$E$100, 3, FALSE)</f>
        <v>9</v>
      </c>
      <c r="K706">
        <f>VLOOKUP(B706, Products!$A$2:$F$100, 4, FALSE)</f>
        <v>6</v>
      </c>
    </row>
    <row r="707" spans="1:11" x14ac:dyDescent="0.3">
      <c r="A707">
        <v>251</v>
      </c>
      <c r="B707">
        <v>2</v>
      </c>
      <c r="C707">
        <v>22</v>
      </c>
      <c r="D707" t="str">
        <f>VLOOKUP(B707, Products!$A$2:$C$100, 2, FALSE)</f>
        <v>Ritchey Timberwolf Frameset - 2016</v>
      </c>
      <c r="E707">
        <v>2</v>
      </c>
      <c r="F707">
        <v>269.99</v>
      </c>
      <c r="G707">
        <v>0.05</v>
      </c>
      <c r="H707">
        <v>13.499500000000001</v>
      </c>
      <c r="I707">
        <f>order_items[[#This Row],[list_price]]-order_items[[#This Row],[Discounted_price]]</f>
        <v>256.4905</v>
      </c>
      <c r="J707">
        <f>VLOOKUP(B707, Products!$A$2:$E$100, 3, FALSE)</f>
        <v>5</v>
      </c>
      <c r="K707">
        <f>VLOOKUP(B707, Products!$A$2:$F$100, 4, FALSE)</f>
        <v>6</v>
      </c>
    </row>
    <row r="708" spans="1:11" x14ac:dyDescent="0.3">
      <c r="A708">
        <v>252</v>
      </c>
      <c r="B708">
        <v>1</v>
      </c>
      <c r="C708">
        <v>11</v>
      </c>
      <c r="D708" t="str">
        <f>VLOOKUP(B708, Products!$A$2:$C$100, 2, FALSE)</f>
        <v>Trek 820 - 2016</v>
      </c>
      <c r="E708">
        <v>2</v>
      </c>
      <c r="F708">
        <v>1680.99</v>
      </c>
      <c r="G708">
        <v>0.1</v>
      </c>
      <c r="H708">
        <v>168.09900000000002</v>
      </c>
      <c r="I708">
        <f>order_items[[#This Row],[list_price]]-order_items[[#This Row],[Discounted_price]]</f>
        <v>1512.8910000000001</v>
      </c>
      <c r="J708">
        <f>VLOOKUP(B708, Products!$A$2:$E$100, 3, FALSE)</f>
        <v>9</v>
      </c>
      <c r="K708">
        <f>VLOOKUP(B708, Products!$A$2:$F$100, 4, FALSE)</f>
        <v>6</v>
      </c>
    </row>
    <row r="709" spans="1:11" x14ac:dyDescent="0.3">
      <c r="A709">
        <v>252</v>
      </c>
      <c r="B709">
        <v>2</v>
      </c>
      <c r="C709">
        <v>4</v>
      </c>
      <c r="D709" t="str">
        <f>VLOOKUP(B709, Products!$A$2:$C$100, 2, FALSE)</f>
        <v>Ritchey Timberwolf Frameset - 2016</v>
      </c>
      <c r="E709">
        <v>1</v>
      </c>
      <c r="F709">
        <v>2899.99</v>
      </c>
      <c r="G709">
        <v>7.0000000000000007E-2</v>
      </c>
      <c r="H709">
        <v>202.99930000000001</v>
      </c>
      <c r="I709">
        <f>order_items[[#This Row],[list_price]]-order_items[[#This Row],[Discounted_price]]</f>
        <v>2696.9906999999998</v>
      </c>
      <c r="J709">
        <f>VLOOKUP(B709, Products!$A$2:$E$100, 3, FALSE)</f>
        <v>5</v>
      </c>
      <c r="K709">
        <f>VLOOKUP(B709, Products!$A$2:$F$100, 4, FALSE)</f>
        <v>6</v>
      </c>
    </row>
    <row r="710" spans="1:11" x14ac:dyDescent="0.3">
      <c r="A710">
        <v>252</v>
      </c>
      <c r="B710">
        <v>3</v>
      </c>
      <c r="C710">
        <v>19</v>
      </c>
      <c r="D710" t="str">
        <f>VLOOKUP(B710, Products!$A$2:$C$100, 2, FALSE)</f>
        <v>Surly Wednesday Frameset - 2016</v>
      </c>
      <c r="E710">
        <v>1</v>
      </c>
      <c r="F710">
        <v>449</v>
      </c>
      <c r="G710">
        <v>0.1</v>
      </c>
      <c r="H710">
        <v>44.900000000000006</v>
      </c>
      <c r="I710">
        <f>order_items[[#This Row],[list_price]]-order_items[[#This Row],[Discounted_price]]</f>
        <v>404.1</v>
      </c>
      <c r="J710">
        <f>VLOOKUP(B710, Products!$A$2:$E$100, 3, FALSE)</f>
        <v>8</v>
      </c>
      <c r="K710">
        <f>VLOOKUP(B710, Products!$A$2:$F$100, 4, FALSE)</f>
        <v>6</v>
      </c>
    </row>
    <row r="711" spans="1:11" x14ac:dyDescent="0.3">
      <c r="A711">
        <v>253</v>
      </c>
      <c r="B711">
        <v>1</v>
      </c>
      <c r="C711">
        <v>11</v>
      </c>
      <c r="D711" t="str">
        <f>VLOOKUP(B711, Products!$A$2:$C$100, 2, FALSE)</f>
        <v>Trek 820 - 2016</v>
      </c>
      <c r="E711">
        <v>2</v>
      </c>
      <c r="F711">
        <v>1680.99</v>
      </c>
      <c r="G711">
        <v>7.0000000000000007E-2</v>
      </c>
      <c r="H711">
        <v>117.66930000000001</v>
      </c>
      <c r="I711">
        <f>order_items[[#This Row],[list_price]]-order_items[[#This Row],[Discounted_price]]</f>
        <v>1563.3207</v>
      </c>
      <c r="J711">
        <f>VLOOKUP(B711, Products!$A$2:$E$100, 3, FALSE)</f>
        <v>9</v>
      </c>
      <c r="K711">
        <f>VLOOKUP(B711, Products!$A$2:$F$100, 4, FALSE)</f>
        <v>6</v>
      </c>
    </row>
    <row r="712" spans="1:11" x14ac:dyDescent="0.3">
      <c r="A712">
        <v>254</v>
      </c>
      <c r="B712">
        <v>1</v>
      </c>
      <c r="C712">
        <v>6</v>
      </c>
      <c r="D712" t="str">
        <f>VLOOKUP(B712, Products!$A$2:$C$100, 2, FALSE)</f>
        <v>Trek 820 - 2016</v>
      </c>
      <c r="E712">
        <v>2</v>
      </c>
      <c r="F712">
        <v>469.99</v>
      </c>
      <c r="G712">
        <v>7.0000000000000007E-2</v>
      </c>
      <c r="H712">
        <v>32.899300000000004</v>
      </c>
      <c r="I712">
        <f>order_items[[#This Row],[list_price]]-order_items[[#This Row],[Discounted_price]]</f>
        <v>437.09070000000003</v>
      </c>
      <c r="J712">
        <f>VLOOKUP(B712, Products!$A$2:$E$100, 3, FALSE)</f>
        <v>9</v>
      </c>
      <c r="K712">
        <f>VLOOKUP(B712, Products!$A$2:$F$100, 4, FALSE)</f>
        <v>6</v>
      </c>
    </row>
    <row r="713" spans="1:11" x14ac:dyDescent="0.3">
      <c r="A713">
        <v>254</v>
      </c>
      <c r="B713">
        <v>2</v>
      </c>
      <c r="C713">
        <v>3</v>
      </c>
      <c r="D713" t="str">
        <f>VLOOKUP(B713, Products!$A$2:$C$100, 2, FALSE)</f>
        <v>Ritchey Timberwolf Frameset - 2016</v>
      </c>
      <c r="E713">
        <v>1</v>
      </c>
      <c r="F713">
        <v>999.99</v>
      </c>
      <c r="G713">
        <v>0.05</v>
      </c>
      <c r="H713">
        <v>49.999500000000005</v>
      </c>
      <c r="I713">
        <f>order_items[[#This Row],[list_price]]-order_items[[#This Row],[Discounted_price]]</f>
        <v>949.9905</v>
      </c>
      <c r="J713">
        <f>VLOOKUP(B713, Products!$A$2:$E$100, 3, FALSE)</f>
        <v>5</v>
      </c>
      <c r="K713">
        <f>VLOOKUP(B713, Products!$A$2:$F$100, 4, FALSE)</f>
        <v>6</v>
      </c>
    </row>
    <row r="714" spans="1:11" x14ac:dyDescent="0.3">
      <c r="A714">
        <v>254</v>
      </c>
      <c r="B714">
        <v>3</v>
      </c>
      <c r="C714">
        <v>12</v>
      </c>
      <c r="D714" t="str">
        <f>VLOOKUP(B714, Products!$A$2:$C$100, 2, FALSE)</f>
        <v>Surly Wednesday Frameset - 2016</v>
      </c>
      <c r="E714">
        <v>1</v>
      </c>
      <c r="F714">
        <v>549.99</v>
      </c>
      <c r="G714">
        <v>0.05</v>
      </c>
      <c r="H714">
        <v>27.499500000000001</v>
      </c>
      <c r="I714">
        <f>order_items[[#This Row],[list_price]]-order_items[[#This Row],[Discounted_price]]</f>
        <v>522.4905</v>
      </c>
      <c r="J714">
        <f>VLOOKUP(B714, Products!$A$2:$E$100, 3, FALSE)</f>
        <v>8</v>
      </c>
      <c r="K714">
        <f>VLOOKUP(B714, Products!$A$2:$F$100, 4, FALSE)</f>
        <v>6</v>
      </c>
    </row>
    <row r="715" spans="1:11" x14ac:dyDescent="0.3">
      <c r="A715">
        <v>255</v>
      </c>
      <c r="B715">
        <v>1</v>
      </c>
      <c r="C715">
        <v>5</v>
      </c>
      <c r="D715" t="str">
        <f>VLOOKUP(B715, Products!$A$2:$C$100, 2, FALSE)</f>
        <v>Trek 820 - 2016</v>
      </c>
      <c r="E715">
        <v>2</v>
      </c>
      <c r="F715">
        <v>1320.99</v>
      </c>
      <c r="G715">
        <v>0.1</v>
      </c>
      <c r="H715">
        <v>132.09900000000002</v>
      </c>
      <c r="I715">
        <f>order_items[[#This Row],[list_price]]-order_items[[#This Row],[Discounted_price]]</f>
        <v>1188.8910000000001</v>
      </c>
      <c r="J715">
        <f>VLOOKUP(B715, Products!$A$2:$E$100, 3, FALSE)</f>
        <v>9</v>
      </c>
      <c r="K715">
        <f>VLOOKUP(B715, Products!$A$2:$F$100, 4, FALSE)</f>
        <v>6</v>
      </c>
    </row>
    <row r="716" spans="1:11" x14ac:dyDescent="0.3">
      <c r="A716">
        <v>255</v>
      </c>
      <c r="B716">
        <v>2</v>
      </c>
      <c r="C716">
        <v>14</v>
      </c>
      <c r="D716" t="str">
        <f>VLOOKUP(B716, Products!$A$2:$C$100, 2, FALSE)</f>
        <v>Ritchey Timberwolf Frameset - 2016</v>
      </c>
      <c r="E716">
        <v>1</v>
      </c>
      <c r="F716">
        <v>269.99</v>
      </c>
      <c r="G716">
        <v>0.2</v>
      </c>
      <c r="H716">
        <v>53.998000000000005</v>
      </c>
      <c r="I716">
        <f>order_items[[#This Row],[list_price]]-order_items[[#This Row],[Discounted_price]]</f>
        <v>215.99200000000002</v>
      </c>
      <c r="J716">
        <f>VLOOKUP(B716, Products!$A$2:$E$100, 3, FALSE)</f>
        <v>5</v>
      </c>
      <c r="K716">
        <f>VLOOKUP(B716, Products!$A$2:$F$100, 4, FALSE)</f>
        <v>6</v>
      </c>
    </row>
    <row r="717" spans="1:11" x14ac:dyDescent="0.3">
      <c r="A717">
        <v>255</v>
      </c>
      <c r="B717">
        <v>3</v>
      </c>
      <c r="C717">
        <v>2</v>
      </c>
      <c r="D717" t="str">
        <f>VLOOKUP(B717, Products!$A$2:$C$100, 2, FALSE)</f>
        <v>Surly Wednesday Frameset - 2016</v>
      </c>
      <c r="E717">
        <v>2</v>
      </c>
      <c r="F717">
        <v>749.99</v>
      </c>
      <c r="G717">
        <v>0.2</v>
      </c>
      <c r="H717">
        <v>149.99800000000002</v>
      </c>
      <c r="I717">
        <f>order_items[[#This Row],[list_price]]-order_items[[#This Row],[Discounted_price]]</f>
        <v>599.99199999999996</v>
      </c>
      <c r="J717">
        <f>VLOOKUP(B717, Products!$A$2:$E$100, 3, FALSE)</f>
        <v>8</v>
      </c>
      <c r="K717">
        <f>VLOOKUP(B717, Products!$A$2:$F$100, 4, FALSE)</f>
        <v>6</v>
      </c>
    </row>
    <row r="718" spans="1:11" x14ac:dyDescent="0.3">
      <c r="A718">
        <v>255</v>
      </c>
      <c r="B718">
        <v>4</v>
      </c>
      <c r="C718">
        <v>21</v>
      </c>
      <c r="D718" t="str">
        <f>VLOOKUP(B718, Products!$A$2:$C$100, 2, FALSE)</f>
        <v>Trek Fuel EX 8 29 - 2016</v>
      </c>
      <c r="E718">
        <v>1</v>
      </c>
      <c r="F718">
        <v>269.99</v>
      </c>
      <c r="G718">
        <v>7.0000000000000007E-2</v>
      </c>
      <c r="H718">
        <v>18.899300000000004</v>
      </c>
      <c r="I718">
        <f>order_items[[#This Row],[list_price]]-order_items[[#This Row],[Discounted_price]]</f>
        <v>251.0907</v>
      </c>
      <c r="J718">
        <f>VLOOKUP(B718, Products!$A$2:$E$100, 3, FALSE)</f>
        <v>9</v>
      </c>
      <c r="K718">
        <f>VLOOKUP(B718, Products!$A$2:$F$100, 4, FALSE)</f>
        <v>6</v>
      </c>
    </row>
    <row r="719" spans="1:11" x14ac:dyDescent="0.3">
      <c r="A719">
        <v>256</v>
      </c>
      <c r="B719">
        <v>1</v>
      </c>
      <c r="C719">
        <v>11</v>
      </c>
      <c r="D719" t="str">
        <f>VLOOKUP(B719, Products!$A$2:$C$100, 2, FALSE)</f>
        <v>Trek 820 - 2016</v>
      </c>
      <c r="E719">
        <v>1</v>
      </c>
      <c r="F719">
        <v>1680.99</v>
      </c>
      <c r="G719">
        <v>0.1</v>
      </c>
      <c r="H719">
        <v>168.09900000000002</v>
      </c>
      <c r="I719">
        <f>order_items[[#This Row],[list_price]]-order_items[[#This Row],[Discounted_price]]</f>
        <v>1512.8910000000001</v>
      </c>
      <c r="J719">
        <f>VLOOKUP(B719, Products!$A$2:$E$100, 3, FALSE)</f>
        <v>9</v>
      </c>
      <c r="K719">
        <f>VLOOKUP(B719, Products!$A$2:$F$100, 4, FALSE)</f>
        <v>6</v>
      </c>
    </row>
    <row r="720" spans="1:11" x14ac:dyDescent="0.3">
      <c r="A720">
        <v>256</v>
      </c>
      <c r="B720">
        <v>2</v>
      </c>
      <c r="C720">
        <v>21</v>
      </c>
      <c r="D720" t="str">
        <f>VLOOKUP(B720, Products!$A$2:$C$100, 2, FALSE)</f>
        <v>Ritchey Timberwolf Frameset - 2016</v>
      </c>
      <c r="E720">
        <v>1</v>
      </c>
      <c r="F720">
        <v>269.99</v>
      </c>
      <c r="G720">
        <v>0.05</v>
      </c>
      <c r="H720">
        <v>13.499500000000001</v>
      </c>
      <c r="I720">
        <f>order_items[[#This Row],[list_price]]-order_items[[#This Row],[Discounted_price]]</f>
        <v>256.4905</v>
      </c>
      <c r="J720">
        <f>VLOOKUP(B720, Products!$A$2:$E$100, 3, FALSE)</f>
        <v>5</v>
      </c>
      <c r="K720">
        <f>VLOOKUP(B720, Products!$A$2:$F$100, 4, FALSE)</f>
        <v>6</v>
      </c>
    </row>
    <row r="721" spans="1:11" x14ac:dyDescent="0.3">
      <c r="A721">
        <v>257</v>
      </c>
      <c r="B721">
        <v>1</v>
      </c>
      <c r="C721">
        <v>8</v>
      </c>
      <c r="D721" t="str">
        <f>VLOOKUP(B721, Products!$A$2:$C$100, 2, FALSE)</f>
        <v>Trek 820 - 2016</v>
      </c>
      <c r="E721">
        <v>2</v>
      </c>
      <c r="F721">
        <v>1799.99</v>
      </c>
      <c r="G721">
        <v>7.0000000000000007E-2</v>
      </c>
      <c r="H721">
        <v>125.99930000000002</v>
      </c>
      <c r="I721">
        <f>order_items[[#This Row],[list_price]]-order_items[[#This Row],[Discounted_price]]</f>
        <v>1673.9907000000001</v>
      </c>
      <c r="J721">
        <f>VLOOKUP(B721, Products!$A$2:$E$100, 3, FALSE)</f>
        <v>9</v>
      </c>
      <c r="K721">
        <f>VLOOKUP(B721, Products!$A$2:$F$100, 4, FALSE)</f>
        <v>6</v>
      </c>
    </row>
    <row r="722" spans="1:11" x14ac:dyDescent="0.3">
      <c r="A722">
        <v>257</v>
      </c>
      <c r="B722">
        <v>2</v>
      </c>
      <c r="C722">
        <v>13</v>
      </c>
      <c r="D722" t="str">
        <f>VLOOKUP(B722, Products!$A$2:$C$100, 2, FALSE)</f>
        <v>Ritchey Timberwolf Frameset - 2016</v>
      </c>
      <c r="E722">
        <v>2</v>
      </c>
      <c r="F722">
        <v>269.99</v>
      </c>
      <c r="G722">
        <v>0.2</v>
      </c>
      <c r="H722">
        <v>53.998000000000005</v>
      </c>
      <c r="I722">
        <f>order_items[[#This Row],[list_price]]-order_items[[#This Row],[Discounted_price]]</f>
        <v>215.99200000000002</v>
      </c>
      <c r="J722">
        <f>VLOOKUP(B722, Products!$A$2:$E$100, 3, FALSE)</f>
        <v>5</v>
      </c>
      <c r="K722">
        <f>VLOOKUP(B722, Products!$A$2:$F$100, 4, FALSE)</f>
        <v>6</v>
      </c>
    </row>
    <row r="723" spans="1:11" x14ac:dyDescent="0.3">
      <c r="A723">
        <v>257</v>
      </c>
      <c r="B723">
        <v>3</v>
      </c>
      <c r="C723">
        <v>10</v>
      </c>
      <c r="D723" t="str">
        <f>VLOOKUP(B723, Products!$A$2:$C$100, 2, FALSE)</f>
        <v>Surly Wednesday Frameset - 2016</v>
      </c>
      <c r="E723">
        <v>2</v>
      </c>
      <c r="F723">
        <v>1549</v>
      </c>
      <c r="G723">
        <v>0.1</v>
      </c>
      <c r="H723">
        <v>154.9</v>
      </c>
      <c r="I723">
        <f>order_items[[#This Row],[list_price]]-order_items[[#This Row],[Discounted_price]]</f>
        <v>1394.1</v>
      </c>
      <c r="J723">
        <f>VLOOKUP(B723, Products!$A$2:$E$100, 3, FALSE)</f>
        <v>8</v>
      </c>
      <c r="K723">
        <f>VLOOKUP(B723, Products!$A$2:$F$100, 4, FALSE)</f>
        <v>6</v>
      </c>
    </row>
    <row r="724" spans="1:11" x14ac:dyDescent="0.3">
      <c r="A724">
        <v>257</v>
      </c>
      <c r="B724">
        <v>4</v>
      </c>
      <c r="C724">
        <v>15</v>
      </c>
      <c r="D724" t="str">
        <f>VLOOKUP(B724, Products!$A$2:$C$100, 2, FALSE)</f>
        <v>Trek Fuel EX 8 29 - 2016</v>
      </c>
      <c r="E724">
        <v>1</v>
      </c>
      <c r="F724">
        <v>529.99</v>
      </c>
      <c r="G724">
        <v>0.1</v>
      </c>
      <c r="H724">
        <v>52.999000000000002</v>
      </c>
      <c r="I724">
        <f>order_items[[#This Row],[list_price]]-order_items[[#This Row],[Discounted_price]]</f>
        <v>476.99099999999999</v>
      </c>
      <c r="J724">
        <f>VLOOKUP(B724, Products!$A$2:$E$100, 3, FALSE)</f>
        <v>9</v>
      </c>
      <c r="K724">
        <f>VLOOKUP(B724, Products!$A$2:$F$100, 4, FALSE)</f>
        <v>6</v>
      </c>
    </row>
    <row r="725" spans="1:11" x14ac:dyDescent="0.3">
      <c r="A725">
        <v>258</v>
      </c>
      <c r="B725">
        <v>1</v>
      </c>
      <c r="C725">
        <v>8</v>
      </c>
      <c r="D725" t="str">
        <f>VLOOKUP(B725, Products!$A$2:$C$100, 2, FALSE)</f>
        <v>Trek 820 - 2016</v>
      </c>
      <c r="E725">
        <v>2</v>
      </c>
      <c r="F725">
        <v>1799.99</v>
      </c>
      <c r="G725">
        <v>0.05</v>
      </c>
      <c r="H725">
        <v>89.999500000000012</v>
      </c>
      <c r="I725">
        <f>order_items[[#This Row],[list_price]]-order_items[[#This Row],[Discounted_price]]</f>
        <v>1709.9904999999999</v>
      </c>
      <c r="J725">
        <f>VLOOKUP(B725, Products!$A$2:$E$100, 3, FALSE)</f>
        <v>9</v>
      </c>
      <c r="K725">
        <f>VLOOKUP(B725, Products!$A$2:$F$100, 4, FALSE)</f>
        <v>6</v>
      </c>
    </row>
    <row r="726" spans="1:11" x14ac:dyDescent="0.3">
      <c r="A726">
        <v>258</v>
      </c>
      <c r="B726">
        <v>2</v>
      </c>
      <c r="C726">
        <v>4</v>
      </c>
      <c r="D726" t="str">
        <f>VLOOKUP(B726, Products!$A$2:$C$100, 2, FALSE)</f>
        <v>Ritchey Timberwolf Frameset - 2016</v>
      </c>
      <c r="E726">
        <v>1</v>
      </c>
      <c r="F726">
        <v>2899.99</v>
      </c>
      <c r="G726">
        <v>7.0000000000000007E-2</v>
      </c>
      <c r="H726">
        <v>202.99930000000001</v>
      </c>
      <c r="I726">
        <f>order_items[[#This Row],[list_price]]-order_items[[#This Row],[Discounted_price]]</f>
        <v>2696.9906999999998</v>
      </c>
      <c r="J726">
        <f>VLOOKUP(B726, Products!$A$2:$E$100, 3, FALSE)</f>
        <v>5</v>
      </c>
      <c r="K726">
        <f>VLOOKUP(B726, Products!$A$2:$F$100, 4, FALSE)</f>
        <v>6</v>
      </c>
    </row>
    <row r="727" spans="1:11" x14ac:dyDescent="0.3">
      <c r="A727">
        <v>258</v>
      </c>
      <c r="B727">
        <v>3</v>
      </c>
      <c r="C727">
        <v>19</v>
      </c>
      <c r="D727" t="str">
        <f>VLOOKUP(B727, Products!$A$2:$C$100, 2, FALSE)</f>
        <v>Surly Wednesday Frameset - 2016</v>
      </c>
      <c r="E727">
        <v>1</v>
      </c>
      <c r="F727">
        <v>449</v>
      </c>
      <c r="G727">
        <v>7.0000000000000007E-2</v>
      </c>
      <c r="H727">
        <v>31.430000000000003</v>
      </c>
      <c r="I727">
        <f>order_items[[#This Row],[list_price]]-order_items[[#This Row],[Discounted_price]]</f>
        <v>417.57</v>
      </c>
      <c r="J727">
        <f>VLOOKUP(B727, Products!$A$2:$E$100, 3, FALSE)</f>
        <v>8</v>
      </c>
      <c r="K727">
        <f>VLOOKUP(B727, Products!$A$2:$F$100, 4, FALSE)</f>
        <v>6</v>
      </c>
    </row>
    <row r="728" spans="1:11" x14ac:dyDescent="0.3">
      <c r="A728">
        <v>258</v>
      </c>
      <c r="B728">
        <v>4</v>
      </c>
      <c r="C728">
        <v>18</v>
      </c>
      <c r="D728" t="str">
        <f>VLOOKUP(B728, Products!$A$2:$C$100, 2, FALSE)</f>
        <v>Trek Fuel EX 8 29 - 2016</v>
      </c>
      <c r="E728">
        <v>1</v>
      </c>
      <c r="F728">
        <v>449</v>
      </c>
      <c r="G728">
        <v>0.05</v>
      </c>
      <c r="H728">
        <v>22.450000000000003</v>
      </c>
      <c r="I728">
        <f>order_items[[#This Row],[list_price]]-order_items[[#This Row],[Discounted_price]]</f>
        <v>426.55</v>
      </c>
      <c r="J728">
        <f>VLOOKUP(B728, Products!$A$2:$E$100, 3, FALSE)</f>
        <v>9</v>
      </c>
      <c r="K728">
        <f>VLOOKUP(B728, Products!$A$2:$F$100, 4, FALSE)</f>
        <v>6</v>
      </c>
    </row>
    <row r="729" spans="1:11" x14ac:dyDescent="0.3">
      <c r="A729">
        <v>259</v>
      </c>
      <c r="B729">
        <v>1</v>
      </c>
      <c r="C729">
        <v>26</v>
      </c>
      <c r="D729" t="str">
        <f>VLOOKUP(B729, Products!$A$2:$C$100, 2, FALSE)</f>
        <v>Trek 820 - 2016</v>
      </c>
      <c r="E729">
        <v>1</v>
      </c>
      <c r="F729">
        <v>599.99</v>
      </c>
      <c r="G729">
        <v>0.05</v>
      </c>
      <c r="H729">
        <v>29.999500000000001</v>
      </c>
      <c r="I729">
        <f>order_items[[#This Row],[list_price]]-order_items[[#This Row],[Discounted_price]]</f>
        <v>569.9905</v>
      </c>
      <c r="J729">
        <f>VLOOKUP(B729, Products!$A$2:$E$100, 3, FALSE)</f>
        <v>9</v>
      </c>
      <c r="K729">
        <f>VLOOKUP(B729, Products!$A$2:$F$100, 4, FALSE)</f>
        <v>6</v>
      </c>
    </row>
    <row r="730" spans="1:11" x14ac:dyDescent="0.3">
      <c r="A730">
        <v>259</v>
      </c>
      <c r="B730">
        <v>2</v>
      </c>
      <c r="C730">
        <v>6</v>
      </c>
      <c r="D730" t="str">
        <f>VLOOKUP(B730, Products!$A$2:$C$100, 2, FALSE)</f>
        <v>Ritchey Timberwolf Frameset - 2016</v>
      </c>
      <c r="E730">
        <v>2</v>
      </c>
      <c r="F730">
        <v>469.99</v>
      </c>
      <c r="G730">
        <v>0.1</v>
      </c>
      <c r="H730">
        <v>46.999000000000002</v>
      </c>
      <c r="I730">
        <f>order_items[[#This Row],[list_price]]-order_items[[#This Row],[Discounted_price]]</f>
        <v>422.99099999999999</v>
      </c>
      <c r="J730">
        <f>VLOOKUP(B730, Products!$A$2:$E$100, 3, FALSE)</f>
        <v>5</v>
      </c>
      <c r="K730">
        <f>VLOOKUP(B730, Products!$A$2:$F$100, 4, FALSE)</f>
        <v>6</v>
      </c>
    </row>
    <row r="731" spans="1:11" x14ac:dyDescent="0.3">
      <c r="A731">
        <v>259</v>
      </c>
      <c r="B731">
        <v>3</v>
      </c>
      <c r="C731">
        <v>2</v>
      </c>
      <c r="D731" t="str">
        <f>VLOOKUP(B731, Products!$A$2:$C$100, 2, FALSE)</f>
        <v>Surly Wednesday Frameset - 2016</v>
      </c>
      <c r="E731">
        <v>2</v>
      </c>
      <c r="F731">
        <v>749.99</v>
      </c>
      <c r="G731">
        <v>0.2</v>
      </c>
      <c r="H731">
        <v>149.99800000000002</v>
      </c>
      <c r="I731">
        <f>order_items[[#This Row],[list_price]]-order_items[[#This Row],[Discounted_price]]</f>
        <v>599.99199999999996</v>
      </c>
      <c r="J731">
        <f>VLOOKUP(B731, Products!$A$2:$E$100, 3, FALSE)</f>
        <v>8</v>
      </c>
      <c r="K731">
        <f>VLOOKUP(B731, Products!$A$2:$F$100, 4, FALSE)</f>
        <v>6</v>
      </c>
    </row>
    <row r="732" spans="1:11" x14ac:dyDescent="0.3">
      <c r="A732">
        <v>259</v>
      </c>
      <c r="B732">
        <v>4</v>
      </c>
      <c r="C732">
        <v>4</v>
      </c>
      <c r="D732" t="str">
        <f>VLOOKUP(B732, Products!$A$2:$C$100, 2, FALSE)</f>
        <v>Trek Fuel EX 8 29 - 2016</v>
      </c>
      <c r="E732">
        <v>1</v>
      </c>
      <c r="F732">
        <v>2899.99</v>
      </c>
      <c r="G732">
        <v>0.1</v>
      </c>
      <c r="H732">
        <v>289.99899999999997</v>
      </c>
      <c r="I732">
        <f>order_items[[#This Row],[list_price]]-order_items[[#This Row],[Discounted_price]]</f>
        <v>2609.991</v>
      </c>
      <c r="J732">
        <f>VLOOKUP(B732, Products!$A$2:$E$100, 3, FALSE)</f>
        <v>9</v>
      </c>
      <c r="K732">
        <f>VLOOKUP(B732, Products!$A$2:$F$100, 4, FALSE)</f>
        <v>6</v>
      </c>
    </row>
    <row r="733" spans="1:11" x14ac:dyDescent="0.3">
      <c r="A733">
        <v>260</v>
      </c>
      <c r="B733">
        <v>1</v>
      </c>
      <c r="C733">
        <v>23</v>
      </c>
      <c r="D733" t="str">
        <f>VLOOKUP(B733, Products!$A$2:$C$100, 2, FALSE)</f>
        <v>Trek 820 - 2016</v>
      </c>
      <c r="E733">
        <v>2</v>
      </c>
      <c r="F733">
        <v>299.99</v>
      </c>
      <c r="G733">
        <v>0.2</v>
      </c>
      <c r="H733">
        <v>59.998000000000005</v>
      </c>
      <c r="I733">
        <f>order_items[[#This Row],[list_price]]-order_items[[#This Row],[Discounted_price]]</f>
        <v>239.99200000000002</v>
      </c>
      <c r="J733">
        <f>VLOOKUP(B733, Products!$A$2:$E$100, 3, FALSE)</f>
        <v>9</v>
      </c>
      <c r="K733">
        <f>VLOOKUP(B733, Products!$A$2:$F$100, 4, FALSE)</f>
        <v>6</v>
      </c>
    </row>
    <row r="734" spans="1:11" x14ac:dyDescent="0.3">
      <c r="A734">
        <v>260</v>
      </c>
      <c r="B734">
        <v>2</v>
      </c>
      <c r="C734">
        <v>10</v>
      </c>
      <c r="D734" t="str">
        <f>VLOOKUP(B734, Products!$A$2:$C$100, 2, FALSE)</f>
        <v>Ritchey Timberwolf Frameset - 2016</v>
      </c>
      <c r="E734">
        <v>1</v>
      </c>
      <c r="F734">
        <v>1549</v>
      </c>
      <c r="G734">
        <v>0.2</v>
      </c>
      <c r="H734">
        <v>309.8</v>
      </c>
      <c r="I734">
        <f>order_items[[#This Row],[list_price]]-order_items[[#This Row],[Discounted_price]]</f>
        <v>1239.2</v>
      </c>
      <c r="J734">
        <f>VLOOKUP(B734, Products!$A$2:$E$100, 3, FALSE)</f>
        <v>5</v>
      </c>
      <c r="K734">
        <f>VLOOKUP(B734, Products!$A$2:$F$100, 4, FALSE)</f>
        <v>6</v>
      </c>
    </row>
    <row r="735" spans="1:11" x14ac:dyDescent="0.3">
      <c r="A735">
        <v>260</v>
      </c>
      <c r="B735">
        <v>3</v>
      </c>
      <c r="C735">
        <v>24</v>
      </c>
      <c r="D735" t="str">
        <f>VLOOKUP(B735, Products!$A$2:$C$100, 2, FALSE)</f>
        <v>Surly Wednesday Frameset - 2016</v>
      </c>
      <c r="E735">
        <v>2</v>
      </c>
      <c r="F735">
        <v>549.99</v>
      </c>
      <c r="G735">
        <v>0.2</v>
      </c>
      <c r="H735">
        <v>109.998</v>
      </c>
      <c r="I735">
        <f>order_items[[#This Row],[list_price]]-order_items[[#This Row],[Discounted_price]]</f>
        <v>439.99200000000002</v>
      </c>
      <c r="J735">
        <f>VLOOKUP(B735, Products!$A$2:$E$100, 3, FALSE)</f>
        <v>8</v>
      </c>
      <c r="K735">
        <f>VLOOKUP(B735, Products!$A$2:$F$100, 4, FALSE)</f>
        <v>6</v>
      </c>
    </row>
    <row r="736" spans="1:11" x14ac:dyDescent="0.3">
      <c r="A736">
        <v>261</v>
      </c>
      <c r="B736">
        <v>1</v>
      </c>
      <c r="C736">
        <v>16</v>
      </c>
      <c r="D736" t="str">
        <f>VLOOKUP(B736, Products!$A$2:$C$100, 2, FALSE)</f>
        <v>Trek 820 - 2016</v>
      </c>
      <c r="E736">
        <v>2</v>
      </c>
      <c r="F736">
        <v>599.99</v>
      </c>
      <c r="G736">
        <v>0.05</v>
      </c>
      <c r="H736">
        <v>29.999500000000001</v>
      </c>
      <c r="I736">
        <f>order_items[[#This Row],[list_price]]-order_items[[#This Row],[Discounted_price]]</f>
        <v>569.9905</v>
      </c>
      <c r="J736">
        <f>VLOOKUP(B736, Products!$A$2:$E$100, 3, FALSE)</f>
        <v>9</v>
      </c>
      <c r="K736">
        <f>VLOOKUP(B736, Products!$A$2:$F$100, 4, FALSE)</f>
        <v>6</v>
      </c>
    </row>
    <row r="737" spans="1:11" x14ac:dyDescent="0.3">
      <c r="A737">
        <v>261</v>
      </c>
      <c r="B737">
        <v>2</v>
      </c>
      <c r="C737">
        <v>14</v>
      </c>
      <c r="D737" t="str">
        <f>VLOOKUP(B737, Products!$A$2:$C$100, 2, FALSE)</f>
        <v>Ritchey Timberwolf Frameset - 2016</v>
      </c>
      <c r="E737">
        <v>1</v>
      </c>
      <c r="F737">
        <v>269.99</v>
      </c>
      <c r="G737">
        <v>0.1</v>
      </c>
      <c r="H737">
        <v>26.999000000000002</v>
      </c>
      <c r="I737">
        <f>order_items[[#This Row],[list_price]]-order_items[[#This Row],[Discounted_price]]</f>
        <v>242.99100000000001</v>
      </c>
      <c r="J737">
        <f>VLOOKUP(B737, Products!$A$2:$E$100, 3, FALSE)</f>
        <v>5</v>
      </c>
      <c r="K737">
        <f>VLOOKUP(B737, Products!$A$2:$F$100, 4, FALSE)</f>
        <v>6</v>
      </c>
    </row>
    <row r="738" spans="1:11" x14ac:dyDescent="0.3">
      <c r="A738">
        <v>261</v>
      </c>
      <c r="B738">
        <v>3</v>
      </c>
      <c r="C738">
        <v>17</v>
      </c>
      <c r="D738" t="str">
        <f>VLOOKUP(B738, Products!$A$2:$C$100, 2, FALSE)</f>
        <v>Surly Wednesday Frameset - 2016</v>
      </c>
      <c r="E738">
        <v>2</v>
      </c>
      <c r="F738">
        <v>429</v>
      </c>
      <c r="G738">
        <v>0.1</v>
      </c>
      <c r="H738">
        <v>42.900000000000006</v>
      </c>
      <c r="I738">
        <f>order_items[[#This Row],[list_price]]-order_items[[#This Row],[Discounted_price]]</f>
        <v>386.1</v>
      </c>
      <c r="J738">
        <f>VLOOKUP(B738, Products!$A$2:$E$100, 3, FALSE)</f>
        <v>8</v>
      </c>
      <c r="K738">
        <f>VLOOKUP(B738, Products!$A$2:$F$100, 4, FALSE)</f>
        <v>6</v>
      </c>
    </row>
    <row r="739" spans="1:11" x14ac:dyDescent="0.3">
      <c r="A739">
        <v>262</v>
      </c>
      <c r="B739">
        <v>1</v>
      </c>
      <c r="C739">
        <v>2</v>
      </c>
      <c r="D739" t="str">
        <f>VLOOKUP(B739, Products!$A$2:$C$100, 2, FALSE)</f>
        <v>Trek 820 - 2016</v>
      </c>
      <c r="E739">
        <v>1</v>
      </c>
      <c r="F739">
        <v>749.99</v>
      </c>
      <c r="G739">
        <v>7.0000000000000007E-2</v>
      </c>
      <c r="H739">
        <v>52.499300000000005</v>
      </c>
      <c r="I739">
        <f>order_items[[#This Row],[list_price]]-order_items[[#This Row],[Discounted_price]]</f>
        <v>697.49070000000006</v>
      </c>
      <c r="J739">
        <f>VLOOKUP(B739, Products!$A$2:$E$100, 3, FALSE)</f>
        <v>9</v>
      </c>
      <c r="K739">
        <f>VLOOKUP(B739, Products!$A$2:$F$100, 4, FALSE)</f>
        <v>6</v>
      </c>
    </row>
    <row r="740" spans="1:11" x14ac:dyDescent="0.3">
      <c r="A740">
        <v>262</v>
      </c>
      <c r="B740">
        <v>2</v>
      </c>
      <c r="C740">
        <v>9</v>
      </c>
      <c r="D740" t="str">
        <f>VLOOKUP(B740, Products!$A$2:$C$100, 2, FALSE)</f>
        <v>Ritchey Timberwolf Frameset - 2016</v>
      </c>
      <c r="E740">
        <v>2</v>
      </c>
      <c r="F740">
        <v>2999.99</v>
      </c>
      <c r="G740">
        <v>0.05</v>
      </c>
      <c r="H740">
        <v>149.99949999999998</v>
      </c>
      <c r="I740">
        <f>order_items[[#This Row],[list_price]]-order_items[[#This Row],[Discounted_price]]</f>
        <v>2849.9904999999999</v>
      </c>
      <c r="J740">
        <f>VLOOKUP(B740, Products!$A$2:$E$100, 3, FALSE)</f>
        <v>5</v>
      </c>
      <c r="K740">
        <f>VLOOKUP(B740, Products!$A$2:$F$100, 4, FALSE)</f>
        <v>6</v>
      </c>
    </row>
    <row r="741" spans="1:11" x14ac:dyDescent="0.3">
      <c r="A741">
        <v>263</v>
      </c>
      <c r="B741">
        <v>1</v>
      </c>
      <c r="C741">
        <v>9</v>
      </c>
      <c r="D741" t="str">
        <f>VLOOKUP(B741, Products!$A$2:$C$100, 2, FALSE)</f>
        <v>Trek 820 - 2016</v>
      </c>
      <c r="E741">
        <v>1</v>
      </c>
      <c r="F741">
        <v>2999.99</v>
      </c>
      <c r="G741">
        <v>7.0000000000000007E-2</v>
      </c>
      <c r="H741">
        <v>209.99930000000001</v>
      </c>
      <c r="I741">
        <f>order_items[[#This Row],[list_price]]-order_items[[#This Row],[Discounted_price]]</f>
        <v>2789.9906999999998</v>
      </c>
      <c r="J741">
        <f>VLOOKUP(B741, Products!$A$2:$E$100, 3, FALSE)</f>
        <v>9</v>
      </c>
      <c r="K741">
        <f>VLOOKUP(B741, Products!$A$2:$F$100, 4, FALSE)</f>
        <v>6</v>
      </c>
    </row>
    <row r="742" spans="1:11" x14ac:dyDescent="0.3">
      <c r="A742">
        <v>263</v>
      </c>
      <c r="B742">
        <v>2</v>
      </c>
      <c r="C742">
        <v>3</v>
      </c>
      <c r="D742" t="str">
        <f>VLOOKUP(B742, Products!$A$2:$C$100, 2, FALSE)</f>
        <v>Ritchey Timberwolf Frameset - 2016</v>
      </c>
      <c r="E742">
        <v>1</v>
      </c>
      <c r="F742">
        <v>999.99</v>
      </c>
      <c r="G742">
        <v>0.2</v>
      </c>
      <c r="H742">
        <v>199.99800000000002</v>
      </c>
      <c r="I742">
        <f>order_items[[#This Row],[list_price]]-order_items[[#This Row],[Discounted_price]]</f>
        <v>799.99199999999996</v>
      </c>
      <c r="J742">
        <f>VLOOKUP(B742, Products!$A$2:$E$100, 3, FALSE)</f>
        <v>5</v>
      </c>
      <c r="K742">
        <f>VLOOKUP(B742, Products!$A$2:$F$100, 4, FALSE)</f>
        <v>6</v>
      </c>
    </row>
    <row r="743" spans="1:11" x14ac:dyDescent="0.3">
      <c r="A743">
        <v>263</v>
      </c>
      <c r="B743">
        <v>3</v>
      </c>
      <c r="C743">
        <v>2</v>
      </c>
      <c r="D743" t="str">
        <f>VLOOKUP(B743, Products!$A$2:$C$100, 2, FALSE)</f>
        <v>Surly Wednesday Frameset - 2016</v>
      </c>
      <c r="E743">
        <v>2</v>
      </c>
      <c r="F743">
        <v>749.99</v>
      </c>
      <c r="G743">
        <v>0.05</v>
      </c>
      <c r="H743">
        <v>37.499500000000005</v>
      </c>
      <c r="I743">
        <f>order_items[[#This Row],[list_price]]-order_items[[#This Row],[Discounted_price]]</f>
        <v>712.4905</v>
      </c>
      <c r="J743">
        <f>VLOOKUP(B743, Products!$A$2:$E$100, 3, FALSE)</f>
        <v>8</v>
      </c>
      <c r="K743">
        <f>VLOOKUP(B743, Products!$A$2:$F$100, 4, FALSE)</f>
        <v>6</v>
      </c>
    </row>
    <row r="744" spans="1:11" x14ac:dyDescent="0.3">
      <c r="A744">
        <v>264</v>
      </c>
      <c r="B744">
        <v>1</v>
      </c>
      <c r="C744">
        <v>10</v>
      </c>
      <c r="D744" t="str">
        <f>VLOOKUP(B744, Products!$A$2:$C$100, 2, FALSE)</f>
        <v>Trek 820 - 2016</v>
      </c>
      <c r="E744">
        <v>1</v>
      </c>
      <c r="F744">
        <v>1549</v>
      </c>
      <c r="G744">
        <v>0.2</v>
      </c>
      <c r="H744">
        <v>309.8</v>
      </c>
      <c r="I744">
        <f>order_items[[#This Row],[list_price]]-order_items[[#This Row],[Discounted_price]]</f>
        <v>1239.2</v>
      </c>
      <c r="J744">
        <f>VLOOKUP(B744, Products!$A$2:$E$100, 3, FALSE)</f>
        <v>9</v>
      </c>
      <c r="K744">
        <f>VLOOKUP(B744, Products!$A$2:$F$100, 4, FALSE)</f>
        <v>6</v>
      </c>
    </row>
    <row r="745" spans="1:11" x14ac:dyDescent="0.3">
      <c r="A745">
        <v>264</v>
      </c>
      <c r="B745">
        <v>2</v>
      </c>
      <c r="C745">
        <v>24</v>
      </c>
      <c r="D745" t="str">
        <f>VLOOKUP(B745, Products!$A$2:$C$100, 2, FALSE)</f>
        <v>Ritchey Timberwolf Frameset - 2016</v>
      </c>
      <c r="E745">
        <v>2</v>
      </c>
      <c r="F745">
        <v>549.99</v>
      </c>
      <c r="G745">
        <v>0.05</v>
      </c>
      <c r="H745">
        <v>27.499500000000001</v>
      </c>
      <c r="I745">
        <f>order_items[[#This Row],[list_price]]-order_items[[#This Row],[Discounted_price]]</f>
        <v>522.4905</v>
      </c>
      <c r="J745">
        <f>VLOOKUP(B745, Products!$A$2:$E$100, 3, FALSE)</f>
        <v>5</v>
      </c>
      <c r="K745">
        <f>VLOOKUP(B745, Products!$A$2:$F$100, 4, FALSE)</f>
        <v>6</v>
      </c>
    </row>
    <row r="746" spans="1:11" x14ac:dyDescent="0.3">
      <c r="A746">
        <v>264</v>
      </c>
      <c r="B746">
        <v>3</v>
      </c>
      <c r="C746">
        <v>15</v>
      </c>
      <c r="D746" t="str">
        <f>VLOOKUP(B746, Products!$A$2:$C$100, 2, FALSE)</f>
        <v>Surly Wednesday Frameset - 2016</v>
      </c>
      <c r="E746">
        <v>2</v>
      </c>
      <c r="F746">
        <v>529.99</v>
      </c>
      <c r="G746">
        <v>0.1</v>
      </c>
      <c r="H746">
        <v>52.999000000000002</v>
      </c>
      <c r="I746">
        <f>order_items[[#This Row],[list_price]]-order_items[[#This Row],[Discounted_price]]</f>
        <v>476.99099999999999</v>
      </c>
      <c r="J746">
        <f>VLOOKUP(B746, Products!$A$2:$E$100, 3, FALSE)</f>
        <v>8</v>
      </c>
      <c r="K746">
        <f>VLOOKUP(B746, Products!$A$2:$F$100, 4, FALSE)</f>
        <v>6</v>
      </c>
    </row>
    <row r="747" spans="1:11" x14ac:dyDescent="0.3">
      <c r="A747">
        <v>264</v>
      </c>
      <c r="B747">
        <v>4</v>
      </c>
      <c r="C747">
        <v>3</v>
      </c>
      <c r="D747" t="str">
        <f>VLOOKUP(B747, Products!$A$2:$C$100, 2, FALSE)</f>
        <v>Trek Fuel EX 8 29 - 2016</v>
      </c>
      <c r="E747">
        <v>2</v>
      </c>
      <c r="F747">
        <v>999.99</v>
      </c>
      <c r="G747">
        <v>7.0000000000000007E-2</v>
      </c>
      <c r="H747">
        <v>69.999300000000005</v>
      </c>
      <c r="I747">
        <f>order_items[[#This Row],[list_price]]-order_items[[#This Row],[Discounted_price]]</f>
        <v>929.99070000000006</v>
      </c>
      <c r="J747">
        <f>VLOOKUP(B747, Products!$A$2:$E$100, 3, FALSE)</f>
        <v>9</v>
      </c>
      <c r="K747">
        <f>VLOOKUP(B747, Products!$A$2:$F$100, 4, FALSE)</f>
        <v>6</v>
      </c>
    </row>
    <row r="748" spans="1:11" x14ac:dyDescent="0.3">
      <c r="A748">
        <v>265</v>
      </c>
      <c r="B748">
        <v>1</v>
      </c>
      <c r="C748">
        <v>9</v>
      </c>
      <c r="D748" t="str">
        <f>VLOOKUP(B748, Products!$A$2:$C$100, 2, FALSE)</f>
        <v>Trek 820 - 2016</v>
      </c>
      <c r="E748">
        <v>2</v>
      </c>
      <c r="F748">
        <v>2999.99</v>
      </c>
      <c r="G748">
        <v>0.2</v>
      </c>
      <c r="H748">
        <v>599.99799999999993</v>
      </c>
      <c r="I748">
        <f>order_items[[#This Row],[list_price]]-order_items[[#This Row],[Discounted_price]]</f>
        <v>2399.9919999999997</v>
      </c>
      <c r="J748">
        <f>VLOOKUP(B748, Products!$A$2:$E$100, 3, FALSE)</f>
        <v>9</v>
      </c>
      <c r="K748">
        <f>VLOOKUP(B748, Products!$A$2:$F$100, 4, FALSE)</f>
        <v>6</v>
      </c>
    </row>
    <row r="749" spans="1:11" x14ac:dyDescent="0.3">
      <c r="A749">
        <v>266</v>
      </c>
      <c r="B749">
        <v>1</v>
      </c>
      <c r="C749">
        <v>6</v>
      </c>
      <c r="D749" t="str">
        <f>VLOOKUP(B749, Products!$A$2:$C$100, 2, FALSE)</f>
        <v>Trek 820 - 2016</v>
      </c>
      <c r="E749">
        <v>2</v>
      </c>
      <c r="F749">
        <v>469.99</v>
      </c>
      <c r="G749">
        <v>7.0000000000000007E-2</v>
      </c>
      <c r="H749">
        <v>32.899300000000004</v>
      </c>
      <c r="I749">
        <f>order_items[[#This Row],[list_price]]-order_items[[#This Row],[Discounted_price]]</f>
        <v>437.09070000000003</v>
      </c>
      <c r="J749">
        <f>VLOOKUP(B749, Products!$A$2:$E$100, 3, FALSE)</f>
        <v>9</v>
      </c>
      <c r="K749">
        <f>VLOOKUP(B749, Products!$A$2:$F$100, 4, FALSE)</f>
        <v>6</v>
      </c>
    </row>
    <row r="750" spans="1:11" x14ac:dyDescent="0.3">
      <c r="A750">
        <v>266</v>
      </c>
      <c r="B750">
        <v>2</v>
      </c>
      <c r="C750">
        <v>19</v>
      </c>
      <c r="D750" t="str">
        <f>VLOOKUP(B750, Products!$A$2:$C$100, 2, FALSE)</f>
        <v>Ritchey Timberwolf Frameset - 2016</v>
      </c>
      <c r="E750">
        <v>1</v>
      </c>
      <c r="F750">
        <v>449</v>
      </c>
      <c r="G750">
        <v>0.2</v>
      </c>
      <c r="H750">
        <v>89.800000000000011</v>
      </c>
      <c r="I750">
        <f>order_items[[#This Row],[list_price]]-order_items[[#This Row],[Discounted_price]]</f>
        <v>359.2</v>
      </c>
      <c r="J750">
        <f>VLOOKUP(B750, Products!$A$2:$E$100, 3, FALSE)</f>
        <v>5</v>
      </c>
      <c r="K750">
        <f>VLOOKUP(B750, Products!$A$2:$F$100, 4, FALSE)</f>
        <v>6</v>
      </c>
    </row>
    <row r="751" spans="1:11" x14ac:dyDescent="0.3">
      <c r="A751">
        <v>266</v>
      </c>
      <c r="B751">
        <v>3</v>
      </c>
      <c r="C751">
        <v>25</v>
      </c>
      <c r="D751" t="str">
        <f>VLOOKUP(B751, Products!$A$2:$C$100, 2, FALSE)</f>
        <v>Surly Wednesday Frameset - 2016</v>
      </c>
      <c r="E751">
        <v>1</v>
      </c>
      <c r="F751">
        <v>499.99</v>
      </c>
      <c r="G751">
        <v>0.05</v>
      </c>
      <c r="H751">
        <v>24.999500000000001</v>
      </c>
      <c r="I751">
        <f>order_items[[#This Row],[list_price]]-order_items[[#This Row],[Discounted_price]]</f>
        <v>474.9905</v>
      </c>
      <c r="J751">
        <f>VLOOKUP(B751, Products!$A$2:$E$100, 3, FALSE)</f>
        <v>8</v>
      </c>
      <c r="K751">
        <f>VLOOKUP(B751, Products!$A$2:$F$100, 4, FALSE)</f>
        <v>6</v>
      </c>
    </row>
    <row r="752" spans="1:11" x14ac:dyDescent="0.3">
      <c r="A752">
        <v>267</v>
      </c>
      <c r="B752">
        <v>1</v>
      </c>
      <c r="C752">
        <v>22</v>
      </c>
      <c r="D752" t="str">
        <f>VLOOKUP(B752, Products!$A$2:$C$100, 2, FALSE)</f>
        <v>Trek 820 - 2016</v>
      </c>
      <c r="E752">
        <v>2</v>
      </c>
      <c r="F752">
        <v>269.99</v>
      </c>
      <c r="G752">
        <v>0.2</v>
      </c>
      <c r="H752">
        <v>53.998000000000005</v>
      </c>
      <c r="I752">
        <f>order_items[[#This Row],[list_price]]-order_items[[#This Row],[Discounted_price]]</f>
        <v>215.99200000000002</v>
      </c>
      <c r="J752">
        <f>VLOOKUP(B752, Products!$A$2:$E$100, 3, FALSE)</f>
        <v>9</v>
      </c>
      <c r="K752">
        <f>VLOOKUP(B752, Products!$A$2:$F$100, 4, FALSE)</f>
        <v>6</v>
      </c>
    </row>
    <row r="753" spans="1:11" x14ac:dyDescent="0.3">
      <c r="A753">
        <v>267</v>
      </c>
      <c r="B753">
        <v>2</v>
      </c>
      <c r="C753">
        <v>23</v>
      </c>
      <c r="D753" t="str">
        <f>VLOOKUP(B753, Products!$A$2:$C$100, 2, FALSE)</f>
        <v>Ritchey Timberwolf Frameset - 2016</v>
      </c>
      <c r="E753">
        <v>2</v>
      </c>
      <c r="F753">
        <v>299.99</v>
      </c>
      <c r="G753">
        <v>0.1</v>
      </c>
      <c r="H753">
        <v>29.999000000000002</v>
      </c>
      <c r="I753">
        <f>order_items[[#This Row],[list_price]]-order_items[[#This Row],[Discounted_price]]</f>
        <v>269.99099999999999</v>
      </c>
      <c r="J753">
        <f>VLOOKUP(B753, Products!$A$2:$E$100, 3, FALSE)</f>
        <v>5</v>
      </c>
      <c r="K753">
        <f>VLOOKUP(B753, Products!$A$2:$F$100, 4, FALSE)</f>
        <v>6</v>
      </c>
    </row>
    <row r="754" spans="1:11" x14ac:dyDescent="0.3">
      <c r="A754">
        <v>267</v>
      </c>
      <c r="B754">
        <v>3</v>
      </c>
      <c r="C754">
        <v>24</v>
      </c>
      <c r="D754" t="str">
        <f>VLOOKUP(B754, Products!$A$2:$C$100, 2, FALSE)</f>
        <v>Surly Wednesday Frameset - 2016</v>
      </c>
      <c r="E754">
        <v>1</v>
      </c>
      <c r="F754">
        <v>549.99</v>
      </c>
      <c r="G754">
        <v>0.1</v>
      </c>
      <c r="H754">
        <v>54.999000000000002</v>
      </c>
      <c r="I754">
        <f>order_items[[#This Row],[list_price]]-order_items[[#This Row],[Discounted_price]]</f>
        <v>494.99099999999999</v>
      </c>
      <c r="J754">
        <f>VLOOKUP(B754, Products!$A$2:$E$100, 3, FALSE)</f>
        <v>8</v>
      </c>
      <c r="K754">
        <f>VLOOKUP(B754, Products!$A$2:$F$100, 4, FALSE)</f>
        <v>6</v>
      </c>
    </row>
    <row r="755" spans="1:11" x14ac:dyDescent="0.3">
      <c r="A755">
        <v>267</v>
      </c>
      <c r="B755">
        <v>4</v>
      </c>
      <c r="C755">
        <v>7</v>
      </c>
      <c r="D755" t="str">
        <f>VLOOKUP(B755, Products!$A$2:$C$100, 2, FALSE)</f>
        <v>Trek Fuel EX 8 29 - 2016</v>
      </c>
      <c r="E755">
        <v>2</v>
      </c>
      <c r="F755">
        <v>3999.99</v>
      </c>
      <c r="G755">
        <v>7.0000000000000007E-2</v>
      </c>
      <c r="H755">
        <v>279.99930000000001</v>
      </c>
      <c r="I755">
        <f>order_items[[#This Row],[list_price]]-order_items[[#This Row],[Discounted_price]]</f>
        <v>3719.9906999999998</v>
      </c>
      <c r="J755">
        <f>VLOOKUP(B755, Products!$A$2:$E$100, 3, FALSE)</f>
        <v>9</v>
      </c>
      <c r="K755">
        <f>VLOOKUP(B755, Products!$A$2:$F$100, 4, FALSE)</f>
        <v>6</v>
      </c>
    </row>
    <row r="756" spans="1:11" x14ac:dyDescent="0.3">
      <c r="A756">
        <v>267</v>
      </c>
      <c r="B756">
        <v>5</v>
      </c>
      <c r="C756">
        <v>21</v>
      </c>
      <c r="D756" t="str">
        <f>VLOOKUP(B756, Products!$A$2:$C$100, 2, FALSE)</f>
        <v>Heller Shagamaw Frame - 2016</v>
      </c>
      <c r="E756">
        <v>1</v>
      </c>
      <c r="F756">
        <v>269.99</v>
      </c>
      <c r="G756">
        <v>0.05</v>
      </c>
      <c r="H756">
        <v>13.499500000000001</v>
      </c>
      <c r="I756">
        <f>order_items[[#This Row],[list_price]]-order_items[[#This Row],[Discounted_price]]</f>
        <v>256.4905</v>
      </c>
      <c r="J756">
        <f>VLOOKUP(B756, Products!$A$2:$E$100, 3, FALSE)</f>
        <v>3</v>
      </c>
      <c r="K756">
        <f>VLOOKUP(B756, Products!$A$2:$F$100, 4, FALSE)</f>
        <v>6</v>
      </c>
    </row>
    <row r="757" spans="1:11" x14ac:dyDescent="0.3">
      <c r="A757">
        <v>268</v>
      </c>
      <c r="B757">
        <v>1</v>
      </c>
      <c r="C757">
        <v>7</v>
      </c>
      <c r="D757" t="str">
        <f>VLOOKUP(B757, Products!$A$2:$C$100, 2, FALSE)</f>
        <v>Trek 820 - 2016</v>
      </c>
      <c r="E757">
        <v>1</v>
      </c>
      <c r="F757">
        <v>3999.99</v>
      </c>
      <c r="G757">
        <v>0.05</v>
      </c>
      <c r="H757">
        <v>199.99950000000001</v>
      </c>
      <c r="I757">
        <f>order_items[[#This Row],[list_price]]-order_items[[#This Row],[Discounted_price]]</f>
        <v>3799.9904999999999</v>
      </c>
      <c r="J757">
        <f>VLOOKUP(B757, Products!$A$2:$E$100, 3, FALSE)</f>
        <v>9</v>
      </c>
      <c r="K757">
        <f>VLOOKUP(B757, Products!$A$2:$F$100, 4, FALSE)</f>
        <v>6</v>
      </c>
    </row>
    <row r="758" spans="1:11" x14ac:dyDescent="0.3">
      <c r="A758">
        <v>268</v>
      </c>
      <c r="B758">
        <v>2</v>
      </c>
      <c r="C758">
        <v>6</v>
      </c>
      <c r="D758" t="str">
        <f>VLOOKUP(B758, Products!$A$2:$C$100, 2, FALSE)</f>
        <v>Ritchey Timberwolf Frameset - 2016</v>
      </c>
      <c r="E758">
        <v>2</v>
      </c>
      <c r="F758">
        <v>469.99</v>
      </c>
      <c r="G758">
        <v>0.2</v>
      </c>
      <c r="H758">
        <v>93.998000000000005</v>
      </c>
      <c r="I758">
        <f>order_items[[#This Row],[list_price]]-order_items[[#This Row],[Discounted_price]]</f>
        <v>375.99200000000002</v>
      </c>
      <c r="J758">
        <f>VLOOKUP(B758, Products!$A$2:$E$100, 3, FALSE)</f>
        <v>5</v>
      </c>
      <c r="K758">
        <f>VLOOKUP(B758, Products!$A$2:$F$100, 4, FALSE)</f>
        <v>6</v>
      </c>
    </row>
    <row r="759" spans="1:11" x14ac:dyDescent="0.3">
      <c r="A759">
        <v>268</v>
      </c>
      <c r="B759">
        <v>3</v>
      </c>
      <c r="C759">
        <v>9</v>
      </c>
      <c r="D759" t="str">
        <f>VLOOKUP(B759, Products!$A$2:$C$100, 2, FALSE)</f>
        <v>Surly Wednesday Frameset - 2016</v>
      </c>
      <c r="E759">
        <v>1</v>
      </c>
      <c r="F759">
        <v>2999.99</v>
      </c>
      <c r="G759">
        <v>0.1</v>
      </c>
      <c r="H759">
        <v>299.99899999999997</v>
      </c>
      <c r="I759">
        <f>order_items[[#This Row],[list_price]]-order_items[[#This Row],[Discounted_price]]</f>
        <v>2699.991</v>
      </c>
      <c r="J759">
        <f>VLOOKUP(B759, Products!$A$2:$E$100, 3, FALSE)</f>
        <v>8</v>
      </c>
      <c r="K759">
        <f>VLOOKUP(B759, Products!$A$2:$F$100, 4, FALSE)</f>
        <v>6</v>
      </c>
    </row>
    <row r="760" spans="1:11" x14ac:dyDescent="0.3">
      <c r="A760">
        <v>269</v>
      </c>
      <c r="B760">
        <v>1</v>
      </c>
      <c r="C760">
        <v>5</v>
      </c>
      <c r="D760" t="str">
        <f>VLOOKUP(B760, Products!$A$2:$C$100, 2, FALSE)</f>
        <v>Trek 820 - 2016</v>
      </c>
      <c r="E760">
        <v>1</v>
      </c>
      <c r="F760">
        <v>1320.99</v>
      </c>
      <c r="G760">
        <v>7.0000000000000007E-2</v>
      </c>
      <c r="H760">
        <v>92.469300000000004</v>
      </c>
      <c r="I760">
        <f>order_items[[#This Row],[list_price]]-order_items[[#This Row],[Discounted_price]]</f>
        <v>1228.5207</v>
      </c>
      <c r="J760">
        <f>VLOOKUP(B760, Products!$A$2:$E$100, 3, FALSE)</f>
        <v>9</v>
      </c>
      <c r="K760">
        <f>VLOOKUP(B760, Products!$A$2:$F$100, 4, FALSE)</f>
        <v>6</v>
      </c>
    </row>
    <row r="761" spans="1:11" x14ac:dyDescent="0.3">
      <c r="A761">
        <v>269</v>
      </c>
      <c r="B761">
        <v>2</v>
      </c>
      <c r="C761">
        <v>23</v>
      </c>
      <c r="D761" t="str">
        <f>VLOOKUP(B761, Products!$A$2:$C$100, 2, FALSE)</f>
        <v>Ritchey Timberwolf Frameset - 2016</v>
      </c>
      <c r="E761">
        <v>2</v>
      </c>
      <c r="F761">
        <v>299.99</v>
      </c>
      <c r="G761">
        <v>7.0000000000000007E-2</v>
      </c>
      <c r="H761">
        <v>20.999300000000002</v>
      </c>
      <c r="I761">
        <f>order_items[[#This Row],[list_price]]-order_items[[#This Row],[Discounted_price]]</f>
        <v>278.9907</v>
      </c>
      <c r="J761">
        <f>VLOOKUP(B761, Products!$A$2:$E$100, 3, FALSE)</f>
        <v>5</v>
      </c>
      <c r="K761">
        <f>VLOOKUP(B761, Products!$A$2:$F$100, 4, FALSE)</f>
        <v>6</v>
      </c>
    </row>
    <row r="762" spans="1:11" x14ac:dyDescent="0.3">
      <c r="A762">
        <v>269</v>
      </c>
      <c r="B762">
        <v>3</v>
      </c>
      <c r="C762">
        <v>18</v>
      </c>
      <c r="D762" t="str">
        <f>VLOOKUP(B762, Products!$A$2:$C$100, 2, FALSE)</f>
        <v>Surly Wednesday Frameset - 2016</v>
      </c>
      <c r="E762">
        <v>1</v>
      </c>
      <c r="F762">
        <v>449</v>
      </c>
      <c r="G762">
        <v>0.05</v>
      </c>
      <c r="H762">
        <v>22.450000000000003</v>
      </c>
      <c r="I762">
        <f>order_items[[#This Row],[list_price]]-order_items[[#This Row],[Discounted_price]]</f>
        <v>426.55</v>
      </c>
      <c r="J762">
        <f>VLOOKUP(B762, Products!$A$2:$E$100, 3, FALSE)</f>
        <v>8</v>
      </c>
      <c r="K762">
        <f>VLOOKUP(B762, Products!$A$2:$F$100, 4, FALSE)</f>
        <v>6</v>
      </c>
    </row>
    <row r="763" spans="1:11" x14ac:dyDescent="0.3">
      <c r="A763">
        <v>269</v>
      </c>
      <c r="B763">
        <v>4</v>
      </c>
      <c r="C763">
        <v>3</v>
      </c>
      <c r="D763" t="str">
        <f>VLOOKUP(B763, Products!$A$2:$C$100, 2, FALSE)</f>
        <v>Trek Fuel EX 8 29 - 2016</v>
      </c>
      <c r="E763">
        <v>1</v>
      </c>
      <c r="F763">
        <v>999.99</v>
      </c>
      <c r="G763">
        <v>0.05</v>
      </c>
      <c r="H763">
        <v>49.999500000000005</v>
      </c>
      <c r="I763">
        <f>order_items[[#This Row],[list_price]]-order_items[[#This Row],[Discounted_price]]</f>
        <v>949.9905</v>
      </c>
      <c r="J763">
        <f>VLOOKUP(B763, Products!$A$2:$E$100, 3, FALSE)</f>
        <v>9</v>
      </c>
      <c r="K763">
        <f>VLOOKUP(B763, Products!$A$2:$F$100, 4, FALSE)</f>
        <v>6</v>
      </c>
    </row>
    <row r="764" spans="1:11" x14ac:dyDescent="0.3">
      <c r="A764">
        <v>270</v>
      </c>
      <c r="B764">
        <v>1</v>
      </c>
      <c r="C764">
        <v>25</v>
      </c>
      <c r="D764" t="str">
        <f>VLOOKUP(B764, Products!$A$2:$C$100, 2, FALSE)</f>
        <v>Trek 820 - 2016</v>
      </c>
      <c r="E764">
        <v>2</v>
      </c>
      <c r="F764">
        <v>499.99</v>
      </c>
      <c r="G764">
        <v>0.2</v>
      </c>
      <c r="H764">
        <v>99.998000000000005</v>
      </c>
      <c r="I764">
        <f>order_items[[#This Row],[list_price]]-order_items[[#This Row],[Discounted_price]]</f>
        <v>399.99200000000002</v>
      </c>
      <c r="J764">
        <f>VLOOKUP(B764, Products!$A$2:$E$100, 3, FALSE)</f>
        <v>9</v>
      </c>
      <c r="K764">
        <f>VLOOKUP(B764, Products!$A$2:$F$100, 4, FALSE)</f>
        <v>6</v>
      </c>
    </row>
    <row r="765" spans="1:11" x14ac:dyDescent="0.3">
      <c r="A765">
        <v>270</v>
      </c>
      <c r="B765">
        <v>2</v>
      </c>
      <c r="C765">
        <v>15</v>
      </c>
      <c r="D765" t="str">
        <f>VLOOKUP(B765, Products!$A$2:$C$100, 2, FALSE)</f>
        <v>Ritchey Timberwolf Frameset - 2016</v>
      </c>
      <c r="E765">
        <v>1</v>
      </c>
      <c r="F765">
        <v>529.99</v>
      </c>
      <c r="G765">
        <v>0.1</v>
      </c>
      <c r="H765">
        <v>52.999000000000002</v>
      </c>
      <c r="I765">
        <f>order_items[[#This Row],[list_price]]-order_items[[#This Row],[Discounted_price]]</f>
        <v>476.99099999999999</v>
      </c>
      <c r="J765">
        <f>VLOOKUP(B765, Products!$A$2:$E$100, 3, FALSE)</f>
        <v>5</v>
      </c>
      <c r="K765">
        <f>VLOOKUP(B765, Products!$A$2:$F$100, 4, FALSE)</f>
        <v>6</v>
      </c>
    </row>
    <row r="766" spans="1:11" x14ac:dyDescent="0.3">
      <c r="A766">
        <v>271</v>
      </c>
      <c r="B766">
        <v>1</v>
      </c>
      <c r="C766">
        <v>11</v>
      </c>
      <c r="D766" t="str">
        <f>VLOOKUP(B766, Products!$A$2:$C$100, 2, FALSE)</f>
        <v>Trek 820 - 2016</v>
      </c>
      <c r="E766">
        <v>2</v>
      </c>
      <c r="F766">
        <v>1680.99</v>
      </c>
      <c r="G766">
        <v>7.0000000000000007E-2</v>
      </c>
      <c r="H766">
        <v>117.66930000000001</v>
      </c>
      <c r="I766">
        <f>order_items[[#This Row],[list_price]]-order_items[[#This Row],[Discounted_price]]</f>
        <v>1563.3207</v>
      </c>
      <c r="J766">
        <f>VLOOKUP(B766, Products!$A$2:$E$100, 3, FALSE)</f>
        <v>9</v>
      </c>
      <c r="K766">
        <f>VLOOKUP(B766, Products!$A$2:$F$100, 4, FALSE)</f>
        <v>6</v>
      </c>
    </row>
    <row r="767" spans="1:11" x14ac:dyDescent="0.3">
      <c r="A767">
        <v>271</v>
      </c>
      <c r="B767">
        <v>2</v>
      </c>
      <c r="C767">
        <v>6</v>
      </c>
      <c r="D767" t="str">
        <f>VLOOKUP(B767, Products!$A$2:$C$100, 2, FALSE)</f>
        <v>Ritchey Timberwolf Frameset - 2016</v>
      </c>
      <c r="E767">
        <v>2</v>
      </c>
      <c r="F767">
        <v>469.99</v>
      </c>
      <c r="G767">
        <v>0.05</v>
      </c>
      <c r="H767">
        <v>23.499500000000001</v>
      </c>
      <c r="I767">
        <f>order_items[[#This Row],[list_price]]-order_items[[#This Row],[Discounted_price]]</f>
        <v>446.4905</v>
      </c>
      <c r="J767">
        <f>VLOOKUP(B767, Products!$A$2:$E$100, 3, FALSE)</f>
        <v>5</v>
      </c>
      <c r="K767">
        <f>VLOOKUP(B767, Products!$A$2:$F$100, 4, FALSE)</f>
        <v>6</v>
      </c>
    </row>
    <row r="768" spans="1:11" x14ac:dyDescent="0.3">
      <c r="A768">
        <v>271</v>
      </c>
      <c r="B768">
        <v>3</v>
      </c>
      <c r="C768">
        <v>13</v>
      </c>
      <c r="D768" t="str">
        <f>VLOOKUP(B768, Products!$A$2:$C$100, 2, FALSE)</f>
        <v>Surly Wednesday Frameset - 2016</v>
      </c>
      <c r="E768">
        <v>1</v>
      </c>
      <c r="F768">
        <v>269.99</v>
      </c>
      <c r="G768">
        <v>0.1</v>
      </c>
      <c r="H768">
        <v>26.999000000000002</v>
      </c>
      <c r="I768">
        <f>order_items[[#This Row],[list_price]]-order_items[[#This Row],[Discounted_price]]</f>
        <v>242.99100000000001</v>
      </c>
      <c r="J768">
        <f>VLOOKUP(B768, Products!$A$2:$E$100, 3, FALSE)</f>
        <v>8</v>
      </c>
      <c r="K768">
        <f>VLOOKUP(B768, Products!$A$2:$F$100, 4, FALSE)</f>
        <v>6</v>
      </c>
    </row>
    <row r="769" spans="1:11" x14ac:dyDescent="0.3">
      <c r="A769">
        <v>271</v>
      </c>
      <c r="B769">
        <v>4</v>
      </c>
      <c r="C769">
        <v>7</v>
      </c>
      <c r="D769" t="str">
        <f>VLOOKUP(B769, Products!$A$2:$C$100, 2, FALSE)</f>
        <v>Trek Fuel EX 8 29 - 2016</v>
      </c>
      <c r="E769">
        <v>2</v>
      </c>
      <c r="F769">
        <v>3999.99</v>
      </c>
      <c r="G769">
        <v>0.1</v>
      </c>
      <c r="H769">
        <v>399.99900000000002</v>
      </c>
      <c r="I769">
        <f>order_items[[#This Row],[list_price]]-order_items[[#This Row],[Discounted_price]]</f>
        <v>3599.991</v>
      </c>
      <c r="J769">
        <f>VLOOKUP(B769, Products!$A$2:$E$100, 3, FALSE)</f>
        <v>9</v>
      </c>
      <c r="K769">
        <f>VLOOKUP(B769, Products!$A$2:$F$100, 4, FALSE)</f>
        <v>6</v>
      </c>
    </row>
    <row r="770" spans="1:11" x14ac:dyDescent="0.3">
      <c r="A770">
        <v>272</v>
      </c>
      <c r="B770">
        <v>1</v>
      </c>
      <c r="C770">
        <v>2</v>
      </c>
      <c r="D770" t="str">
        <f>VLOOKUP(B770, Products!$A$2:$C$100, 2, FALSE)</f>
        <v>Trek 820 - 2016</v>
      </c>
      <c r="E770">
        <v>2</v>
      </c>
      <c r="F770">
        <v>749.99</v>
      </c>
      <c r="G770">
        <v>7.0000000000000007E-2</v>
      </c>
      <c r="H770">
        <v>52.499300000000005</v>
      </c>
      <c r="I770">
        <f>order_items[[#This Row],[list_price]]-order_items[[#This Row],[Discounted_price]]</f>
        <v>697.49070000000006</v>
      </c>
      <c r="J770">
        <f>VLOOKUP(B770, Products!$A$2:$E$100, 3, FALSE)</f>
        <v>9</v>
      </c>
      <c r="K770">
        <f>VLOOKUP(B770, Products!$A$2:$F$100, 4, FALSE)</f>
        <v>6</v>
      </c>
    </row>
    <row r="771" spans="1:11" x14ac:dyDescent="0.3">
      <c r="A771">
        <v>272</v>
      </c>
      <c r="B771">
        <v>2</v>
      </c>
      <c r="C771">
        <v>11</v>
      </c>
      <c r="D771" t="str">
        <f>VLOOKUP(B771, Products!$A$2:$C$100, 2, FALSE)</f>
        <v>Ritchey Timberwolf Frameset - 2016</v>
      </c>
      <c r="E771">
        <v>1</v>
      </c>
      <c r="F771">
        <v>1680.99</v>
      </c>
      <c r="G771">
        <v>7.0000000000000007E-2</v>
      </c>
      <c r="H771">
        <v>117.66930000000001</v>
      </c>
      <c r="I771">
        <f>order_items[[#This Row],[list_price]]-order_items[[#This Row],[Discounted_price]]</f>
        <v>1563.3207</v>
      </c>
      <c r="J771">
        <f>VLOOKUP(B771, Products!$A$2:$E$100, 3, FALSE)</f>
        <v>5</v>
      </c>
      <c r="K771">
        <f>VLOOKUP(B771, Products!$A$2:$F$100, 4, FALSE)</f>
        <v>6</v>
      </c>
    </row>
    <row r="772" spans="1:11" x14ac:dyDescent="0.3">
      <c r="A772">
        <v>273</v>
      </c>
      <c r="B772">
        <v>1</v>
      </c>
      <c r="C772">
        <v>21</v>
      </c>
      <c r="D772" t="str">
        <f>VLOOKUP(B772, Products!$A$2:$C$100, 2, FALSE)</f>
        <v>Trek 820 - 2016</v>
      </c>
      <c r="E772">
        <v>1</v>
      </c>
      <c r="F772">
        <v>269.99</v>
      </c>
      <c r="G772">
        <v>0.1</v>
      </c>
      <c r="H772">
        <v>26.999000000000002</v>
      </c>
      <c r="I772">
        <f>order_items[[#This Row],[list_price]]-order_items[[#This Row],[Discounted_price]]</f>
        <v>242.99100000000001</v>
      </c>
      <c r="J772">
        <f>VLOOKUP(B772, Products!$A$2:$E$100, 3, FALSE)</f>
        <v>9</v>
      </c>
      <c r="K772">
        <f>VLOOKUP(B772, Products!$A$2:$F$100, 4, FALSE)</f>
        <v>6</v>
      </c>
    </row>
    <row r="773" spans="1:11" x14ac:dyDescent="0.3">
      <c r="A773">
        <v>274</v>
      </c>
      <c r="B773">
        <v>1</v>
      </c>
      <c r="C773">
        <v>11</v>
      </c>
      <c r="D773" t="str">
        <f>VLOOKUP(B773, Products!$A$2:$C$100, 2, FALSE)</f>
        <v>Trek 820 - 2016</v>
      </c>
      <c r="E773">
        <v>2</v>
      </c>
      <c r="F773">
        <v>1680.99</v>
      </c>
      <c r="G773">
        <v>0.05</v>
      </c>
      <c r="H773">
        <v>84.049500000000009</v>
      </c>
      <c r="I773">
        <f>order_items[[#This Row],[list_price]]-order_items[[#This Row],[Discounted_price]]</f>
        <v>1596.9404999999999</v>
      </c>
      <c r="J773">
        <f>VLOOKUP(B773, Products!$A$2:$E$100, 3, FALSE)</f>
        <v>9</v>
      </c>
      <c r="K773">
        <f>VLOOKUP(B773, Products!$A$2:$F$100, 4, FALSE)</f>
        <v>6</v>
      </c>
    </row>
    <row r="774" spans="1:11" x14ac:dyDescent="0.3">
      <c r="A774">
        <v>274</v>
      </c>
      <c r="B774">
        <v>2</v>
      </c>
      <c r="C774">
        <v>25</v>
      </c>
      <c r="D774" t="str">
        <f>VLOOKUP(B774, Products!$A$2:$C$100, 2, FALSE)</f>
        <v>Ritchey Timberwolf Frameset - 2016</v>
      </c>
      <c r="E774">
        <v>2</v>
      </c>
      <c r="F774">
        <v>499.99</v>
      </c>
      <c r="G774">
        <v>0.1</v>
      </c>
      <c r="H774">
        <v>49.999000000000002</v>
      </c>
      <c r="I774">
        <f>order_items[[#This Row],[list_price]]-order_items[[#This Row],[Discounted_price]]</f>
        <v>449.99099999999999</v>
      </c>
      <c r="J774">
        <f>VLOOKUP(B774, Products!$A$2:$E$100, 3, FALSE)</f>
        <v>5</v>
      </c>
      <c r="K774">
        <f>VLOOKUP(B774, Products!$A$2:$F$100, 4, FALSE)</f>
        <v>6</v>
      </c>
    </row>
    <row r="775" spans="1:11" x14ac:dyDescent="0.3">
      <c r="A775">
        <v>274</v>
      </c>
      <c r="B775">
        <v>3</v>
      </c>
      <c r="C775">
        <v>9</v>
      </c>
      <c r="D775" t="str">
        <f>VLOOKUP(B775, Products!$A$2:$C$100, 2, FALSE)</f>
        <v>Surly Wednesday Frameset - 2016</v>
      </c>
      <c r="E775">
        <v>2</v>
      </c>
      <c r="F775">
        <v>2999.99</v>
      </c>
      <c r="G775">
        <v>7.0000000000000007E-2</v>
      </c>
      <c r="H775">
        <v>209.99930000000001</v>
      </c>
      <c r="I775">
        <f>order_items[[#This Row],[list_price]]-order_items[[#This Row],[Discounted_price]]</f>
        <v>2789.9906999999998</v>
      </c>
      <c r="J775">
        <f>VLOOKUP(B775, Products!$A$2:$E$100, 3, FALSE)</f>
        <v>8</v>
      </c>
      <c r="K775">
        <f>VLOOKUP(B775, Products!$A$2:$F$100, 4, FALSE)</f>
        <v>6</v>
      </c>
    </row>
    <row r="776" spans="1:11" x14ac:dyDescent="0.3">
      <c r="A776">
        <v>275</v>
      </c>
      <c r="B776">
        <v>1</v>
      </c>
      <c r="C776">
        <v>18</v>
      </c>
      <c r="D776" t="str">
        <f>VLOOKUP(B776, Products!$A$2:$C$100, 2, FALSE)</f>
        <v>Trek 820 - 2016</v>
      </c>
      <c r="E776">
        <v>1</v>
      </c>
      <c r="F776">
        <v>449</v>
      </c>
      <c r="G776">
        <v>0.05</v>
      </c>
      <c r="H776">
        <v>22.450000000000003</v>
      </c>
      <c r="I776">
        <f>order_items[[#This Row],[list_price]]-order_items[[#This Row],[Discounted_price]]</f>
        <v>426.55</v>
      </c>
      <c r="J776">
        <f>VLOOKUP(B776, Products!$A$2:$E$100, 3, FALSE)</f>
        <v>9</v>
      </c>
      <c r="K776">
        <f>VLOOKUP(B776, Products!$A$2:$F$100, 4, FALSE)</f>
        <v>6</v>
      </c>
    </row>
    <row r="777" spans="1:11" x14ac:dyDescent="0.3">
      <c r="A777">
        <v>275</v>
      </c>
      <c r="B777">
        <v>2</v>
      </c>
      <c r="C777">
        <v>25</v>
      </c>
      <c r="D777" t="str">
        <f>VLOOKUP(B777, Products!$A$2:$C$100, 2, FALSE)</f>
        <v>Ritchey Timberwolf Frameset - 2016</v>
      </c>
      <c r="E777">
        <v>1</v>
      </c>
      <c r="F777">
        <v>499.99</v>
      </c>
      <c r="G777">
        <v>0.1</v>
      </c>
      <c r="H777">
        <v>49.999000000000002</v>
      </c>
      <c r="I777">
        <f>order_items[[#This Row],[list_price]]-order_items[[#This Row],[Discounted_price]]</f>
        <v>449.99099999999999</v>
      </c>
      <c r="J777">
        <f>VLOOKUP(B777, Products!$A$2:$E$100, 3, FALSE)</f>
        <v>5</v>
      </c>
      <c r="K777">
        <f>VLOOKUP(B777, Products!$A$2:$F$100, 4, FALSE)</f>
        <v>6</v>
      </c>
    </row>
    <row r="778" spans="1:11" x14ac:dyDescent="0.3">
      <c r="A778">
        <v>275</v>
      </c>
      <c r="B778">
        <v>3</v>
      </c>
      <c r="C778">
        <v>7</v>
      </c>
      <c r="D778" t="str">
        <f>VLOOKUP(B778, Products!$A$2:$C$100, 2, FALSE)</f>
        <v>Surly Wednesday Frameset - 2016</v>
      </c>
      <c r="E778">
        <v>2</v>
      </c>
      <c r="F778">
        <v>3999.99</v>
      </c>
      <c r="G778">
        <v>0.05</v>
      </c>
      <c r="H778">
        <v>199.99950000000001</v>
      </c>
      <c r="I778">
        <f>order_items[[#This Row],[list_price]]-order_items[[#This Row],[Discounted_price]]</f>
        <v>3799.9904999999999</v>
      </c>
      <c r="J778">
        <f>VLOOKUP(B778, Products!$A$2:$E$100, 3, FALSE)</f>
        <v>8</v>
      </c>
      <c r="K778">
        <f>VLOOKUP(B778, Products!$A$2:$F$100, 4, FALSE)</f>
        <v>6</v>
      </c>
    </row>
    <row r="779" spans="1:11" x14ac:dyDescent="0.3">
      <c r="A779">
        <v>276</v>
      </c>
      <c r="B779">
        <v>1</v>
      </c>
      <c r="C779">
        <v>3</v>
      </c>
      <c r="D779" t="str">
        <f>VLOOKUP(B779, Products!$A$2:$C$100, 2, FALSE)</f>
        <v>Trek 820 - 2016</v>
      </c>
      <c r="E779">
        <v>2</v>
      </c>
      <c r="F779">
        <v>999.99</v>
      </c>
      <c r="G779">
        <v>0.2</v>
      </c>
      <c r="H779">
        <v>199.99800000000002</v>
      </c>
      <c r="I779">
        <f>order_items[[#This Row],[list_price]]-order_items[[#This Row],[Discounted_price]]</f>
        <v>799.99199999999996</v>
      </c>
      <c r="J779">
        <f>VLOOKUP(B779, Products!$A$2:$E$100, 3, FALSE)</f>
        <v>9</v>
      </c>
      <c r="K779">
        <f>VLOOKUP(B779, Products!$A$2:$F$100, 4, FALSE)</f>
        <v>6</v>
      </c>
    </row>
    <row r="780" spans="1:11" x14ac:dyDescent="0.3">
      <c r="A780">
        <v>276</v>
      </c>
      <c r="B780">
        <v>2</v>
      </c>
      <c r="C780">
        <v>17</v>
      </c>
      <c r="D780" t="str">
        <f>VLOOKUP(B780, Products!$A$2:$C$100, 2, FALSE)</f>
        <v>Ritchey Timberwolf Frameset - 2016</v>
      </c>
      <c r="E780">
        <v>1</v>
      </c>
      <c r="F780">
        <v>429</v>
      </c>
      <c r="G780">
        <v>0.05</v>
      </c>
      <c r="H780">
        <v>21.450000000000003</v>
      </c>
      <c r="I780">
        <f>order_items[[#This Row],[list_price]]-order_items[[#This Row],[Discounted_price]]</f>
        <v>407.55</v>
      </c>
      <c r="J780">
        <f>VLOOKUP(B780, Products!$A$2:$E$100, 3, FALSE)</f>
        <v>5</v>
      </c>
      <c r="K780">
        <f>VLOOKUP(B780, Products!$A$2:$F$100, 4, FALSE)</f>
        <v>6</v>
      </c>
    </row>
    <row r="781" spans="1:11" x14ac:dyDescent="0.3">
      <c r="A781">
        <v>276</v>
      </c>
      <c r="B781">
        <v>3</v>
      </c>
      <c r="C781">
        <v>9</v>
      </c>
      <c r="D781" t="str">
        <f>VLOOKUP(B781, Products!$A$2:$C$100, 2, FALSE)</f>
        <v>Surly Wednesday Frameset - 2016</v>
      </c>
      <c r="E781">
        <v>2</v>
      </c>
      <c r="F781">
        <v>2999.99</v>
      </c>
      <c r="G781">
        <v>7.0000000000000007E-2</v>
      </c>
      <c r="H781">
        <v>209.99930000000001</v>
      </c>
      <c r="I781">
        <f>order_items[[#This Row],[list_price]]-order_items[[#This Row],[Discounted_price]]</f>
        <v>2789.9906999999998</v>
      </c>
      <c r="J781">
        <f>VLOOKUP(B781, Products!$A$2:$E$100, 3, FALSE)</f>
        <v>8</v>
      </c>
      <c r="K781">
        <f>VLOOKUP(B781, Products!$A$2:$F$100, 4, FALSE)</f>
        <v>6</v>
      </c>
    </row>
    <row r="782" spans="1:11" x14ac:dyDescent="0.3">
      <c r="A782">
        <v>277</v>
      </c>
      <c r="B782">
        <v>1</v>
      </c>
      <c r="C782">
        <v>20</v>
      </c>
      <c r="D782" t="str">
        <f>VLOOKUP(B782, Products!$A$2:$C$100, 2, FALSE)</f>
        <v>Trek 820 - 2016</v>
      </c>
      <c r="E782">
        <v>2</v>
      </c>
      <c r="F782">
        <v>599.99</v>
      </c>
      <c r="G782">
        <v>0.2</v>
      </c>
      <c r="H782">
        <v>119.998</v>
      </c>
      <c r="I782">
        <f>order_items[[#This Row],[list_price]]-order_items[[#This Row],[Discounted_price]]</f>
        <v>479.99200000000002</v>
      </c>
      <c r="J782">
        <f>VLOOKUP(B782, Products!$A$2:$E$100, 3, FALSE)</f>
        <v>9</v>
      </c>
      <c r="K782">
        <f>VLOOKUP(B782, Products!$A$2:$F$100, 4, FALSE)</f>
        <v>6</v>
      </c>
    </row>
    <row r="783" spans="1:11" x14ac:dyDescent="0.3">
      <c r="A783">
        <v>277</v>
      </c>
      <c r="B783">
        <v>2</v>
      </c>
      <c r="C783">
        <v>6</v>
      </c>
      <c r="D783" t="str">
        <f>VLOOKUP(B783, Products!$A$2:$C$100, 2, FALSE)</f>
        <v>Ritchey Timberwolf Frameset - 2016</v>
      </c>
      <c r="E783">
        <v>2</v>
      </c>
      <c r="F783">
        <v>469.99</v>
      </c>
      <c r="G783">
        <v>0.2</v>
      </c>
      <c r="H783">
        <v>93.998000000000005</v>
      </c>
      <c r="I783">
        <f>order_items[[#This Row],[list_price]]-order_items[[#This Row],[Discounted_price]]</f>
        <v>375.99200000000002</v>
      </c>
      <c r="J783">
        <f>VLOOKUP(B783, Products!$A$2:$E$100, 3, FALSE)</f>
        <v>5</v>
      </c>
      <c r="K783">
        <f>VLOOKUP(B783, Products!$A$2:$F$100, 4, FALSE)</f>
        <v>6</v>
      </c>
    </row>
    <row r="784" spans="1:11" x14ac:dyDescent="0.3">
      <c r="A784">
        <v>277</v>
      </c>
      <c r="B784">
        <v>3</v>
      </c>
      <c r="C784">
        <v>13</v>
      </c>
      <c r="D784" t="str">
        <f>VLOOKUP(B784, Products!$A$2:$C$100, 2, FALSE)</f>
        <v>Surly Wednesday Frameset - 2016</v>
      </c>
      <c r="E784">
        <v>2</v>
      </c>
      <c r="F784">
        <v>269.99</v>
      </c>
      <c r="G784">
        <v>0.1</v>
      </c>
      <c r="H784">
        <v>26.999000000000002</v>
      </c>
      <c r="I784">
        <f>order_items[[#This Row],[list_price]]-order_items[[#This Row],[Discounted_price]]</f>
        <v>242.99100000000001</v>
      </c>
      <c r="J784">
        <f>VLOOKUP(B784, Products!$A$2:$E$100, 3, FALSE)</f>
        <v>8</v>
      </c>
      <c r="K784">
        <f>VLOOKUP(B784, Products!$A$2:$F$100, 4, FALSE)</f>
        <v>6</v>
      </c>
    </row>
    <row r="785" spans="1:11" x14ac:dyDescent="0.3">
      <c r="A785">
        <v>278</v>
      </c>
      <c r="B785">
        <v>1</v>
      </c>
      <c r="C785">
        <v>16</v>
      </c>
      <c r="D785" t="str">
        <f>VLOOKUP(B785, Products!$A$2:$C$100, 2, FALSE)</f>
        <v>Trek 820 - 2016</v>
      </c>
      <c r="E785">
        <v>1</v>
      </c>
      <c r="F785">
        <v>599.99</v>
      </c>
      <c r="G785">
        <v>0.2</v>
      </c>
      <c r="H785">
        <v>119.998</v>
      </c>
      <c r="I785">
        <f>order_items[[#This Row],[list_price]]-order_items[[#This Row],[Discounted_price]]</f>
        <v>479.99200000000002</v>
      </c>
      <c r="J785">
        <f>VLOOKUP(B785, Products!$A$2:$E$100, 3, FALSE)</f>
        <v>9</v>
      </c>
      <c r="K785">
        <f>VLOOKUP(B785, Products!$A$2:$F$100, 4, FALSE)</f>
        <v>6</v>
      </c>
    </row>
    <row r="786" spans="1:11" x14ac:dyDescent="0.3">
      <c r="A786">
        <v>278</v>
      </c>
      <c r="B786">
        <v>2</v>
      </c>
      <c r="C786">
        <v>19</v>
      </c>
      <c r="D786" t="str">
        <f>VLOOKUP(B786, Products!$A$2:$C$100, 2, FALSE)</f>
        <v>Ritchey Timberwolf Frameset - 2016</v>
      </c>
      <c r="E786">
        <v>2</v>
      </c>
      <c r="F786">
        <v>449</v>
      </c>
      <c r="G786">
        <v>7.0000000000000007E-2</v>
      </c>
      <c r="H786">
        <v>31.430000000000003</v>
      </c>
      <c r="I786">
        <f>order_items[[#This Row],[list_price]]-order_items[[#This Row],[Discounted_price]]</f>
        <v>417.57</v>
      </c>
      <c r="J786">
        <f>VLOOKUP(B786, Products!$A$2:$E$100, 3, FALSE)</f>
        <v>5</v>
      </c>
      <c r="K786">
        <f>VLOOKUP(B786, Products!$A$2:$F$100, 4, FALSE)</f>
        <v>6</v>
      </c>
    </row>
    <row r="787" spans="1:11" x14ac:dyDescent="0.3">
      <c r="A787">
        <v>278</v>
      </c>
      <c r="B787">
        <v>3</v>
      </c>
      <c r="C787">
        <v>13</v>
      </c>
      <c r="D787" t="str">
        <f>VLOOKUP(B787, Products!$A$2:$C$100, 2, FALSE)</f>
        <v>Surly Wednesday Frameset - 2016</v>
      </c>
      <c r="E787">
        <v>1</v>
      </c>
      <c r="F787">
        <v>269.99</v>
      </c>
      <c r="G787">
        <v>7.0000000000000007E-2</v>
      </c>
      <c r="H787">
        <v>18.899300000000004</v>
      </c>
      <c r="I787">
        <f>order_items[[#This Row],[list_price]]-order_items[[#This Row],[Discounted_price]]</f>
        <v>251.0907</v>
      </c>
      <c r="J787">
        <f>VLOOKUP(B787, Products!$A$2:$E$100, 3, FALSE)</f>
        <v>8</v>
      </c>
      <c r="K787">
        <f>VLOOKUP(B787, Products!$A$2:$F$100, 4, FALSE)</f>
        <v>6</v>
      </c>
    </row>
    <row r="788" spans="1:11" x14ac:dyDescent="0.3">
      <c r="A788">
        <v>278</v>
      </c>
      <c r="B788">
        <v>4</v>
      </c>
      <c r="C788">
        <v>11</v>
      </c>
      <c r="D788" t="str">
        <f>VLOOKUP(B788, Products!$A$2:$C$100, 2, FALSE)</f>
        <v>Trek Fuel EX 8 29 - 2016</v>
      </c>
      <c r="E788">
        <v>2</v>
      </c>
      <c r="F788">
        <v>1680.99</v>
      </c>
      <c r="G788">
        <v>7.0000000000000007E-2</v>
      </c>
      <c r="H788">
        <v>117.66930000000001</v>
      </c>
      <c r="I788">
        <f>order_items[[#This Row],[list_price]]-order_items[[#This Row],[Discounted_price]]</f>
        <v>1563.3207</v>
      </c>
      <c r="J788">
        <f>VLOOKUP(B788, Products!$A$2:$E$100, 3, FALSE)</f>
        <v>9</v>
      </c>
      <c r="K788">
        <f>VLOOKUP(B788, Products!$A$2:$F$100, 4, FALSE)</f>
        <v>6</v>
      </c>
    </row>
    <row r="789" spans="1:11" x14ac:dyDescent="0.3">
      <c r="A789">
        <v>279</v>
      </c>
      <c r="B789">
        <v>1</v>
      </c>
      <c r="C789">
        <v>25</v>
      </c>
      <c r="D789" t="str">
        <f>VLOOKUP(B789, Products!$A$2:$C$100, 2, FALSE)</f>
        <v>Trek 820 - 2016</v>
      </c>
      <c r="E789">
        <v>1</v>
      </c>
      <c r="F789">
        <v>499.99</v>
      </c>
      <c r="G789">
        <v>7.0000000000000007E-2</v>
      </c>
      <c r="H789">
        <v>34.999300000000005</v>
      </c>
      <c r="I789">
        <f>order_items[[#This Row],[list_price]]-order_items[[#This Row],[Discounted_price]]</f>
        <v>464.9907</v>
      </c>
      <c r="J789">
        <f>VLOOKUP(B789, Products!$A$2:$E$100, 3, FALSE)</f>
        <v>9</v>
      </c>
      <c r="K789">
        <f>VLOOKUP(B789, Products!$A$2:$F$100, 4, FALSE)</f>
        <v>6</v>
      </c>
    </row>
    <row r="790" spans="1:11" x14ac:dyDescent="0.3">
      <c r="A790">
        <v>280</v>
      </c>
      <c r="B790">
        <v>1</v>
      </c>
      <c r="C790">
        <v>25</v>
      </c>
      <c r="D790" t="str">
        <f>VLOOKUP(B790, Products!$A$2:$C$100, 2, FALSE)</f>
        <v>Trek 820 - 2016</v>
      </c>
      <c r="E790">
        <v>1</v>
      </c>
      <c r="F790">
        <v>499.99</v>
      </c>
      <c r="G790">
        <v>7.0000000000000007E-2</v>
      </c>
      <c r="H790">
        <v>34.999300000000005</v>
      </c>
      <c r="I790">
        <f>order_items[[#This Row],[list_price]]-order_items[[#This Row],[Discounted_price]]</f>
        <v>464.9907</v>
      </c>
      <c r="J790">
        <f>VLOOKUP(B790, Products!$A$2:$E$100, 3, FALSE)</f>
        <v>9</v>
      </c>
      <c r="K790">
        <f>VLOOKUP(B790, Products!$A$2:$F$100, 4, FALSE)</f>
        <v>6</v>
      </c>
    </row>
    <row r="791" spans="1:11" x14ac:dyDescent="0.3">
      <c r="A791">
        <v>280</v>
      </c>
      <c r="B791">
        <v>2</v>
      </c>
      <c r="C791">
        <v>26</v>
      </c>
      <c r="D791" t="str">
        <f>VLOOKUP(B791, Products!$A$2:$C$100, 2, FALSE)</f>
        <v>Ritchey Timberwolf Frameset - 2016</v>
      </c>
      <c r="E791">
        <v>2</v>
      </c>
      <c r="F791">
        <v>599.99</v>
      </c>
      <c r="G791">
        <v>7.0000000000000007E-2</v>
      </c>
      <c r="H791">
        <v>41.999300000000005</v>
      </c>
      <c r="I791">
        <f>order_items[[#This Row],[list_price]]-order_items[[#This Row],[Discounted_price]]</f>
        <v>557.99070000000006</v>
      </c>
      <c r="J791">
        <f>VLOOKUP(B791, Products!$A$2:$E$100, 3, FALSE)</f>
        <v>5</v>
      </c>
      <c r="K791">
        <f>VLOOKUP(B791, Products!$A$2:$F$100, 4, FALSE)</f>
        <v>6</v>
      </c>
    </row>
    <row r="792" spans="1:11" x14ac:dyDescent="0.3">
      <c r="A792">
        <v>280</v>
      </c>
      <c r="B792">
        <v>3</v>
      </c>
      <c r="C792">
        <v>13</v>
      </c>
      <c r="D792" t="str">
        <f>VLOOKUP(B792, Products!$A$2:$C$100, 2, FALSE)</f>
        <v>Surly Wednesday Frameset - 2016</v>
      </c>
      <c r="E792">
        <v>1</v>
      </c>
      <c r="F792">
        <v>269.99</v>
      </c>
      <c r="G792">
        <v>7.0000000000000007E-2</v>
      </c>
      <c r="H792">
        <v>18.899300000000004</v>
      </c>
      <c r="I792">
        <f>order_items[[#This Row],[list_price]]-order_items[[#This Row],[Discounted_price]]</f>
        <v>251.0907</v>
      </c>
      <c r="J792">
        <f>VLOOKUP(B792, Products!$A$2:$E$100, 3, FALSE)</f>
        <v>8</v>
      </c>
      <c r="K792">
        <f>VLOOKUP(B792, Products!$A$2:$F$100, 4, FALSE)</f>
        <v>6</v>
      </c>
    </row>
    <row r="793" spans="1:11" x14ac:dyDescent="0.3">
      <c r="A793">
        <v>281</v>
      </c>
      <c r="B793">
        <v>1</v>
      </c>
      <c r="C793">
        <v>22</v>
      </c>
      <c r="D793" t="str">
        <f>VLOOKUP(B793, Products!$A$2:$C$100, 2, FALSE)</f>
        <v>Trek 820 - 2016</v>
      </c>
      <c r="E793">
        <v>1</v>
      </c>
      <c r="F793">
        <v>269.99</v>
      </c>
      <c r="G793">
        <v>7.0000000000000007E-2</v>
      </c>
      <c r="H793">
        <v>18.899300000000004</v>
      </c>
      <c r="I793">
        <f>order_items[[#This Row],[list_price]]-order_items[[#This Row],[Discounted_price]]</f>
        <v>251.0907</v>
      </c>
      <c r="J793">
        <f>VLOOKUP(B793, Products!$A$2:$E$100, 3, FALSE)</f>
        <v>9</v>
      </c>
      <c r="K793">
        <f>VLOOKUP(B793, Products!$A$2:$F$100, 4, FALSE)</f>
        <v>6</v>
      </c>
    </row>
    <row r="794" spans="1:11" x14ac:dyDescent="0.3">
      <c r="A794">
        <v>281</v>
      </c>
      <c r="B794">
        <v>2</v>
      </c>
      <c r="C794">
        <v>14</v>
      </c>
      <c r="D794" t="str">
        <f>VLOOKUP(B794, Products!$A$2:$C$100, 2, FALSE)</f>
        <v>Ritchey Timberwolf Frameset - 2016</v>
      </c>
      <c r="E794">
        <v>2</v>
      </c>
      <c r="F794">
        <v>269.99</v>
      </c>
      <c r="G794">
        <v>0.1</v>
      </c>
      <c r="H794">
        <v>26.999000000000002</v>
      </c>
      <c r="I794">
        <f>order_items[[#This Row],[list_price]]-order_items[[#This Row],[Discounted_price]]</f>
        <v>242.99100000000001</v>
      </c>
      <c r="J794">
        <f>VLOOKUP(B794, Products!$A$2:$E$100, 3, FALSE)</f>
        <v>5</v>
      </c>
      <c r="K794">
        <f>VLOOKUP(B794, Products!$A$2:$F$100, 4, FALSE)</f>
        <v>6</v>
      </c>
    </row>
    <row r="795" spans="1:11" x14ac:dyDescent="0.3">
      <c r="A795">
        <v>281</v>
      </c>
      <c r="B795">
        <v>3</v>
      </c>
      <c r="C795">
        <v>7</v>
      </c>
      <c r="D795" t="str">
        <f>VLOOKUP(B795, Products!$A$2:$C$100, 2, FALSE)</f>
        <v>Surly Wednesday Frameset - 2016</v>
      </c>
      <c r="E795">
        <v>2</v>
      </c>
      <c r="F795">
        <v>3999.99</v>
      </c>
      <c r="G795">
        <v>7.0000000000000007E-2</v>
      </c>
      <c r="H795">
        <v>279.99930000000001</v>
      </c>
      <c r="I795">
        <f>order_items[[#This Row],[list_price]]-order_items[[#This Row],[Discounted_price]]</f>
        <v>3719.9906999999998</v>
      </c>
      <c r="J795">
        <f>VLOOKUP(B795, Products!$A$2:$E$100, 3, FALSE)</f>
        <v>8</v>
      </c>
      <c r="K795">
        <f>VLOOKUP(B795, Products!$A$2:$F$100, 4, FALSE)</f>
        <v>6</v>
      </c>
    </row>
    <row r="796" spans="1:11" x14ac:dyDescent="0.3">
      <c r="A796">
        <v>282</v>
      </c>
      <c r="B796">
        <v>1</v>
      </c>
      <c r="C796">
        <v>20</v>
      </c>
      <c r="D796" t="str">
        <f>VLOOKUP(B796, Products!$A$2:$C$100, 2, FALSE)</f>
        <v>Trek 820 - 2016</v>
      </c>
      <c r="E796">
        <v>1</v>
      </c>
      <c r="F796">
        <v>599.99</v>
      </c>
      <c r="G796">
        <v>7.0000000000000007E-2</v>
      </c>
      <c r="H796">
        <v>41.999300000000005</v>
      </c>
      <c r="I796">
        <f>order_items[[#This Row],[list_price]]-order_items[[#This Row],[Discounted_price]]</f>
        <v>557.99070000000006</v>
      </c>
      <c r="J796">
        <f>VLOOKUP(B796, Products!$A$2:$E$100, 3, FALSE)</f>
        <v>9</v>
      </c>
      <c r="K796">
        <f>VLOOKUP(B796, Products!$A$2:$F$100, 4, FALSE)</f>
        <v>6</v>
      </c>
    </row>
    <row r="797" spans="1:11" x14ac:dyDescent="0.3">
      <c r="A797">
        <v>282</v>
      </c>
      <c r="B797">
        <v>2</v>
      </c>
      <c r="C797">
        <v>7</v>
      </c>
      <c r="D797" t="str">
        <f>VLOOKUP(B797, Products!$A$2:$C$100, 2, FALSE)</f>
        <v>Ritchey Timberwolf Frameset - 2016</v>
      </c>
      <c r="E797">
        <v>2</v>
      </c>
      <c r="F797">
        <v>3999.99</v>
      </c>
      <c r="G797">
        <v>7.0000000000000007E-2</v>
      </c>
      <c r="H797">
        <v>279.99930000000001</v>
      </c>
      <c r="I797">
        <f>order_items[[#This Row],[list_price]]-order_items[[#This Row],[Discounted_price]]</f>
        <v>3719.9906999999998</v>
      </c>
      <c r="J797">
        <f>VLOOKUP(B797, Products!$A$2:$E$100, 3, FALSE)</f>
        <v>5</v>
      </c>
      <c r="K797">
        <f>VLOOKUP(B797, Products!$A$2:$F$100, 4, FALSE)</f>
        <v>6</v>
      </c>
    </row>
    <row r="798" spans="1:11" x14ac:dyDescent="0.3">
      <c r="A798">
        <v>282</v>
      </c>
      <c r="B798">
        <v>3</v>
      </c>
      <c r="C798">
        <v>3</v>
      </c>
      <c r="D798" t="str">
        <f>VLOOKUP(B798, Products!$A$2:$C$100, 2, FALSE)</f>
        <v>Surly Wednesday Frameset - 2016</v>
      </c>
      <c r="E798">
        <v>2</v>
      </c>
      <c r="F798">
        <v>999.99</v>
      </c>
      <c r="G798">
        <v>0.05</v>
      </c>
      <c r="H798">
        <v>49.999500000000005</v>
      </c>
      <c r="I798">
        <f>order_items[[#This Row],[list_price]]-order_items[[#This Row],[Discounted_price]]</f>
        <v>949.9905</v>
      </c>
      <c r="J798">
        <f>VLOOKUP(B798, Products!$A$2:$E$100, 3, FALSE)</f>
        <v>8</v>
      </c>
      <c r="K798">
        <f>VLOOKUP(B798, Products!$A$2:$F$100, 4, FALSE)</f>
        <v>6</v>
      </c>
    </row>
    <row r="799" spans="1:11" x14ac:dyDescent="0.3">
      <c r="A799">
        <v>282</v>
      </c>
      <c r="B799">
        <v>4</v>
      </c>
      <c r="C799">
        <v>16</v>
      </c>
      <c r="D799" t="str">
        <f>VLOOKUP(B799, Products!$A$2:$C$100, 2, FALSE)</f>
        <v>Trek Fuel EX 8 29 - 2016</v>
      </c>
      <c r="E799">
        <v>2</v>
      </c>
      <c r="F799">
        <v>599.99</v>
      </c>
      <c r="G799">
        <v>7.0000000000000007E-2</v>
      </c>
      <c r="H799">
        <v>41.999300000000005</v>
      </c>
      <c r="I799">
        <f>order_items[[#This Row],[list_price]]-order_items[[#This Row],[Discounted_price]]</f>
        <v>557.99070000000006</v>
      </c>
      <c r="J799">
        <f>VLOOKUP(B799, Products!$A$2:$E$100, 3, FALSE)</f>
        <v>9</v>
      </c>
      <c r="K799">
        <f>VLOOKUP(B799, Products!$A$2:$F$100, 4, FALSE)</f>
        <v>6</v>
      </c>
    </row>
    <row r="800" spans="1:11" x14ac:dyDescent="0.3">
      <c r="A800">
        <v>283</v>
      </c>
      <c r="B800">
        <v>1</v>
      </c>
      <c r="C800">
        <v>9</v>
      </c>
      <c r="D800" t="str">
        <f>VLOOKUP(B800, Products!$A$2:$C$100, 2, FALSE)</f>
        <v>Trek 820 - 2016</v>
      </c>
      <c r="E800">
        <v>1</v>
      </c>
      <c r="F800">
        <v>2999.99</v>
      </c>
      <c r="G800">
        <v>0.05</v>
      </c>
      <c r="H800">
        <v>149.99949999999998</v>
      </c>
      <c r="I800">
        <f>order_items[[#This Row],[list_price]]-order_items[[#This Row],[Discounted_price]]</f>
        <v>2849.9904999999999</v>
      </c>
      <c r="J800">
        <f>VLOOKUP(B800, Products!$A$2:$E$100, 3, FALSE)</f>
        <v>9</v>
      </c>
      <c r="K800">
        <f>VLOOKUP(B800, Products!$A$2:$F$100, 4, FALSE)</f>
        <v>6</v>
      </c>
    </row>
    <row r="801" spans="1:11" x14ac:dyDescent="0.3">
      <c r="A801">
        <v>283</v>
      </c>
      <c r="B801">
        <v>2</v>
      </c>
      <c r="C801">
        <v>16</v>
      </c>
      <c r="D801" t="str">
        <f>VLOOKUP(B801, Products!$A$2:$C$100, 2, FALSE)</f>
        <v>Ritchey Timberwolf Frameset - 2016</v>
      </c>
      <c r="E801">
        <v>2</v>
      </c>
      <c r="F801">
        <v>599.99</v>
      </c>
      <c r="G801">
        <v>0.2</v>
      </c>
      <c r="H801">
        <v>119.998</v>
      </c>
      <c r="I801">
        <f>order_items[[#This Row],[list_price]]-order_items[[#This Row],[Discounted_price]]</f>
        <v>479.99200000000002</v>
      </c>
      <c r="J801">
        <f>VLOOKUP(B801, Products!$A$2:$E$100, 3, FALSE)</f>
        <v>5</v>
      </c>
      <c r="K801">
        <f>VLOOKUP(B801, Products!$A$2:$F$100, 4, FALSE)</f>
        <v>6</v>
      </c>
    </row>
    <row r="802" spans="1:11" x14ac:dyDescent="0.3">
      <c r="A802">
        <v>284</v>
      </c>
      <c r="B802">
        <v>1</v>
      </c>
      <c r="C802">
        <v>24</v>
      </c>
      <c r="D802" t="str">
        <f>VLOOKUP(B802, Products!$A$2:$C$100, 2, FALSE)</f>
        <v>Trek 820 - 2016</v>
      </c>
      <c r="E802">
        <v>2</v>
      </c>
      <c r="F802">
        <v>549.99</v>
      </c>
      <c r="G802">
        <v>0.2</v>
      </c>
      <c r="H802">
        <v>109.998</v>
      </c>
      <c r="I802">
        <f>order_items[[#This Row],[list_price]]-order_items[[#This Row],[Discounted_price]]</f>
        <v>439.99200000000002</v>
      </c>
      <c r="J802">
        <f>VLOOKUP(B802, Products!$A$2:$E$100, 3, FALSE)</f>
        <v>9</v>
      </c>
      <c r="K802">
        <f>VLOOKUP(B802, Products!$A$2:$F$100, 4, FALSE)</f>
        <v>6</v>
      </c>
    </row>
    <row r="803" spans="1:11" x14ac:dyDescent="0.3">
      <c r="A803">
        <v>284</v>
      </c>
      <c r="B803">
        <v>2</v>
      </c>
      <c r="C803">
        <v>20</v>
      </c>
      <c r="D803" t="str">
        <f>VLOOKUP(B803, Products!$A$2:$C$100, 2, FALSE)</f>
        <v>Ritchey Timberwolf Frameset - 2016</v>
      </c>
      <c r="E803">
        <v>1</v>
      </c>
      <c r="F803">
        <v>599.99</v>
      </c>
      <c r="G803">
        <v>0.2</v>
      </c>
      <c r="H803">
        <v>119.998</v>
      </c>
      <c r="I803">
        <f>order_items[[#This Row],[list_price]]-order_items[[#This Row],[Discounted_price]]</f>
        <v>479.99200000000002</v>
      </c>
      <c r="J803">
        <f>VLOOKUP(B803, Products!$A$2:$E$100, 3, FALSE)</f>
        <v>5</v>
      </c>
      <c r="K803">
        <f>VLOOKUP(B803, Products!$A$2:$F$100, 4, FALSE)</f>
        <v>6</v>
      </c>
    </row>
    <row r="804" spans="1:11" x14ac:dyDescent="0.3">
      <c r="A804">
        <v>285</v>
      </c>
      <c r="B804">
        <v>1</v>
      </c>
      <c r="C804">
        <v>16</v>
      </c>
      <c r="D804" t="str">
        <f>VLOOKUP(B804, Products!$A$2:$C$100, 2, FALSE)</f>
        <v>Trek 820 - 2016</v>
      </c>
      <c r="E804">
        <v>2</v>
      </c>
      <c r="F804">
        <v>599.99</v>
      </c>
      <c r="G804">
        <v>0.05</v>
      </c>
      <c r="H804">
        <v>29.999500000000001</v>
      </c>
      <c r="I804">
        <f>order_items[[#This Row],[list_price]]-order_items[[#This Row],[Discounted_price]]</f>
        <v>569.9905</v>
      </c>
      <c r="J804">
        <f>VLOOKUP(B804, Products!$A$2:$E$100, 3, FALSE)</f>
        <v>9</v>
      </c>
      <c r="K804">
        <f>VLOOKUP(B804, Products!$A$2:$F$100, 4, FALSE)</f>
        <v>6</v>
      </c>
    </row>
    <row r="805" spans="1:11" x14ac:dyDescent="0.3">
      <c r="A805">
        <v>285</v>
      </c>
      <c r="B805">
        <v>2</v>
      </c>
      <c r="C805">
        <v>12</v>
      </c>
      <c r="D805" t="str">
        <f>VLOOKUP(B805, Products!$A$2:$C$100, 2, FALSE)</f>
        <v>Ritchey Timberwolf Frameset - 2016</v>
      </c>
      <c r="E805">
        <v>1</v>
      </c>
      <c r="F805">
        <v>549.99</v>
      </c>
      <c r="G805">
        <v>0.05</v>
      </c>
      <c r="H805">
        <v>27.499500000000001</v>
      </c>
      <c r="I805">
        <f>order_items[[#This Row],[list_price]]-order_items[[#This Row],[Discounted_price]]</f>
        <v>522.4905</v>
      </c>
      <c r="J805">
        <f>VLOOKUP(B805, Products!$A$2:$E$100, 3, FALSE)</f>
        <v>5</v>
      </c>
      <c r="K805">
        <f>VLOOKUP(B805, Products!$A$2:$F$100, 4, FALSE)</f>
        <v>6</v>
      </c>
    </row>
    <row r="806" spans="1:11" x14ac:dyDescent="0.3">
      <c r="A806">
        <v>285</v>
      </c>
      <c r="B806">
        <v>3</v>
      </c>
      <c r="C806">
        <v>2</v>
      </c>
      <c r="D806" t="str">
        <f>VLOOKUP(B806, Products!$A$2:$C$100, 2, FALSE)</f>
        <v>Surly Wednesday Frameset - 2016</v>
      </c>
      <c r="E806">
        <v>1</v>
      </c>
      <c r="F806">
        <v>749.99</v>
      </c>
      <c r="G806">
        <v>0.1</v>
      </c>
      <c r="H806">
        <v>74.999000000000009</v>
      </c>
      <c r="I806">
        <f>order_items[[#This Row],[list_price]]-order_items[[#This Row],[Discounted_price]]</f>
        <v>674.99099999999999</v>
      </c>
      <c r="J806">
        <f>VLOOKUP(B806, Products!$A$2:$E$100, 3, FALSE)</f>
        <v>8</v>
      </c>
      <c r="K806">
        <f>VLOOKUP(B806, Products!$A$2:$F$100, 4, FALSE)</f>
        <v>6</v>
      </c>
    </row>
    <row r="807" spans="1:11" x14ac:dyDescent="0.3">
      <c r="A807">
        <v>286</v>
      </c>
      <c r="B807">
        <v>1</v>
      </c>
      <c r="C807">
        <v>26</v>
      </c>
      <c r="D807" t="str">
        <f>VLOOKUP(B807, Products!$A$2:$C$100, 2, FALSE)</f>
        <v>Trek 820 - 2016</v>
      </c>
      <c r="E807">
        <v>2</v>
      </c>
      <c r="F807">
        <v>599.99</v>
      </c>
      <c r="G807">
        <v>0.2</v>
      </c>
      <c r="H807">
        <v>119.998</v>
      </c>
      <c r="I807">
        <f>order_items[[#This Row],[list_price]]-order_items[[#This Row],[Discounted_price]]</f>
        <v>479.99200000000002</v>
      </c>
      <c r="J807">
        <f>VLOOKUP(B807, Products!$A$2:$E$100, 3, FALSE)</f>
        <v>9</v>
      </c>
      <c r="K807">
        <f>VLOOKUP(B807, Products!$A$2:$F$100, 4, FALSE)</f>
        <v>6</v>
      </c>
    </row>
    <row r="808" spans="1:11" x14ac:dyDescent="0.3">
      <c r="A808">
        <v>286</v>
      </c>
      <c r="B808">
        <v>2</v>
      </c>
      <c r="C808">
        <v>21</v>
      </c>
      <c r="D808" t="str">
        <f>VLOOKUP(B808, Products!$A$2:$C$100, 2, FALSE)</f>
        <v>Ritchey Timberwolf Frameset - 2016</v>
      </c>
      <c r="E808">
        <v>2</v>
      </c>
      <c r="F808">
        <v>269.99</v>
      </c>
      <c r="G808">
        <v>7.0000000000000007E-2</v>
      </c>
      <c r="H808">
        <v>18.899300000000004</v>
      </c>
      <c r="I808">
        <f>order_items[[#This Row],[list_price]]-order_items[[#This Row],[Discounted_price]]</f>
        <v>251.0907</v>
      </c>
      <c r="J808">
        <f>VLOOKUP(B808, Products!$A$2:$E$100, 3, FALSE)</f>
        <v>5</v>
      </c>
      <c r="K808">
        <f>VLOOKUP(B808, Products!$A$2:$F$100, 4, FALSE)</f>
        <v>6</v>
      </c>
    </row>
    <row r="809" spans="1:11" x14ac:dyDescent="0.3">
      <c r="A809">
        <v>286</v>
      </c>
      <c r="B809">
        <v>3</v>
      </c>
      <c r="C809">
        <v>16</v>
      </c>
      <c r="D809" t="str">
        <f>VLOOKUP(B809, Products!$A$2:$C$100, 2, FALSE)</f>
        <v>Surly Wednesday Frameset - 2016</v>
      </c>
      <c r="E809">
        <v>2</v>
      </c>
      <c r="F809">
        <v>599.99</v>
      </c>
      <c r="G809">
        <v>0.1</v>
      </c>
      <c r="H809">
        <v>59.999000000000002</v>
      </c>
      <c r="I809">
        <f>order_items[[#This Row],[list_price]]-order_items[[#This Row],[Discounted_price]]</f>
        <v>539.99099999999999</v>
      </c>
      <c r="J809">
        <f>VLOOKUP(B809, Products!$A$2:$E$100, 3, FALSE)</f>
        <v>8</v>
      </c>
      <c r="K809">
        <f>VLOOKUP(B809, Products!$A$2:$F$100, 4, FALSE)</f>
        <v>6</v>
      </c>
    </row>
    <row r="810" spans="1:11" x14ac:dyDescent="0.3">
      <c r="A810">
        <v>286</v>
      </c>
      <c r="B810">
        <v>4</v>
      </c>
      <c r="C810">
        <v>7</v>
      </c>
      <c r="D810" t="str">
        <f>VLOOKUP(B810, Products!$A$2:$C$100, 2, FALSE)</f>
        <v>Trek Fuel EX 8 29 - 2016</v>
      </c>
      <c r="E810">
        <v>1</v>
      </c>
      <c r="F810">
        <v>3999.99</v>
      </c>
      <c r="G810">
        <v>0.1</v>
      </c>
      <c r="H810">
        <v>399.99900000000002</v>
      </c>
      <c r="I810">
        <f>order_items[[#This Row],[list_price]]-order_items[[#This Row],[Discounted_price]]</f>
        <v>3599.991</v>
      </c>
      <c r="J810">
        <f>VLOOKUP(B810, Products!$A$2:$E$100, 3, FALSE)</f>
        <v>9</v>
      </c>
      <c r="K810">
        <f>VLOOKUP(B810, Products!$A$2:$F$100, 4, FALSE)</f>
        <v>6</v>
      </c>
    </row>
    <row r="811" spans="1:11" x14ac:dyDescent="0.3">
      <c r="A811">
        <v>287</v>
      </c>
      <c r="B811">
        <v>1</v>
      </c>
      <c r="C811">
        <v>5</v>
      </c>
      <c r="D811" t="str">
        <f>VLOOKUP(B811, Products!$A$2:$C$100, 2, FALSE)</f>
        <v>Trek 820 - 2016</v>
      </c>
      <c r="E811">
        <v>1</v>
      </c>
      <c r="F811">
        <v>1320.99</v>
      </c>
      <c r="G811">
        <v>0.2</v>
      </c>
      <c r="H811">
        <v>264.19800000000004</v>
      </c>
      <c r="I811">
        <f>order_items[[#This Row],[list_price]]-order_items[[#This Row],[Discounted_price]]</f>
        <v>1056.7919999999999</v>
      </c>
      <c r="J811">
        <f>VLOOKUP(B811, Products!$A$2:$E$100, 3, FALSE)</f>
        <v>9</v>
      </c>
      <c r="K811">
        <f>VLOOKUP(B811, Products!$A$2:$F$100, 4, FALSE)</f>
        <v>6</v>
      </c>
    </row>
    <row r="812" spans="1:11" x14ac:dyDescent="0.3">
      <c r="A812">
        <v>287</v>
      </c>
      <c r="B812">
        <v>2</v>
      </c>
      <c r="C812">
        <v>10</v>
      </c>
      <c r="D812" t="str">
        <f>VLOOKUP(B812, Products!$A$2:$C$100, 2, FALSE)</f>
        <v>Ritchey Timberwolf Frameset - 2016</v>
      </c>
      <c r="E812">
        <v>1</v>
      </c>
      <c r="F812">
        <v>1549</v>
      </c>
      <c r="G812">
        <v>0.05</v>
      </c>
      <c r="H812">
        <v>77.45</v>
      </c>
      <c r="I812">
        <f>order_items[[#This Row],[list_price]]-order_items[[#This Row],[Discounted_price]]</f>
        <v>1471.55</v>
      </c>
      <c r="J812">
        <f>VLOOKUP(B812, Products!$A$2:$E$100, 3, FALSE)</f>
        <v>5</v>
      </c>
      <c r="K812">
        <f>VLOOKUP(B812, Products!$A$2:$F$100, 4, FALSE)</f>
        <v>6</v>
      </c>
    </row>
    <row r="813" spans="1:11" x14ac:dyDescent="0.3">
      <c r="A813">
        <v>287</v>
      </c>
      <c r="B813">
        <v>3</v>
      </c>
      <c r="C813">
        <v>2</v>
      </c>
      <c r="D813" t="str">
        <f>VLOOKUP(B813, Products!$A$2:$C$100, 2, FALSE)</f>
        <v>Surly Wednesday Frameset - 2016</v>
      </c>
      <c r="E813">
        <v>1</v>
      </c>
      <c r="F813">
        <v>749.99</v>
      </c>
      <c r="G813">
        <v>0.05</v>
      </c>
      <c r="H813">
        <v>37.499500000000005</v>
      </c>
      <c r="I813">
        <f>order_items[[#This Row],[list_price]]-order_items[[#This Row],[Discounted_price]]</f>
        <v>712.4905</v>
      </c>
      <c r="J813">
        <f>VLOOKUP(B813, Products!$A$2:$E$100, 3, FALSE)</f>
        <v>8</v>
      </c>
      <c r="K813">
        <f>VLOOKUP(B813, Products!$A$2:$F$100, 4, FALSE)</f>
        <v>6</v>
      </c>
    </row>
    <row r="814" spans="1:11" x14ac:dyDescent="0.3">
      <c r="A814">
        <v>287</v>
      </c>
      <c r="B814">
        <v>4</v>
      </c>
      <c r="C814">
        <v>20</v>
      </c>
      <c r="D814" t="str">
        <f>VLOOKUP(B814, Products!$A$2:$C$100, 2, FALSE)</f>
        <v>Trek Fuel EX 8 29 - 2016</v>
      </c>
      <c r="E814">
        <v>1</v>
      </c>
      <c r="F814">
        <v>599.99</v>
      </c>
      <c r="G814">
        <v>0.05</v>
      </c>
      <c r="H814">
        <v>29.999500000000001</v>
      </c>
      <c r="I814">
        <f>order_items[[#This Row],[list_price]]-order_items[[#This Row],[Discounted_price]]</f>
        <v>569.9905</v>
      </c>
      <c r="J814">
        <f>VLOOKUP(B814, Products!$A$2:$E$100, 3, FALSE)</f>
        <v>9</v>
      </c>
      <c r="K814">
        <f>VLOOKUP(B814, Products!$A$2:$F$100, 4, FALSE)</f>
        <v>6</v>
      </c>
    </row>
    <row r="815" spans="1:11" x14ac:dyDescent="0.3">
      <c r="A815">
        <v>288</v>
      </c>
      <c r="B815">
        <v>1</v>
      </c>
      <c r="C815">
        <v>4</v>
      </c>
      <c r="D815" t="str">
        <f>VLOOKUP(B815, Products!$A$2:$C$100, 2, FALSE)</f>
        <v>Trek 820 - 2016</v>
      </c>
      <c r="E815">
        <v>1</v>
      </c>
      <c r="F815">
        <v>2899.99</v>
      </c>
      <c r="G815">
        <v>0.2</v>
      </c>
      <c r="H815">
        <v>579.99799999999993</v>
      </c>
      <c r="I815">
        <f>order_items[[#This Row],[list_price]]-order_items[[#This Row],[Discounted_price]]</f>
        <v>2319.9919999999997</v>
      </c>
      <c r="J815">
        <f>VLOOKUP(B815, Products!$A$2:$E$100, 3, FALSE)</f>
        <v>9</v>
      </c>
      <c r="K815">
        <f>VLOOKUP(B815, Products!$A$2:$F$100, 4, FALSE)</f>
        <v>6</v>
      </c>
    </row>
    <row r="816" spans="1:11" x14ac:dyDescent="0.3">
      <c r="A816">
        <v>288</v>
      </c>
      <c r="B816">
        <v>2</v>
      </c>
      <c r="C816">
        <v>10</v>
      </c>
      <c r="D816" t="str">
        <f>VLOOKUP(B816, Products!$A$2:$C$100, 2, FALSE)</f>
        <v>Ritchey Timberwolf Frameset - 2016</v>
      </c>
      <c r="E816">
        <v>1</v>
      </c>
      <c r="F816">
        <v>1549</v>
      </c>
      <c r="G816">
        <v>0.1</v>
      </c>
      <c r="H816">
        <v>154.9</v>
      </c>
      <c r="I816">
        <f>order_items[[#This Row],[list_price]]-order_items[[#This Row],[Discounted_price]]</f>
        <v>1394.1</v>
      </c>
      <c r="J816">
        <f>VLOOKUP(B816, Products!$A$2:$E$100, 3, FALSE)</f>
        <v>5</v>
      </c>
      <c r="K816">
        <f>VLOOKUP(B816, Products!$A$2:$F$100, 4, FALSE)</f>
        <v>6</v>
      </c>
    </row>
    <row r="817" spans="1:11" x14ac:dyDescent="0.3">
      <c r="A817">
        <v>288</v>
      </c>
      <c r="B817">
        <v>3</v>
      </c>
      <c r="C817">
        <v>7</v>
      </c>
      <c r="D817" t="str">
        <f>VLOOKUP(B817, Products!$A$2:$C$100, 2, FALSE)</f>
        <v>Surly Wednesday Frameset - 2016</v>
      </c>
      <c r="E817">
        <v>2</v>
      </c>
      <c r="F817">
        <v>3999.99</v>
      </c>
      <c r="G817">
        <v>0.05</v>
      </c>
      <c r="H817">
        <v>199.99950000000001</v>
      </c>
      <c r="I817">
        <f>order_items[[#This Row],[list_price]]-order_items[[#This Row],[Discounted_price]]</f>
        <v>3799.9904999999999</v>
      </c>
      <c r="J817">
        <f>VLOOKUP(B817, Products!$A$2:$E$100, 3, FALSE)</f>
        <v>8</v>
      </c>
      <c r="K817">
        <f>VLOOKUP(B817, Products!$A$2:$F$100, 4, FALSE)</f>
        <v>6</v>
      </c>
    </row>
    <row r="818" spans="1:11" x14ac:dyDescent="0.3">
      <c r="A818">
        <v>289</v>
      </c>
      <c r="B818">
        <v>1</v>
      </c>
      <c r="C818">
        <v>13</v>
      </c>
      <c r="D818" t="str">
        <f>VLOOKUP(B818, Products!$A$2:$C$100, 2, FALSE)</f>
        <v>Trek 820 - 2016</v>
      </c>
      <c r="E818">
        <v>1</v>
      </c>
      <c r="F818">
        <v>269.99</v>
      </c>
      <c r="G818">
        <v>7.0000000000000007E-2</v>
      </c>
      <c r="H818">
        <v>18.899300000000004</v>
      </c>
      <c r="I818">
        <f>order_items[[#This Row],[list_price]]-order_items[[#This Row],[Discounted_price]]</f>
        <v>251.0907</v>
      </c>
      <c r="J818">
        <f>VLOOKUP(B818, Products!$A$2:$E$100, 3, FALSE)</f>
        <v>9</v>
      </c>
      <c r="K818">
        <f>VLOOKUP(B818, Products!$A$2:$F$100, 4, FALSE)</f>
        <v>6</v>
      </c>
    </row>
    <row r="819" spans="1:11" x14ac:dyDescent="0.3">
      <c r="A819">
        <v>289</v>
      </c>
      <c r="B819">
        <v>2</v>
      </c>
      <c r="C819">
        <v>24</v>
      </c>
      <c r="D819" t="str">
        <f>VLOOKUP(B819, Products!$A$2:$C$100, 2, FALSE)</f>
        <v>Ritchey Timberwolf Frameset - 2016</v>
      </c>
      <c r="E819">
        <v>1</v>
      </c>
      <c r="F819">
        <v>549.99</v>
      </c>
      <c r="G819">
        <v>0.2</v>
      </c>
      <c r="H819">
        <v>109.998</v>
      </c>
      <c r="I819">
        <f>order_items[[#This Row],[list_price]]-order_items[[#This Row],[Discounted_price]]</f>
        <v>439.99200000000002</v>
      </c>
      <c r="J819">
        <f>VLOOKUP(B819, Products!$A$2:$E$100, 3, FALSE)</f>
        <v>5</v>
      </c>
      <c r="K819">
        <f>VLOOKUP(B819, Products!$A$2:$F$100, 4, FALSE)</f>
        <v>6</v>
      </c>
    </row>
    <row r="820" spans="1:11" x14ac:dyDescent="0.3">
      <c r="A820">
        <v>289</v>
      </c>
      <c r="B820">
        <v>3</v>
      </c>
      <c r="C820">
        <v>17</v>
      </c>
      <c r="D820" t="str">
        <f>VLOOKUP(B820, Products!$A$2:$C$100, 2, FALSE)</f>
        <v>Surly Wednesday Frameset - 2016</v>
      </c>
      <c r="E820">
        <v>1</v>
      </c>
      <c r="F820">
        <v>429</v>
      </c>
      <c r="G820">
        <v>0.2</v>
      </c>
      <c r="H820">
        <v>85.800000000000011</v>
      </c>
      <c r="I820">
        <f>order_items[[#This Row],[list_price]]-order_items[[#This Row],[Discounted_price]]</f>
        <v>343.2</v>
      </c>
      <c r="J820">
        <f>VLOOKUP(B820, Products!$A$2:$E$100, 3, FALSE)</f>
        <v>8</v>
      </c>
      <c r="K820">
        <f>VLOOKUP(B820, Products!$A$2:$F$100, 4, FALSE)</f>
        <v>6</v>
      </c>
    </row>
    <row r="821" spans="1:11" x14ac:dyDescent="0.3">
      <c r="A821">
        <v>290</v>
      </c>
      <c r="B821">
        <v>1</v>
      </c>
      <c r="C821">
        <v>2</v>
      </c>
      <c r="D821" t="str">
        <f>VLOOKUP(B821, Products!$A$2:$C$100, 2, FALSE)</f>
        <v>Trek 820 - 2016</v>
      </c>
      <c r="E821">
        <v>2</v>
      </c>
      <c r="F821">
        <v>749.99</v>
      </c>
      <c r="G821">
        <v>7.0000000000000007E-2</v>
      </c>
      <c r="H821">
        <v>52.499300000000005</v>
      </c>
      <c r="I821">
        <f>order_items[[#This Row],[list_price]]-order_items[[#This Row],[Discounted_price]]</f>
        <v>697.49070000000006</v>
      </c>
      <c r="J821">
        <f>VLOOKUP(B821, Products!$A$2:$E$100, 3, FALSE)</f>
        <v>9</v>
      </c>
      <c r="K821">
        <f>VLOOKUP(B821, Products!$A$2:$F$100, 4, FALSE)</f>
        <v>6</v>
      </c>
    </row>
    <row r="822" spans="1:11" x14ac:dyDescent="0.3">
      <c r="A822">
        <v>290</v>
      </c>
      <c r="B822">
        <v>2</v>
      </c>
      <c r="C822">
        <v>5</v>
      </c>
      <c r="D822" t="str">
        <f>VLOOKUP(B822, Products!$A$2:$C$100, 2, FALSE)</f>
        <v>Ritchey Timberwolf Frameset - 2016</v>
      </c>
      <c r="E822">
        <v>2</v>
      </c>
      <c r="F822">
        <v>1320.99</v>
      </c>
      <c r="G822">
        <v>7.0000000000000007E-2</v>
      </c>
      <c r="H822">
        <v>92.469300000000004</v>
      </c>
      <c r="I822">
        <f>order_items[[#This Row],[list_price]]-order_items[[#This Row],[Discounted_price]]</f>
        <v>1228.5207</v>
      </c>
      <c r="J822">
        <f>VLOOKUP(B822, Products!$A$2:$E$100, 3, FALSE)</f>
        <v>5</v>
      </c>
      <c r="K822">
        <f>VLOOKUP(B822, Products!$A$2:$F$100, 4, FALSE)</f>
        <v>6</v>
      </c>
    </row>
    <row r="823" spans="1:11" x14ac:dyDescent="0.3">
      <c r="A823">
        <v>290</v>
      </c>
      <c r="B823">
        <v>3</v>
      </c>
      <c r="C823">
        <v>21</v>
      </c>
      <c r="D823" t="str">
        <f>VLOOKUP(B823, Products!$A$2:$C$100, 2, FALSE)</f>
        <v>Surly Wednesday Frameset - 2016</v>
      </c>
      <c r="E823">
        <v>1</v>
      </c>
      <c r="F823">
        <v>269.99</v>
      </c>
      <c r="G823">
        <v>0.1</v>
      </c>
      <c r="H823">
        <v>26.999000000000002</v>
      </c>
      <c r="I823">
        <f>order_items[[#This Row],[list_price]]-order_items[[#This Row],[Discounted_price]]</f>
        <v>242.99100000000001</v>
      </c>
      <c r="J823">
        <f>VLOOKUP(B823, Products!$A$2:$E$100, 3, FALSE)</f>
        <v>8</v>
      </c>
      <c r="K823">
        <f>VLOOKUP(B823, Products!$A$2:$F$100, 4, FALSE)</f>
        <v>6</v>
      </c>
    </row>
    <row r="824" spans="1:11" x14ac:dyDescent="0.3">
      <c r="A824">
        <v>291</v>
      </c>
      <c r="B824">
        <v>1</v>
      </c>
      <c r="C824">
        <v>6</v>
      </c>
      <c r="D824" t="str">
        <f>VLOOKUP(B824, Products!$A$2:$C$100, 2, FALSE)</f>
        <v>Trek 820 - 2016</v>
      </c>
      <c r="E824">
        <v>2</v>
      </c>
      <c r="F824">
        <v>469.99</v>
      </c>
      <c r="G824">
        <v>0.05</v>
      </c>
      <c r="H824">
        <v>23.499500000000001</v>
      </c>
      <c r="I824">
        <f>order_items[[#This Row],[list_price]]-order_items[[#This Row],[Discounted_price]]</f>
        <v>446.4905</v>
      </c>
      <c r="J824">
        <f>VLOOKUP(B824, Products!$A$2:$E$100, 3, FALSE)</f>
        <v>9</v>
      </c>
      <c r="K824">
        <f>VLOOKUP(B824, Products!$A$2:$F$100, 4, FALSE)</f>
        <v>6</v>
      </c>
    </row>
    <row r="825" spans="1:11" x14ac:dyDescent="0.3">
      <c r="A825">
        <v>291</v>
      </c>
      <c r="B825">
        <v>2</v>
      </c>
      <c r="C825">
        <v>21</v>
      </c>
      <c r="D825" t="str">
        <f>VLOOKUP(B825, Products!$A$2:$C$100, 2, FALSE)</f>
        <v>Ritchey Timberwolf Frameset - 2016</v>
      </c>
      <c r="E825">
        <v>2</v>
      </c>
      <c r="F825">
        <v>269.99</v>
      </c>
      <c r="G825">
        <v>7.0000000000000007E-2</v>
      </c>
      <c r="H825">
        <v>18.899300000000004</v>
      </c>
      <c r="I825">
        <f>order_items[[#This Row],[list_price]]-order_items[[#This Row],[Discounted_price]]</f>
        <v>251.0907</v>
      </c>
      <c r="J825">
        <f>VLOOKUP(B825, Products!$A$2:$E$100, 3, FALSE)</f>
        <v>5</v>
      </c>
      <c r="K825">
        <f>VLOOKUP(B825, Products!$A$2:$F$100, 4, FALSE)</f>
        <v>6</v>
      </c>
    </row>
    <row r="826" spans="1:11" x14ac:dyDescent="0.3">
      <c r="A826">
        <v>292</v>
      </c>
      <c r="B826">
        <v>1</v>
      </c>
      <c r="C826">
        <v>18</v>
      </c>
      <c r="D826" t="str">
        <f>VLOOKUP(B826, Products!$A$2:$C$100, 2, FALSE)</f>
        <v>Trek 820 - 2016</v>
      </c>
      <c r="E826">
        <v>2</v>
      </c>
      <c r="F826">
        <v>449</v>
      </c>
      <c r="G826">
        <v>0.1</v>
      </c>
      <c r="H826">
        <v>44.900000000000006</v>
      </c>
      <c r="I826">
        <f>order_items[[#This Row],[list_price]]-order_items[[#This Row],[Discounted_price]]</f>
        <v>404.1</v>
      </c>
      <c r="J826">
        <f>VLOOKUP(B826, Products!$A$2:$E$100, 3, FALSE)</f>
        <v>9</v>
      </c>
      <c r="K826">
        <f>VLOOKUP(B826, Products!$A$2:$F$100, 4, FALSE)</f>
        <v>6</v>
      </c>
    </row>
    <row r="827" spans="1:11" x14ac:dyDescent="0.3">
      <c r="A827">
        <v>292</v>
      </c>
      <c r="B827">
        <v>2</v>
      </c>
      <c r="C827">
        <v>4</v>
      </c>
      <c r="D827" t="str">
        <f>VLOOKUP(B827, Products!$A$2:$C$100, 2, FALSE)</f>
        <v>Ritchey Timberwolf Frameset - 2016</v>
      </c>
      <c r="E827">
        <v>1</v>
      </c>
      <c r="F827">
        <v>2899.99</v>
      </c>
      <c r="G827">
        <v>7.0000000000000007E-2</v>
      </c>
      <c r="H827">
        <v>202.99930000000001</v>
      </c>
      <c r="I827">
        <f>order_items[[#This Row],[list_price]]-order_items[[#This Row],[Discounted_price]]</f>
        <v>2696.9906999999998</v>
      </c>
      <c r="J827">
        <f>VLOOKUP(B827, Products!$A$2:$E$100, 3, FALSE)</f>
        <v>5</v>
      </c>
      <c r="K827">
        <f>VLOOKUP(B827, Products!$A$2:$F$100, 4, FALSE)</f>
        <v>6</v>
      </c>
    </row>
    <row r="828" spans="1:11" x14ac:dyDescent="0.3">
      <c r="A828">
        <v>292</v>
      </c>
      <c r="B828">
        <v>3</v>
      </c>
      <c r="C828">
        <v>10</v>
      </c>
      <c r="D828" t="str">
        <f>VLOOKUP(B828, Products!$A$2:$C$100, 2, FALSE)</f>
        <v>Surly Wednesday Frameset - 2016</v>
      </c>
      <c r="E828">
        <v>2</v>
      </c>
      <c r="F828">
        <v>1549</v>
      </c>
      <c r="G828">
        <v>0.05</v>
      </c>
      <c r="H828">
        <v>77.45</v>
      </c>
      <c r="I828">
        <f>order_items[[#This Row],[list_price]]-order_items[[#This Row],[Discounted_price]]</f>
        <v>1471.55</v>
      </c>
      <c r="J828">
        <f>VLOOKUP(B828, Products!$A$2:$E$100, 3, FALSE)</f>
        <v>8</v>
      </c>
      <c r="K828">
        <f>VLOOKUP(B828, Products!$A$2:$F$100, 4, FALSE)</f>
        <v>6</v>
      </c>
    </row>
    <row r="829" spans="1:11" x14ac:dyDescent="0.3">
      <c r="A829">
        <v>293</v>
      </c>
      <c r="B829">
        <v>1</v>
      </c>
      <c r="C829">
        <v>19</v>
      </c>
      <c r="D829" t="str">
        <f>VLOOKUP(B829, Products!$A$2:$C$100, 2, FALSE)</f>
        <v>Trek 820 - 2016</v>
      </c>
      <c r="E829">
        <v>2</v>
      </c>
      <c r="F829">
        <v>449</v>
      </c>
      <c r="G829">
        <v>0.05</v>
      </c>
      <c r="H829">
        <v>22.450000000000003</v>
      </c>
      <c r="I829">
        <f>order_items[[#This Row],[list_price]]-order_items[[#This Row],[Discounted_price]]</f>
        <v>426.55</v>
      </c>
      <c r="J829">
        <f>VLOOKUP(B829, Products!$A$2:$E$100, 3, FALSE)</f>
        <v>9</v>
      </c>
      <c r="K829">
        <f>VLOOKUP(B829, Products!$A$2:$F$100, 4, FALSE)</f>
        <v>6</v>
      </c>
    </row>
    <row r="830" spans="1:11" x14ac:dyDescent="0.3">
      <c r="A830">
        <v>293</v>
      </c>
      <c r="B830">
        <v>2</v>
      </c>
      <c r="C830">
        <v>6</v>
      </c>
      <c r="D830" t="str">
        <f>VLOOKUP(B830, Products!$A$2:$C$100, 2, FALSE)</f>
        <v>Ritchey Timberwolf Frameset - 2016</v>
      </c>
      <c r="E830">
        <v>1</v>
      </c>
      <c r="F830">
        <v>469.99</v>
      </c>
      <c r="G830">
        <v>0.2</v>
      </c>
      <c r="H830">
        <v>93.998000000000005</v>
      </c>
      <c r="I830">
        <f>order_items[[#This Row],[list_price]]-order_items[[#This Row],[Discounted_price]]</f>
        <v>375.99200000000002</v>
      </c>
      <c r="J830">
        <f>VLOOKUP(B830, Products!$A$2:$E$100, 3, FALSE)</f>
        <v>5</v>
      </c>
      <c r="K830">
        <f>VLOOKUP(B830, Products!$A$2:$F$100, 4, FALSE)</f>
        <v>6</v>
      </c>
    </row>
    <row r="831" spans="1:11" x14ac:dyDescent="0.3">
      <c r="A831">
        <v>294</v>
      </c>
      <c r="B831">
        <v>1</v>
      </c>
      <c r="C831">
        <v>18</v>
      </c>
      <c r="D831" t="str">
        <f>VLOOKUP(B831, Products!$A$2:$C$100, 2, FALSE)</f>
        <v>Trek 820 - 2016</v>
      </c>
      <c r="E831">
        <v>1</v>
      </c>
      <c r="F831">
        <v>449</v>
      </c>
      <c r="G831">
        <v>0.2</v>
      </c>
      <c r="H831">
        <v>89.800000000000011</v>
      </c>
      <c r="I831">
        <f>order_items[[#This Row],[list_price]]-order_items[[#This Row],[Discounted_price]]</f>
        <v>359.2</v>
      </c>
      <c r="J831">
        <f>VLOOKUP(B831, Products!$A$2:$E$100, 3, FALSE)</f>
        <v>9</v>
      </c>
      <c r="K831">
        <f>VLOOKUP(B831, Products!$A$2:$F$100, 4, FALSE)</f>
        <v>6</v>
      </c>
    </row>
    <row r="832" spans="1:11" x14ac:dyDescent="0.3">
      <c r="A832">
        <v>294</v>
      </c>
      <c r="B832">
        <v>2</v>
      </c>
      <c r="C832">
        <v>14</v>
      </c>
      <c r="D832" t="str">
        <f>VLOOKUP(B832, Products!$A$2:$C$100, 2, FALSE)</f>
        <v>Ritchey Timberwolf Frameset - 2016</v>
      </c>
      <c r="E832">
        <v>1</v>
      </c>
      <c r="F832">
        <v>269.99</v>
      </c>
      <c r="G832">
        <v>0.2</v>
      </c>
      <c r="H832">
        <v>53.998000000000005</v>
      </c>
      <c r="I832">
        <f>order_items[[#This Row],[list_price]]-order_items[[#This Row],[Discounted_price]]</f>
        <v>215.99200000000002</v>
      </c>
      <c r="J832">
        <f>VLOOKUP(B832, Products!$A$2:$E$100, 3, FALSE)</f>
        <v>5</v>
      </c>
      <c r="K832">
        <f>VLOOKUP(B832, Products!$A$2:$F$100, 4, FALSE)</f>
        <v>6</v>
      </c>
    </row>
    <row r="833" spans="1:11" x14ac:dyDescent="0.3">
      <c r="A833">
        <v>294</v>
      </c>
      <c r="B833">
        <v>3</v>
      </c>
      <c r="C833">
        <v>7</v>
      </c>
      <c r="D833" t="str">
        <f>VLOOKUP(B833, Products!$A$2:$C$100, 2, FALSE)</f>
        <v>Surly Wednesday Frameset - 2016</v>
      </c>
      <c r="E833">
        <v>2</v>
      </c>
      <c r="F833">
        <v>3999.99</v>
      </c>
      <c r="G833">
        <v>0.05</v>
      </c>
      <c r="H833">
        <v>199.99950000000001</v>
      </c>
      <c r="I833">
        <f>order_items[[#This Row],[list_price]]-order_items[[#This Row],[Discounted_price]]</f>
        <v>3799.9904999999999</v>
      </c>
      <c r="J833">
        <f>VLOOKUP(B833, Products!$A$2:$E$100, 3, FALSE)</f>
        <v>8</v>
      </c>
      <c r="K833">
        <f>VLOOKUP(B833, Products!$A$2:$F$100, 4, FALSE)</f>
        <v>6</v>
      </c>
    </row>
    <row r="834" spans="1:11" x14ac:dyDescent="0.3">
      <c r="A834">
        <v>294</v>
      </c>
      <c r="B834">
        <v>4</v>
      </c>
      <c r="C834">
        <v>25</v>
      </c>
      <c r="D834" t="str">
        <f>VLOOKUP(B834, Products!$A$2:$C$100, 2, FALSE)</f>
        <v>Trek Fuel EX 8 29 - 2016</v>
      </c>
      <c r="E834">
        <v>2</v>
      </c>
      <c r="F834">
        <v>499.99</v>
      </c>
      <c r="G834">
        <v>0.2</v>
      </c>
      <c r="H834">
        <v>99.998000000000005</v>
      </c>
      <c r="I834">
        <f>order_items[[#This Row],[list_price]]-order_items[[#This Row],[Discounted_price]]</f>
        <v>399.99200000000002</v>
      </c>
      <c r="J834">
        <f>VLOOKUP(B834, Products!$A$2:$E$100, 3, FALSE)</f>
        <v>9</v>
      </c>
      <c r="K834">
        <f>VLOOKUP(B834, Products!$A$2:$F$100, 4, FALSE)</f>
        <v>6</v>
      </c>
    </row>
    <row r="835" spans="1:11" x14ac:dyDescent="0.3">
      <c r="A835">
        <v>295</v>
      </c>
      <c r="B835">
        <v>1</v>
      </c>
      <c r="C835">
        <v>22</v>
      </c>
      <c r="D835" t="str">
        <f>VLOOKUP(B835, Products!$A$2:$C$100, 2, FALSE)</f>
        <v>Trek 820 - 2016</v>
      </c>
      <c r="E835">
        <v>2</v>
      </c>
      <c r="F835">
        <v>269.99</v>
      </c>
      <c r="G835">
        <v>7.0000000000000007E-2</v>
      </c>
      <c r="H835">
        <v>18.899300000000004</v>
      </c>
      <c r="I835">
        <f>order_items[[#This Row],[list_price]]-order_items[[#This Row],[Discounted_price]]</f>
        <v>251.0907</v>
      </c>
      <c r="J835">
        <f>VLOOKUP(B835, Products!$A$2:$E$100, 3, FALSE)</f>
        <v>9</v>
      </c>
      <c r="K835">
        <f>VLOOKUP(B835, Products!$A$2:$F$100, 4, FALSE)</f>
        <v>6</v>
      </c>
    </row>
    <row r="836" spans="1:11" x14ac:dyDescent="0.3">
      <c r="A836">
        <v>296</v>
      </c>
      <c r="B836">
        <v>1</v>
      </c>
      <c r="C836">
        <v>25</v>
      </c>
      <c r="D836" t="str">
        <f>VLOOKUP(B836, Products!$A$2:$C$100, 2, FALSE)</f>
        <v>Trek 820 - 2016</v>
      </c>
      <c r="E836">
        <v>2</v>
      </c>
      <c r="F836">
        <v>499.99</v>
      </c>
      <c r="G836">
        <v>7.0000000000000007E-2</v>
      </c>
      <c r="H836">
        <v>34.999300000000005</v>
      </c>
      <c r="I836">
        <f>order_items[[#This Row],[list_price]]-order_items[[#This Row],[Discounted_price]]</f>
        <v>464.9907</v>
      </c>
      <c r="J836">
        <f>VLOOKUP(B836, Products!$A$2:$E$100, 3, FALSE)</f>
        <v>9</v>
      </c>
      <c r="K836">
        <f>VLOOKUP(B836, Products!$A$2:$F$100, 4, FALSE)</f>
        <v>6</v>
      </c>
    </row>
    <row r="837" spans="1:11" x14ac:dyDescent="0.3">
      <c r="A837">
        <v>296</v>
      </c>
      <c r="B837">
        <v>2</v>
      </c>
      <c r="C837">
        <v>12</v>
      </c>
      <c r="D837" t="str">
        <f>VLOOKUP(B837, Products!$A$2:$C$100, 2, FALSE)</f>
        <v>Ritchey Timberwolf Frameset - 2016</v>
      </c>
      <c r="E837">
        <v>2</v>
      </c>
      <c r="F837">
        <v>549.99</v>
      </c>
      <c r="G837">
        <v>0.1</v>
      </c>
      <c r="H837">
        <v>54.999000000000002</v>
      </c>
      <c r="I837">
        <f>order_items[[#This Row],[list_price]]-order_items[[#This Row],[Discounted_price]]</f>
        <v>494.99099999999999</v>
      </c>
      <c r="J837">
        <f>VLOOKUP(B837, Products!$A$2:$E$100, 3, FALSE)</f>
        <v>5</v>
      </c>
      <c r="K837">
        <f>VLOOKUP(B837, Products!$A$2:$F$100, 4, FALSE)</f>
        <v>6</v>
      </c>
    </row>
    <row r="838" spans="1:11" x14ac:dyDescent="0.3">
      <c r="A838">
        <v>296</v>
      </c>
      <c r="B838">
        <v>3</v>
      </c>
      <c r="C838">
        <v>11</v>
      </c>
      <c r="D838" t="str">
        <f>VLOOKUP(B838, Products!$A$2:$C$100, 2, FALSE)</f>
        <v>Surly Wednesday Frameset - 2016</v>
      </c>
      <c r="E838">
        <v>2</v>
      </c>
      <c r="F838">
        <v>1680.99</v>
      </c>
      <c r="G838">
        <v>0.1</v>
      </c>
      <c r="H838">
        <v>168.09900000000002</v>
      </c>
      <c r="I838">
        <f>order_items[[#This Row],[list_price]]-order_items[[#This Row],[Discounted_price]]</f>
        <v>1512.8910000000001</v>
      </c>
      <c r="J838">
        <f>VLOOKUP(B838, Products!$A$2:$E$100, 3, FALSE)</f>
        <v>8</v>
      </c>
      <c r="K838">
        <f>VLOOKUP(B838, Products!$A$2:$F$100, 4, FALSE)</f>
        <v>6</v>
      </c>
    </row>
    <row r="839" spans="1:11" x14ac:dyDescent="0.3">
      <c r="A839">
        <v>296</v>
      </c>
      <c r="B839">
        <v>4</v>
      </c>
      <c r="C839">
        <v>9</v>
      </c>
      <c r="D839" t="str">
        <f>VLOOKUP(B839, Products!$A$2:$C$100, 2, FALSE)</f>
        <v>Trek Fuel EX 8 29 - 2016</v>
      </c>
      <c r="E839">
        <v>1</v>
      </c>
      <c r="F839">
        <v>2999.99</v>
      </c>
      <c r="G839">
        <v>0.2</v>
      </c>
      <c r="H839">
        <v>599.99799999999993</v>
      </c>
      <c r="I839">
        <f>order_items[[#This Row],[list_price]]-order_items[[#This Row],[Discounted_price]]</f>
        <v>2399.9919999999997</v>
      </c>
      <c r="J839">
        <f>VLOOKUP(B839, Products!$A$2:$E$100, 3, FALSE)</f>
        <v>9</v>
      </c>
      <c r="K839">
        <f>VLOOKUP(B839, Products!$A$2:$F$100, 4, FALSE)</f>
        <v>6</v>
      </c>
    </row>
    <row r="840" spans="1:11" x14ac:dyDescent="0.3">
      <c r="A840">
        <v>297</v>
      </c>
      <c r="B840">
        <v>1</v>
      </c>
      <c r="C840">
        <v>4</v>
      </c>
      <c r="D840" t="str">
        <f>VLOOKUP(B840, Products!$A$2:$C$100, 2, FALSE)</f>
        <v>Trek 820 - 2016</v>
      </c>
      <c r="E840">
        <v>2</v>
      </c>
      <c r="F840">
        <v>2899.99</v>
      </c>
      <c r="G840">
        <v>0.2</v>
      </c>
      <c r="H840">
        <v>579.99799999999993</v>
      </c>
      <c r="I840">
        <f>order_items[[#This Row],[list_price]]-order_items[[#This Row],[Discounted_price]]</f>
        <v>2319.9919999999997</v>
      </c>
      <c r="J840">
        <f>VLOOKUP(B840, Products!$A$2:$E$100, 3, FALSE)</f>
        <v>9</v>
      </c>
      <c r="K840">
        <f>VLOOKUP(B840, Products!$A$2:$F$100, 4, FALSE)</f>
        <v>6</v>
      </c>
    </row>
    <row r="841" spans="1:11" x14ac:dyDescent="0.3">
      <c r="A841">
        <v>298</v>
      </c>
      <c r="B841">
        <v>1</v>
      </c>
      <c r="C841">
        <v>23</v>
      </c>
      <c r="D841" t="str">
        <f>VLOOKUP(B841, Products!$A$2:$C$100, 2, FALSE)</f>
        <v>Trek 820 - 2016</v>
      </c>
      <c r="E841">
        <v>1</v>
      </c>
      <c r="F841">
        <v>299.99</v>
      </c>
      <c r="G841">
        <v>0.2</v>
      </c>
      <c r="H841">
        <v>59.998000000000005</v>
      </c>
      <c r="I841">
        <f>order_items[[#This Row],[list_price]]-order_items[[#This Row],[Discounted_price]]</f>
        <v>239.99200000000002</v>
      </c>
      <c r="J841">
        <f>VLOOKUP(B841, Products!$A$2:$E$100, 3, FALSE)</f>
        <v>9</v>
      </c>
      <c r="K841">
        <f>VLOOKUP(B841, Products!$A$2:$F$100, 4, FALSE)</f>
        <v>6</v>
      </c>
    </row>
    <row r="842" spans="1:11" x14ac:dyDescent="0.3">
      <c r="A842">
        <v>298</v>
      </c>
      <c r="B842">
        <v>2</v>
      </c>
      <c r="C842">
        <v>6</v>
      </c>
      <c r="D842" t="str">
        <f>VLOOKUP(B842, Products!$A$2:$C$100, 2, FALSE)</f>
        <v>Ritchey Timberwolf Frameset - 2016</v>
      </c>
      <c r="E842">
        <v>2</v>
      </c>
      <c r="F842">
        <v>469.99</v>
      </c>
      <c r="G842">
        <v>0.05</v>
      </c>
      <c r="H842">
        <v>23.499500000000001</v>
      </c>
      <c r="I842">
        <f>order_items[[#This Row],[list_price]]-order_items[[#This Row],[Discounted_price]]</f>
        <v>446.4905</v>
      </c>
      <c r="J842">
        <f>VLOOKUP(B842, Products!$A$2:$E$100, 3, FALSE)</f>
        <v>5</v>
      </c>
      <c r="K842">
        <f>VLOOKUP(B842, Products!$A$2:$F$100, 4, FALSE)</f>
        <v>6</v>
      </c>
    </row>
    <row r="843" spans="1:11" x14ac:dyDescent="0.3">
      <c r="A843">
        <v>298</v>
      </c>
      <c r="B843">
        <v>3</v>
      </c>
      <c r="C843">
        <v>22</v>
      </c>
      <c r="D843" t="str">
        <f>VLOOKUP(B843, Products!$A$2:$C$100, 2, FALSE)</f>
        <v>Surly Wednesday Frameset - 2016</v>
      </c>
      <c r="E843">
        <v>1</v>
      </c>
      <c r="F843">
        <v>269.99</v>
      </c>
      <c r="G843">
        <v>0.2</v>
      </c>
      <c r="H843">
        <v>53.998000000000005</v>
      </c>
      <c r="I843">
        <f>order_items[[#This Row],[list_price]]-order_items[[#This Row],[Discounted_price]]</f>
        <v>215.99200000000002</v>
      </c>
      <c r="J843">
        <f>VLOOKUP(B843, Products!$A$2:$E$100, 3, FALSE)</f>
        <v>8</v>
      </c>
      <c r="K843">
        <f>VLOOKUP(B843, Products!$A$2:$F$100, 4, FALSE)</f>
        <v>6</v>
      </c>
    </row>
    <row r="844" spans="1:11" x14ac:dyDescent="0.3">
      <c r="A844">
        <v>298</v>
      </c>
      <c r="B844">
        <v>4</v>
      </c>
      <c r="C844">
        <v>9</v>
      </c>
      <c r="D844" t="str">
        <f>VLOOKUP(B844, Products!$A$2:$C$100, 2, FALSE)</f>
        <v>Trek Fuel EX 8 29 - 2016</v>
      </c>
      <c r="E844">
        <v>1</v>
      </c>
      <c r="F844">
        <v>2999.99</v>
      </c>
      <c r="G844">
        <v>7.0000000000000007E-2</v>
      </c>
      <c r="H844">
        <v>209.99930000000001</v>
      </c>
      <c r="I844">
        <f>order_items[[#This Row],[list_price]]-order_items[[#This Row],[Discounted_price]]</f>
        <v>2789.9906999999998</v>
      </c>
      <c r="J844">
        <f>VLOOKUP(B844, Products!$A$2:$E$100, 3, FALSE)</f>
        <v>9</v>
      </c>
      <c r="K844">
        <f>VLOOKUP(B844, Products!$A$2:$F$100, 4, FALSE)</f>
        <v>6</v>
      </c>
    </row>
    <row r="845" spans="1:11" x14ac:dyDescent="0.3">
      <c r="A845">
        <v>298</v>
      </c>
      <c r="B845">
        <v>5</v>
      </c>
      <c r="C845">
        <v>14</v>
      </c>
      <c r="D845" t="str">
        <f>VLOOKUP(B845, Products!$A$2:$C$100, 2, FALSE)</f>
        <v>Heller Shagamaw Frame - 2016</v>
      </c>
      <c r="E845">
        <v>2</v>
      </c>
      <c r="F845">
        <v>269.99</v>
      </c>
      <c r="G845">
        <v>0.1</v>
      </c>
      <c r="H845">
        <v>26.999000000000002</v>
      </c>
      <c r="I845">
        <f>order_items[[#This Row],[list_price]]-order_items[[#This Row],[Discounted_price]]</f>
        <v>242.99100000000001</v>
      </c>
      <c r="J845">
        <f>VLOOKUP(B845, Products!$A$2:$E$100, 3, FALSE)</f>
        <v>3</v>
      </c>
      <c r="K845">
        <f>VLOOKUP(B845, Products!$A$2:$F$100, 4, FALSE)</f>
        <v>6</v>
      </c>
    </row>
    <row r="846" spans="1:11" x14ac:dyDescent="0.3">
      <c r="A846">
        <v>299</v>
      </c>
      <c r="B846">
        <v>1</v>
      </c>
      <c r="C846">
        <v>11</v>
      </c>
      <c r="D846" t="str">
        <f>VLOOKUP(B846, Products!$A$2:$C$100, 2, FALSE)</f>
        <v>Trek 820 - 2016</v>
      </c>
      <c r="E846">
        <v>2</v>
      </c>
      <c r="F846">
        <v>1680.99</v>
      </c>
      <c r="G846">
        <v>0.05</v>
      </c>
      <c r="H846">
        <v>84.049500000000009</v>
      </c>
      <c r="I846">
        <f>order_items[[#This Row],[list_price]]-order_items[[#This Row],[Discounted_price]]</f>
        <v>1596.9404999999999</v>
      </c>
      <c r="J846">
        <f>VLOOKUP(B846, Products!$A$2:$E$100, 3, FALSE)</f>
        <v>9</v>
      </c>
      <c r="K846">
        <f>VLOOKUP(B846, Products!$A$2:$F$100, 4, FALSE)</f>
        <v>6</v>
      </c>
    </row>
    <row r="847" spans="1:11" x14ac:dyDescent="0.3">
      <c r="A847">
        <v>299</v>
      </c>
      <c r="B847">
        <v>2</v>
      </c>
      <c r="C847">
        <v>10</v>
      </c>
      <c r="D847" t="str">
        <f>VLOOKUP(B847, Products!$A$2:$C$100, 2, FALSE)</f>
        <v>Ritchey Timberwolf Frameset - 2016</v>
      </c>
      <c r="E847">
        <v>2</v>
      </c>
      <c r="F847">
        <v>1549</v>
      </c>
      <c r="G847">
        <v>0.2</v>
      </c>
      <c r="H847">
        <v>309.8</v>
      </c>
      <c r="I847">
        <f>order_items[[#This Row],[list_price]]-order_items[[#This Row],[Discounted_price]]</f>
        <v>1239.2</v>
      </c>
      <c r="J847">
        <f>VLOOKUP(B847, Products!$A$2:$E$100, 3, FALSE)</f>
        <v>5</v>
      </c>
      <c r="K847">
        <f>VLOOKUP(B847, Products!$A$2:$F$100, 4, FALSE)</f>
        <v>6</v>
      </c>
    </row>
    <row r="848" spans="1:11" x14ac:dyDescent="0.3">
      <c r="A848">
        <v>300</v>
      </c>
      <c r="B848">
        <v>1</v>
      </c>
      <c r="C848">
        <v>16</v>
      </c>
      <c r="D848" t="str">
        <f>VLOOKUP(B848, Products!$A$2:$C$100, 2, FALSE)</f>
        <v>Trek 820 - 2016</v>
      </c>
      <c r="E848">
        <v>2</v>
      </c>
      <c r="F848">
        <v>599.99</v>
      </c>
      <c r="G848">
        <v>0.1</v>
      </c>
      <c r="H848">
        <v>59.999000000000002</v>
      </c>
      <c r="I848">
        <f>order_items[[#This Row],[list_price]]-order_items[[#This Row],[Discounted_price]]</f>
        <v>539.99099999999999</v>
      </c>
      <c r="J848">
        <f>VLOOKUP(B848, Products!$A$2:$E$100, 3, FALSE)</f>
        <v>9</v>
      </c>
      <c r="K848">
        <f>VLOOKUP(B848, Products!$A$2:$F$100, 4, FALSE)</f>
        <v>6</v>
      </c>
    </row>
    <row r="849" spans="1:11" x14ac:dyDescent="0.3">
      <c r="A849">
        <v>300</v>
      </c>
      <c r="B849">
        <v>2</v>
      </c>
      <c r="C849">
        <v>9</v>
      </c>
      <c r="D849" t="str">
        <f>VLOOKUP(B849, Products!$A$2:$C$100, 2, FALSE)</f>
        <v>Ritchey Timberwolf Frameset - 2016</v>
      </c>
      <c r="E849">
        <v>2</v>
      </c>
      <c r="F849">
        <v>2999.99</v>
      </c>
      <c r="G849">
        <v>0.1</v>
      </c>
      <c r="H849">
        <v>299.99899999999997</v>
      </c>
      <c r="I849">
        <f>order_items[[#This Row],[list_price]]-order_items[[#This Row],[Discounted_price]]</f>
        <v>2699.991</v>
      </c>
      <c r="J849">
        <f>VLOOKUP(B849, Products!$A$2:$E$100, 3, FALSE)</f>
        <v>5</v>
      </c>
      <c r="K849">
        <f>VLOOKUP(B849, Products!$A$2:$F$100, 4, FALSE)</f>
        <v>6</v>
      </c>
    </row>
    <row r="850" spans="1:11" x14ac:dyDescent="0.3">
      <c r="A850">
        <v>300</v>
      </c>
      <c r="B850">
        <v>3</v>
      </c>
      <c r="C850">
        <v>10</v>
      </c>
      <c r="D850" t="str">
        <f>VLOOKUP(B850, Products!$A$2:$C$100, 2, FALSE)</f>
        <v>Surly Wednesday Frameset - 2016</v>
      </c>
      <c r="E850">
        <v>1</v>
      </c>
      <c r="F850">
        <v>1549</v>
      </c>
      <c r="G850">
        <v>0.1</v>
      </c>
      <c r="H850">
        <v>154.9</v>
      </c>
      <c r="I850">
        <f>order_items[[#This Row],[list_price]]-order_items[[#This Row],[Discounted_price]]</f>
        <v>1394.1</v>
      </c>
      <c r="J850">
        <f>VLOOKUP(B850, Products!$A$2:$E$100, 3, FALSE)</f>
        <v>8</v>
      </c>
      <c r="K850">
        <f>VLOOKUP(B850, Products!$A$2:$F$100, 4, FALSE)</f>
        <v>6</v>
      </c>
    </row>
    <row r="851" spans="1:11" x14ac:dyDescent="0.3">
      <c r="A851">
        <v>300</v>
      </c>
      <c r="B851">
        <v>4</v>
      </c>
      <c r="C851">
        <v>11</v>
      </c>
      <c r="D851" t="str">
        <f>VLOOKUP(B851, Products!$A$2:$C$100, 2, FALSE)</f>
        <v>Trek Fuel EX 8 29 - 2016</v>
      </c>
      <c r="E851">
        <v>2</v>
      </c>
      <c r="F851">
        <v>1680.99</v>
      </c>
      <c r="G851">
        <v>0.2</v>
      </c>
      <c r="H851">
        <v>336.19800000000004</v>
      </c>
      <c r="I851">
        <f>order_items[[#This Row],[list_price]]-order_items[[#This Row],[Discounted_price]]</f>
        <v>1344.7919999999999</v>
      </c>
      <c r="J851">
        <f>VLOOKUP(B851, Products!$A$2:$E$100, 3, FALSE)</f>
        <v>9</v>
      </c>
      <c r="K851">
        <f>VLOOKUP(B851, Products!$A$2:$F$100, 4, FALSE)</f>
        <v>6</v>
      </c>
    </row>
    <row r="852" spans="1:11" x14ac:dyDescent="0.3">
      <c r="A852">
        <v>301</v>
      </c>
      <c r="B852">
        <v>1</v>
      </c>
      <c r="C852">
        <v>6</v>
      </c>
      <c r="D852" t="str">
        <f>VLOOKUP(B852, Products!$A$2:$C$100, 2, FALSE)</f>
        <v>Trek 820 - 2016</v>
      </c>
      <c r="E852">
        <v>1</v>
      </c>
      <c r="F852">
        <v>469.99</v>
      </c>
      <c r="G852">
        <v>0.05</v>
      </c>
      <c r="H852">
        <v>23.499500000000001</v>
      </c>
      <c r="I852">
        <f>order_items[[#This Row],[list_price]]-order_items[[#This Row],[Discounted_price]]</f>
        <v>446.4905</v>
      </c>
      <c r="J852">
        <f>VLOOKUP(B852, Products!$A$2:$E$100, 3, FALSE)</f>
        <v>9</v>
      </c>
      <c r="K852">
        <f>VLOOKUP(B852, Products!$A$2:$F$100, 4, FALSE)</f>
        <v>6</v>
      </c>
    </row>
    <row r="853" spans="1:11" x14ac:dyDescent="0.3">
      <c r="A853">
        <v>301</v>
      </c>
      <c r="B853">
        <v>2</v>
      </c>
      <c r="C853">
        <v>22</v>
      </c>
      <c r="D853" t="str">
        <f>VLOOKUP(B853, Products!$A$2:$C$100, 2, FALSE)</f>
        <v>Ritchey Timberwolf Frameset - 2016</v>
      </c>
      <c r="E853">
        <v>1</v>
      </c>
      <c r="F853">
        <v>269.99</v>
      </c>
      <c r="G853">
        <v>0.1</v>
      </c>
      <c r="H853">
        <v>26.999000000000002</v>
      </c>
      <c r="I853">
        <f>order_items[[#This Row],[list_price]]-order_items[[#This Row],[Discounted_price]]</f>
        <v>242.99100000000001</v>
      </c>
      <c r="J853">
        <f>VLOOKUP(B853, Products!$A$2:$E$100, 3, FALSE)</f>
        <v>5</v>
      </c>
      <c r="K853">
        <f>VLOOKUP(B853, Products!$A$2:$F$100, 4, FALSE)</f>
        <v>6</v>
      </c>
    </row>
    <row r="854" spans="1:11" x14ac:dyDescent="0.3">
      <c r="A854">
        <v>302</v>
      </c>
      <c r="B854">
        <v>1</v>
      </c>
      <c r="C854">
        <v>24</v>
      </c>
      <c r="D854" t="str">
        <f>VLOOKUP(B854, Products!$A$2:$C$100, 2, FALSE)</f>
        <v>Trek 820 - 2016</v>
      </c>
      <c r="E854">
        <v>2</v>
      </c>
      <c r="F854">
        <v>549.99</v>
      </c>
      <c r="G854">
        <v>0.2</v>
      </c>
      <c r="H854">
        <v>109.998</v>
      </c>
      <c r="I854">
        <f>order_items[[#This Row],[list_price]]-order_items[[#This Row],[Discounted_price]]</f>
        <v>439.99200000000002</v>
      </c>
      <c r="J854">
        <f>VLOOKUP(B854, Products!$A$2:$E$100, 3, FALSE)</f>
        <v>9</v>
      </c>
      <c r="K854">
        <f>VLOOKUP(B854, Products!$A$2:$F$100, 4, FALSE)</f>
        <v>6</v>
      </c>
    </row>
    <row r="855" spans="1:11" x14ac:dyDescent="0.3">
      <c r="A855">
        <v>302</v>
      </c>
      <c r="B855">
        <v>2</v>
      </c>
      <c r="C855">
        <v>18</v>
      </c>
      <c r="D855" t="str">
        <f>VLOOKUP(B855, Products!$A$2:$C$100, 2, FALSE)</f>
        <v>Ritchey Timberwolf Frameset - 2016</v>
      </c>
      <c r="E855">
        <v>2</v>
      </c>
      <c r="F855">
        <v>449</v>
      </c>
      <c r="G855">
        <v>7.0000000000000007E-2</v>
      </c>
      <c r="H855">
        <v>31.430000000000003</v>
      </c>
      <c r="I855">
        <f>order_items[[#This Row],[list_price]]-order_items[[#This Row],[Discounted_price]]</f>
        <v>417.57</v>
      </c>
      <c r="J855">
        <f>VLOOKUP(B855, Products!$A$2:$E$100, 3, FALSE)</f>
        <v>5</v>
      </c>
      <c r="K855">
        <f>VLOOKUP(B855, Products!$A$2:$F$100, 4, FALSE)</f>
        <v>6</v>
      </c>
    </row>
    <row r="856" spans="1:11" x14ac:dyDescent="0.3">
      <c r="A856">
        <v>302</v>
      </c>
      <c r="B856">
        <v>3</v>
      </c>
      <c r="C856">
        <v>2</v>
      </c>
      <c r="D856" t="str">
        <f>VLOOKUP(B856, Products!$A$2:$C$100, 2, FALSE)</f>
        <v>Surly Wednesday Frameset - 2016</v>
      </c>
      <c r="E856">
        <v>2</v>
      </c>
      <c r="F856">
        <v>749.99</v>
      </c>
      <c r="G856">
        <v>0.2</v>
      </c>
      <c r="H856">
        <v>149.99800000000002</v>
      </c>
      <c r="I856">
        <f>order_items[[#This Row],[list_price]]-order_items[[#This Row],[Discounted_price]]</f>
        <v>599.99199999999996</v>
      </c>
      <c r="J856">
        <f>VLOOKUP(B856, Products!$A$2:$E$100, 3, FALSE)</f>
        <v>8</v>
      </c>
      <c r="K856">
        <f>VLOOKUP(B856, Products!$A$2:$F$100, 4, FALSE)</f>
        <v>6</v>
      </c>
    </row>
    <row r="857" spans="1:11" x14ac:dyDescent="0.3">
      <c r="A857">
        <v>303</v>
      </c>
      <c r="B857">
        <v>1</v>
      </c>
      <c r="C857">
        <v>8</v>
      </c>
      <c r="D857" t="str">
        <f>VLOOKUP(B857, Products!$A$2:$C$100, 2, FALSE)</f>
        <v>Trek 820 - 2016</v>
      </c>
      <c r="E857">
        <v>2</v>
      </c>
      <c r="F857">
        <v>1799.99</v>
      </c>
      <c r="G857">
        <v>0.05</v>
      </c>
      <c r="H857">
        <v>89.999500000000012</v>
      </c>
      <c r="I857">
        <f>order_items[[#This Row],[list_price]]-order_items[[#This Row],[Discounted_price]]</f>
        <v>1709.9904999999999</v>
      </c>
      <c r="J857">
        <f>VLOOKUP(B857, Products!$A$2:$E$100, 3, FALSE)</f>
        <v>9</v>
      </c>
      <c r="K857">
        <f>VLOOKUP(B857, Products!$A$2:$F$100, 4, FALSE)</f>
        <v>6</v>
      </c>
    </row>
    <row r="858" spans="1:11" x14ac:dyDescent="0.3">
      <c r="A858">
        <v>303</v>
      </c>
      <c r="B858">
        <v>2</v>
      </c>
      <c r="C858">
        <v>24</v>
      </c>
      <c r="D858" t="str">
        <f>VLOOKUP(B858, Products!$A$2:$C$100, 2, FALSE)</f>
        <v>Ritchey Timberwolf Frameset - 2016</v>
      </c>
      <c r="E858">
        <v>2</v>
      </c>
      <c r="F858">
        <v>549.99</v>
      </c>
      <c r="G858">
        <v>0.05</v>
      </c>
      <c r="H858">
        <v>27.499500000000001</v>
      </c>
      <c r="I858">
        <f>order_items[[#This Row],[list_price]]-order_items[[#This Row],[Discounted_price]]</f>
        <v>522.4905</v>
      </c>
      <c r="J858">
        <f>VLOOKUP(B858, Products!$A$2:$E$100, 3, FALSE)</f>
        <v>5</v>
      </c>
      <c r="K858">
        <f>VLOOKUP(B858, Products!$A$2:$F$100, 4, FALSE)</f>
        <v>6</v>
      </c>
    </row>
    <row r="859" spans="1:11" x14ac:dyDescent="0.3">
      <c r="A859">
        <v>304</v>
      </c>
      <c r="B859">
        <v>1</v>
      </c>
      <c r="C859">
        <v>10</v>
      </c>
      <c r="D859" t="str">
        <f>VLOOKUP(B859, Products!$A$2:$C$100, 2, FALSE)</f>
        <v>Trek 820 - 2016</v>
      </c>
      <c r="E859">
        <v>1</v>
      </c>
      <c r="F859">
        <v>1549</v>
      </c>
      <c r="G859">
        <v>0.05</v>
      </c>
      <c r="H859">
        <v>77.45</v>
      </c>
      <c r="I859">
        <f>order_items[[#This Row],[list_price]]-order_items[[#This Row],[Discounted_price]]</f>
        <v>1471.55</v>
      </c>
      <c r="J859">
        <f>VLOOKUP(B859, Products!$A$2:$E$100, 3, FALSE)</f>
        <v>9</v>
      </c>
      <c r="K859">
        <f>VLOOKUP(B859, Products!$A$2:$F$100, 4, FALSE)</f>
        <v>6</v>
      </c>
    </row>
    <row r="860" spans="1:11" x14ac:dyDescent="0.3">
      <c r="A860">
        <v>304</v>
      </c>
      <c r="B860">
        <v>2</v>
      </c>
      <c r="C860">
        <v>7</v>
      </c>
      <c r="D860" t="str">
        <f>VLOOKUP(B860, Products!$A$2:$C$100, 2, FALSE)</f>
        <v>Ritchey Timberwolf Frameset - 2016</v>
      </c>
      <c r="E860">
        <v>2</v>
      </c>
      <c r="F860">
        <v>3999.99</v>
      </c>
      <c r="G860">
        <v>0.1</v>
      </c>
      <c r="H860">
        <v>399.99900000000002</v>
      </c>
      <c r="I860">
        <f>order_items[[#This Row],[list_price]]-order_items[[#This Row],[Discounted_price]]</f>
        <v>3599.991</v>
      </c>
      <c r="J860">
        <f>VLOOKUP(B860, Products!$A$2:$E$100, 3, FALSE)</f>
        <v>5</v>
      </c>
      <c r="K860">
        <f>VLOOKUP(B860, Products!$A$2:$F$100, 4, FALSE)</f>
        <v>6</v>
      </c>
    </row>
    <row r="861" spans="1:11" x14ac:dyDescent="0.3">
      <c r="A861">
        <v>304</v>
      </c>
      <c r="B861">
        <v>3</v>
      </c>
      <c r="C861">
        <v>20</v>
      </c>
      <c r="D861" t="str">
        <f>VLOOKUP(B861, Products!$A$2:$C$100, 2, FALSE)</f>
        <v>Surly Wednesday Frameset - 2016</v>
      </c>
      <c r="E861">
        <v>1</v>
      </c>
      <c r="F861">
        <v>599.99</v>
      </c>
      <c r="G861">
        <v>0.1</v>
      </c>
      <c r="H861">
        <v>59.999000000000002</v>
      </c>
      <c r="I861">
        <f>order_items[[#This Row],[list_price]]-order_items[[#This Row],[Discounted_price]]</f>
        <v>539.99099999999999</v>
      </c>
      <c r="J861">
        <f>VLOOKUP(B861, Products!$A$2:$E$100, 3, FALSE)</f>
        <v>8</v>
      </c>
      <c r="K861">
        <f>VLOOKUP(B861, Products!$A$2:$F$100, 4, FALSE)</f>
        <v>6</v>
      </c>
    </row>
    <row r="862" spans="1:11" x14ac:dyDescent="0.3">
      <c r="A862">
        <v>305</v>
      </c>
      <c r="B862">
        <v>1</v>
      </c>
      <c r="C862">
        <v>10</v>
      </c>
      <c r="D862" t="str">
        <f>VLOOKUP(B862, Products!$A$2:$C$100, 2, FALSE)</f>
        <v>Trek 820 - 2016</v>
      </c>
      <c r="E862">
        <v>1</v>
      </c>
      <c r="F862">
        <v>1549</v>
      </c>
      <c r="G862">
        <v>7.0000000000000007E-2</v>
      </c>
      <c r="H862">
        <v>108.43</v>
      </c>
      <c r="I862">
        <f>order_items[[#This Row],[list_price]]-order_items[[#This Row],[Discounted_price]]</f>
        <v>1440.57</v>
      </c>
      <c r="J862">
        <f>VLOOKUP(B862, Products!$A$2:$E$100, 3, FALSE)</f>
        <v>9</v>
      </c>
      <c r="K862">
        <f>VLOOKUP(B862, Products!$A$2:$F$100, 4, FALSE)</f>
        <v>6</v>
      </c>
    </row>
    <row r="863" spans="1:11" x14ac:dyDescent="0.3">
      <c r="A863">
        <v>305</v>
      </c>
      <c r="B863">
        <v>2</v>
      </c>
      <c r="C863">
        <v>6</v>
      </c>
      <c r="D863" t="str">
        <f>VLOOKUP(B863, Products!$A$2:$C$100, 2, FALSE)</f>
        <v>Ritchey Timberwolf Frameset - 2016</v>
      </c>
      <c r="E863">
        <v>1</v>
      </c>
      <c r="F863">
        <v>469.99</v>
      </c>
      <c r="G863">
        <v>0.1</v>
      </c>
      <c r="H863">
        <v>46.999000000000002</v>
      </c>
      <c r="I863">
        <f>order_items[[#This Row],[list_price]]-order_items[[#This Row],[Discounted_price]]</f>
        <v>422.99099999999999</v>
      </c>
      <c r="J863">
        <f>VLOOKUP(B863, Products!$A$2:$E$100, 3, FALSE)</f>
        <v>5</v>
      </c>
      <c r="K863">
        <f>VLOOKUP(B863, Products!$A$2:$F$100, 4, FALSE)</f>
        <v>6</v>
      </c>
    </row>
    <row r="864" spans="1:11" x14ac:dyDescent="0.3">
      <c r="A864">
        <v>305</v>
      </c>
      <c r="B864">
        <v>3</v>
      </c>
      <c r="C864">
        <v>3</v>
      </c>
      <c r="D864" t="str">
        <f>VLOOKUP(B864, Products!$A$2:$C$100, 2, FALSE)</f>
        <v>Surly Wednesday Frameset - 2016</v>
      </c>
      <c r="E864">
        <v>2</v>
      </c>
      <c r="F864">
        <v>999.99</v>
      </c>
      <c r="G864">
        <v>0.2</v>
      </c>
      <c r="H864">
        <v>199.99800000000002</v>
      </c>
      <c r="I864">
        <f>order_items[[#This Row],[list_price]]-order_items[[#This Row],[Discounted_price]]</f>
        <v>799.99199999999996</v>
      </c>
      <c r="J864">
        <f>VLOOKUP(B864, Products!$A$2:$E$100, 3, FALSE)</f>
        <v>8</v>
      </c>
      <c r="K864">
        <f>VLOOKUP(B864, Products!$A$2:$F$100, 4, FALSE)</f>
        <v>6</v>
      </c>
    </row>
    <row r="865" spans="1:11" x14ac:dyDescent="0.3">
      <c r="A865">
        <v>306</v>
      </c>
      <c r="B865">
        <v>1</v>
      </c>
      <c r="C865">
        <v>10</v>
      </c>
      <c r="D865" t="str">
        <f>VLOOKUP(B865, Products!$A$2:$C$100, 2, FALSE)</f>
        <v>Trek 820 - 2016</v>
      </c>
      <c r="E865">
        <v>1</v>
      </c>
      <c r="F865">
        <v>1549</v>
      </c>
      <c r="G865">
        <v>0.2</v>
      </c>
      <c r="H865">
        <v>309.8</v>
      </c>
      <c r="I865">
        <f>order_items[[#This Row],[list_price]]-order_items[[#This Row],[Discounted_price]]</f>
        <v>1239.2</v>
      </c>
      <c r="J865">
        <f>VLOOKUP(B865, Products!$A$2:$E$100, 3, FALSE)</f>
        <v>9</v>
      </c>
      <c r="K865">
        <f>VLOOKUP(B865, Products!$A$2:$F$100, 4, FALSE)</f>
        <v>6</v>
      </c>
    </row>
    <row r="866" spans="1:11" x14ac:dyDescent="0.3">
      <c r="A866">
        <v>306</v>
      </c>
      <c r="B866">
        <v>2</v>
      </c>
      <c r="C866">
        <v>22</v>
      </c>
      <c r="D866" t="str">
        <f>VLOOKUP(B866, Products!$A$2:$C$100, 2, FALSE)</f>
        <v>Ritchey Timberwolf Frameset - 2016</v>
      </c>
      <c r="E866">
        <v>1</v>
      </c>
      <c r="F866">
        <v>269.99</v>
      </c>
      <c r="G866">
        <v>7.0000000000000007E-2</v>
      </c>
      <c r="H866">
        <v>18.899300000000004</v>
      </c>
      <c r="I866">
        <f>order_items[[#This Row],[list_price]]-order_items[[#This Row],[Discounted_price]]</f>
        <v>251.0907</v>
      </c>
      <c r="J866">
        <f>VLOOKUP(B866, Products!$A$2:$E$100, 3, FALSE)</f>
        <v>5</v>
      </c>
      <c r="K866">
        <f>VLOOKUP(B866, Products!$A$2:$F$100, 4, FALSE)</f>
        <v>6</v>
      </c>
    </row>
    <row r="867" spans="1:11" x14ac:dyDescent="0.3">
      <c r="A867">
        <v>307</v>
      </c>
      <c r="B867">
        <v>1</v>
      </c>
      <c r="C867">
        <v>15</v>
      </c>
      <c r="D867" t="str">
        <f>VLOOKUP(B867, Products!$A$2:$C$100, 2, FALSE)</f>
        <v>Trek 820 - 2016</v>
      </c>
      <c r="E867">
        <v>2</v>
      </c>
      <c r="F867">
        <v>529.99</v>
      </c>
      <c r="G867">
        <v>0.05</v>
      </c>
      <c r="H867">
        <v>26.499500000000001</v>
      </c>
      <c r="I867">
        <f>order_items[[#This Row],[list_price]]-order_items[[#This Row],[Discounted_price]]</f>
        <v>503.4905</v>
      </c>
      <c r="J867">
        <f>VLOOKUP(B867, Products!$A$2:$E$100, 3, FALSE)</f>
        <v>9</v>
      </c>
      <c r="K867">
        <f>VLOOKUP(B867, Products!$A$2:$F$100, 4, FALSE)</f>
        <v>6</v>
      </c>
    </row>
    <row r="868" spans="1:11" x14ac:dyDescent="0.3">
      <c r="A868">
        <v>308</v>
      </c>
      <c r="B868">
        <v>1</v>
      </c>
      <c r="C868">
        <v>7</v>
      </c>
      <c r="D868" t="str">
        <f>VLOOKUP(B868, Products!$A$2:$C$100, 2, FALSE)</f>
        <v>Trek 820 - 2016</v>
      </c>
      <c r="E868">
        <v>1</v>
      </c>
      <c r="F868">
        <v>3999.99</v>
      </c>
      <c r="G868">
        <v>0.1</v>
      </c>
      <c r="H868">
        <v>399.99900000000002</v>
      </c>
      <c r="I868">
        <f>order_items[[#This Row],[list_price]]-order_items[[#This Row],[Discounted_price]]</f>
        <v>3599.991</v>
      </c>
      <c r="J868">
        <f>VLOOKUP(B868, Products!$A$2:$E$100, 3, FALSE)</f>
        <v>9</v>
      </c>
      <c r="K868">
        <f>VLOOKUP(B868, Products!$A$2:$F$100, 4, FALSE)</f>
        <v>6</v>
      </c>
    </row>
    <row r="869" spans="1:11" x14ac:dyDescent="0.3">
      <c r="A869">
        <v>308</v>
      </c>
      <c r="B869">
        <v>2</v>
      </c>
      <c r="C869">
        <v>18</v>
      </c>
      <c r="D869" t="str">
        <f>VLOOKUP(B869, Products!$A$2:$C$100, 2, FALSE)</f>
        <v>Ritchey Timberwolf Frameset - 2016</v>
      </c>
      <c r="E869">
        <v>2</v>
      </c>
      <c r="F869">
        <v>449</v>
      </c>
      <c r="G869">
        <v>0.2</v>
      </c>
      <c r="H869">
        <v>89.800000000000011</v>
      </c>
      <c r="I869">
        <f>order_items[[#This Row],[list_price]]-order_items[[#This Row],[Discounted_price]]</f>
        <v>359.2</v>
      </c>
      <c r="J869">
        <f>VLOOKUP(B869, Products!$A$2:$E$100, 3, FALSE)</f>
        <v>5</v>
      </c>
      <c r="K869">
        <f>VLOOKUP(B869, Products!$A$2:$F$100, 4, FALSE)</f>
        <v>6</v>
      </c>
    </row>
    <row r="870" spans="1:11" x14ac:dyDescent="0.3">
      <c r="A870">
        <v>308</v>
      </c>
      <c r="B870">
        <v>3</v>
      </c>
      <c r="C870">
        <v>14</v>
      </c>
      <c r="D870" t="str">
        <f>VLOOKUP(B870, Products!$A$2:$C$100, 2, FALSE)</f>
        <v>Surly Wednesday Frameset - 2016</v>
      </c>
      <c r="E870">
        <v>1</v>
      </c>
      <c r="F870">
        <v>269.99</v>
      </c>
      <c r="G870">
        <v>0.2</v>
      </c>
      <c r="H870">
        <v>53.998000000000005</v>
      </c>
      <c r="I870">
        <f>order_items[[#This Row],[list_price]]-order_items[[#This Row],[Discounted_price]]</f>
        <v>215.99200000000002</v>
      </c>
      <c r="J870">
        <f>VLOOKUP(B870, Products!$A$2:$E$100, 3, FALSE)</f>
        <v>8</v>
      </c>
      <c r="K870">
        <f>VLOOKUP(B870, Products!$A$2:$F$100, 4, FALSE)</f>
        <v>6</v>
      </c>
    </row>
    <row r="871" spans="1:11" x14ac:dyDescent="0.3">
      <c r="A871">
        <v>309</v>
      </c>
      <c r="B871">
        <v>1</v>
      </c>
      <c r="C871">
        <v>3</v>
      </c>
      <c r="D871" t="str">
        <f>VLOOKUP(B871, Products!$A$2:$C$100, 2, FALSE)</f>
        <v>Trek 820 - 2016</v>
      </c>
      <c r="E871">
        <v>1</v>
      </c>
      <c r="F871">
        <v>999.99</v>
      </c>
      <c r="G871">
        <v>0.05</v>
      </c>
      <c r="H871">
        <v>49.999500000000005</v>
      </c>
      <c r="I871">
        <f>order_items[[#This Row],[list_price]]-order_items[[#This Row],[Discounted_price]]</f>
        <v>949.9905</v>
      </c>
      <c r="J871">
        <f>VLOOKUP(B871, Products!$A$2:$E$100, 3, FALSE)</f>
        <v>9</v>
      </c>
      <c r="K871">
        <f>VLOOKUP(B871, Products!$A$2:$F$100, 4, FALSE)</f>
        <v>6</v>
      </c>
    </row>
    <row r="872" spans="1:11" x14ac:dyDescent="0.3">
      <c r="A872">
        <v>309</v>
      </c>
      <c r="B872">
        <v>2</v>
      </c>
      <c r="C872">
        <v>12</v>
      </c>
      <c r="D872" t="str">
        <f>VLOOKUP(B872, Products!$A$2:$C$100, 2, FALSE)</f>
        <v>Ritchey Timberwolf Frameset - 2016</v>
      </c>
      <c r="E872">
        <v>1</v>
      </c>
      <c r="F872">
        <v>549.99</v>
      </c>
      <c r="G872">
        <v>0.05</v>
      </c>
      <c r="H872">
        <v>27.499500000000001</v>
      </c>
      <c r="I872">
        <f>order_items[[#This Row],[list_price]]-order_items[[#This Row],[Discounted_price]]</f>
        <v>522.4905</v>
      </c>
      <c r="J872">
        <f>VLOOKUP(B872, Products!$A$2:$E$100, 3, FALSE)</f>
        <v>5</v>
      </c>
      <c r="K872">
        <f>VLOOKUP(B872, Products!$A$2:$F$100, 4, FALSE)</f>
        <v>6</v>
      </c>
    </row>
    <row r="873" spans="1:11" x14ac:dyDescent="0.3">
      <c r="A873">
        <v>310</v>
      </c>
      <c r="B873">
        <v>1</v>
      </c>
      <c r="C873">
        <v>7</v>
      </c>
      <c r="D873" t="str">
        <f>VLOOKUP(B873, Products!$A$2:$C$100, 2, FALSE)</f>
        <v>Trek 820 - 2016</v>
      </c>
      <c r="E873">
        <v>2</v>
      </c>
      <c r="F873">
        <v>3999.99</v>
      </c>
      <c r="G873">
        <v>7.0000000000000007E-2</v>
      </c>
      <c r="H873">
        <v>279.99930000000001</v>
      </c>
      <c r="I873">
        <f>order_items[[#This Row],[list_price]]-order_items[[#This Row],[Discounted_price]]</f>
        <v>3719.9906999999998</v>
      </c>
      <c r="J873">
        <f>VLOOKUP(B873, Products!$A$2:$E$100, 3, FALSE)</f>
        <v>9</v>
      </c>
      <c r="K873">
        <f>VLOOKUP(B873, Products!$A$2:$F$100, 4, FALSE)</f>
        <v>6</v>
      </c>
    </row>
    <row r="874" spans="1:11" x14ac:dyDescent="0.3">
      <c r="A874">
        <v>310</v>
      </c>
      <c r="B874">
        <v>2</v>
      </c>
      <c r="C874">
        <v>14</v>
      </c>
      <c r="D874" t="str">
        <f>VLOOKUP(B874, Products!$A$2:$C$100, 2, FALSE)</f>
        <v>Ritchey Timberwolf Frameset - 2016</v>
      </c>
      <c r="E874">
        <v>2</v>
      </c>
      <c r="F874">
        <v>269.99</v>
      </c>
      <c r="G874">
        <v>0.1</v>
      </c>
      <c r="H874">
        <v>26.999000000000002</v>
      </c>
      <c r="I874">
        <f>order_items[[#This Row],[list_price]]-order_items[[#This Row],[Discounted_price]]</f>
        <v>242.99100000000001</v>
      </c>
      <c r="J874">
        <f>VLOOKUP(B874, Products!$A$2:$E$100, 3, FALSE)</f>
        <v>5</v>
      </c>
      <c r="K874">
        <f>VLOOKUP(B874, Products!$A$2:$F$100, 4, FALSE)</f>
        <v>6</v>
      </c>
    </row>
    <row r="875" spans="1:11" x14ac:dyDescent="0.3">
      <c r="A875">
        <v>310</v>
      </c>
      <c r="B875">
        <v>3</v>
      </c>
      <c r="C875">
        <v>5</v>
      </c>
      <c r="D875" t="str">
        <f>VLOOKUP(B875, Products!$A$2:$C$100, 2, FALSE)</f>
        <v>Surly Wednesday Frameset - 2016</v>
      </c>
      <c r="E875">
        <v>2</v>
      </c>
      <c r="F875">
        <v>1320.99</v>
      </c>
      <c r="G875">
        <v>0.2</v>
      </c>
      <c r="H875">
        <v>264.19800000000004</v>
      </c>
      <c r="I875">
        <f>order_items[[#This Row],[list_price]]-order_items[[#This Row],[Discounted_price]]</f>
        <v>1056.7919999999999</v>
      </c>
      <c r="J875">
        <f>VLOOKUP(B875, Products!$A$2:$E$100, 3, FALSE)</f>
        <v>8</v>
      </c>
      <c r="K875">
        <f>VLOOKUP(B875, Products!$A$2:$F$100, 4, FALSE)</f>
        <v>6</v>
      </c>
    </row>
    <row r="876" spans="1:11" x14ac:dyDescent="0.3">
      <c r="A876">
        <v>310</v>
      </c>
      <c r="B876">
        <v>4</v>
      </c>
      <c r="C876">
        <v>8</v>
      </c>
      <c r="D876" t="str">
        <f>VLOOKUP(B876, Products!$A$2:$C$100, 2, FALSE)</f>
        <v>Trek Fuel EX 8 29 - 2016</v>
      </c>
      <c r="E876">
        <v>1</v>
      </c>
      <c r="F876">
        <v>1799.99</v>
      </c>
      <c r="G876">
        <v>0.2</v>
      </c>
      <c r="H876">
        <v>359.99800000000005</v>
      </c>
      <c r="I876">
        <f>order_items[[#This Row],[list_price]]-order_items[[#This Row],[Discounted_price]]</f>
        <v>1439.992</v>
      </c>
      <c r="J876">
        <f>VLOOKUP(B876, Products!$A$2:$E$100, 3, FALSE)</f>
        <v>9</v>
      </c>
      <c r="K876">
        <f>VLOOKUP(B876, Products!$A$2:$F$100, 4, FALSE)</f>
        <v>6</v>
      </c>
    </row>
    <row r="877" spans="1:11" x14ac:dyDescent="0.3">
      <c r="A877">
        <v>311</v>
      </c>
      <c r="B877">
        <v>1</v>
      </c>
      <c r="C877">
        <v>17</v>
      </c>
      <c r="D877" t="str">
        <f>VLOOKUP(B877, Products!$A$2:$C$100, 2, FALSE)</f>
        <v>Trek 820 - 2016</v>
      </c>
      <c r="E877">
        <v>2</v>
      </c>
      <c r="F877">
        <v>429</v>
      </c>
      <c r="G877">
        <v>0.05</v>
      </c>
      <c r="H877">
        <v>21.450000000000003</v>
      </c>
      <c r="I877">
        <f>order_items[[#This Row],[list_price]]-order_items[[#This Row],[Discounted_price]]</f>
        <v>407.55</v>
      </c>
      <c r="J877">
        <f>VLOOKUP(B877, Products!$A$2:$E$100, 3, FALSE)</f>
        <v>9</v>
      </c>
      <c r="K877">
        <f>VLOOKUP(B877, Products!$A$2:$F$100, 4, FALSE)</f>
        <v>6</v>
      </c>
    </row>
    <row r="878" spans="1:11" x14ac:dyDescent="0.3">
      <c r="A878">
        <v>311</v>
      </c>
      <c r="B878">
        <v>2</v>
      </c>
      <c r="C878">
        <v>5</v>
      </c>
      <c r="D878" t="str">
        <f>VLOOKUP(B878, Products!$A$2:$C$100, 2, FALSE)</f>
        <v>Ritchey Timberwolf Frameset - 2016</v>
      </c>
      <c r="E878">
        <v>2</v>
      </c>
      <c r="F878">
        <v>1320.99</v>
      </c>
      <c r="G878">
        <v>0.2</v>
      </c>
      <c r="H878">
        <v>264.19800000000004</v>
      </c>
      <c r="I878">
        <f>order_items[[#This Row],[list_price]]-order_items[[#This Row],[Discounted_price]]</f>
        <v>1056.7919999999999</v>
      </c>
      <c r="J878">
        <f>VLOOKUP(B878, Products!$A$2:$E$100, 3, FALSE)</f>
        <v>5</v>
      </c>
      <c r="K878">
        <f>VLOOKUP(B878, Products!$A$2:$F$100, 4, FALSE)</f>
        <v>6</v>
      </c>
    </row>
    <row r="879" spans="1:11" x14ac:dyDescent="0.3">
      <c r="A879">
        <v>312</v>
      </c>
      <c r="B879">
        <v>1</v>
      </c>
      <c r="C879">
        <v>24</v>
      </c>
      <c r="D879" t="str">
        <f>VLOOKUP(B879, Products!$A$2:$C$100, 2, FALSE)</f>
        <v>Trek 820 - 2016</v>
      </c>
      <c r="E879">
        <v>2</v>
      </c>
      <c r="F879">
        <v>549.99</v>
      </c>
      <c r="G879">
        <v>0.05</v>
      </c>
      <c r="H879">
        <v>27.499500000000001</v>
      </c>
      <c r="I879">
        <f>order_items[[#This Row],[list_price]]-order_items[[#This Row],[Discounted_price]]</f>
        <v>522.4905</v>
      </c>
      <c r="J879">
        <f>VLOOKUP(B879, Products!$A$2:$E$100, 3, FALSE)</f>
        <v>9</v>
      </c>
      <c r="K879">
        <f>VLOOKUP(B879, Products!$A$2:$F$100, 4, FALSE)</f>
        <v>6</v>
      </c>
    </row>
    <row r="880" spans="1:11" x14ac:dyDescent="0.3">
      <c r="A880">
        <v>312</v>
      </c>
      <c r="B880">
        <v>2</v>
      </c>
      <c r="C880">
        <v>14</v>
      </c>
      <c r="D880" t="str">
        <f>VLOOKUP(B880, Products!$A$2:$C$100, 2, FALSE)</f>
        <v>Ritchey Timberwolf Frameset - 2016</v>
      </c>
      <c r="E880">
        <v>2</v>
      </c>
      <c r="F880">
        <v>269.99</v>
      </c>
      <c r="G880">
        <v>7.0000000000000007E-2</v>
      </c>
      <c r="H880">
        <v>18.899300000000004</v>
      </c>
      <c r="I880">
        <f>order_items[[#This Row],[list_price]]-order_items[[#This Row],[Discounted_price]]</f>
        <v>251.0907</v>
      </c>
      <c r="J880">
        <f>VLOOKUP(B880, Products!$A$2:$E$100, 3, FALSE)</f>
        <v>5</v>
      </c>
      <c r="K880">
        <f>VLOOKUP(B880, Products!$A$2:$F$100, 4, FALSE)</f>
        <v>6</v>
      </c>
    </row>
    <row r="881" spans="1:11" x14ac:dyDescent="0.3">
      <c r="A881">
        <v>312</v>
      </c>
      <c r="B881">
        <v>3</v>
      </c>
      <c r="C881">
        <v>16</v>
      </c>
      <c r="D881" t="str">
        <f>VLOOKUP(B881, Products!$A$2:$C$100, 2, FALSE)</f>
        <v>Surly Wednesday Frameset - 2016</v>
      </c>
      <c r="E881">
        <v>2</v>
      </c>
      <c r="F881">
        <v>599.99</v>
      </c>
      <c r="G881">
        <v>0.05</v>
      </c>
      <c r="H881">
        <v>29.999500000000001</v>
      </c>
      <c r="I881">
        <f>order_items[[#This Row],[list_price]]-order_items[[#This Row],[Discounted_price]]</f>
        <v>569.9905</v>
      </c>
      <c r="J881">
        <f>VLOOKUP(B881, Products!$A$2:$E$100, 3, FALSE)</f>
        <v>8</v>
      </c>
      <c r="K881">
        <f>VLOOKUP(B881, Products!$A$2:$F$100, 4, FALSE)</f>
        <v>6</v>
      </c>
    </row>
    <row r="882" spans="1:11" x14ac:dyDescent="0.3">
      <c r="A882">
        <v>313</v>
      </c>
      <c r="B882">
        <v>1</v>
      </c>
      <c r="C882">
        <v>4</v>
      </c>
      <c r="D882" t="str">
        <f>VLOOKUP(B882, Products!$A$2:$C$100, 2, FALSE)</f>
        <v>Trek 820 - 2016</v>
      </c>
      <c r="E882">
        <v>1</v>
      </c>
      <c r="F882">
        <v>2899.99</v>
      </c>
      <c r="G882">
        <v>7.0000000000000007E-2</v>
      </c>
      <c r="H882">
        <v>202.99930000000001</v>
      </c>
      <c r="I882">
        <f>order_items[[#This Row],[list_price]]-order_items[[#This Row],[Discounted_price]]</f>
        <v>2696.9906999999998</v>
      </c>
      <c r="J882">
        <f>VLOOKUP(B882, Products!$A$2:$E$100, 3, FALSE)</f>
        <v>9</v>
      </c>
      <c r="K882">
        <f>VLOOKUP(B882, Products!$A$2:$F$100, 4, FALSE)</f>
        <v>6</v>
      </c>
    </row>
    <row r="883" spans="1:11" x14ac:dyDescent="0.3">
      <c r="A883">
        <v>313</v>
      </c>
      <c r="B883">
        <v>2</v>
      </c>
      <c r="C883">
        <v>10</v>
      </c>
      <c r="D883" t="str">
        <f>VLOOKUP(B883, Products!$A$2:$C$100, 2, FALSE)</f>
        <v>Ritchey Timberwolf Frameset - 2016</v>
      </c>
      <c r="E883">
        <v>2</v>
      </c>
      <c r="F883">
        <v>1549</v>
      </c>
      <c r="G883">
        <v>7.0000000000000007E-2</v>
      </c>
      <c r="H883">
        <v>108.43</v>
      </c>
      <c r="I883">
        <f>order_items[[#This Row],[list_price]]-order_items[[#This Row],[Discounted_price]]</f>
        <v>1440.57</v>
      </c>
      <c r="J883">
        <f>VLOOKUP(B883, Products!$A$2:$E$100, 3, FALSE)</f>
        <v>5</v>
      </c>
      <c r="K883">
        <f>VLOOKUP(B883, Products!$A$2:$F$100, 4, FALSE)</f>
        <v>6</v>
      </c>
    </row>
    <row r="884" spans="1:11" x14ac:dyDescent="0.3">
      <c r="A884">
        <v>314</v>
      </c>
      <c r="B884">
        <v>1</v>
      </c>
      <c r="C884">
        <v>5</v>
      </c>
      <c r="D884" t="str">
        <f>VLOOKUP(B884, Products!$A$2:$C$100, 2, FALSE)</f>
        <v>Trek 820 - 2016</v>
      </c>
      <c r="E884">
        <v>1</v>
      </c>
      <c r="F884">
        <v>1320.99</v>
      </c>
      <c r="G884">
        <v>7.0000000000000007E-2</v>
      </c>
      <c r="H884">
        <v>92.469300000000004</v>
      </c>
      <c r="I884">
        <f>order_items[[#This Row],[list_price]]-order_items[[#This Row],[Discounted_price]]</f>
        <v>1228.5207</v>
      </c>
      <c r="J884">
        <f>VLOOKUP(B884, Products!$A$2:$E$100, 3, FALSE)</f>
        <v>9</v>
      </c>
      <c r="K884">
        <f>VLOOKUP(B884, Products!$A$2:$F$100, 4, FALSE)</f>
        <v>6</v>
      </c>
    </row>
    <row r="885" spans="1:11" x14ac:dyDescent="0.3">
      <c r="A885">
        <v>314</v>
      </c>
      <c r="B885">
        <v>2</v>
      </c>
      <c r="C885">
        <v>9</v>
      </c>
      <c r="D885" t="str">
        <f>VLOOKUP(B885, Products!$A$2:$C$100, 2, FALSE)</f>
        <v>Ritchey Timberwolf Frameset - 2016</v>
      </c>
      <c r="E885">
        <v>1</v>
      </c>
      <c r="F885">
        <v>2999.99</v>
      </c>
      <c r="G885">
        <v>0.05</v>
      </c>
      <c r="H885">
        <v>149.99949999999998</v>
      </c>
      <c r="I885">
        <f>order_items[[#This Row],[list_price]]-order_items[[#This Row],[Discounted_price]]</f>
        <v>2849.9904999999999</v>
      </c>
      <c r="J885">
        <f>VLOOKUP(B885, Products!$A$2:$E$100, 3, FALSE)</f>
        <v>5</v>
      </c>
      <c r="K885">
        <f>VLOOKUP(B885, Products!$A$2:$F$100, 4, FALSE)</f>
        <v>6</v>
      </c>
    </row>
    <row r="886" spans="1:11" x14ac:dyDescent="0.3">
      <c r="A886">
        <v>314</v>
      </c>
      <c r="B886">
        <v>3</v>
      </c>
      <c r="C886">
        <v>22</v>
      </c>
      <c r="D886" t="str">
        <f>VLOOKUP(B886, Products!$A$2:$C$100, 2, FALSE)</f>
        <v>Surly Wednesday Frameset - 2016</v>
      </c>
      <c r="E886">
        <v>2</v>
      </c>
      <c r="F886">
        <v>269.99</v>
      </c>
      <c r="G886">
        <v>0.2</v>
      </c>
      <c r="H886">
        <v>53.998000000000005</v>
      </c>
      <c r="I886">
        <f>order_items[[#This Row],[list_price]]-order_items[[#This Row],[Discounted_price]]</f>
        <v>215.99200000000002</v>
      </c>
      <c r="J886">
        <f>VLOOKUP(B886, Products!$A$2:$E$100, 3, FALSE)</f>
        <v>8</v>
      </c>
      <c r="K886">
        <f>VLOOKUP(B886, Products!$A$2:$F$100, 4, FALSE)</f>
        <v>6</v>
      </c>
    </row>
    <row r="887" spans="1:11" x14ac:dyDescent="0.3">
      <c r="A887">
        <v>314</v>
      </c>
      <c r="B887">
        <v>4</v>
      </c>
      <c r="C887">
        <v>7</v>
      </c>
      <c r="D887" t="str">
        <f>VLOOKUP(B887, Products!$A$2:$C$100, 2, FALSE)</f>
        <v>Trek Fuel EX 8 29 - 2016</v>
      </c>
      <c r="E887">
        <v>2</v>
      </c>
      <c r="F887">
        <v>3999.99</v>
      </c>
      <c r="G887">
        <v>7.0000000000000007E-2</v>
      </c>
      <c r="H887">
        <v>279.99930000000001</v>
      </c>
      <c r="I887">
        <f>order_items[[#This Row],[list_price]]-order_items[[#This Row],[Discounted_price]]</f>
        <v>3719.9906999999998</v>
      </c>
      <c r="J887">
        <f>VLOOKUP(B887, Products!$A$2:$E$100, 3, FALSE)</f>
        <v>9</v>
      </c>
      <c r="K887">
        <f>VLOOKUP(B887, Products!$A$2:$F$100, 4, FALSE)</f>
        <v>6</v>
      </c>
    </row>
    <row r="888" spans="1:11" x14ac:dyDescent="0.3">
      <c r="A888">
        <v>315</v>
      </c>
      <c r="B888">
        <v>1</v>
      </c>
      <c r="C888">
        <v>11</v>
      </c>
      <c r="D888" t="str">
        <f>VLOOKUP(B888, Products!$A$2:$C$100, 2, FALSE)</f>
        <v>Trek 820 - 2016</v>
      </c>
      <c r="E888">
        <v>1</v>
      </c>
      <c r="F888">
        <v>1680.99</v>
      </c>
      <c r="G888">
        <v>0.2</v>
      </c>
      <c r="H888">
        <v>336.19800000000004</v>
      </c>
      <c r="I888">
        <f>order_items[[#This Row],[list_price]]-order_items[[#This Row],[Discounted_price]]</f>
        <v>1344.7919999999999</v>
      </c>
      <c r="J888">
        <f>VLOOKUP(B888, Products!$A$2:$E$100, 3, FALSE)</f>
        <v>9</v>
      </c>
      <c r="K888">
        <f>VLOOKUP(B888, Products!$A$2:$F$100, 4, FALSE)</f>
        <v>6</v>
      </c>
    </row>
    <row r="889" spans="1:11" x14ac:dyDescent="0.3">
      <c r="A889">
        <v>315</v>
      </c>
      <c r="B889">
        <v>2</v>
      </c>
      <c r="C889">
        <v>9</v>
      </c>
      <c r="D889" t="str">
        <f>VLOOKUP(B889, Products!$A$2:$C$100, 2, FALSE)</f>
        <v>Ritchey Timberwolf Frameset - 2016</v>
      </c>
      <c r="E889">
        <v>1</v>
      </c>
      <c r="F889">
        <v>2999.99</v>
      </c>
      <c r="G889">
        <v>0.1</v>
      </c>
      <c r="H889">
        <v>299.99899999999997</v>
      </c>
      <c r="I889">
        <f>order_items[[#This Row],[list_price]]-order_items[[#This Row],[Discounted_price]]</f>
        <v>2699.991</v>
      </c>
      <c r="J889">
        <f>VLOOKUP(B889, Products!$A$2:$E$100, 3, FALSE)</f>
        <v>5</v>
      </c>
      <c r="K889">
        <f>VLOOKUP(B889, Products!$A$2:$F$100, 4, FALSE)</f>
        <v>6</v>
      </c>
    </row>
    <row r="890" spans="1:11" x14ac:dyDescent="0.3">
      <c r="A890">
        <v>316</v>
      </c>
      <c r="B890">
        <v>1</v>
      </c>
      <c r="C890">
        <v>2</v>
      </c>
      <c r="D890" t="str">
        <f>VLOOKUP(B890, Products!$A$2:$C$100, 2, FALSE)</f>
        <v>Trek 820 - 2016</v>
      </c>
      <c r="E890">
        <v>2</v>
      </c>
      <c r="F890">
        <v>749.99</v>
      </c>
      <c r="G890">
        <v>0.2</v>
      </c>
      <c r="H890">
        <v>149.99800000000002</v>
      </c>
      <c r="I890">
        <f>order_items[[#This Row],[list_price]]-order_items[[#This Row],[Discounted_price]]</f>
        <v>599.99199999999996</v>
      </c>
      <c r="J890">
        <f>VLOOKUP(B890, Products!$A$2:$E$100, 3, FALSE)</f>
        <v>9</v>
      </c>
      <c r="K890">
        <f>VLOOKUP(B890, Products!$A$2:$F$100, 4, FALSE)</f>
        <v>6</v>
      </c>
    </row>
    <row r="891" spans="1:11" x14ac:dyDescent="0.3">
      <c r="A891">
        <v>316</v>
      </c>
      <c r="B891">
        <v>2</v>
      </c>
      <c r="C891">
        <v>16</v>
      </c>
      <c r="D891" t="str">
        <f>VLOOKUP(B891, Products!$A$2:$C$100, 2, FALSE)</f>
        <v>Ritchey Timberwolf Frameset - 2016</v>
      </c>
      <c r="E891">
        <v>2</v>
      </c>
      <c r="F891">
        <v>599.99</v>
      </c>
      <c r="G891">
        <v>0.1</v>
      </c>
      <c r="H891">
        <v>59.999000000000002</v>
      </c>
      <c r="I891">
        <f>order_items[[#This Row],[list_price]]-order_items[[#This Row],[Discounted_price]]</f>
        <v>539.99099999999999</v>
      </c>
      <c r="J891">
        <f>VLOOKUP(B891, Products!$A$2:$E$100, 3, FALSE)</f>
        <v>5</v>
      </c>
      <c r="K891">
        <f>VLOOKUP(B891, Products!$A$2:$F$100, 4, FALSE)</f>
        <v>6</v>
      </c>
    </row>
    <row r="892" spans="1:11" x14ac:dyDescent="0.3">
      <c r="A892">
        <v>316</v>
      </c>
      <c r="B892">
        <v>3</v>
      </c>
      <c r="C892">
        <v>20</v>
      </c>
      <c r="D892" t="str">
        <f>VLOOKUP(B892, Products!$A$2:$C$100, 2, FALSE)</f>
        <v>Surly Wednesday Frameset - 2016</v>
      </c>
      <c r="E892">
        <v>1</v>
      </c>
      <c r="F892">
        <v>599.99</v>
      </c>
      <c r="G892">
        <v>0.1</v>
      </c>
      <c r="H892">
        <v>59.999000000000002</v>
      </c>
      <c r="I892">
        <f>order_items[[#This Row],[list_price]]-order_items[[#This Row],[Discounted_price]]</f>
        <v>539.99099999999999</v>
      </c>
      <c r="J892">
        <f>VLOOKUP(B892, Products!$A$2:$E$100, 3, FALSE)</f>
        <v>8</v>
      </c>
      <c r="K892">
        <f>VLOOKUP(B892, Products!$A$2:$F$100, 4, FALSE)</f>
        <v>6</v>
      </c>
    </row>
    <row r="893" spans="1:11" x14ac:dyDescent="0.3">
      <c r="A893">
        <v>316</v>
      </c>
      <c r="B893">
        <v>4</v>
      </c>
      <c r="C893">
        <v>19</v>
      </c>
      <c r="D893" t="str">
        <f>VLOOKUP(B893, Products!$A$2:$C$100, 2, FALSE)</f>
        <v>Trek Fuel EX 8 29 - 2016</v>
      </c>
      <c r="E893">
        <v>1</v>
      </c>
      <c r="F893">
        <v>449</v>
      </c>
      <c r="G893">
        <v>0.2</v>
      </c>
      <c r="H893">
        <v>89.800000000000011</v>
      </c>
      <c r="I893">
        <f>order_items[[#This Row],[list_price]]-order_items[[#This Row],[Discounted_price]]</f>
        <v>359.2</v>
      </c>
      <c r="J893">
        <f>VLOOKUP(B893, Products!$A$2:$E$100, 3, FALSE)</f>
        <v>9</v>
      </c>
      <c r="K893">
        <f>VLOOKUP(B893, Products!$A$2:$F$100, 4, FALSE)</f>
        <v>6</v>
      </c>
    </row>
    <row r="894" spans="1:11" x14ac:dyDescent="0.3">
      <c r="A894">
        <v>316</v>
      </c>
      <c r="B894">
        <v>5</v>
      </c>
      <c r="C894">
        <v>17</v>
      </c>
      <c r="D894" t="str">
        <f>VLOOKUP(B894, Products!$A$2:$C$100, 2, FALSE)</f>
        <v>Heller Shagamaw Frame - 2016</v>
      </c>
      <c r="E894">
        <v>1</v>
      </c>
      <c r="F894">
        <v>429</v>
      </c>
      <c r="G894">
        <v>0.05</v>
      </c>
      <c r="H894">
        <v>21.450000000000003</v>
      </c>
      <c r="I894">
        <f>order_items[[#This Row],[list_price]]-order_items[[#This Row],[Discounted_price]]</f>
        <v>407.55</v>
      </c>
      <c r="J894">
        <f>VLOOKUP(B894, Products!$A$2:$E$100, 3, FALSE)</f>
        <v>3</v>
      </c>
      <c r="K894">
        <f>VLOOKUP(B894, Products!$A$2:$F$100, 4, FALSE)</f>
        <v>6</v>
      </c>
    </row>
    <row r="895" spans="1:11" x14ac:dyDescent="0.3">
      <c r="A895">
        <v>317</v>
      </c>
      <c r="B895">
        <v>1</v>
      </c>
      <c r="C895">
        <v>10</v>
      </c>
      <c r="D895" t="str">
        <f>VLOOKUP(B895, Products!$A$2:$C$100, 2, FALSE)</f>
        <v>Trek 820 - 2016</v>
      </c>
      <c r="E895">
        <v>1</v>
      </c>
      <c r="F895">
        <v>1549</v>
      </c>
      <c r="G895">
        <v>0.2</v>
      </c>
      <c r="H895">
        <v>309.8</v>
      </c>
      <c r="I895">
        <f>order_items[[#This Row],[list_price]]-order_items[[#This Row],[Discounted_price]]</f>
        <v>1239.2</v>
      </c>
      <c r="J895">
        <f>VLOOKUP(B895, Products!$A$2:$E$100, 3, FALSE)</f>
        <v>9</v>
      </c>
      <c r="K895">
        <f>VLOOKUP(B895, Products!$A$2:$F$100, 4, FALSE)</f>
        <v>6</v>
      </c>
    </row>
    <row r="896" spans="1:11" x14ac:dyDescent="0.3">
      <c r="A896">
        <v>317</v>
      </c>
      <c r="B896">
        <v>2</v>
      </c>
      <c r="C896">
        <v>22</v>
      </c>
      <c r="D896" t="str">
        <f>VLOOKUP(B896, Products!$A$2:$C$100, 2, FALSE)</f>
        <v>Ritchey Timberwolf Frameset - 2016</v>
      </c>
      <c r="E896">
        <v>1</v>
      </c>
      <c r="F896">
        <v>269.99</v>
      </c>
      <c r="G896">
        <v>0.05</v>
      </c>
      <c r="H896">
        <v>13.499500000000001</v>
      </c>
      <c r="I896">
        <f>order_items[[#This Row],[list_price]]-order_items[[#This Row],[Discounted_price]]</f>
        <v>256.4905</v>
      </c>
      <c r="J896">
        <f>VLOOKUP(B896, Products!$A$2:$E$100, 3, FALSE)</f>
        <v>5</v>
      </c>
      <c r="K896">
        <f>VLOOKUP(B896, Products!$A$2:$F$100, 4, FALSE)</f>
        <v>6</v>
      </c>
    </row>
    <row r="897" spans="1:11" x14ac:dyDescent="0.3">
      <c r="A897">
        <v>317</v>
      </c>
      <c r="B897">
        <v>3</v>
      </c>
      <c r="C897">
        <v>15</v>
      </c>
      <c r="D897" t="str">
        <f>VLOOKUP(B897, Products!$A$2:$C$100, 2, FALSE)</f>
        <v>Surly Wednesday Frameset - 2016</v>
      </c>
      <c r="E897">
        <v>1</v>
      </c>
      <c r="F897">
        <v>529.99</v>
      </c>
      <c r="G897">
        <v>0.05</v>
      </c>
      <c r="H897">
        <v>26.499500000000001</v>
      </c>
      <c r="I897">
        <f>order_items[[#This Row],[list_price]]-order_items[[#This Row],[Discounted_price]]</f>
        <v>503.4905</v>
      </c>
      <c r="J897">
        <f>VLOOKUP(B897, Products!$A$2:$E$100, 3, FALSE)</f>
        <v>8</v>
      </c>
      <c r="K897">
        <f>VLOOKUP(B897, Products!$A$2:$F$100, 4, FALSE)</f>
        <v>6</v>
      </c>
    </row>
    <row r="898" spans="1:11" x14ac:dyDescent="0.3">
      <c r="A898">
        <v>317</v>
      </c>
      <c r="B898">
        <v>4</v>
      </c>
      <c r="C898">
        <v>13</v>
      </c>
      <c r="D898" t="str">
        <f>VLOOKUP(B898, Products!$A$2:$C$100, 2, FALSE)</f>
        <v>Trek Fuel EX 8 29 - 2016</v>
      </c>
      <c r="E898">
        <v>2</v>
      </c>
      <c r="F898">
        <v>269.99</v>
      </c>
      <c r="G898">
        <v>0.2</v>
      </c>
      <c r="H898">
        <v>53.998000000000005</v>
      </c>
      <c r="I898">
        <f>order_items[[#This Row],[list_price]]-order_items[[#This Row],[Discounted_price]]</f>
        <v>215.99200000000002</v>
      </c>
      <c r="J898">
        <f>VLOOKUP(B898, Products!$A$2:$E$100, 3, FALSE)</f>
        <v>9</v>
      </c>
      <c r="K898">
        <f>VLOOKUP(B898, Products!$A$2:$F$100, 4, FALSE)</f>
        <v>6</v>
      </c>
    </row>
    <row r="899" spans="1:11" x14ac:dyDescent="0.3">
      <c r="A899">
        <v>318</v>
      </c>
      <c r="B899">
        <v>1</v>
      </c>
      <c r="C899">
        <v>13</v>
      </c>
      <c r="D899" t="str">
        <f>VLOOKUP(B899, Products!$A$2:$C$100, 2, FALSE)</f>
        <v>Trek 820 - 2016</v>
      </c>
      <c r="E899">
        <v>2</v>
      </c>
      <c r="F899">
        <v>269.99</v>
      </c>
      <c r="G899">
        <v>0.1</v>
      </c>
      <c r="H899">
        <v>26.999000000000002</v>
      </c>
      <c r="I899">
        <f>order_items[[#This Row],[list_price]]-order_items[[#This Row],[Discounted_price]]</f>
        <v>242.99100000000001</v>
      </c>
      <c r="J899">
        <f>VLOOKUP(B899, Products!$A$2:$E$100, 3, FALSE)</f>
        <v>9</v>
      </c>
      <c r="K899">
        <f>VLOOKUP(B899, Products!$A$2:$F$100, 4, FALSE)</f>
        <v>6</v>
      </c>
    </row>
    <row r="900" spans="1:11" x14ac:dyDescent="0.3">
      <c r="A900">
        <v>318</v>
      </c>
      <c r="B900">
        <v>2</v>
      </c>
      <c r="C900">
        <v>25</v>
      </c>
      <c r="D900" t="str">
        <f>VLOOKUP(B900, Products!$A$2:$C$100, 2, FALSE)</f>
        <v>Ritchey Timberwolf Frameset - 2016</v>
      </c>
      <c r="E900">
        <v>2</v>
      </c>
      <c r="F900">
        <v>499.99</v>
      </c>
      <c r="G900">
        <v>0.2</v>
      </c>
      <c r="H900">
        <v>99.998000000000005</v>
      </c>
      <c r="I900">
        <f>order_items[[#This Row],[list_price]]-order_items[[#This Row],[Discounted_price]]</f>
        <v>399.99200000000002</v>
      </c>
      <c r="J900">
        <f>VLOOKUP(B900, Products!$A$2:$E$100, 3, FALSE)</f>
        <v>5</v>
      </c>
      <c r="K900">
        <f>VLOOKUP(B900, Products!$A$2:$F$100, 4, FALSE)</f>
        <v>6</v>
      </c>
    </row>
    <row r="901" spans="1:11" x14ac:dyDescent="0.3">
      <c r="A901">
        <v>318</v>
      </c>
      <c r="B901">
        <v>3</v>
      </c>
      <c r="C901">
        <v>9</v>
      </c>
      <c r="D901" t="str">
        <f>VLOOKUP(B901, Products!$A$2:$C$100, 2, FALSE)</f>
        <v>Surly Wednesday Frameset - 2016</v>
      </c>
      <c r="E901">
        <v>1</v>
      </c>
      <c r="F901">
        <v>2999.99</v>
      </c>
      <c r="G901">
        <v>0.05</v>
      </c>
      <c r="H901">
        <v>149.99949999999998</v>
      </c>
      <c r="I901">
        <f>order_items[[#This Row],[list_price]]-order_items[[#This Row],[Discounted_price]]</f>
        <v>2849.9904999999999</v>
      </c>
      <c r="J901">
        <f>VLOOKUP(B901, Products!$A$2:$E$100, 3, FALSE)</f>
        <v>8</v>
      </c>
      <c r="K901">
        <f>VLOOKUP(B901, Products!$A$2:$F$100, 4, FALSE)</f>
        <v>6</v>
      </c>
    </row>
    <row r="902" spans="1:11" x14ac:dyDescent="0.3">
      <c r="A902">
        <v>319</v>
      </c>
      <c r="B902">
        <v>1</v>
      </c>
      <c r="C902">
        <v>11</v>
      </c>
      <c r="D902" t="str">
        <f>VLOOKUP(B902, Products!$A$2:$C$100, 2, FALSE)</f>
        <v>Trek 820 - 2016</v>
      </c>
      <c r="E902">
        <v>1</v>
      </c>
      <c r="F902">
        <v>1680.99</v>
      </c>
      <c r="G902">
        <v>7.0000000000000007E-2</v>
      </c>
      <c r="H902">
        <v>117.66930000000001</v>
      </c>
      <c r="I902">
        <f>order_items[[#This Row],[list_price]]-order_items[[#This Row],[Discounted_price]]</f>
        <v>1563.3207</v>
      </c>
      <c r="J902">
        <f>VLOOKUP(B902, Products!$A$2:$E$100, 3, FALSE)</f>
        <v>9</v>
      </c>
      <c r="K902">
        <f>VLOOKUP(B902, Products!$A$2:$F$100, 4, FALSE)</f>
        <v>6</v>
      </c>
    </row>
    <row r="903" spans="1:11" x14ac:dyDescent="0.3">
      <c r="A903">
        <v>319</v>
      </c>
      <c r="B903">
        <v>2</v>
      </c>
      <c r="C903">
        <v>21</v>
      </c>
      <c r="D903" t="str">
        <f>VLOOKUP(B903, Products!$A$2:$C$100, 2, FALSE)</f>
        <v>Ritchey Timberwolf Frameset - 2016</v>
      </c>
      <c r="E903">
        <v>1</v>
      </c>
      <c r="F903">
        <v>269.99</v>
      </c>
      <c r="G903">
        <v>0.2</v>
      </c>
      <c r="H903">
        <v>53.998000000000005</v>
      </c>
      <c r="I903">
        <f>order_items[[#This Row],[list_price]]-order_items[[#This Row],[Discounted_price]]</f>
        <v>215.99200000000002</v>
      </c>
      <c r="J903">
        <f>VLOOKUP(B903, Products!$A$2:$E$100, 3, FALSE)</f>
        <v>5</v>
      </c>
      <c r="K903">
        <f>VLOOKUP(B903, Products!$A$2:$F$100, 4, FALSE)</f>
        <v>6</v>
      </c>
    </row>
    <row r="904" spans="1:11" x14ac:dyDescent="0.3">
      <c r="A904">
        <v>319</v>
      </c>
      <c r="B904">
        <v>3</v>
      </c>
      <c r="C904">
        <v>15</v>
      </c>
      <c r="D904" t="str">
        <f>VLOOKUP(B904, Products!$A$2:$C$100, 2, FALSE)</f>
        <v>Surly Wednesday Frameset - 2016</v>
      </c>
      <c r="E904">
        <v>2</v>
      </c>
      <c r="F904">
        <v>529.99</v>
      </c>
      <c r="G904">
        <v>0.1</v>
      </c>
      <c r="H904">
        <v>52.999000000000002</v>
      </c>
      <c r="I904">
        <f>order_items[[#This Row],[list_price]]-order_items[[#This Row],[Discounted_price]]</f>
        <v>476.99099999999999</v>
      </c>
      <c r="J904">
        <f>VLOOKUP(B904, Products!$A$2:$E$100, 3, FALSE)</f>
        <v>8</v>
      </c>
      <c r="K904">
        <f>VLOOKUP(B904, Products!$A$2:$F$100, 4, FALSE)</f>
        <v>6</v>
      </c>
    </row>
    <row r="905" spans="1:11" x14ac:dyDescent="0.3">
      <c r="A905">
        <v>319</v>
      </c>
      <c r="B905">
        <v>4</v>
      </c>
      <c r="C905">
        <v>23</v>
      </c>
      <c r="D905" t="str">
        <f>VLOOKUP(B905, Products!$A$2:$C$100, 2, FALSE)</f>
        <v>Trek Fuel EX 8 29 - 2016</v>
      </c>
      <c r="E905">
        <v>1</v>
      </c>
      <c r="F905">
        <v>299.99</v>
      </c>
      <c r="G905">
        <v>0.05</v>
      </c>
      <c r="H905">
        <v>14.999500000000001</v>
      </c>
      <c r="I905">
        <f>order_items[[#This Row],[list_price]]-order_items[[#This Row],[Discounted_price]]</f>
        <v>284.9905</v>
      </c>
      <c r="J905">
        <f>VLOOKUP(B905, Products!$A$2:$E$100, 3, FALSE)</f>
        <v>9</v>
      </c>
      <c r="K905">
        <f>VLOOKUP(B905, Products!$A$2:$F$100, 4, FALSE)</f>
        <v>6</v>
      </c>
    </row>
    <row r="906" spans="1:11" x14ac:dyDescent="0.3">
      <c r="A906">
        <v>320</v>
      </c>
      <c r="B906">
        <v>1</v>
      </c>
      <c r="C906">
        <v>2</v>
      </c>
      <c r="D906" t="str">
        <f>VLOOKUP(B906, Products!$A$2:$C$100, 2, FALSE)</f>
        <v>Trek 820 - 2016</v>
      </c>
      <c r="E906">
        <v>1</v>
      </c>
      <c r="F906">
        <v>749.99</v>
      </c>
      <c r="G906">
        <v>0.1</v>
      </c>
      <c r="H906">
        <v>74.999000000000009</v>
      </c>
      <c r="I906">
        <f>order_items[[#This Row],[list_price]]-order_items[[#This Row],[Discounted_price]]</f>
        <v>674.99099999999999</v>
      </c>
      <c r="J906">
        <f>VLOOKUP(B906, Products!$A$2:$E$100, 3, FALSE)</f>
        <v>9</v>
      </c>
      <c r="K906">
        <f>VLOOKUP(B906, Products!$A$2:$F$100, 4, FALSE)</f>
        <v>6</v>
      </c>
    </row>
    <row r="907" spans="1:11" x14ac:dyDescent="0.3">
      <c r="A907">
        <v>321</v>
      </c>
      <c r="B907">
        <v>1</v>
      </c>
      <c r="C907">
        <v>4</v>
      </c>
      <c r="D907" t="str">
        <f>VLOOKUP(B907, Products!$A$2:$C$100, 2, FALSE)</f>
        <v>Trek 820 - 2016</v>
      </c>
      <c r="E907">
        <v>2</v>
      </c>
      <c r="F907">
        <v>2899.99</v>
      </c>
      <c r="G907">
        <v>0.2</v>
      </c>
      <c r="H907">
        <v>579.99799999999993</v>
      </c>
      <c r="I907">
        <f>order_items[[#This Row],[list_price]]-order_items[[#This Row],[Discounted_price]]</f>
        <v>2319.9919999999997</v>
      </c>
      <c r="J907">
        <f>VLOOKUP(B907, Products!$A$2:$E$100, 3, FALSE)</f>
        <v>9</v>
      </c>
      <c r="K907">
        <f>VLOOKUP(B907, Products!$A$2:$F$100, 4, FALSE)</f>
        <v>6</v>
      </c>
    </row>
    <row r="908" spans="1:11" x14ac:dyDescent="0.3">
      <c r="A908">
        <v>321</v>
      </c>
      <c r="B908">
        <v>2</v>
      </c>
      <c r="C908">
        <v>12</v>
      </c>
      <c r="D908" t="str">
        <f>VLOOKUP(B908, Products!$A$2:$C$100, 2, FALSE)</f>
        <v>Ritchey Timberwolf Frameset - 2016</v>
      </c>
      <c r="E908">
        <v>2</v>
      </c>
      <c r="F908">
        <v>549.99</v>
      </c>
      <c r="G908">
        <v>0.2</v>
      </c>
      <c r="H908">
        <v>109.998</v>
      </c>
      <c r="I908">
        <f>order_items[[#This Row],[list_price]]-order_items[[#This Row],[Discounted_price]]</f>
        <v>439.99200000000002</v>
      </c>
      <c r="J908">
        <f>VLOOKUP(B908, Products!$A$2:$E$100, 3, FALSE)</f>
        <v>5</v>
      </c>
      <c r="K908">
        <f>VLOOKUP(B908, Products!$A$2:$F$100, 4, FALSE)</f>
        <v>6</v>
      </c>
    </row>
    <row r="909" spans="1:11" x14ac:dyDescent="0.3">
      <c r="A909">
        <v>321</v>
      </c>
      <c r="B909">
        <v>3</v>
      </c>
      <c r="C909">
        <v>26</v>
      </c>
      <c r="D909" t="str">
        <f>VLOOKUP(B909, Products!$A$2:$C$100, 2, FALSE)</f>
        <v>Surly Wednesday Frameset - 2016</v>
      </c>
      <c r="E909">
        <v>1</v>
      </c>
      <c r="F909">
        <v>599.99</v>
      </c>
      <c r="G909">
        <v>0.2</v>
      </c>
      <c r="H909">
        <v>119.998</v>
      </c>
      <c r="I909">
        <f>order_items[[#This Row],[list_price]]-order_items[[#This Row],[Discounted_price]]</f>
        <v>479.99200000000002</v>
      </c>
      <c r="J909">
        <f>VLOOKUP(B909, Products!$A$2:$E$100, 3, FALSE)</f>
        <v>8</v>
      </c>
      <c r="K909">
        <f>VLOOKUP(B909, Products!$A$2:$F$100, 4, FALSE)</f>
        <v>6</v>
      </c>
    </row>
    <row r="910" spans="1:11" x14ac:dyDescent="0.3">
      <c r="A910">
        <v>321</v>
      </c>
      <c r="B910">
        <v>4</v>
      </c>
      <c r="C910">
        <v>23</v>
      </c>
      <c r="D910" t="str">
        <f>VLOOKUP(B910, Products!$A$2:$C$100, 2, FALSE)</f>
        <v>Trek Fuel EX 8 29 - 2016</v>
      </c>
      <c r="E910">
        <v>2</v>
      </c>
      <c r="F910">
        <v>299.99</v>
      </c>
      <c r="G910">
        <v>0.2</v>
      </c>
      <c r="H910">
        <v>59.998000000000005</v>
      </c>
      <c r="I910">
        <f>order_items[[#This Row],[list_price]]-order_items[[#This Row],[Discounted_price]]</f>
        <v>239.99200000000002</v>
      </c>
      <c r="J910">
        <f>VLOOKUP(B910, Products!$A$2:$E$100, 3, FALSE)</f>
        <v>9</v>
      </c>
      <c r="K910">
        <f>VLOOKUP(B910, Products!$A$2:$F$100, 4, FALSE)</f>
        <v>6</v>
      </c>
    </row>
    <row r="911" spans="1:11" x14ac:dyDescent="0.3">
      <c r="A911">
        <v>322</v>
      </c>
      <c r="B911">
        <v>1</v>
      </c>
      <c r="C911">
        <v>13</v>
      </c>
      <c r="D911" t="str">
        <f>VLOOKUP(B911, Products!$A$2:$C$100, 2, FALSE)</f>
        <v>Trek 820 - 2016</v>
      </c>
      <c r="E911">
        <v>2</v>
      </c>
      <c r="F911">
        <v>269.99</v>
      </c>
      <c r="G911">
        <v>0.2</v>
      </c>
      <c r="H911">
        <v>53.998000000000005</v>
      </c>
      <c r="I911">
        <f>order_items[[#This Row],[list_price]]-order_items[[#This Row],[Discounted_price]]</f>
        <v>215.99200000000002</v>
      </c>
      <c r="J911">
        <f>VLOOKUP(B911, Products!$A$2:$E$100, 3, FALSE)</f>
        <v>9</v>
      </c>
      <c r="K911">
        <f>VLOOKUP(B911, Products!$A$2:$F$100, 4, FALSE)</f>
        <v>6</v>
      </c>
    </row>
    <row r="912" spans="1:11" x14ac:dyDescent="0.3">
      <c r="A912">
        <v>322</v>
      </c>
      <c r="B912">
        <v>2</v>
      </c>
      <c r="C912">
        <v>21</v>
      </c>
      <c r="D912" t="str">
        <f>VLOOKUP(B912, Products!$A$2:$C$100, 2, FALSE)</f>
        <v>Ritchey Timberwolf Frameset - 2016</v>
      </c>
      <c r="E912">
        <v>1</v>
      </c>
      <c r="F912">
        <v>269.99</v>
      </c>
      <c r="G912">
        <v>7.0000000000000007E-2</v>
      </c>
      <c r="H912">
        <v>18.899300000000004</v>
      </c>
      <c r="I912">
        <f>order_items[[#This Row],[list_price]]-order_items[[#This Row],[Discounted_price]]</f>
        <v>251.0907</v>
      </c>
      <c r="J912">
        <f>VLOOKUP(B912, Products!$A$2:$E$100, 3, FALSE)</f>
        <v>5</v>
      </c>
      <c r="K912">
        <f>VLOOKUP(B912, Products!$A$2:$F$100, 4, FALSE)</f>
        <v>6</v>
      </c>
    </row>
    <row r="913" spans="1:11" x14ac:dyDescent="0.3">
      <c r="A913">
        <v>323</v>
      </c>
      <c r="B913">
        <v>1</v>
      </c>
      <c r="C913">
        <v>13</v>
      </c>
      <c r="D913" t="str">
        <f>VLOOKUP(B913, Products!$A$2:$C$100, 2, FALSE)</f>
        <v>Trek 820 - 2016</v>
      </c>
      <c r="E913">
        <v>2</v>
      </c>
      <c r="F913">
        <v>269.99</v>
      </c>
      <c r="G913">
        <v>7.0000000000000007E-2</v>
      </c>
      <c r="H913">
        <v>18.899300000000004</v>
      </c>
      <c r="I913">
        <f>order_items[[#This Row],[list_price]]-order_items[[#This Row],[Discounted_price]]</f>
        <v>251.0907</v>
      </c>
      <c r="J913">
        <f>VLOOKUP(B913, Products!$A$2:$E$100, 3, FALSE)</f>
        <v>9</v>
      </c>
      <c r="K913">
        <f>VLOOKUP(B913, Products!$A$2:$F$100, 4, FALSE)</f>
        <v>6</v>
      </c>
    </row>
    <row r="914" spans="1:11" x14ac:dyDescent="0.3">
      <c r="A914">
        <v>323</v>
      </c>
      <c r="B914">
        <v>2</v>
      </c>
      <c r="C914">
        <v>26</v>
      </c>
      <c r="D914" t="str">
        <f>VLOOKUP(B914, Products!$A$2:$C$100, 2, FALSE)</f>
        <v>Ritchey Timberwolf Frameset - 2016</v>
      </c>
      <c r="E914">
        <v>2</v>
      </c>
      <c r="F914">
        <v>599.99</v>
      </c>
      <c r="G914">
        <v>0.1</v>
      </c>
      <c r="H914">
        <v>59.999000000000002</v>
      </c>
      <c r="I914">
        <f>order_items[[#This Row],[list_price]]-order_items[[#This Row],[Discounted_price]]</f>
        <v>539.99099999999999</v>
      </c>
      <c r="J914">
        <f>VLOOKUP(B914, Products!$A$2:$E$100, 3, FALSE)</f>
        <v>5</v>
      </c>
      <c r="K914">
        <f>VLOOKUP(B914, Products!$A$2:$F$100, 4, FALSE)</f>
        <v>6</v>
      </c>
    </row>
    <row r="915" spans="1:11" x14ac:dyDescent="0.3">
      <c r="A915">
        <v>324</v>
      </c>
      <c r="B915">
        <v>1</v>
      </c>
      <c r="C915">
        <v>2</v>
      </c>
      <c r="D915" t="str">
        <f>VLOOKUP(B915, Products!$A$2:$C$100, 2, FALSE)</f>
        <v>Trek 820 - 2016</v>
      </c>
      <c r="E915">
        <v>2</v>
      </c>
      <c r="F915">
        <v>749.99</v>
      </c>
      <c r="G915">
        <v>0.1</v>
      </c>
      <c r="H915">
        <v>74.999000000000009</v>
      </c>
      <c r="I915">
        <f>order_items[[#This Row],[list_price]]-order_items[[#This Row],[Discounted_price]]</f>
        <v>674.99099999999999</v>
      </c>
      <c r="J915">
        <f>VLOOKUP(B915, Products!$A$2:$E$100, 3, FALSE)</f>
        <v>9</v>
      </c>
      <c r="K915">
        <f>VLOOKUP(B915, Products!$A$2:$F$100, 4, FALSE)</f>
        <v>6</v>
      </c>
    </row>
    <row r="916" spans="1:11" x14ac:dyDescent="0.3">
      <c r="A916">
        <v>324</v>
      </c>
      <c r="B916">
        <v>2</v>
      </c>
      <c r="C916">
        <v>17</v>
      </c>
      <c r="D916" t="str">
        <f>VLOOKUP(B916, Products!$A$2:$C$100, 2, FALSE)</f>
        <v>Ritchey Timberwolf Frameset - 2016</v>
      </c>
      <c r="E916">
        <v>1</v>
      </c>
      <c r="F916">
        <v>429</v>
      </c>
      <c r="G916">
        <v>0.2</v>
      </c>
      <c r="H916">
        <v>85.800000000000011</v>
      </c>
      <c r="I916">
        <f>order_items[[#This Row],[list_price]]-order_items[[#This Row],[Discounted_price]]</f>
        <v>343.2</v>
      </c>
      <c r="J916">
        <f>VLOOKUP(B916, Products!$A$2:$E$100, 3, FALSE)</f>
        <v>5</v>
      </c>
      <c r="K916">
        <f>VLOOKUP(B916, Products!$A$2:$F$100, 4, FALSE)</f>
        <v>6</v>
      </c>
    </row>
    <row r="917" spans="1:11" x14ac:dyDescent="0.3">
      <c r="A917">
        <v>324</v>
      </c>
      <c r="B917">
        <v>3</v>
      </c>
      <c r="C917">
        <v>22</v>
      </c>
      <c r="D917" t="str">
        <f>VLOOKUP(B917, Products!$A$2:$C$100, 2, FALSE)</f>
        <v>Surly Wednesday Frameset - 2016</v>
      </c>
      <c r="E917">
        <v>2</v>
      </c>
      <c r="F917">
        <v>269.99</v>
      </c>
      <c r="G917">
        <v>0.2</v>
      </c>
      <c r="H917">
        <v>53.998000000000005</v>
      </c>
      <c r="I917">
        <f>order_items[[#This Row],[list_price]]-order_items[[#This Row],[Discounted_price]]</f>
        <v>215.99200000000002</v>
      </c>
      <c r="J917">
        <f>VLOOKUP(B917, Products!$A$2:$E$100, 3, FALSE)</f>
        <v>8</v>
      </c>
      <c r="K917">
        <f>VLOOKUP(B917, Products!$A$2:$F$100, 4, FALSE)</f>
        <v>6</v>
      </c>
    </row>
    <row r="918" spans="1:11" x14ac:dyDescent="0.3">
      <c r="A918">
        <v>324</v>
      </c>
      <c r="B918">
        <v>4</v>
      </c>
      <c r="C918">
        <v>19</v>
      </c>
      <c r="D918" t="str">
        <f>VLOOKUP(B918, Products!$A$2:$C$100, 2, FALSE)</f>
        <v>Trek Fuel EX 8 29 - 2016</v>
      </c>
      <c r="E918">
        <v>1</v>
      </c>
      <c r="F918">
        <v>449</v>
      </c>
      <c r="G918">
        <v>0.05</v>
      </c>
      <c r="H918">
        <v>22.450000000000003</v>
      </c>
      <c r="I918">
        <f>order_items[[#This Row],[list_price]]-order_items[[#This Row],[Discounted_price]]</f>
        <v>426.55</v>
      </c>
      <c r="J918">
        <f>VLOOKUP(B918, Products!$A$2:$E$100, 3, FALSE)</f>
        <v>9</v>
      </c>
      <c r="K918">
        <f>VLOOKUP(B918, Products!$A$2:$F$100, 4, FALSE)</f>
        <v>6</v>
      </c>
    </row>
    <row r="919" spans="1:11" x14ac:dyDescent="0.3">
      <c r="A919">
        <v>324</v>
      </c>
      <c r="B919">
        <v>5</v>
      </c>
      <c r="C919">
        <v>12</v>
      </c>
      <c r="D919" t="str">
        <f>VLOOKUP(B919, Products!$A$2:$C$100, 2, FALSE)</f>
        <v>Heller Shagamaw Frame - 2016</v>
      </c>
      <c r="E919">
        <v>1</v>
      </c>
      <c r="F919">
        <v>549.99</v>
      </c>
      <c r="G919">
        <v>0.05</v>
      </c>
      <c r="H919">
        <v>27.499500000000001</v>
      </c>
      <c r="I919">
        <f>order_items[[#This Row],[list_price]]-order_items[[#This Row],[Discounted_price]]</f>
        <v>522.4905</v>
      </c>
      <c r="J919">
        <f>VLOOKUP(B919, Products!$A$2:$E$100, 3, FALSE)</f>
        <v>3</v>
      </c>
      <c r="K919">
        <f>VLOOKUP(B919, Products!$A$2:$F$100, 4, FALSE)</f>
        <v>6</v>
      </c>
    </row>
    <row r="920" spans="1:11" x14ac:dyDescent="0.3">
      <c r="A920">
        <v>325</v>
      </c>
      <c r="B920">
        <v>1</v>
      </c>
      <c r="C920">
        <v>7</v>
      </c>
      <c r="D920" t="str">
        <f>VLOOKUP(B920, Products!$A$2:$C$100, 2, FALSE)</f>
        <v>Trek 820 - 2016</v>
      </c>
      <c r="E920">
        <v>1</v>
      </c>
      <c r="F920">
        <v>3999.99</v>
      </c>
      <c r="G920">
        <v>0.05</v>
      </c>
      <c r="H920">
        <v>199.99950000000001</v>
      </c>
      <c r="I920">
        <f>order_items[[#This Row],[list_price]]-order_items[[#This Row],[Discounted_price]]</f>
        <v>3799.9904999999999</v>
      </c>
      <c r="J920">
        <f>VLOOKUP(B920, Products!$A$2:$E$100, 3, FALSE)</f>
        <v>9</v>
      </c>
      <c r="K920">
        <f>VLOOKUP(B920, Products!$A$2:$F$100, 4, FALSE)</f>
        <v>6</v>
      </c>
    </row>
    <row r="921" spans="1:11" x14ac:dyDescent="0.3">
      <c r="A921">
        <v>325</v>
      </c>
      <c r="B921">
        <v>2</v>
      </c>
      <c r="C921">
        <v>12</v>
      </c>
      <c r="D921" t="str">
        <f>VLOOKUP(B921, Products!$A$2:$C$100, 2, FALSE)</f>
        <v>Ritchey Timberwolf Frameset - 2016</v>
      </c>
      <c r="E921">
        <v>1</v>
      </c>
      <c r="F921">
        <v>549.99</v>
      </c>
      <c r="G921">
        <v>0.2</v>
      </c>
      <c r="H921">
        <v>109.998</v>
      </c>
      <c r="I921">
        <f>order_items[[#This Row],[list_price]]-order_items[[#This Row],[Discounted_price]]</f>
        <v>439.99200000000002</v>
      </c>
      <c r="J921">
        <f>VLOOKUP(B921, Products!$A$2:$E$100, 3, FALSE)</f>
        <v>5</v>
      </c>
      <c r="K921">
        <f>VLOOKUP(B921, Products!$A$2:$F$100, 4, FALSE)</f>
        <v>6</v>
      </c>
    </row>
    <row r="922" spans="1:11" x14ac:dyDescent="0.3">
      <c r="A922">
        <v>325</v>
      </c>
      <c r="B922">
        <v>3</v>
      </c>
      <c r="C922">
        <v>6</v>
      </c>
      <c r="D922" t="str">
        <f>VLOOKUP(B922, Products!$A$2:$C$100, 2, FALSE)</f>
        <v>Surly Wednesday Frameset - 2016</v>
      </c>
      <c r="E922">
        <v>2</v>
      </c>
      <c r="F922">
        <v>469.99</v>
      </c>
      <c r="G922">
        <v>0.2</v>
      </c>
      <c r="H922">
        <v>93.998000000000005</v>
      </c>
      <c r="I922">
        <f>order_items[[#This Row],[list_price]]-order_items[[#This Row],[Discounted_price]]</f>
        <v>375.99200000000002</v>
      </c>
      <c r="J922">
        <f>VLOOKUP(B922, Products!$A$2:$E$100, 3, FALSE)</f>
        <v>8</v>
      </c>
      <c r="K922">
        <f>VLOOKUP(B922, Products!$A$2:$F$100, 4, FALSE)</f>
        <v>6</v>
      </c>
    </row>
    <row r="923" spans="1:11" x14ac:dyDescent="0.3">
      <c r="A923">
        <v>326</v>
      </c>
      <c r="B923">
        <v>1</v>
      </c>
      <c r="C923">
        <v>12</v>
      </c>
      <c r="D923" t="str">
        <f>VLOOKUP(B923, Products!$A$2:$C$100, 2, FALSE)</f>
        <v>Trek 820 - 2016</v>
      </c>
      <c r="E923">
        <v>1</v>
      </c>
      <c r="F923">
        <v>549.99</v>
      </c>
      <c r="G923">
        <v>0.1</v>
      </c>
      <c r="H923">
        <v>54.999000000000002</v>
      </c>
      <c r="I923">
        <f>order_items[[#This Row],[list_price]]-order_items[[#This Row],[Discounted_price]]</f>
        <v>494.99099999999999</v>
      </c>
      <c r="J923">
        <f>VLOOKUP(B923, Products!$A$2:$E$100, 3, FALSE)</f>
        <v>9</v>
      </c>
      <c r="K923">
        <f>VLOOKUP(B923, Products!$A$2:$F$100, 4, FALSE)</f>
        <v>6</v>
      </c>
    </row>
    <row r="924" spans="1:11" x14ac:dyDescent="0.3">
      <c r="A924">
        <v>326</v>
      </c>
      <c r="B924">
        <v>2</v>
      </c>
      <c r="C924">
        <v>23</v>
      </c>
      <c r="D924" t="str">
        <f>VLOOKUP(B924, Products!$A$2:$C$100, 2, FALSE)</f>
        <v>Ritchey Timberwolf Frameset - 2016</v>
      </c>
      <c r="E924">
        <v>1</v>
      </c>
      <c r="F924">
        <v>299.99</v>
      </c>
      <c r="G924">
        <v>7.0000000000000007E-2</v>
      </c>
      <c r="H924">
        <v>20.999300000000002</v>
      </c>
      <c r="I924">
        <f>order_items[[#This Row],[list_price]]-order_items[[#This Row],[Discounted_price]]</f>
        <v>278.9907</v>
      </c>
      <c r="J924">
        <f>VLOOKUP(B924, Products!$A$2:$E$100, 3, FALSE)</f>
        <v>5</v>
      </c>
      <c r="K924">
        <f>VLOOKUP(B924, Products!$A$2:$F$100, 4, FALSE)</f>
        <v>6</v>
      </c>
    </row>
    <row r="925" spans="1:11" x14ac:dyDescent="0.3">
      <c r="A925">
        <v>327</v>
      </c>
      <c r="B925">
        <v>1</v>
      </c>
      <c r="C925">
        <v>12</v>
      </c>
      <c r="D925" t="str">
        <f>VLOOKUP(B925, Products!$A$2:$C$100, 2, FALSE)</f>
        <v>Trek 820 - 2016</v>
      </c>
      <c r="E925">
        <v>2</v>
      </c>
      <c r="F925">
        <v>549.99</v>
      </c>
      <c r="G925">
        <v>7.0000000000000007E-2</v>
      </c>
      <c r="H925">
        <v>38.499300000000005</v>
      </c>
      <c r="I925">
        <f>order_items[[#This Row],[list_price]]-order_items[[#This Row],[Discounted_price]]</f>
        <v>511.4907</v>
      </c>
      <c r="J925">
        <f>VLOOKUP(B925, Products!$A$2:$E$100, 3, FALSE)</f>
        <v>9</v>
      </c>
      <c r="K925">
        <f>VLOOKUP(B925, Products!$A$2:$F$100, 4, FALSE)</f>
        <v>6</v>
      </c>
    </row>
    <row r="926" spans="1:11" x14ac:dyDescent="0.3">
      <c r="A926">
        <v>327</v>
      </c>
      <c r="B926">
        <v>2</v>
      </c>
      <c r="C926">
        <v>13</v>
      </c>
      <c r="D926" t="str">
        <f>VLOOKUP(B926, Products!$A$2:$C$100, 2, FALSE)</f>
        <v>Ritchey Timberwolf Frameset - 2016</v>
      </c>
      <c r="E926">
        <v>1</v>
      </c>
      <c r="F926">
        <v>269.99</v>
      </c>
      <c r="G926">
        <v>7.0000000000000007E-2</v>
      </c>
      <c r="H926">
        <v>18.899300000000004</v>
      </c>
      <c r="I926">
        <f>order_items[[#This Row],[list_price]]-order_items[[#This Row],[Discounted_price]]</f>
        <v>251.0907</v>
      </c>
      <c r="J926">
        <f>VLOOKUP(B926, Products!$A$2:$E$100, 3, FALSE)</f>
        <v>5</v>
      </c>
      <c r="K926">
        <f>VLOOKUP(B926, Products!$A$2:$F$100, 4, FALSE)</f>
        <v>6</v>
      </c>
    </row>
    <row r="927" spans="1:11" x14ac:dyDescent="0.3">
      <c r="A927">
        <v>327</v>
      </c>
      <c r="B927">
        <v>3</v>
      </c>
      <c r="C927">
        <v>4</v>
      </c>
      <c r="D927" t="str">
        <f>VLOOKUP(B927, Products!$A$2:$C$100, 2, FALSE)</f>
        <v>Surly Wednesday Frameset - 2016</v>
      </c>
      <c r="E927">
        <v>1</v>
      </c>
      <c r="F927">
        <v>2899.99</v>
      </c>
      <c r="G927">
        <v>0.05</v>
      </c>
      <c r="H927">
        <v>144.99949999999998</v>
      </c>
      <c r="I927">
        <f>order_items[[#This Row],[list_price]]-order_items[[#This Row],[Discounted_price]]</f>
        <v>2754.9904999999999</v>
      </c>
      <c r="J927">
        <f>VLOOKUP(B927, Products!$A$2:$E$100, 3, FALSE)</f>
        <v>8</v>
      </c>
      <c r="K927">
        <f>VLOOKUP(B927, Products!$A$2:$F$100, 4, FALSE)</f>
        <v>6</v>
      </c>
    </row>
    <row r="928" spans="1:11" x14ac:dyDescent="0.3">
      <c r="A928">
        <v>328</v>
      </c>
      <c r="B928">
        <v>1</v>
      </c>
      <c r="C928">
        <v>6</v>
      </c>
      <c r="D928" t="str">
        <f>VLOOKUP(B928, Products!$A$2:$C$100, 2, FALSE)</f>
        <v>Trek 820 - 2016</v>
      </c>
      <c r="E928">
        <v>2</v>
      </c>
      <c r="F928">
        <v>469.99</v>
      </c>
      <c r="G928">
        <v>0.1</v>
      </c>
      <c r="H928">
        <v>46.999000000000002</v>
      </c>
      <c r="I928">
        <f>order_items[[#This Row],[list_price]]-order_items[[#This Row],[Discounted_price]]</f>
        <v>422.99099999999999</v>
      </c>
      <c r="J928">
        <f>VLOOKUP(B928, Products!$A$2:$E$100, 3, FALSE)</f>
        <v>9</v>
      </c>
      <c r="K928">
        <f>VLOOKUP(B928, Products!$A$2:$F$100, 4, FALSE)</f>
        <v>6</v>
      </c>
    </row>
    <row r="929" spans="1:11" x14ac:dyDescent="0.3">
      <c r="A929">
        <v>329</v>
      </c>
      <c r="B929">
        <v>1</v>
      </c>
      <c r="C929">
        <v>14</v>
      </c>
      <c r="D929" t="str">
        <f>VLOOKUP(B929, Products!$A$2:$C$100, 2, FALSE)</f>
        <v>Trek 820 - 2016</v>
      </c>
      <c r="E929">
        <v>2</v>
      </c>
      <c r="F929">
        <v>269.99</v>
      </c>
      <c r="G929">
        <v>7.0000000000000007E-2</v>
      </c>
      <c r="H929">
        <v>18.899300000000004</v>
      </c>
      <c r="I929">
        <f>order_items[[#This Row],[list_price]]-order_items[[#This Row],[Discounted_price]]</f>
        <v>251.0907</v>
      </c>
      <c r="J929">
        <f>VLOOKUP(B929, Products!$A$2:$E$100, 3, FALSE)</f>
        <v>9</v>
      </c>
      <c r="K929">
        <f>VLOOKUP(B929, Products!$A$2:$F$100, 4, FALSE)</f>
        <v>6</v>
      </c>
    </row>
    <row r="930" spans="1:11" x14ac:dyDescent="0.3">
      <c r="A930">
        <v>329</v>
      </c>
      <c r="B930">
        <v>2</v>
      </c>
      <c r="C930">
        <v>8</v>
      </c>
      <c r="D930" t="str">
        <f>VLOOKUP(B930, Products!$A$2:$C$100, 2, FALSE)</f>
        <v>Ritchey Timberwolf Frameset - 2016</v>
      </c>
      <c r="E930">
        <v>2</v>
      </c>
      <c r="F930">
        <v>1799.99</v>
      </c>
      <c r="G930">
        <v>0.05</v>
      </c>
      <c r="H930">
        <v>89.999500000000012</v>
      </c>
      <c r="I930">
        <f>order_items[[#This Row],[list_price]]-order_items[[#This Row],[Discounted_price]]</f>
        <v>1709.9904999999999</v>
      </c>
      <c r="J930">
        <f>VLOOKUP(B930, Products!$A$2:$E$100, 3, FALSE)</f>
        <v>5</v>
      </c>
      <c r="K930">
        <f>VLOOKUP(B930, Products!$A$2:$F$100, 4, FALSE)</f>
        <v>6</v>
      </c>
    </row>
    <row r="931" spans="1:11" x14ac:dyDescent="0.3">
      <c r="A931">
        <v>329</v>
      </c>
      <c r="B931">
        <v>3</v>
      </c>
      <c r="C931">
        <v>23</v>
      </c>
      <c r="D931" t="str">
        <f>VLOOKUP(B931, Products!$A$2:$C$100, 2, FALSE)</f>
        <v>Surly Wednesday Frameset - 2016</v>
      </c>
      <c r="E931">
        <v>1</v>
      </c>
      <c r="F931">
        <v>299.99</v>
      </c>
      <c r="G931">
        <v>0.2</v>
      </c>
      <c r="H931">
        <v>59.998000000000005</v>
      </c>
      <c r="I931">
        <f>order_items[[#This Row],[list_price]]-order_items[[#This Row],[Discounted_price]]</f>
        <v>239.99200000000002</v>
      </c>
      <c r="J931">
        <f>VLOOKUP(B931, Products!$A$2:$E$100, 3, FALSE)</f>
        <v>8</v>
      </c>
      <c r="K931">
        <f>VLOOKUP(B931, Products!$A$2:$F$100, 4, FALSE)</f>
        <v>6</v>
      </c>
    </row>
    <row r="932" spans="1:11" x14ac:dyDescent="0.3">
      <c r="A932">
        <v>329</v>
      </c>
      <c r="B932">
        <v>4</v>
      </c>
      <c r="C932">
        <v>17</v>
      </c>
      <c r="D932" t="str">
        <f>VLOOKUP(B932, Products!$A$2:$C$100, 2, FALSE)</f>
        <v>Trek Fuel EX 8 29 - 2016</v>
      </c>
      <c r="E932">
        <v>1</v>
      </c>
      <c r="F932">
        <v>429</v>
      </c>
      <c r="G932">
        <v>7.0000000000000007E-2</v>
      </c>
      <c r="H932">
        <v>30.03</v>
      </c>
      <c r="I932">
        <f>order_items[[#This Row],[list_price]]-order_items[[#This Row],[Discounted_price]]</f>
        <v>398.97</v>
      </c>
      <c r="J932">
        <f>VLOOKUP(B932, Products!$A$2:$E$100, 3, FALSE)</f>
        <v>9</v>
      </c>
      <c r="K932">
        <f>VLOOKUP(B932, Products!$A$2:$F$100, 4, FALSE)</f>
        <v>6</v>
      </c>
    </row>
    <row r="933" spans="1:11" x14ac:dyDescent="0.3">
      <c r="A933">
        <v>329</v>
      </c>
      <c r="B933">
        <v>5</v>
      </c>
      <c r="C933">
        <v>26</v>
      </c>
      <c r="D933" t="str">
        <f>VLOOKUP(B933, Products!$A$2:$C$100, 2, FALSE)</f>
        <v>Heller Shagamaw Frame - 2016</v>
      </c>
      <c r="E933">
        <v>2</v>
      </c>
      <c r="F933">
        <v>599.99</v>
      </c>
      <c r="G933">
        <v>0.05</v>
      </c>
      <c r="H933">
        <v>29.999500000000001</v>
      </c>
      <c r="I933">
        <f>order_items[[#This Row],[list_price]]-order_items[[#This Row],[Discounted_price]]</f>
        <v>569.9905</v>
      </c>
      <c r="J933">
        <f>VLOOKUP(B933, Products!$A$2:$E$100, 3, FALSE)</f>
        <v>3</v>
      </c>
      <c r="K933">
        <f>VLOOKUP(B933, Products!$A$2:$F$100, 4, FALSE)</f>
        <v>6</v>
      </c>
    </row>
    <row r="934" spans="1:11" x14ac:dyDescent="0.3">
      <c r="A934">
        <v>330</v>
      </c>
      <c r="B934">
        <v>1</v>
      </c>
      <c r="C934">
        <v>21</v>
      </c>
      <c r="D934" t="str">
        <f>VLOOKUP(B934, Products!$A$2:$C$100, 2, FALSE)</f>
        <v>Trek 820 - 2016</v>
      </c>
      <c r="E934">
        <v>2</v>
      </c>
      <c r="F934">
        <v>269.99</v>
      </c>
      <c r="G934">
        <v>0.05</v>
      </c>
      <c r="H934">
        <v>13.499500000000001</v>
      </c>
      <c r="I934">
        <f>order_items[[#This Row],[list_price]]-order_items[[#This Row],[Discounted_price]]</f>
        <v>256.4905</v>
      </c>
      <c r="J934">
        <f>VLOOKUP(B934, Products!$A$2:$E$100, 3, FALSE)</f>
        <v>9</v>
      </c>
      <c r="K934">
        <f>VLOOKUP(B934, Products!$A$2:$F$100, 4, FALSE)</f>
        <v>6</v>
      </c>
    </row>
    <row r="935" spans="1:11" x14ac:dyDescent="0.3">
      <c r="A935">
        <v>331</v>
      </c>
      <c r="B935">
        <v>1</v>
      </c>
      <c r="C935">
        <v>17</v>
      </c>
      <c r="D935" t="str">
        <f>VLOOKUP(B935, Products!$A$2:$C$100, 2, FALSE)</f>
        <v>Trek 820 - 2016</v>
      </c>
      <c r="E935">
        <v>2</v>
      </c>
      <c r="F935">
        <v>429</v>
      </c>
      <c r="G935">
        <v>0.1</v>
      </c>
      <c r="H935">
        <v>42.900000000000006</v>
      </c>
      <c r="I935">
        <f>order_items[[#This Row],[list_price]]-order_items[[#This Row],[Discounted_price]]</f>
        <v>386.1</v>
      </c>
      <c r="J935">
        <f>VLOOKUP(B935, Products!$A$2:$E$100, 3, FALSE)</f>
        <v>9</v>
      </c>
      <c r="K935">
        <f>VLOOKUP(B935, Products!$A$2:$F$100, 4, FALSE)</f>
        <v>6</v>
      </c>
    </row>
    <row r="936" spans="1:11" x14ac:dyDescent="0.3">
      <c r="A936">
        <v>332</v>
      </c>
      <c r="B936">
        <v>1</v>
      </c>
      <c r="C936">
        <v>18</v>
      </c>
      <c r="D936" t="str">
        <f>VLOOKUP(B936, Products!$A$2:$C$100, 2, FALSE)</f>
        <v>Trek 820 - 2016</v>
      </c>
      <c r="E936">
        <v>2</v>
      </c>
      <c r="F936">
        <v>449</v>
      </c>
      <c r="G936">
        <v>0.05</v>
      </c>
      <c r="H936">
        <v>22.450000000000003</v>
      </c>
      <c r="I936">
        <f>order_items[[#This Row],[list_price]]-order_items[[#This Row],[Discounted_price]]</f>
        <v>426.55</v>
      </c>
      <c r="J936">
        <f>VLOOKUP(B936, Products!$A$2:$E$100, 3, FALSE)</f>
        <v>9</v>
      </c>
      <c r="K936">
        <f>VLOOKUP(B936, Products!$A$2:$F$100, 4, FALSE)</f>
        <v>6</v>
      </c>
    </row>
    <row r="937" spans="1:11" x14ac:dyDescent="0.3">
      <c r="A937">
        <v>333</v>
      </c>
      <c r="B937">
        <v>1</v>
      </c>
      <c r="C937">
        <v>18</v>
      </c>
      <c r="D937" t="str">
        <f>VLOOKUP(B937, Products!$A$2:$C$100, 2, FALSE)</f>
        <v>Trek 820 - 2016</v>
      </c>
      <c r="E937">
        <v>2</v>
      </c>
      <c r="F937">
        <v>449</v>
      </c>
      <c r="G937">
        <v>7.0000000000000007E-2</v>
      </c>
      <c r="H937">
        <v>31.430000000000003</v>
      </c>
      <c r="I937">
        <f>order_items[[#This Row],[list_price]]-order_items[[#This Row],[Discounted_price]]</f>
        <v>417.57</v>
      </c>
      <c r="J937">
        <f>VLOOKUP(B937, Products!$A$2:$E$100, 3, FALSE)</f>
        <v>9</v>
      </c>
      <c r="K937">
        <f>VLOOKUP(B937, Products!$A$2:$F$100, 4, FALSE)</f>
        <v>6</v>
      </c>
    </row>
    <row r="938" spans="1:11" x14ac:dyDescent="0.3">
      <c r="A938">
        <v>333</v>
      </c>
      <c r="B938">
        <v>2</v>
      </c>
      <c r="C938">
        <v>8</v>
      </c>
      <c r="D938" t="str">
        <f>VLOOKUP(B938, Products!$A$2:$C$100, 2, FALSE)</f>
        <v>Ritchey Timberwolf Frameset - 2016</v>
      </c>
      <c r="E938">
        <v>2</v>
      </c>
      <c r="F938">
        <v>1799.99</v>
      </c>
      <c r="G938">
        <v>0.05</v>
      </c>
      <c r="H938">
        <v>89.999500000000012</v>
      </c>
      <c r="I938">
        <f>order_items[[#This Row],[list_price]]-order_items[[#This Row],[Discounted_price]]</f>
        <v>1709.9904999999999</v>
      </c>
      <c r="J938">
        <f>VLOOKUP(B938, Products!$A$2:$E$100, 3, FALSE)</f>
        <v>5</v>
      </c>
      <c r="K938">
        <f>VLOOKUP(B938, Products!$A$2:$F$100, 4, FALSE)</f>
        <v>6</v>
      </c>
    </row>
    <row r="939" spans="1:11" x14ac:dyDescent="0.3">
      <c r="A939">
        <v>333</v>
      </c>
      <c r="B939">
        <v>3</v>
      </c>
      <c r="C939">
        <v>3</v>
      </c>
      <c r="D939" t="str">
        <f>VLOOKUP(B939, Products!$A$2:$C$100, 2, FALSE)</f>
        <v>Surly Wednesday Frameset - 2016</v>
      </c>
      <c r="E939">
        <v>1</v>
      </c>
      <c r="F939">
        <v>999.99</v>
      </c>
      <c r="G939">
        <v>0.2</v>
      </c>
      <c r="H939">
        <v>199.99800000000002</v>
      </c>
      <c r="I939">
        <f>order_items[[#This Row],[list_price]]-order_items[[#This Row],[Discounted_price]]</f>
        <v>799.99199999999996</v>
      </c>
      <c r="J939">
        <f>VLOOKUP(B939, Products!$A$2:$E$100, 3, FALSE)</f>
        <v>8</v>
      </c>
      <c r="K939">
        <f>VLOOKUP(B939, Products!$A$2:$F$100, 4, FALSE)</f>
        <v>6</v>
      </c>
    </row>
    <row r="940" spans="1:11" x14ac:dyDescent="0.3">
      <c r="A940">
        <v>334</v>
      </c>
      <c r="B940">
        <v>1</v>
      </c>
      <c r="C940">
        <v>16</v>
      </c>
      <c r="D940" t="str">
        <f>VLOOKUP(B940, Products!$A$2:$C$100, 2, FALSE)</f>
        <v>Trek 820 - 2016</v>
      </c>
      <c r="E940">
        <v>2</v>
      </c>
      <c r="F940">
        <v>599.99</v>
      </c>
      <c r="G940">
        <v>0.2</v>
      </c>
      <c r="H940">
        <v>119.998</v>
      </c>
      <c r="I940">
        <f>order_items[[#This Row],[list_price]]-order_items[[#This Row],[Discounted_price]]</f>
        <v>479.99200000000002</v>
      </c>
      <c r="J940">
        <f>VLOOKUP(B940, Products!$A$2:$E$100, 3, FALSE)</f>
        <v>9</v>
      </c>
      <c r="K940">
        <f>VLOOKUP(B940, Products!$A$2:$F$100, 4, FALSE)</f>
        <v>6</v>
      </c>
    </row>
    <row r="941" spans="1:11" x14ac:dyDescent="0.3">
      <c r="A941">
        <v>334</v>
      </c>
      <c r="B941">
        <v>2</v>
      </c>
      <c r="C941">
        <v>9</v>
      </c>
      <c r="D941" t="str">
        <f>VLOOKUP(B941, Products!$A$2:$C$100, 2, FALSE)</f>
        <v>Ritchey Timberwolf Frameset - 2016</v>
      </c>
      <c r="E941">
        <v>1</v>
      </c>
      <c r="F941">
        <v>2999.99</v>
      </c>
      <c r="G941">
        <v>0.05</v>
      </c>
      <c r="H941">
        <v>149.99949999999998</v>
      </c>
      <c r="I941">
        <f>order_items[[#This Row],[list_price]]-order_items[[#This Row],[Discounted_price]]</f>
        <v>2849.9904999999999</v>
      </c>
      <c r="J941">
        <f>VLOOKUP(B941, Products!$A$2:$E$100, 3, FALSE)</f>
        <v>5</v>
      </c>
      <c r="K941">
        <f>VLOOKUP(B941, Products!$A$2:$F$100, 4, FALSE)</f>
        <v>6</v>
      </c>
    </row>
    <row r="942" spans="1:11" x14ac:dyDescent="0.3">
      <c r="A942">
        <v>334</v>
      </c>
      <c r="B942">
        <v>3</v>
      </c>
      <c r="C942">
        <v>3</v>
      </c>
      <c r="D942" t="str">
        <f>VLOOKUP(B942, Products!$A$2:$C$100, 2, FALSE)</f>
        <v>Surly Wednesday Frameset - 2016</v>
      </c>
      <c r="E942">
        <v>2</v>
      </c>
      <c r="F942">
        <v>999.99</v>
      </c>
      <c r="G942">
        <v>0.05</v>
      </c>
      <c r="H942">
        <v>49.999500000000005</v>
      </c>
      <c r="I942">
        <f>order_items[[#This Row],[list_price]]-order_items[[#This Row],[Discounted_price]]</f>
        <v>949.9905</v>
      </c>
      <c r="J942">
        <f>VLOOKUP(B942, Products!$A$2:$E$100, 3, FALSE)</f>
        <v>8</v>
      </c>
      <c r="K942">
        <f>VLOOKUP(B942, Products!$A$2:$F$100, 4, FALSE)</f>
        <v>6</v>
      </c>
    </row>
    <row r="943" spans="1:11" x14ac:dyDescent="0.3">
      <c r="A943">
        <v>335</v>
      </c>
      <c r="B943">
        <v>1</v>
      </c>
      <c r="C943">
        <v>6</v>
      </c>
      <c r="D943" t="str">
        <f>VLOOKUP(B943, Products!$A$2:$C$100, 2, FALSE)</f>
        <v>Trek 820 - 2016</v>
      </c>
      <c r="E943">
        <v>1</v>
      </c>
      <c r="F943">
        <v>469.99</v>
      </c>
      <c r="G943">
        <v>0.1</v>
      </c>
      <c r="H943">
        <v>46.999000000000002</v>
      </c>
      <c r="I943">
        <f>order_items[[#This Row],[list_price]]-order_items[[#This Row],[Discounted_price]]</f>
        <v>422.99099999999999</v>
      </c>
      <c r="J943">
        <f>VLOOKUP(B943, Products!$A$2:$E$100, 3, FALSE)</f>
        <v>9</v>
      </c>
      <c r="K943">
        <f>VLOOKUP(B943, Products!$A$2:$F$100, 4, FALSE)</f>
        <v>6</v>
      </c>
    </row>
    <row r="944" spans="1:11" x14ac:dyDescent="0.3">
      <c r="A944">
        <v>335</v>
      </c>
      <c r="B944">
        <v>2</v>
      </c>
      <c r="C944">
        <v>2</v>
      </c>
      <c r="D944" t="str">
        <f>VLOOKUP(B944, Products!$A$2:$C$100, 2, FALSE)</f>
        <v>Ritchey Timberwolf Frameset - 2016</v>
      </c>
      <c r="E944">
        <v>2</v>
      </c>
      <c r="F944">
        <v>749.99</v>
      </c>
      <c r="G944">
        <v>0.1</v>
      </c>
      <c r="H944">
        <v>74.999000000000009</v>
      </c>
      <c r="I944">
        <f>order_items[[#This Row],[list_price]]-order_items[[#This Row],[Discounted_price]]</f>
        <v>674.99099999999999</v>
      </c>
      <c r="J944">
        <f>VLOOKUP(B944, Products!$A$2:$E$100, 3, FALSE)</f>
        <v>5</v>
      </c>
      <c r="K944">
        <f>VLOOKUP(B944, Products!$A$2:$F$100, 4, FALSE)</f>
        <v>6</v>
      </c>
    </row>
    <row r="945" spans="1:11" x14ac:dyDescent="0.3">
      <c r="A945">
        <v>335</v>
      </c>
      <c r="B945">
        <v>3</v>
      </c>
      <c r="C945">
        <v>21</v>
      </c>
      <c r="D945" t="str">
        <f>VLOOKUP(B945, Products!$A$2:$C$100, 2, FALSE)</f>
        <v>Surly Wednesday Frameset - 2016</v>
      </c>
      <c r="E945">
        <v>1</v>
      </c>
      <c r="F945">
        <v>269.99</v>
      </c>
      <c r="G945">
        <v>7.0000000000000007E-2</v>
      </c>
      <c r="H945">
        <v>18.899300000000004</v>
      </c>
      <c r="I945">
        <f>order_items[[#This Row],[list_price]]-order_items[[#This Row],[Discounted_price]]</f>
        <v>251.0907</v>
      </c>
      <c r="J945">
        <f>VLOOKUP(B945, Products!$A$2:$E$100, 3, FALSE)</f>
        <v>8</v>
      </c>
      <c r="K945">
        <f>VLOOKUP(B945, Products!$A$2:$F$100, 4, FALSE)</f>
        <v>6</v>
      </c>
    </row>
    <row r="946" spans="1:11" x14ac:dyDescent="0.3">
      <c r="A946">
        <v>336</v>
      </c>
      <c r="B946">
        <v>1</v>
      </c>
      <c r="C946">
        <v>4</v>
      </c>
      <c r="D946" t="str">
        <f>VLOOKUP(B946, Products!$A$2:$C$100, 2, FALSE)</f>
        <v>Trek 820 - 2016</v>
      </c>
      <c r="E946">
        <v>1</v>
      </c>
      <c r="F946">
        <v>2899.99</v>
      </c>
      <c r="G946">
        <v>0.1</v>
      </c>
      <c r="H946">
        <v>289.99899999999997</v>
      </c>
      <c r="I946">
        <f>order_items[[#This Row],[list_price]]-order_items[[#This Row],[Discounted_price]]</f>
        <v>2609.991</v>
      </c>
      <c r="J946">
        <f>VLOOKUP(B946, Products!$A$2:$E$100, 3, FALSE)</f>
        <v>9</v>
      </c>
      <c r="K946">
        <f>VLOOKUP(B946, Products!$A$2:$F$100, 4, FALSE)</f>
        <v>6</v>
      </c>
    </row>
    <row r="947" spans="1:11" x14ac:dyDescent="0.3">
      <c r="A947">
        <v>336</v>
      </c>
      <c r="B947">
        <v>2</v>
      </c>
      <c r="C947">
        <v>12</v>
      </c>
      <c r="D947" t="str">
        <f>VLOOKUP(B947, Products!$A$2:$C$100, 2, FALSE)</f>
        <v>Ritchey Timberwolf Frameset - 2016</v>
      </c>
      <c r="E947">
        <v>1</v>
      </c>
      <c r="F947">
        <v>549.99</v>
      </c>
      <c r="G947">
        <v>0.2</v>
      </c>
      <c r="H947">
        <v>109.998</v>
      </c>
      <c r="I947">
        <f>order_items[[#This Row],[list_price]]-order_items[[#This Row],[Discounted_price]]</f>
        <v>439.99200000000002</v>
      </c>
      <c r="J947">
        <f>VLOOKUP(B947, Products!$A$2:$E$100, 3, FALSE)</f>
        <v>5</v>
      </c>
      <c r="K947">
        <f>VLOOKUP(B947, Products!$A$2:$F$100, 4, FALSE)</f>
        <v>6</v>
      </c>
    </row>
    <row r="948" spans="1:11" x14ac:dyDescent="0.3">
      <c r="A948">
        <v>337</v>
      </c>
      <c r="B948">
        <v>1</v>
      </c>
      <c r="C948">
        <v>18</v>
      </c>
      <c r="D948" t="str">
        <f>VLOOKUP(B948, Products!$A$2:$C$100, 2, FALSE)</f>
        <v>Trek 820 - 2016</v>
      </c>
      <c r="E948">
        <v>1</v>
      </c>
      <c r="F948">
        <v>449</v>
      </c>
      <c r="G948">
        <v>0.05</v>
      </c>
      <c r="H948">
        <v>22.450000000000003</v>
      </c>
      <c r="I948">
        <f>order_items[[#This Row],[list_price]]-order_items[[#This Row],[Discounted_price]]</f>
        <v>426.55</v>
      </c>
      <c r="J948">
        <f>VLOOKUP(B948, Products!$A$2:$E$100, 3, FALSE)</f>
        <v>9</v>
      </c>
      <c r="K948">
        <f>VLOOKUP(B948, Products!$A$2:$F$100, 4, FALSE)</f>
        <v>6</v>
      </c>
    </row>
    <row r="949" spans="1:11" x14ac:dyDescent="0.3">
      <c r="A949">
        <v>337</v>
      </c>
      <c r="B949">
        <v>2</v>
      </c>
      <c r="C949">
        <v>4</v>
      </c>
      <c r="D949" t="str">
        <f>VLOOKUP(B949, Products!$A$2:$C$100, 2, FALSE)</f>
        <v>Ritchey Timberwolf Frameset - 2016</v>
      </c>
      <c r="E949">
        <v>1</v>
      </c>
      <c r="F949">
        <v>2899.99</v>
      </c>
      <c r="G949">
        <v>0.05</v>
      </c>
      <c r="H949">
        <v>144.99949999999998</v>
      </c>
      <c r="I949">
        <f>order_items[[#This Row],[list_price]]-order_items[[#This Row],[Discounted_price]]</f>
        <v>2754.9904999999999</v>
      </c>
      <c r="J949">
        <f>VLOOKUP(B949, Products!$A$2:$E$100, 3, FALSE)</f>
        <v>5</v>
      </c>
      <c r="K949">
        <f>VLOOKUP(B949, Products!$A$2:$F$100, 4, FALSE)</f>
        <v>6</v>
      </c>
    </row>
    <row r="950" spans="1:11" x14ac:dyDescent="0.3">
      <c r="A950">
        <v>338</v>
      </c>
      <c r="B950">
        <v>1</v>
      </c>
      <c r="C950">
        <v>6</v>
      </c>
      <c r="D950" t="str">
        <f>VLOOKUP(B950, Products!$A$2:$C$100, 2, FALSE)</f>
        <v>Trek 820 - 2016</v>
      </c>
      <c r="E950">
        <v>2</v>
      </c>
      <c r="F950">
        <v>469.99</v>
      </c>
      <c r="G950">
        <v>7.0000000000000007E-2</v>
      </c>
      <c r="H950">
        <v>32.899300000000004</v>
      </c>
      <c r="I950">
        <f>order_items[[#This Row],[list_price]]-order_items[[#This Row],[Discounted_price]]</f>
        <v>437.09070000000003</v>
      </c>
      <c r="J950">
        <f>VLOOKUP(B950, Products!$A$2:$E$100, 3, FALSE)</f>
        <v>9</v>
      </c>
      <c r="K950">
        <f>VLOOKUP(B950, Products!$A$2:$F$100, 4, FALSE)</f>
        <v>6</v>
      </c>
    </row>
    <row r="951" spans="1:11" x14ac:dyDescent="0.3">
      <c r="A951">
        <v>338</v>
      </c>
      <c r="B951">
        <v>2</v>
      </c>
      <c r="C951">
        <v>10</v>
      </c>
      <c r="D951" t="str">
        <f>VLOOKUP(B951, Products!$A$2:$C$100, 2, FALSE)</f>
        <v>Ritchey Timberwolf Frameset - 2016</v>
      </c>
      <c r="E951">
        <v>1</v>
      </c>
      <c r="F951">
        <v>1549</v>
      </c>
      <c r="G951">
        <v>7.0000000000000007E-2</v>
      </c>
      <c r="H951">
        <v>108.43</v>
      </c>
      <c r="I951">
        <f>order_items[[#This Row],[list_price]]-order_items[[#This Row],[Discounted_price]]</f>
        <v>1440.57</v>
      </c>
      <c r="J951">
        <f>VLOOKUP(B951, Products!$A$2:$E$100, 3, FALSE)</f>
        <v>5</v>
      </c>
      <c r="K951">
        <f>VLOOKUP(B951, Products!$A$2:$F$100, 4, FALSE)</f>
        <v>6</v>
      </c>
    </row>
    <row r="952" spans="1:11" x14ac:dyDescent="0.3">
      <c r="A952">
        <v>338</v>
      </c>
      <c r="B952">
        <v>3</v>
      </c>
      <c r="C952">
        <v>22</v>
      </c>
      <c r="D952" t="str">
        <f>VLOOKUP(B952, Products!$A$2:$C$100, 2, FALSE)</f>
        <v>Surly Wednesday Frameset - 2016</v>
      </c>
      <c r="E952">
        <v>1</v>
      </c>
      <c r="F952">
        <v>269.99</v>
      </c>
      <c r="G952">
        <v>0.1</v>
      </c>
      <c r="H952">
        <v>26.999000000000002</v>
      </c>
      <c r="I952">
        <f>order_items[[#This Row],[list_price]]-order_items[[#This Row],[Discounted_price]]</f>
        <v>242.99100000000001</v>
      </c>
      <c r="J952">
        <f>VLOOKUP(B952, Products!$A$2:$E$100, 3, FALSE)</f>
        <v>8</v>
      </c>
      <c r="K952">
        <f>VLOOKUP(B952, Products!$A$2:$F$100, 4, FALSE)</f>
        <v>6</v>
      </c>
    </row>
    <row r="953" spans="1:11" x14ac:dyDescent="0.3">
      <c r="A953">
        <v>338</v>
      </c>
      <c r="B953">
        <v>4</v>
      </c>
      <c r="C953">
        <v>11</v>
      </c>
      <c r="D953" t="str">
        <f>VLOOKUP(B953, Products!$A$2:$C$100, 2, FALSE)</f>
        <v>Trek Fuel EX 8 29 - 2016</v>
      </c>
      <c r="E953">
        <v>2</v>
      </c>
      <c r="F953">
        <v>1680.99</v>
      </c>
      <c r="G953">
        <v>7.0000000000000007E-2</v>
      </c>
      <c r="H953">
        <v>117.66930000000001</v>
      </c>
      <c r="I953">
        <f>order_items[[#This Row],[list_price]]-order_items[[#This Row],[Discounted_price]]</f>
        <v>1563.3207</v>
      </c>
      <c r="J953">
        <f>VLOOKUP(B953, Products!$A$2:$E$100, 3, FALSE)</f>
        <v>9</v>
      </c>
      <c r="K953">
        <f>VLOOKUP(B953, Products!$A$2:$F$100, 4, FALSE)</f>
        <v>6</v>
      </c>
    </row>
    <row r="954" spans="1:11" x14ac:dyDescent="0.3">
      <c r="A954">
        <v>338</v>
      </c>
      <c r="B954">
        <v>5</v>
      </c>
      <c r="C954">
        <v>9</v>
      </c>
      <c r="D954" t="str">
        <f>VLOOKUP(B954, Products!$A$2:$C$100, 2, FALSE)</f>
        <v>Heller Shagamaw Frame - 2016</v>
      </c>
      <c r="E954">
        <v>1</v>
      </c>
      <c r="F954">
        <v>2999.99</v>
      </c>
      <c r="G954">
        <v>0.05</v>
      </c>
      <c r="H954">
        <v>149.99949999999998</v>
      </c>
      <c r="I954">
        <f>order_items[[#This Row],[list_price]]-order_items[[#This Row],[Discounted_price]]</f>
        <v>2849.9904999999999</v>
      </c>
      <c r="J954">
        <f>VLOOKUP(B954, Products!$A$2:$E$100, 3, FALSE)</f>
        <v>3</v>
      </c>
      <c r="K954">
        <f>VLOOKUP(B954, Products!$A$2:$F$100, 4, FALSE)</f>
        <v>6</v>
      </c>
    </row>
    <row r="955" spans="1:11" x14ac:dyDescent="0.3">
      <c r="A955">
        <v>339</v>
      </c>
      <c r="B955">
        <v>1</v>
      </c>
      <c r="C955">
        <v>13</v>
      </c>
      <c r="D955" t="str">
        <f>VLOOKUP(B955, Products!$A$2:$C$100, 2, FALSE)</f>
        <v>Trek 820 - 2016</v>
      </c>
      <c r="E955">
        <v>1</v>
      </c>
      <c r="F955">
        <v>269.99</v>
      </c>
      <c r="G955">
        <v>0.1</v>
      </c>
      <c r="H955">
        <v>26.999000000000002</v>
      </c>
      <c r="I955">
        <f>order_items[[#This Row],[list_price]]-order_items[[#This Row],[Discounted_price]]</f>
        <v>242.99100000000001</v>
      </c>
      <c r="J955">
        <f>VLOOKUP(B955, Products!$A$2:$E$100, 3, FALSE)</f>
        <v>9</v>
      </c>
      <c r="K955">
        <f>VLOOKUP(B955, Products!$A$2:$F$100, 4, FALSE)</f>
        <v>6</v>
      </c>
    </row>
    <row r="956" spans="1:11" x14ac:dyDescent="0.3">
      <c r="A956">
        <v>339</v>
      </c>
      <c r="B956">
        <v>2</v>
      </c>
      <c r="C956">
        <v>15</v>
      </c>
      <c r="D956" t="str">
        <f>VLOOKUP(B956, Products!$A$2:$C$100, 2, FALSE)</f>
        <v>Ritchey Timberwolf Frameset - 2016</v>
      </c>
      <c r="E956">
        <v>2</v>
      </c>
      <c r="F956">
        <v>529.99</v>
      </c>
      <c r="G956">
        <v>0.05</v>
      </c>
      <c r="H956">
        <v>26.499500000000001</v>
      </c>
      <c r="I956">
        <f>order_items[[#This Row],[list_price]]-order_items[[#This Row],[Discounted_price]]</f>
        <v>503.4905</v>
      </c>
      <c r="J956">
        <f>VLOOKUP(B956, Products!$A$2:$E$100, 3, FALSE)</f>
        <v>5</v>
      </c>
      <c r="K956">
        <f>VLOOKUP(B956, Products!$A$2:$F$100, 4, FALSE)</f>
        <v>6</v>
      </c>
    </row>
    <row r="957" spans="1:11" x14ac:dyDescent="0.3">
      <c r="A957">
        <v>340</v>
      </c>
      <c r="B957">
        <v>1</v>
      </c>
      <c r="C957">
        <v>11</v>
      </c>
      <c r="D957" t="str">
        <f>VLOOKUP(B957, Products!$A$2:$C$100, 2, FALSE)</f>
        <v>Trek 820 - 2016</v>
      </c>
      <c r="E957">
        <v>1</v>
      </c>
      <c r="F957">
        <v>1680.99</v>
      </c>
      <c r="G957">
        <v>0.05</v>
      </c>
      <c r="H957">
        <v>84.049500000000009</v>
      </c>
      <c r="I957">
        <f>order_items[[#This Row],[list_price]]-order_items[[#This Row],[Discounted_price]]</f>
        <v>1596.9404999999999</v>
      </c>
      <c r="J957">
        <f>VLOOKUP(B957, Products!$A$2:$E$100, 3, FALSE)</f>
        <v>9</v>
      </c>
      <c r="K957">
        <f>VLOOKUP(B957, Products!$A$2:$F$100, 4, FALSE)</f>
        <v>6</v>
      </c>
    </row>
    <row r="958" spans="1:11" x14ac:dyDescent="0.3">
      <c r="A958">
        <v>340</v>
      </c>
      <c r="B958">
        <v>2</v>
      </c>
      <c r="C958">
        <v>24</v>
      </c>
      <c r="D958" t="str">
        <f>VLOOKUP(B958, Products!$A$2:$C$100, 2, FALSE)</f>
        <v>Ritchey Timberwolf Frameset - 2016</v>
      </c>
      <c r="E958">
        <v>1</v>
      </c>
      <c r="F958">
        <v>549.99</v>
      </c>
      <c r="G958">
        <v>0.05</v>
      </c>
      <c r="H958">
        <v>27.499500000000001</v>
      </c>
      <c r="I958">
        <f>order_items[[#This Row],[list_price]]-order_items[[#This Row],[Discounted_price]]</f>
        <v>522.4905</v>
      </c>
      <c r="J958">
        <f>VLOOKUP(B958, Products!$A$2:$E$100, 3, FALSE)</f>
        <v>5</v>
      </c>
      <c r="K958">
        <f>VLOOKUP(B958, Products!$A$2:$F$100, 4, FALSE)</f>
        <v>6</v>
      </c>
    </row>
    <row r="959" spans="1:11" x14ac:dyDescent="0.3">
      <c r="A959">
        <v>340</v>
      </c>
      <c r="B959">
        <v>3</v>
      </c>
      <c r="C959">
        <v>13</v>
      </c>
      <c r="D959" t="str">
        <f>VLOOKUP(B959, Products!$A$2:$C$100, 2, FALSE)</f>
        <v>Surly Wednesday Frameset - 2016</v>
      </c>
      <c r="E959">
        <v>2</v>
      </c>
      <c r="F959">
        <v>269.99</v>
      </c>
      <c r="G959">
        <v>0.1</v>
      </c>
      <c r="H959">
        <v>26.999000000000002</v>
      </c>
      <c r="I959">
        <f>order_items[[#This Row],[list_price]]-order_items[[#This Row],[Discounted_price]]</f>
        <v>242.99100000000001</v>
      </c>
      <c r="J959">
        <f>VLOOKUP(B959, Products!$A$2:$E$100, 3, FALSE)</f>
        <v>8</v>
      </c>
      <c r="K959">
        <f>VLOOKUP(B959, Products!$A$2:$F$100, 4, FALSE)</f>
        <v>6</v>
      </c>
    </row>
    <row r="960" spans="1:11" x14ac:dyDescent="0.3">
      <c r="A960">
        <v>340</v>
      </c>
      <c r="B960">
        <v>4</v>
      </c>
      <c r="C960">
        <v>12</v>
      </c>
      <c r="D960" t="str">
        <f>VLOOKUP(B960, Products!$A$2:$C$100, 2, FALSE)</f>
        <v>Trek Fuel EX 8 29 - 2016</v>
      </c>
      <c r="E960">
        <v>2</v>
      </c>
      <c r="F960">
        <v>549.99</v>
      </c>
      <c r="G960">
        <v>7.0000000000000007E-2</v>
      </c>
      <c r="H960">
        <v>38.499300000000005</v>
      </c>
      <c r="I960">
        <f>order_items[[#This Row],[list_price]]-order_items[[#This Row],[Discounted_price]]</f>
        <v>511.4907</v>
      </c>
      <c r="J960">
        <f>VLOOKUP(B960, Products!$A$2:$E$100, 3, FALSE)</f>
        <v>9</v>
      </c>
      <c r="K960">
        <f>VLOOKUP(B960, Products!$A$2:$F$100, 4, FALSE)</f>
        <v>6</v>
      </c>
    </row>
    <row r="961" spans="1:11" x14ac:dyDescent="0.3">
      <c r="A961">
        <v>340</v>
      </c>
      <c r="B961">
        <v>5</v>
      </c>
      <c r="C961">
        <v>10</v>
      </c>
      <c r="D961" t="str">
        <f>VLOOKUP(B961, Products!$A$2:$C$100, 2, FALSE)</f>
        <v>Heller Shagamaw Frame - 2016</v>
      </c>
      <c r="E961">
        <v>2</v>
      </c>
      <c r="F961">
        <v>1549</v>
      </c>
      <c r="G961">
        <v>0.1</v>
      </c>
      <c r="H961">
        <v>154.9</v>
      </c>
      <c r="I961">
        <f>order_items[[#This Row],[list_price]]-order_items[[#This Row],[Discounted_price]]</f>
        <v>1394.1</v>
      </c>
      <c r="J961">
        <f>VLOOKUP(B961, Products!$A$2:$E$100, 3, FALSE)</f>
        <v>3</v>
      </c>
      <c r="K961">
        <f>VLOOKUP(B961, Products!$A$2:$F$100, 4, FALSE)</f>
        <v>6</v>
      </c>
    </row>
    <row r="962" spans="1:11" x14ac:dyDescent="0.3">
      <c r="A962">
        <v>341</v>
      </c>
      <c r="B962">
        <v>1</v>
      </c>
      <c r="C962">
        <v>23</v>
      </c>
      <c r="D962" t="str">
        <f>VLOOKUP(B962, Products!$A$2:$C$100, 2, FALSE)</f>
        <v>Trek 820 - 2016</v>
      </c>
      <c r="E962">
        <v>2</v>
      </c>
      <c r="F962">
        <v>299.99</v>
      </c>
      <c r="G962">
        <v>0.05</v>
      </c>
      <c r="H962">
        <v>14.999500000000001</v>
      </c>
      <c r="I962">
        <f>order_items[[#This Row],[list_price]]-order_items[[#This Row],[Discounted_price]]</f>
        <v>284.9905</v>
      </c>
      <c r="J962">
        <f>VLOOKUP(B962, Products!$A$2:$E$100, 3, FALSE)</f>
        <v>9</v>
      </c>
      <c r="K962">
        <f>VLOOKUP(B962, Products!$A$2:$F$100, 4, FALSE)</f>
        <v>6</v>
      </c>
    </row>
    <row r="963" spans="1:11" x14ac:dyDescent="0.3">
      <c r="A963">
        <v>342</v>
      </c>
      <c r="B963">
        <v>1</v>
      </c>
      <c r="C963">
        <v>26</v>
      </c>
      <c r="D963" t="str">
        <f>VLOOKUP(B963, Products!$A$2:$C$100, 2, FALSE)</f>
        <v>Trek 820 - 2016</v>
      </c>
      <c r="E963">
        <v>1</v>
      </c>
      <c r="F963">
        <v>599.99</v>
      </c>
      <c r="G963">
        <v>7.0000000000000007E-2</v>
      </c>
      <c r="H963">
        <v>41.999300000000005</v>
      </c>
      <c r="I963">
        <f>order_items[[#This Row],[list_price]]-order_items[[#This Row],[Discounted_price]]</f>
        <v>557.99070000000006</v>
      </c>
      <c r="J963">
        <f>VLOOKUP(B963, Products!$A$2:$E$100, 3, FALSE)</f>
        <v>9</v>
      </c>
      <c r="K963">
        <f>VLOOKUP(B963, Products!$A$2:$F$100, 4, FALSE)</f>
        <v>6</v>
      </c>
    </row>
    <row r="964" spans="1:11" x14ac:dyDescent="0.3">
      <c r="A964">
        <v>342</v>
      </c>
      <c r="B964">
        <v>2</v>
      </c>
      <c r="C964">
        <v>9</v>
      </c>
      <c r="D964" t="str">
        <f>VLOOKUP(B964, Products!$A$2:$C$100, 2, FALSE)</f>
        <v>Ritchey Timberwolf Frameset - 2016</v>
      </c>
      <c r="E964">
        <v>1</v>
      </c>
      <c r="F964">
        <v>2999.99</v>
      </c>
      <c r="G964">
        <v>0.2</v>
      </c>
      <c r="H964">
        <v>599.99799999999993</v>
      </c>
      <c r="I964">
        <f>order_items[[#This Row],[list_price]]-order_items[[#This Row],[Discounted_price]]</f>
        <v>2399.9919999999997</v>
      </c>
      <c r="J964">
        <f>VLOOKUP(B964, Products!$A$2:$E$100, 3, FALSE)</f>
        <v>5</v>
      </c>
      <c r="K964">
        <f>VLOOKUP(B964, Products!$A$2:$F$100, 4, FALSE)</f>
        <v>6</v>
      </c>
    </row>
    <row r="965" spans="1:11" x14ac:dyDescent="0.3">
      <c r="A965">
        <v>342</v>
      </c>
      <c r="B965">
        <v>3</v>
      </c>
      <c r="C965">
        <v>16</v>
      </c>
      <c r="D965" t="str">
        <f>VLOOKUP(B965, Products!$A$2:$C$100, 2, FALSE)</f>
        <v>Surly Wednesday Frameset - 2016</v>
      </c>
      <c r="E965">
        <v>2</v>
      </c>
      <c r="F965">
        <v>599.99</v>
      </c>
      <c r="G965">
        <v>0.1</v>
      </c>
      <c r="H965">
        <v>59.999000000000002</v>
      </c>
      <c r="I965">
        <f>order_items[[#This Row],[list_price]]-order_items[[#This Row],[Discounted_price]]</f>
        <v>539.99099999999999</v>
      </c>
      <c r="J965">
        <f>VLOOKUP(B965, Products!$A$2:$E$100, 3, FALSE)</f>
        <v>8</v>
      </c>
      <c r="K965">
        <f>VLOOKUP(B965, Products!$A$2:$F$100, 4, FALSE)</f>
        <v>6</v>
      </c>
    </row>
    <row r="966" spans="1:11" x14ac:dyDescent="0.3">
      <c r="A966">
        <v>343</v>
      </c>
      <c r="B966">
        <v>1</v>
      </c>
      <c r="C966">
        <v>20</v>
      </c>
      <c r="D966" t="str">
        <f>VLOOKUP(B966, Products!$A$2:$C$100, 2, FALSE)</f>
        <v>Trek 820 - 2016</v>
      </c>
      <c r="E966">
        <v>2</v>
      </c>
      <c r="F966">
        <v>599.99</v>
      </c>
      <c r="G966">
        <v>0.2</v>
      </c>
      <c r="H966">
        <v>119.998</v>
      </c>
      <c r="I966">
        <f>order_items[[#This Row],[list_price]]-order_items[[#This Row],[Discounted_price]]</f>
        <v>479.99200000000002</v>
      </c>
      <c r="J966">
        <f>VLOOKUP(B966, Products!$A$2:$E$100, 3, FALSE)</f>
        <v>9</v>
      </c>
      <c r="K966">
        <f>VLOOKUP(B966, Products!$A$2:$F$100, 4, FALSE)</f>
        <v>6</v>
      </c>
    </row>
    <row r="967" spans="1:11" x14ac:dyDescent="0.3">
      <c r="A967">
        <v>343</v>
      </c>
      <c r="B967">
        <v>2</v>
      </c>
      <c r="C967">
        <v>25</v>
      </c>
      <c r="D967" t="str">
        <f>VLOOKUP(B967, Products!$A$2:$C$100, 2, FALSE)</f>
        <v>Ritchey Timberwolf Frameset - 2016</v>
      </c>
      <c r="E967">
        <v>1</v>
      </c>
      <c r="F967">
        <v>499.99</v>
      </c>
      <c r="G967">
        <v>0.05</v>
      </c>
      <c r="H967">
        <v>24.999500000000001</v>
      </c>
      <c r="I967">
        <f>order_items[[#This Row],[list_price]]-order_items[[#This Row],[Discounted_price]]</f>
        <v>474.9905</v>
      </c>
      <c r="J967">
        <f>VLOOKUP(B967, Products!$A$2:$E$100, 3, FALSE)</f>
        <v>5</v>
      </c>
      <c r="K967">
        <f>VLOOKUP(B967, Products!$A$2:$F$100, 4, FALSE)</f>
        <v>6</v>
      </c>
    </row>
    <row r="968" spans="1:11" x14ac:dyDescent="0.3">
      <c r="A968">
        <v>343</v>
      </c>
      <c r="B968">
        <v>3</v>
      </c>
      <c r="C968">
        <v>5</v>
      </c>
      <c r="D968" t="str">
        <f>VLOOKUP(B968, Products!$A$2:$C$100, 2, FALSE)</f>
        <v>Surly Wednesday Frameset - 2016</v>
      </c>
      <c r="E968">
        <v>2</v>
      </c>
      <c r="F968">
        <v>1320.99</v>
      </c>
      <c r="G968">
        <v>0.05</v>
      </c>
      <c r="H968">
        <v>66.049500000000009</v>
      </c>
      <c r="I968">
        <f>order_items[[#This Row],[list_price]]-order_items[[#This Row],[Discounted_price]]</f>
        <v>1254.9404999999999</v>
      </c>
      <c r="J968">
        <f>VLOOKUP(B968, Products!$A$2:$E$100, 3, FALSE)</f>
        <v>8</v>
      </c>
      <c r="K968">
        <f>VLOOKUP(B968, Products!$A$2:$F$100, 4, FALSE)</f>
        <v>6</v>
      </c>
    </row>
    <row r="969" spans="1:11" x14ac:dyDescent="0.3">
      <c r="A969">
        <v>343</v>
      </c>
      <c r="B969">
        <v>4</v>
      </c>
      <c r="C969">
        <v>10</v>
      </c>
      <c r="D969" t="str">
        <f>VLOOKUP(B969, Products!$A$2:$C$100, 2, FALSE)</f>
        <v>Trek Fuel EX 8 29 - 2016</v>
      </c>
      <c r="E969">
        <v>1</v>
      </c>
      <c r="F969">
        <v>1549</v>
      </c>
      <c r="G969">
        <v>0.1</v>
      </c>
      <c r="H969">
        <v>154.9</v>
      </c>
      <c r="I969">
        <f>order_items[[#This Row],[list_price]]-order_items[[#This Row],[Discounted_price]]</f>
        <v>1394.1</v>
      </c>
      <c r="J969">
        <f>VLOOKUP(B969, Products!$A$2:$E$100, 3, FALSE)</f>
        <v>9</v>
      </c>
      <c r="K969">
        <f>VLOOKUP(B969, Products!$A$2:$F$100, 4, FALSE)</f>
        <v>6</v>
      </c>
    </row>
    <row r="970" spans="1:11" x14ac:dyDescent="0.3">
      <c r="A970">
        <v>344</v>
      </c>
      <c r="B970">
        <v>1</v>
      </c>
      <c r="C970">
        <v>22</v>
      </c>
      <c r="D970" t="str">
        <f>VLOOKUP(B970, Products!$A$2:$C$100, 2, FALSE)</f>
        <v>Trek 820 - 2016</v>
      </c>
      <c r="E970">
        <v>1</v>
      </c>
      <c r="F970">
        <v>269.99</v>
      </c>
      <c r="G970">
        <v>0.05</v>
      </c>
      <c r="H970">
        <v>13.499500000000001</v>
      </c>
      <c r="I970">
        <f>order_items[[#This Row],[list_price]]-order_items[[#This Row],[Discounted_price]]</f>
        <v>256.4905</v>
      </c>
      <c r="J970">
        <f>VLOOKUP(B970, Products!$A$2:$E$100, 3, FALSE)</f>
        <v>9</v>
      </c>
      <c r="K970">
        <f>VLOOKUP(B970, Products!$A$2:$F$100, 4, FALSE)</f>
        <v>6</v>
      </c>
    </row>
    <row r="971" spans="1:11" x14ac:dyDescent="0.3">
      <c r="A971">
        <v>344</v>
      </c>
      <c r="B971">
        <v>2</v>
      </c>
      <c r="C971">
        <v>18</v>
      </c>
      <c r="D971" t="str">
        <f>VLOOKUP(B971, Products!$A$2:$C$100, 2, FALSE)</f>
        <v>Ritchey Timberwolf Frameset - 2016</v>
      </c>
      <c r="E971">
        <v>2</v>
      </c>
      <c r="F971">
        <v>449</v>
      </c>
      <c r="G971">
        <v>7.0000000000000007E-2</v>
      </c>
      <c r="H971">
        <v>31.430000000000003</v>
      </c>
      <c r="I971">
        <f>order_items[[#This Row],[list_price]]-order_items[[#This Row],[Discounted_price]]</f>
        <v>417.57</v>
      </c>
      <c r="J971">
        <f>VLOOKUP(B971, Products!$A$2:$E$100, 3, FALSE)</f>
        <v>5</v>
      </c>
      <c r="K971">
        <f>VLOOKUP(B971, Products!$A$2:$F$100, 4, FALSE)</f>
        <v>6</v>
      </c>
    </row>
    <row r="972" spans="1:11" x14ac:dyDescent="0.3">
      <c r="A972">
        <v>344</v>
      </c>
      <c r="B972">
        <v>3</v>
      </c>
      <c r="C972">
        <v>14</v>
      </c>
      <c r="D972" t="str">
        <f>VLOOKUP(B972, Products!$A$2:$C$100, 2, FALSE)</f>
        <v>Surly Wednesday Frameset - 2016</v>
      </c>
      <c r="E972">
        <v>1</v>
      </c>
      <c r="F972">
        <v>269.99</v>
      </c>
      <c r="G972">
        <v>0.2</v>
      </c>
      <c r="H972">
        <v>53.998000000000005</v>
      </c>
      <c r="I972">
        <f>order_items[[#This Row],[list_price]]-order_items[[#This Row],[Discounted_price]]</f>
        <v>215.99200000000002</v>
      </c>
      <c r="J972">
        <f>VLOOKUP(B972, Products!$A$2:$E$100, 3, FALSE)</f>
        <v>8</v>
      </c>
      <c r="K972">
        <f>VLOOKUP(B972, Products!$A$2:$F$100, 4, FALSE)</f>
        <v>6</v>
      </c>
    </row>
    <row r="973" spans="1:11" x14ac:dyDescent="0.3">
      <c r="A973">
        <v>345</v>
      </c>
      <c r="B973">
        <v>1</v>
      </c>
      <c r="C973">
        <v>18</v>
      </c>
      <c r="D973" t="str">
        <f>VLOOKUP(B973, Products!$A$2:$C$100, 2, FALSE)</f>
        <v>Trek 820 - 2016</v>
      </c>
      <c r="E973">
        <v>2</v>
      </c>
      <c r="F973">
        <v>449</v>
      </c>
      <c r="G973">
        <v>0.1</v>
      </c>
      <c r="H973">
        <v>44.900000000000006</v>
      </c>
      <c r="I973">
        <f>order_items[[#This Row],[list_price]]-order_items[[#This Row],[Discounted_price]]</f>
        <v>404.1</v>
      </c>
      <c r="J973">
        <f>VLOOKUP(B973, Products!$A$2:$E$100, 3, FALSE)</f>
        <v>9</v>
      </c>
      <c r="K973">
        <f>VLOOKUP(B973, Products!$A$2:$F$100, 4, FALSE)</f>
        <v>6</v>
      </c>
    </row>
    <row r="974" spans="1:11" x14ac:dyDescent="0.3">
      <c r="A974">
        <v>345</v>
      </c>
      <c r="B974">
        <v>2</v>
      </c>
      <c r="C974">
        <v>24</v>
      </c>
      <c r="D974" t="str">
        <f>VLOOKUP(B974, Products!$A$2:$C$100, 2, FALSE)</f>
        <v>Ritchey Timberwolf Frameset - 2016</v>
      </c>
      <c r="E974">
        <v>2</v>
      </c>
      <c r="F974">
        <v>549.99</v>
      </c>
      <c r="G974">
        <v>7.0000000000000007E-2</v>
      </c>
      <c r="H974">
        <v>38.499300000000005</v>
      </c>
      <c r="I974">
        <f>order_items[[#This Row],[list_price]]-order_items[[#This Row],[Discounted_price]]</f>
        <v>511.4907</v>
      </c>
      <c r="J974">
        <f>VLOOKUP(B974, Products!$A$2:$E$100, 3, FALSE)</f>
        <v>5</v>
      </c>
      <c r="K974">
        <f>VLOOKUP(B974, Products!$A$2:$F$100, 4, FALSE)</f>
        <v>6</v>
      </c>
    </row>
    <row r="975" spans="1:11" x14ac:dyDescent="0.3">
      <c r="A975">
        <v>346</v>
      </c>
      <c r="B975">
        <v>1</v>
      </c>
      <c r="C975">
        <v>13</v>
      </c>
      <c r="D975" t="str">
        <f>VLOOKUP(B975, Products!$A$2:$C$100, 2, FALSE)</f>
        <v>Trek 820 - 2016</v>
      </c>
      <c r="E975">
        <v>1</v>
      </c>
      <c r="F975">
        <v>269.99</v>
      </c>
      <c r="G975">
        <v>7.0000000000000007E-2</v>
      </c>
      <c r="H975">
        <v>18.899300000000004</v>
      </c>
      <c r="I975">
        <f>order_items[[#This Row],[list_price]]-order_items[[#This Row],[Discounted_price]]</f>
        <v>251.0907</v>
      </c>
      <c r="J975">
        <f>VLOOKUP(B975, Products!$A$2:$E$100, 3, FALSE)</f>
        <v>9</v>
      </c>
      <c r="K975">
        <f>VLOOKUP(B975, Products!$A$2:$F$100, 4, FALSE)</f>
        <v>6</v>
      </c>
    </row>
    <row r="976" spans="1:11" x14ac:dyDescent="0.3">
      <c r="A976">
        <v>346</v>
      </c>
      <c r="B976">
        <v>2</v>
      </c>
      <c r="C976">
        <v>23</v>
      </c>
      <c r="D976" t="str">
        <f>VLOOKUP(B976, Products!$A$2:$C$100, 2, FALSE)</f>
        <v>Ritchey Timberwolf Frameset - 2016</v>
      </c>
      <c r="E976">
        <v>1</v>
      </c>
      <c r="F976">
        <v>299.99</v>
      </c>
      <c r="G976">
        <v>0.2</v>
      </c>
      <c r="H976">
        <v>59.998000000000005</v>
      </c>
      <c r="I976">
        <f>order_items[[#This Row],[list_price]]-order_items[[#This Row],[Discounted_price]]</f>
        <v>239.99200000000002</v>
      </c>
      <c r="J976">
        <f>VLOOKUP(B976, Products!$A$2:$E$100, 3, FALSE)</f>
        <v>5</v>
      </c>
      <c r="K976">
        <f>VLOOKUP(B976, Products!$A$2:$F$100, 4, FALSE)</f>
        <v>6</v>
      </c>
    </row>
    <row r="977" spans="1:11" x14ac:dyDescent="0.3">
      <c r="A977">
        <v>346</v>
      </c>
      <c r="B977">
        <v>3</v>
      </c>
      <c r="C977">
        <v>21</v>
      </c>
      <c r="D977" t="str">
        <f>VLOOKUP(B977, Products!$A$2:$C$100, 2, FALSE)</f>
        <v>Surly Wednesday Frameset - 2016</v>
      </c>
      <c r="E977">
        <v>1</v>
      </c>
      <c r="F977">
        <v>269.99</v>
      </c>
      <c r="G977">
        <v>0.1</v>
      </c>
      <c r="H977">
        <v>26.999000000000002</v>
      </c>
      <c r="I977">
        <f>order_items[[#This Row],[list_price]]-order_items[[#This Row],[Discounted_price]]</f>
        <v>242.99100000000001</v>
      </c>
      <c r="J977">
        <f>VLOOKUP(B977, Products!$A$2:$E$100, 3, FALSE)</f>
        <v>8</v>
      </c>
      <c r="K977">
        <f>VLOOKUP(B977, Products!$A$2:$F$100, 4, FALSE)</f>
        <v>6</v>
      </c>
    </row>
    <row r="978" spans="1:11" x14ac:dyDescent="0.3">
      <c r="A978">
        <v>346</v>
      </c>
      <c r="B978">
        <v>4</v>
      </c>
      <c r="C978">
        <v>15</v>
      </c>
      <c r="D978" t="str">
        <f>VLOOKUP(B978, Products!$A$2:$C$100, 2, FALSE)</f>
        <v>Trek Fuel EX 8 29 - 2016</v>
      </c>
      <c r="E978">
        <v>1</v>
      </c>
      <c r="F978">
        <v>529.99</v>
      </c>
      <c r="G978">
        <v>0.05</v>
      </c>
      <c r="H978">
        <v>26.499500000000001</v>
      </c>
      <c r="I978">
        <f>order_items[[#This Row],[list_price]]-order_items[[#This Row],[Discounted_price]]</f>
        <v>503.4905</v>
      </c>
      <c r="J978">
        <f>VLOOKUP(B978, Products!$A$2:$E$100, 3, FALSE)</f>
        <v>9</v>
      </c>
      <c r="K978">
        <f>VLOOKUP(B978, Products!$A$2:$F$100, 4, FALSE)</f>
        <v>6</v>
      </c>
    </row>
    <row r="979" spans="1:11" x14ac:dyDescent="0.3">
      <c r="A979">
        <v>346</v>
      </c>
      <c r="B979">
        <v>5</v>
      </c>
      <c r="C979">
        <v>18</v>
      </c>
      <c r="D979" t="str">
        <f>VLOOKUP(B979, Products!$A$2:$C$100, 2, FALSE)</f>
        <v>Heller Shagamaw Frame - 2016</v>
      </c>
      <c r="E979">
        <v>2</v>
      </c>
      <c r="F979">
        <v>449</v>
      </c>
      <c r="G979">
        <v>0.05</v>
      </c>
      <c r="H979">
        <v>22.450000000000003</v>
      </c>
      <c r="I979">
        <f>order_items[[#This Row],[list_price]]-order_items[[#This Row],[Discounted_price]]</f>
        <v>426.55</v>
      </c>
      <c r="J979">
        <f>VLOOKUP(B979, Products!$A$2:$E$100, 3, FALSE)</f>
        <v>3</v>
      </c>
      <c r="K979">
        <f>VLOOKUP(B979, Products!$A$2:$F$100, 4, FALSE)</f>
        <v>6</v>
      </c>
    </row>
    <row r="980" spans="1:11" x14ac:dyDescent="0.3">
      <c r="A980">
        <v>347</v>
      </c>
      <c r="B980">
        <v>1</v>
      </c>
      <c r="C980">
        <v>23</v>
      </c>
      <c r="D980" t="str">
        <f>VLOOKUP(B980, Products!$A$2:$C$100, 2, FALSE)</f>
        <v>Trek 820 - 2016</v>
      </c>
      <c r="E980">
        <v>1</v>
      </c>
      <c r="F980">
        <v>299.99</v>
      </c>
      <c r="G980">
        <v>7.0000000000000007E-2</v>
      </c>
      <c r="H980">
        <v>20.999300000000002</v>
      </c>
      <c r="I980">
        <f>order_items[[#This Row],[list_price]]-order_items[[#This Row],[Discounted_price]]</f>
        <v>278.9907</v>
      </c>
      <c r="J980">
        <f>VLOOKUP(B980, Products!$A$2:$E$100, 3, FALSE)</f>
        <v>9</v>
      </c>
      <c r="K980">
        <f>VLOOKUP(B980, Products!$A$2:$F$100, 4, FALSE)</f>
        <v>6</v>
      </c>
    </row>
    <row r="981" spans="1:11" x14ac:dyDescent="0.3">
      <c r="A981">
        <v>348</v>
      </c>
      <c r="B981">
        <v>1</v>
      </c>
      <c r="C981">
        <v>5</v>
      </c>
      <c r="D981" t="str">
        <f>VLOOKUP(B981, Products!$A$2:$C$100, 2, FALSE)</f>
        <v>Trek 820 - 2016</v>
      </c>
      <c r="E981">
        <v>2</v>
      </c>
      <c r="F981">
        <v>1320.99</v>
      </c>
      <c r="G981">
        <v>0.05</v>
      </c>
      <c r="H981">
        <v>66.049500000000009</v>
      </c>
      <c r="I981">
        <f>order_items[[#This Row],[list_price]]-order_items[[#This Row],[Discounted_price]]</f>
        <v>1254.9404999999999</v>
      </c>
      <c r="J981">
        <f>VLOOKUP(B981, Products!$A$2:$E$100, 3, FALSE)</f>
        <v>9</v>
      </c>
      <c r="K981">
        <f>VLOOKUP(B981, Products!$A$2:$F$100, 4, FALSE)</f>
        <v>6</v>
      </c>
    </row>
    <row r="982" spans="1:11" x14ac:dyDescent="0.3">
      <c r="A982">
        <v>348</v>
      </c>
      <c r="B982">
        <v>2</v>
      </c>
      <c r="C982">
        <v>15</v>
      </c>
      <c r="D982" t="str">
        <f>VLOOKUP(B982, Products!$A$2:$C$100, 2, FALSE)</f>
        <v>Ritchey Timberwolf Frameset - 2016</v>
      </c>
      <c r="E982">
        <v>2</v>
      </c>
      <c r="F982">
        <v>529.99</v>
      </c>
      <c r="G982">
        <v>7.0000000000000007E-2</v>
      </c>
      <c r="H982">
        <v>37.099300000000007</v>
      </c>
      <c r="I982">
        <f>order_items[[#This Row],[list_price]]-order_items[[#This Row],[Discounted_price]]</f>
        <v>492.89069999999998</v>
      </c>
      <c r="J982">
        <f>VLOOKUP(B982, Products!$A$2:$E$100, 3, FALSE)</f>
        <v>5</v>
      </c>
      <c r="K982">
        <f>VLOOKUP(B982, Products!$A$2:$F$100, 4, FALSE)</f>
        <v>6</v>
      </c>
    </row>
    <row r="983" spans="1:11" x14ac:dyDescent="0.3">
      <c r="A983">
        <v>349</v>
      </c>
      <c r="B983">
        <v>1</v>
      </c>
      <c r="C983">
        <v>20</v>
      </c>
      <c r="D983" t="str">
        <f>VLOOKUP(B983, Products!$A$2:$C$100, 2, FALSE)</f>
        <v>Trek 820 - 2016</v>
      </c>
      <c r="E983">
        <v>2</v>
      </c>
      <c r="F983">
        <v>599.99</v>
      </c>
      <c r="G983">
        <v>0.2</v>
      </c>
      <c r="H983">
        <v>119.998</v>
      </c>
      <c r="I983">
        <f>order_items[[#This Row],[list_price]]-order_items[[#This Row],[Discounted_price]]</f>
        <v>479.99200000000002</v>
      </c>
      <c r="J983">
        <f>VLOOKUP(B983, Products!$A$2:$E$100, 3, FALSE)</f>
        <v>9</v>
      </c>
      <c r="K983">
        <f>VLOOKUP(B983, Products!$A$2:$F$100, 4, FALSE)</f>
        <v>6</v>
      </c>
    </row>
    <row r="984" spans="1:11" x14ac:dyDescent="0.3">
      <c r="A984">
        <v>350</v>
      </c>
      <c r="B984">
        <v>1</v>
      </c>
      <c r="C984">
        <v>6</v>
      </c>
      <c r="D984" t="str">
        <f>VLOOKUP(B984, Products!$A$2:$C$100, 2, FALSE)</f>
        <v>Trek 820 - 2016</v>
      </c>
      <c r="E984">
        <v>2</v>
      </c>
      <c r="F984">
        <v>469.99</v>
      </c>
      <c r="G984">
        <v>0.05</v>
      </c>
      <c r="H984">
        <v>23.499500000000001</v>
      </c>
      <c r="I984">
        <f>order_items[[#This Row],[list_price]]-order_items[[#This Row],[Discounted_price]]</f>
        <v>446.4905</v>
      </c>
      <c r="J984">
        <f>VLOOKUP(B984, Products!$A$2:$E$100, 3, FALSE)</f>
        <v>9</v>
      </c>
      <c r="K984">
        <f>VLOOKUP(B984, Products!$A$2:$F$100, 4, FALSE)</f>
        <v>6</v>
      </c>
    </row>
    <row r="985" spans="1:11" x14ac:dyDescent="0.3">
      <c r="A985">
        <v>350</v>
      </c>
      <c r="B985">
        <v>2</v>
      </c>
      <c r="C985">
        <v>20</v>
      </c>
      <c r="D985" t="str">
        <f>VLOOKUP(B985, Products!$A$2:$C$100, 2, FALSE)</f>
        <v>Ritchey Timberwolf Frameset - 2016</v>
      </c>
      <c r="E985">
        <v>1</v>
      </c>
      <c r="F985">
        <v>599.99</v>
      </c>
      <c r="G985">
        <v>7.0000000000000007E-2</v>
      </c>
      <c r="H985">
        <v>41.999300000000005</v>
      </c>
      <c r="I985">
        <f>order_items[[#This Row],[list_price]]-order_items[[#This Row],[Discounted_price]]</f>
        <v>557.99070000000006</v>
      </c>
      <c r="J985">
        <f>VLOOKUP(B985, Products!$A$2:$E$100, 3, FALSE)</f>
        <v>5</v>
      </c>
      <c r="K985">
        <f>VLOOKUP(B985, Products!$A$2:$F$100, 4, FALSE)</f>
        <v>6</v>
      </c>
    </row>
    <row r="986" spans="1:11" x14ac:dyDescent="0.3">
      <c r="A986">
        <v>350</v>
      </c>
      <c r="B986">
        <v>3</v>
      </c>
      <c r="C986">
        <v>3</v>
      </c>
      <c r="D986" t="str">
        <f>VLOOKUP(B986, Products!$A$2:$C$100, 2, FALSE)</f>
        <v>Surly Wednesday Frameset - 2016</v>
      </c>
      <c r="E986">
        <v>1</v>
      </c>
      <c r="F986">
        <v>999.99</v>
      </c>
      <c r="G986">
        <v>7.0000000000000007E-2</v>
      </c>
      <c r="H986">
        <v>69.999300000000005</v>
      </c>
      <c r="I986">
        <f>order_items[[#This Row],[list_price]]-order_items[[#This Row],[Discounted_price]]</f>
        <v>929.99070000000006</v>
      </c>
      <c r="J986">
        <f>VLOOKUP(B986, Products!$A$2:$E$100, 3, FALSE)</f>
        <v>8</v>
      </c>
      <c r="K986">
        <f>VLOOKUP(B986, Products!$A$2:$F$100, 4, FALSE)</f>
        <v>6</v>
      </c>
    </row>
    <row r="987" spans="1:11" x14ac:dyDescent="0.3">
      <c r="A987">
        <v>351</v>
      </c>
      <c r="B987">
        <v>1</v>
      </c>
      <c r="C987">
        <v>4</v>
      </c>
      <c r="D987" t="str">
        <f>VLOOKUP(B987, Products!$A$2:$C$100, 2, FALSE)</f>
        <v>Trek 820 - 2016</v>
      </c>
      <c r="E987">
        <v>2</v>
      </c>
      <c r="F987">
        <v>2899.99</v>
      </c>
      <c r="G987">
        <v>0.05</v>
      </c>
      <c r="H987">
        <v>144.99949999999998</v>
      </c>
      <c r="I987">
        <f>order_items[[#This Row],[list_price]]-order_items[[#This Row],[Discounted_price]]</f>
        <v>2754.9904999999999</v>
      </c>
      <c r="J987">
        <f>VLOOKUP(B987, Products!$A$2:$E$100, 3, FALSE)</f>
        <v>9</v>
      </c>
      <c r="K987">
        <f>VLOOKUP(B987, Products!$A$2:$F$100, 4, FALSE)</f>
        <v>6</v>
      </c>
    </row>
    <row r="988" spans="1:11" x14ac:dyDescent="0.3">
      <c r="A988">
        <v>351</v>
      </c>
      <c r="B988">
        <v>2</v>
      </c>
      <c r="C988">
        <v>24</v>
      </c>
      <c r="D988" t="str">
        <f>VLOOKUP(B988, Products!$A$2:$C$100, 2, FALSE)</f>
        <v>Ritchey Timberwolf Frameset - 2016</v>
      </c>
      <c r="E988">
        <v>2</v>
      </c>
      <c r="F988">
        <v>549.99</v>
      </c>
      <c r="G988">
        <v>0.1</v>
      </c>
      <c r="H988">
        <v>54.999000000000002</v>
      </c>
      <c r="I988">
        <f>order_items[[#This Row],[list_price]]-order_items[[#This Row],[Discounted_price]]</f>
        <v>494.99099999999999</v>
      </c>
      <c r="J988">
        <f>VLOOKUP(B988, Products!$A$2:$E$100, 3, FALSE)</f>
        <v>5</v>
      </c>
      <c r="K988">
        <f>VLOOKUP(B988, Products!$A$2:$F$100, 4, FALSE)</f>
        <v>6</v>
      </c>
    </row>
    <row r="989" spans="1:11" x14ac:dyDescent="0.3">
      <c r="A989">
        <v>351</v>
      </c>
      <c r="B989">
        <v>3</v>
      </c>
      <c r="C989">
        <v>20</v>
      </c>
      <c r="D989" t="str">
        <f>VLOOKUP(B989, Products!$A$2:$C$100, 2, FALSE)</f>
        <v>Surly Wednesday Frameset - 2016</v>
      </c>
      <c r="E989">
        <v>1</v>
      </c>
      <c r="F989">
        <v>599.99</v>
      </c>
      <c r="G989">
        <v>0.2</v>
      </c>
      <c r="H989">
        <v>119.998</v>
      </c>
      <c r="I989">
        <f>order_items[[#This Row],[list_price]]-order_items[[#This Row],[Discounted_price]]</f>
        <v>479.99200000000002</v>
      </c>
      <c r="J989">
        <f>VLOOKUP(B989, Products!$A$2:$E$100, 3, FALSE)</f>
        <v>8</v>
      </c>
      <c r="K989">
        <f>VLOOKUP(B989, Products!$A$2:$F$100, 4, FALSE)</f>
        <v>6</v>
      </c>
    </row>
    <row r="990" spans="1:11" x14ac:dyDescent="0.3">
      <c r="A990">
        <v>351</v>
      </c>
      <c r="B990">
        <v>4</v>
      </c>
      <c r="C990">
        <v>22</v>
      </c>
      <c r="D990" t="str">
        <f>VLOOKUP(B990, Products!$A$2:$C$100, 2, FALSE)</f>
        <v>Trek Fuel EX 8 29 - 2016</v>
      </c>
      <c r="E990">
        <v>2</v>
      </c>
      <c r="F990">
        <v>269.99</v>
      </c>
      <c r="G990">
        <v>7.0000000000000007E-2</v>
      </c>
      <c r="H990">
        <v>18.899300000000004</v>
      </c>
      <c r="I990">
        <f>order_items[[#This Row],[list_price]]-order_items[[#This Row],[Discounted_price]]</f>
        <v>251.0907</v>
      </c>
      <c r="J990">
        <f>VLOOKUP(B990, Products!$A$2:$E$100, 3, FALSE)</f>
        <v>9</v>
      </c>
      <c r="K990">
        <f>VLOOKUP(B990, Products!$A$2:$F$100, 4, FALSE)</f>
        <v>6</v>
      </c>
    </row>
    <row r="991" spans="1:11" x14ac:dyDescent="0.3">
      <c r="A991">
        <v>352</v>
      </c>
      <c r="B991">
        <v>1</v>
      </c>
      <c r="C991">
        <v>11</v>
      </c>
      <c r="D991" t="str">
        <f>VLOOKUP(B991, Products!$A$2:$C$100, 2, FALSE)</f>
        <v>Trek 820 - 2016</v>
      </c>
      <c r="E991">
        <v>1</v>
      </c>
      <c r="F991">
        <v>1680.99</v>
      </c>
      <c r="G991">
        <v>0.2</v>
      </c>
      <c r="H991">
        <v>336.19800000000004</v>
      </c>
      <c r="I991">
        <f>order_items[[#This Row],[list_price]]-order_items[[#This Row],[Discounted_price]]</f>
        <v>1344.7919999999999</v>
      </c>
      <c r="J991">
        <f>VLOOKUP(B991, Products!$A$2:$E$100, 3, FALSE)</f>
        <v>9</v>
      </c>
      <c r="K991">
        <f>VLOOKUP(B991, Products!$A$2:$F$100, 4, FALSE)</f>
        <v>6</v>
      </c>
    </row>
    <row r="992" spans="1:11" x14ac:dyDescent="0.3">
      <c r="A992">
        <v>352</v>
      </c>
      <c r="B992">
        <v>2</v>
      </c>
      <c r="C992">
        <v>14</v>
      </c>
      <c r="D992" t="str">
        <f>VLOOKUP(B992, Products!$A$2:$C$100, 2, FALSE)</f>
        <v>Ritchey Timberwolf Frameset - 2016</v>
      </c>
      <c r="E992">
        <v>1</v>
      </c>
      <c r="F992">
        <v>269.99</v>
      </c>
      <c r="G992">
        <v>0.2</v>
      </c>
      <c r="H992">
        <v>53.998000000000005</v>
      </c>
      <c r="I992">
        <f>order_items[[#This Row],[list_price]]-order_items[[#This Row],[Discounted_price]]</f>
        <v>215.99200000000002</v>
      </c>
      <c r="J992">
        <f>VLOOKUP(B992, Products!$A$2:$E$100, 3, FALSE)</f>
        <v>5</v>
      </c>
      <c r="K992">
        <f>VLOOKUP(B992, Products!$A$2:$F$100, 4, FALSE)</f>
        <v>6</v>
      </c>
    </row>
    <row r="993" spans="1:11" x14ac:dyDescent="0.3">
      <c r="A993">
        <v>353</v>
      </c>
      <c r="B993">
        <v>1</v>
      </c>
      <c r="C993">
        <v>2</v>
      </c>
      <c r="D993" t="str">
        <f>VLOOKUP(B993, Products!$A$2:$C$100, 2, FALSE)</f>
        <v>Trek 820 - 2016</v>
      </c>
      <c r="E993">
        <v>2</v>
      </c>
      <c r="F993">
        <v>749.99</v>
      </c>
      <c r="G993">
        <v>0.2</v>
      </c>
      <c r="H993">
        <v>149.99800000000002</v>
      </c>
      <c r="I993">
        <f>order_items[[#This Row],[list_price]]-order_items[[#This Row],[Discounted_price]]</f>
        <v>599.99199999999996</v>
      </c>
      <c r="J993">
        <f>VLOOKUP(B993, Products!$A$2:$E$100, 3, FALSE)</f>
        <v>9</v>
      </c>
      <c r="K993">
        <f>VLOOKUP(B993, Products!$A$2:$F$100, 4, FALSE)</f>
        <v>6</v>
      </c>
    </row>
    <row r="994" spans="1:11" x14ac:dyDescent="0.3">
      <c r="A994">
        <v>354</v>
      </c>
      <c r="B994">
        <v>1</v>
      </c>
      <c r="C994">
        <v>21</v>
      </c>
      <c r="D994" t="str">
        <f>VLOOKUP(B994, Products!$A$2:$C$100, 2, FALSE)</f>
        <v>Trek 820 - 2016</v>
      </c>
      <c r="E994">
        <v>1</v>
      </c>
      <c r="F994">
        <v>269.99</v>
      </c>
      <c r="G994">
        <v>0.2</v>
      </c>
      <c r="H994">
        <v>53.998000000000005</v>
      </c>
      <c r="I994">
        <f>order_items[[#This Row],[list_price]]-order_items[[#This Row],[Discounted_price]]</f>
        <v>215.99200000000002</v>
      </c>
      <c r="J994">
        <f>VLOOKUP(B994, Products!$A$2:$E$100, 3, FALSE)</f>
        <v>9</v>
      </c>
      <c r="K994">
        <f>VLOOKUP(B994, Products!$A$2:$F$100, 4, FALSE)</f>
        <v>6</v>
      </c>
    </row>
    <row r="995" spans="1:11" x14ac:dyDescent="0.3">
      <c r="A995">
        <v>354</v>
      </c>
      <c r="B995">
        <v>2</v>
      </c>
      <c r="C995">
        <v>19</v>
      </c>
      <c r="D995" t="str">
        <f>VLOOKUP(B995, Products!$A$2:$C$100, 2, FALSE)</f>
        <v>Ritchey Timberwolf Frameset - 2016</v>
      </c>
      <c r="E995">
        <v>1</v>
      </c>
      <c r="F995">
        <v>449</v>
      </c>
      <c r="G995">
        <v>0.05</v>
      </c>
      <c r="H995">
        <v>22.450000000000003</v>
      </c>
      <c r="I995">
        <f>order_items[[#This Row],[list_price]]-order_items[[#This Row],[Discounted_price]]</f>
        <v>426.55</v>
      </c>
      <c r="J995">
        <f>VLOOKUP(B995, Products!$A$2:$E$100, 3, FALSE)</f>
        <v>5</v>
      </c>
      <c r="K995">
        <f>VLOOKUP(B995, Products!$A$2:$F$100, 4, FALSE)</f>
        <v>6</v>
      </c>
    </row>
    <row r="996" spans="1:11" x14ac:dyDescent="0.3">
      <c r="A996">
        <v>355</v>
      </c>
      <c r="B996">
        <v>1</v>
      </c>
      <c r="C996">
        <v>16</v>
      </c>
      <c r="D996" t="str">
        <f>VLOOKUP(B996, Products!$A$2:$C$100, 2, FALSE)</f>
        <v>Trek 820 - 2016</v>
      </c>
      <c r="E996">
        <v>1</v>
      </c>
      <c r="F996">
        <v>599.99</v>
      </c>
      <c r="G996">
        <v>0.1</v>
      </c>
      <c r="H996">
        <v>59.999000000000002</v>
      </c>
      <c r="I996">
        <f>order_items[[#This Row],[list_price]]-order_items[[#This Row],[Discounted_price]]</f>
        <v>539.99099999999999</v>
      </c>
      <c r="J996">
        <f>VLOOKUP(B996, Products!$A$2:$E$100, 3, FALSE)</f>
        <v>9</v>
      </c>
      <c r="K996">
        <f>VLOOKUP(B996, Products!$A$2:$F$100, 4, FALSE)</f>
        <v>6</v>
      </c>
    </row>
    <row r="997" spans="1:11" x14ac:dyDescent="0.3">
      <c r="A997">
        <v>355</v>
      </c>
      <c r="B997">
        <v>2</v>
      </c>
      <c r="C997">
        <v>14</v>
      </c>
      <c r="D997" t="str">
        <f>VLOOKUP(B997, Products!$A$2:$C$100, 2, FALSE)</f>
        <v>Ritchey Timberwolf Frameset - 2016</v>
      </c>
      <c r="E997">
        <v>2</v>
      </c>
      <c r="F997">
        <v>269.99</v>
      </c>
      <c r="G997">
        <v>7.0000000000000007E-2</v>
      </c>
      <c r="H997">
        <v>18.899300000000004</v>
      </c>
      <c r="I997">
        <f>order_items[[#This Row],[list_price]]-order_items[[#This Row],[Discounted_price]]</f>
        <v>251.0907</v>
      </c>
      <c r="J997">
        <f>VLOOKUP(B997, Products!$A$2:$E$100, 3, FALSE)</f>
        <v>5</v>
      </c>
      <c r="K997">
        <f>VLOOKUP(B997, Products!$A$2:$F$100, 4, FALSE)</f>
        <v>6</v>
      </c>
    </row>
    <row r="998" spans="1:11" x14ac:dyDescent="0.3">
      <c r="A998">
        <v>356</v>
      </c>
      <c r="B998">
        <v>1</v>
      </c>
      <c r="C998">
        <v>23</v>
      </c>
      <c r="D998" t="str">
        <f>VLOOKUP(B998, Products!$A$2:$C$100, 2, FALSE)</f>
        <v>Trek 820 - 2016</v>
      </c>
      <c r="E998">
        <v>2</v>
      </c>
      <c r="F998">
        <v>299.99</v>
      </c>
      <c r="G998">
        <v>0.05</v>
      </c>
      <c r="H998">
        <v>14.999500000000001</v>
      </c>
      <c r="I998">
        <f>order_items[[#This Row],[list_price]]-order_items[[#This Row],[Discounted_price]]</f>
        <v>284.9905</v>
      </c>
      <c r="J998">
        <f>VLOOKUP(B998, Products!$A$2:$E$100, 3, FALSE)</f>
        <v>9</v>
      </c>
      <c r="K998">
        <f>VLOOKUP(B998, Products!$A$2:$F$100, 4, FALSE)</f>
        <v>6</v>
      </c>
    </row>
    <row r="999" spans="1:11" x14ac:dyDescent="0.3">
      <c r="A999">
        <v>356</v>
      </c>
      <c r="B999">
        <v>2</v>
      </c>
      <c r="C999">
        <v>4</v>
      </c>
      <c r="D999" t="str">
        <f>VLOOKUP(B999, Products!$A$2:$C$100, 2, FALSE)</f>
        <v>Ritchey Timberwolf Frameset - 2016</v>
      </c>
      <c r="E999">
        <v>1</v>
      </c>
      <c r="F999">
        <v>2899.99</v>
      </c>
      <c r="G999">
        <v>0.05</v>
      </c>
      <c r="H999">
        <v>144.99949999999998</v>
      </c>
      <c r="I999">
        <f>order_items[[#This Row],[list_price]]-order_items[[#This Row],[Discounted_price]]</f>
        <v>2754.9904999999999</v>
      </c>
      <c r="J999">
        <f>VLOOKUP(B999, Products!$A$2:$E$100, 3, FALSE)</f>
        <v>5</v>
      </c>
      <c r="K999">
        <f>VLOOKUP(B999, Products!$A$2:$F$100, 4, FALSE)</f>
        <v>6</v>
      </c>
    </row>
    <row r="1000" spans="1:11" x14ac:dyDescent="0.3">
      <c r="A1000">
        <v>356</v>
      </c>
      <c r="B1000">
        <v>3</v>
      </c>
      <c r="C1000">
        <v>13</v>
      </c>
      <c r="D1000" t="str">
        <f>VLOOKUP(B1000, Products!$A$2:$C$100, 2, FALSE)</f>
        <v>Surly Wednesday Frameset - 2016</v>
      </c>
      <c r="E1000">
        <v>1</v>
      </c>
      <c r="F1000">
        <v>269.99</v>
      </c>
      <c r="G1000">
        <v>0.05</v>
      </c>
      <c r="H1000">
        <v>13.499500000000001</v>
      </c>
      <c r="I1000">
        <f>order_items[[#This Row],[list_price]]-order_items[[#This Row],[Discounted_price]]</f>
        <v>256.4905</v>
      </c>
      <c r="J1000">
        <f>VLOOKUP(B1000, Products!$A$2:$E$100, 3, FALSE)</f>
        <v>8</v>
      </c>
      <c r="K1000">
        <f>VLOOKUP(B1000, Products!$A$2:$F$100, 4, FALSE)</f>
        <v>6</v>
      </c>
    </row>
    <row r="1001" spans="1:11" x14ac:dyDescent="0.3">
      <c r="A1001">
        <v>357</v>
      </c>
      <c r="B1001">
        <v>1</v>
      </c>
      <c r="C1001">
        <v>17</v>
      </c>
      <c r="D1001" t="str">
        <f>VLOOKUP(B1001, Products!$A$2:$C$100, 2, FALSE)</f>
        <v>Trek 820 - 2016</v>
      </c>
      <c r="E1001">
        <v>2</v>
      </c>
      <c r="F1001">
        <v>429</v>
      </c>
      <c r="G1001">
        <v>0.05</v>
      </c>
      <c r="H1001">
        <v>21.450000000000003</v>
      </c>
      <c r="I1001">
        <f>order_items[[#This Row],[list_price]]-order_items[[#This Row],[Discounted_price]]</f>
        <v>407.55</v>
      </c>
      <c r="J1001">
        <f>VLOOKUP(B1001, Products!$A$2:$E$100, 3, FALSE)</f>
        <v>9</v>
      </c>
      <c r="K1001">
        <f>VLOOKUP(B1001, Products!$A$2:$F$100, 4, FALSE)</f>
        <v>6</v>
      </c>
    </row>
    <row r="1002" spans="1:11" x14ac:dyDescent="0.3">
      <c r="A1002">
        <v>357</v>
      </c>
      <c r="B1002">
        <v>2</v>
      </c>
      <c r="C1002">
        <v>21</v>
      </c>
      <c r="D1002" t="str">
        <f>VLOOKUP(B1002, Products!$A$2:$C$100, 2, FALSE)</f>
        <v>Ritchey Timberwolf Frameset - 2016</v>
      </c>
      <c r="E1002">
        <v>2</v>
      </c>
      <c r="F1002">
        <v>269.99</v>
      </c>
      <c r="G1002">
        <v>7.0000000000000007E-2</v>
      </c>
      <c r="H1002">
        <v>18.899300000000004</v>
      </c>
      <c r="I1002">
        <f>order_items[[#This Row],[list_price]]-order_items[[#This Row],[Discounted_price]]</f>
        <v>251.0907</v>
      </c>
      <c r="J1002">
        <f>VLOOKUP(B1002, Products!$A$2:$E$100, 3, FALSE)</f>
        <v>5</v>
      </c>
      <c r="K1002">
        <f>VLOOKUP(B1002, Products!$A$2:$F$100, 4, FALSE)</f>
        <v>6</v>
      </c>
    </row>
    <row r="1003" spans="1:11" x14ac:dyDescent="0.3">
      <c r="A1003">
        <v>357</v>
      </c>
      <c r="B1003">
        <v>3</v>
      </c>
      <c r="C1003">
        <v>24</v>
      </c>
      <c r="D1003" t="str">
        <f>VLOOKUP(B1003, Products!$A$2:$C$100, 2, FALSE)</f>
        <v>Surly Wednesday Frameset - 2016</v>
      </c>
      <c r="E1003">
        <v>1</v>
      </c>
      <c r="F1003">
        <v>549.99</v>
      </c>
      <c r="G1003">
        <v>7.0000000000000007E-2</v>
      </c>
      <c r="H1003">
        <v>38.499300000000005</v>
      </c>
      <c r="I1003">
        <f>order_items[[#This Row],[list_price]]-order_items[[#This Row],[Discounted_price]]</f>
        <v>511.4907</v>
      </c>
      <c r="J1003">
        <f>VLOOKUP(B1003, Products!$A$2:$E$100, 3, FALSE)</f>
        <v>8</v>
      </c>
      <c r="K1003">
        <f>VLOOKUP(B1003, Products!$A$2:$F$100, 4, FALSE)</f>
        <v>6</v>
      </c>
    </row>
    <row r="1004" spans="1:11" x14ac:dyDescent="0.3">
      <c r="A1004">
        <v>357</v>
      </c>
      <c r="B1004">
        <v>4</v>
      </c>
      <c r="C1004">
        <v>9</v>
      </c>
      <c r="D1004" t="str">
        <f>VLOOKUP(B1004, Products!$A$2:$C$100, 2, FALSE)</f>
        <v>Trek Fuel EX 8 29 - 2016</v>
      </c>
      <c r="E1004">
        <v>1</v>
      </c>
      <c r="F1004">
        <v>2999.99</v>
      </c>
      <c r="G1004">
        <v>0.05</v>
      </c>
      <c r="H1004">
        <v>149.99949999999998</v>
      </c>
      <c r="I1004">
        <f>order_items[[#This Row],[list_price]]-order_items[[#This Row],[Discounted_price]]</f>
        <v>2849.9904999999999</v>
      </c>
      <c r="J1004">
        <f>VLOOKUP(B1004, Products!$A$2:$E$100, 3, FALSE)</f>
        <v>9</v>
      </c>
      <c r="K1004">
        <f>VLOOKUP(B1004, Products!$A$2:$F$100, 4, FALSE)</f>
        <v>6</v>
      </c>
    </row>
    <row r="1005" spans="1:11" x14ac:dyDescent="0.3">
      <c r="A1005">
        <v>358</v>
      </c>
      <c r="B1005">
        <v>1</v>
      </c>
      <c r="C1005">
        <v>21</v>
      </c>
      <c r="D1005" t="str">
        <f>VLOOKUP(B1005, Products!$A$2:$C$100, 2, FALSE)</f>
        <v>Trek 820 - 2016</v>
      </c>
      <c r="E1005">
        <v>2</v>
      </c>
      <c r="F1005">
        <v>269.99</v>
      </c>
      <c r="G1005">
        <v>0.1</v>
      </c>
      <c r="H1005">
        <v>26.999000000000002</v>
      </c>
      <c r="I1005">
        <f>order_items[[#This Row],[list_price]]-order_items[[#This Row],[Discounted_price]]</f>
        <v>242.99100000000001</v>
      </c>
      <c r="J1005">
        <f>VLOOKUP(B1005, Products!$A$2:$E$100, 3, FALSE)</f>
        <v>9</v>
      </c>
      <c r="K1005">
        <f>VLOOKUP(B1005, Products!$A$2:$F$100, 4, FALSE)</f>
        <v>6</v>
      </c>
    </row>
    <row r="1006" spans="1:11" x14ac:dyDescent="0.3">
      <c r="A1006">
        <v>358</v>
      </c>
      <c r="B1006">
        <v>2</v>
      </c>
      <c r="C1006">
        <v>6</v>
      </c>
      <c r="D1006" t="str">
        <f>VLOOKUP(B1006, Products!$A$2:$C$100, 2, FALSE)</f>
        <v>Ritchey Timberwolf Frameset - 2016</v>
      </c>
      <c r="E1006">
        <v>2</v>
      </c>
      <c r="F1006">
        <v>469.99</v>
      </c>
      <c r="G1006">
        <v>7.0000000000000007E-2</v>
      </c>
      <c r="H1006">
        <v>32.899300000000004</v>
      </c>
      <c r="I1006">
        <f>order_items[[#This Row],[list_price]]-order_items[[#This Row],[Discounted_price]]</f>
        <v>437.09070000000003</v>
      </c>
      <c r="J1006">
        <f>VLOOKUP(B1006, Products!$A$2:$E$100, 3, FALSE)</f>
        <v>5</v>
      </c>
      <c r="K1006">
        <f>VLOOKUP(B1006, Products!$A$2:$F$100, 4, FALSE)</f>
        <v>6</v>
      </c>
    </row>
    <row r="1007" spans="1:11" x14ac:dyDescent="0.3">
      <c r="A1007">
        <v>358</v>
      </c>
      <c r="B1007">
        <v>3</v>
      </c>
      <c r="C1007">
        <v>8</v>
      </c>
      <c r="D1007" t="str">
        <f>VLOOKUP(B1007, Products!$A$2:$C$100, 2, FALSE)</f>
        <v>Surly Wednesday Frameset - 2016</v>
      </c>
      <c r="E1007">
        <v>2</v>
      </c>
      <c r="F1007">
        <v>1799.99</v>
      </c>
      <c r="G1007">
        <v>0.05</v>
      </c>
      <c r="H1007">
        <v>89.999500000000012</v>
      </c>
      <c r="I1007">
        <f>order_items[[#This Row],[list_price]]-order_items[[#This Row],[Discounted_price]]</f>
        <v>1709.9904999999999</v>
      </c>
      <c r="J1007">
        <f>VLOOKUP(B1007, Products!$A$2:$E$100, 3, FALSE)</f>
        <v>8</v>
      </c>
      <c r="K1007">
        <f>VLOOKUP(B1007, Products!$A$2:$F$100, 4, FALSE)</f>
        <v>6</v>
      </c>
    </row>
    <row r="1008" spans="1:11" x14ac:dyDescent="0.3">
      <c r="A1008">
        <v>358</v>
      </c>
      <c r="B1008">
        <v>4</v>
      </c>
      <c r="C1008">
        <v>18</v>
      </c>
      <c r="D1008" t="str">
        <f>VLOOKUP(B1008, Products!$A$2:$C$100, 2, FALSE)</f>
        <v>Trek Fuel EX 8 29 - 2016</v>
      </c>
      <c r="E1008">
        <v>2</v>
      </c>
      <c r="F1008">
        <v>449</v>
      </c>
      <c r="G1008">
        <v>0.1</v>
      </c>
      <c r="H1008">
        <v>44.900000000000006</v>
      </c>
      <c r="I1008">
        <f>order_items[[#This Row],[list_price]]-order_items[[#This Row],[Discounted_price]]</f>
        <v>404.1</v>
      </c>
      <c r="J1008">
        <f>VLOOKUP(B1008, Products!$A$2:$E$100, 3, FALSE)</f>
        <v>9</v>
      </c>
      <c r="K1008">
        <f>VLOOKUP(B1008, Products!$A$2:$F$100, 4, FALSE)</f>
        <v>6</v>
      </c>
    </row>
    <row r="1009" spans="1:11" x14ac:dyDescent="0.3">
      <c r="A1009">
        <v>359</v>
      </c>
      <c r="B1009">
        <v>1</v>
      </c>
      <c r="C1009">
        <v>15</v>
      </c>
      <c r="D1009" t="str">
        <f>VLOOKUP(B1009, Products!$A$2:$C$100, 2, FALSE)</f>
        <v>Trek 820 - 2016</v>
      </c>
      <c r="E1009">
        <v>2</v>
      </c>
      <c r="F1009">
        <v>529.99</v>
      </c>
      <c r="G1009">
        <v>7.0000000000000007E-2</v>
      </c>
      <c r="H1009">
        <v>37.099300000000007</v>
      </c>
      <c r="I1009">
        <f>order_items[[#This Row],[list_price]]-order_items[[#This Row],[Discounted_price]]</f>
        <v>492.89069999999998</v>
      </c>
      <c r="J1009">
        <f>VLOOKUP(B1009, Products!$A$2:$E$100, 3, FALSE)</f>
        <v>9</v>
      </c>
      <c r="K1009">
        <f>VLOOKUP(B1009, Products!$A$2:$F$100, 4, FALSE)</f>
        <v>6</v>
      </c>
    </row>
    <row r="1010" spans="1:11" x14ac:dyDescent="0.3">
      <c r="A1010">
        <v>359</v>
      </c>
      <c r="B1010">
        <v>2</v>
      </c>
      <c r="C1010">
        <v>9</v>
      </c>
      <c r="D1010" t="str">
        <f>VLOOKUP(B1010, Products!$A$2:$C$100, 2, FALSE)</f>
        <v>Ritchey Timberwolf Frameset - 2016</v>
      </c>
      <c r="E1010">
        <v>2</v>
      </c>
      <c r="F1010">
        <v>2999.99</v>
      </c>
      <c r="G1010">
        <v>7.0000000000000007E-2</v>
      </c>
      <c r="H1010">
        <v>209.99930000000001</v>
      </c>
      <c r="I1010">
        <f>order_items[[#This Row],[list_price]]-order_items[[#This Row],[Discounted_price]]</f>
        <v>2789.9906999999998</v>
      </c>
      <c r="J1010">
        <f>VLOOKUP(B1010, Products!$A$2:$E$100, 3, FALSE)</f>
        <v>5</v>
      </c>
      <c r="K1010">
        <f>VLOOKUP(B1010, Products!$A$2:$F$100, 4, FALSE)</f>
        <v>6</v>
      </c>
    </row>
    <row r="1011" spans="1:11" x14ac:dyDescent="0.3">
      <c r="A1011">
        <v>359</v>
      </c>
      <c r="B1011">
        <v>3</v>
      </c>
      <c r="C1011">
        <v>7</v>
      </c>
      <c r="D1011" t="str">
        <f>VLOOKUP(B1011, Products!$A$2:$C$100, 2, FALSE)</f>
        <v>Surly Wednesday Frameset - 2016</v>
      </c>
      <c r="E1011">
        <v>2</v>
      </c>
      <c r="F1011">
        <v>3999.99</v>
      </c>
      <c r="G1011">
        <v>0.2</v>
      </c>
      <c r="H1011">
        <v>799.99800000000005</v>
      </c>
      <c r="I1011">
        <f>order_items[[#This Row],[list_price]]-order_items[[#This Row],[Discounted_price]]</f>
        <v>3199.9919999999997</v>
      </c>
      <c r="J1011">
        <f>VLOOKUP(B1011, Products!$A$2:$E$100, 3, FALSE)</f>
        <v>8</v>
      </c>
      <c r="K1011">
        <f>VLOOKUP(B1011, Products!$A$2:$F$100, 4, FALSE)</f>
        <v>6</v>
      </c>
    </row>
    <row r="1012" spans="1:11" x14ac:dyDescent="0.3">
      <c r="A1012">
        <v>360</v>
      </c>
      <c r="B1012">
        <v>1</v>
      </c>
      <c r="C1012">
        <v>26</v>
      </c>
      <c r="D1012" t="str">
        <f>VLOOKUP(B1012, Products!$A$2:$C$100, 2, FALSE)</f>
        <v>Trek 820 - 2016</v>
      </c>
      <c r="E1012">
        <v>1</v>
      </c>
      <c r="F1012">
        <v>599.99</v>
      </c>
      <c r="G1012">
        <v>0.05</v>
      </c>
      <c r="H1012">
        <v>29.999500000000001</v>
      </c>
      <c r="I1012">
        <f>order_items[[#This Row],[list_price]]-order_items[[#This Row],[Discounted_price]]</f>
        <v>569.9905</v>
      </c>
      <c r="J1012">
        <f>VLOOKUP(B1012, Products!$A$2:$E$100, 3, FALSE)</f>
        <v>9</v>
      </c>
      <c r="K1012">
        <f>VLOOKUP(B1012, Products!$A$2:$F$100, 4, FALSE)</f>
        <v>6</v>
      </c>
    </row>
    <row r="1013" spans="1:11" x14ac:dyDescent="0.3">
      <c r="A1013">
        <v>360</v>
      </c>
      <c r="B1013">
        <v>2</v>
      </c>
      <c r="C1013">
        <v>7</v>
      </c>
      <c r="D1013" t="str">
        <f>VLOOKUP(B1013, Products!$A$2:$C$100, 2, FALSE)</f>
        <v>Ritchey Timberwolf Frameset - 2016</v>
      </c>
      <c r="E1013">
        <v>2</v>
      </c>
      <c r="F1013">
        <v>3999.99</v>
      </c>
      <c r="G1013">
        <v>0.2</v>
      </c>
      <c r="H1013">
        <v>799.99800000000005</v>
      </c>
      <c r="I1013">
        <f>order_items[[#This Row],[list_price]]-order_items[[#This Row],[Discounted_price]]</f>
        <v>3199.9919999999997</v>
      </c>
      <c r="J1013">
        <f>VLOOKUP(B1013, Products!$A$2:$E$100, 3, FALSE)</f>
        <v>5</v>
      </c>
      <c r="K1013">
        <f>VLOOKUP(B1013, Products!$A$2:$F$100, 4, FALSE)</f>
        <v>6</v>
      </c>
    </row>
    <row r="1014" spans="1:11" x14ac:dyDescent="0.3">
      <c r="A1014">
        <v>360</v>
      </c>
      <c r="B1014">
        <v>3</v>
      </c>
      <c r="C1014">
        <v>13</v>
      </c>
      <c r="D1014" t="str">
        <f>VLOOKUP(B1014, Products!$A$2:$C$100, 2, FALSE)</f>
        <v>Surly Wednesday Frameset - 2016</v>
      </c>
      <c r="E1014">
        <v>2</v>
      </c>
      <c r="F1014">
        <v>269.99</v>
      </c>
      <c r="G1014">
        <v>0.05</v>
      </c>
      <c r="H1014">
        <v>13.499500000000001</v>
      </c>
      <c r="I1014">
        <f>order_items[[#This Row],[list_price]]-order_items[[#This Row],[Discounted_price]]</f>
        <v>256.4905</v>
      </c>
      <c r="J1014">
        <f>VLOOKUP(B1014, Products!$A$2:$E$100, 3, FALSE)</f>
        <v>8</v>
      </c>
      <c r="K1014">
        <f>VLOOKUP(B1014, Products!$A$2:$F$100, 4, FALSE)</f>
        <v>6</v>
      </c>
    </row>
    <row r="1015" spans="1:11" x14ac:dyDescent="0.3">
      <c r="A1015">
        <v>360</v>
      </c>
      <c r="B1015">
        <v>4</v>
      </c>
      <c r="C1015">
        <v>25</v>
      </c>
      <c r="D1015" t="str">
        <f>VLOOKUP(B1015, Products!$A$2:$C$100, 2, FALSE)</f>
        <v>Trek Fuel EX 8 29 - 2016</v>
      </c>
      <c r="E1015">
        <v>1</v>
      </c>
      <c r="F1015">
        <v>499.99</v>
      </c>
      <c r="G1015">
        <v>0.1</v>
      </c>
      <c r="H1015">
        <v>49.999000000000002</v>
      </c>
      <c r="I1015">
        <f>order_items[[#This Row],[list_price]]-order_items[[#This Row],[Discounted_price]]</f>
        <v>449.99099999999999</v>
      </c>
      <c r="J1015">
        <f>VLOOKUP(B1015, Products!$A$2:$E$100, 3, FALSE)</f>
        <v>9</v>
      </c>
      <c r="K1015">
        <f>VLOOKUP(B1015, Products!$A$2:$F$100, 4, FALSE)</f>
        <v>6</v>
      </c>
    </row>
    <row r="1016" spans="1:11" x14ac:dyDescent="0.3">
      <c r="A1016">
        <v>361</v>
      </c>
      <c r="B1016">
        <v>1</v>
      </c>
      <c r="C1016">
        <v>24</v>
      </c>
      <c r="D1016" t="str">
        <f>VLOOKUP(B1016, Products!$A$2:$C$100, 2, FALSE)</f>
        <v>Trek 820 - 2016</v>
      </c>
      <c r="E1016">
        <v>2</v>
      </c>
      <c r="F1016">
        <v>549.99</v>
      </c>
      <c r="G1016">
        <v>0.05</v>
      </c>
      <c r="H1016">
        <v>27.499500000000001</v>
      </c>
      <c r="I1016">
        <f>order_items[[#This Row],[list_price]]-order_items[[#This Row],[Discounted_price]]</f>
        <v>522.4905</v>
      </c>
      <c r="J1016">
        <f>VLOOKUP(B1016, Products!$A$2:$E$100, 3, FALSE)</f>
        <v>9</v>
      </c>
      <c r="K1016">
        <f>VLOOKUP(B1016, Products!$A$2:$F$100, 4, FALSE)</f>
        <v>6</v>
      </c>
    </row>
    <row r="1017" spans="1:11" x14ac:dyDescent="0.3">
      <c r="A1017">
        <v>361</v>
      </c>
      <c r="B1017">
        <v>2</v>
      </c>
      <c r="C1017">
        <v>6</v>
      </c>
      <c r="D1017" t="str">
        <f>VLOOKUP(B1017, Products!$A$2:$C$100, 2, FALSE)</f>
        <v>Ritchey Timberwolf Frameset - 2016</v>
      </c>
      <c r="E1017">
        <v>2</v>
      </c>
      <c r="F1017">
        <v>469.99</v>
      </c>
      <c r="G1017">
        <v>0.1</v>
      </c>
      <c r="H1017">
        <v>46.999000000000002</v>
      </c>
      <c r="I1017">
        <f>order_items[[#This Row],[list_price]]-order_items[[#This Row],[Discounted_price]]</f>
        <v>422.99099999999999</v>
      </c>
      <c r="J1017">
        <f>VLOOKUP(B1017, Products!$A$2:$E$100, 3, FALSE)</f>
        <v>5</v>
      </c>
      <c r="K1017">
        <f>VLOOKUP(B1017, Products!$A$2:$F$100, 4, FALSE)</f>
        <v>6</v>
      </c>
    </row>
    <row r="1018" spans="1:11" x14ac:dyDescent="0.3">
      <c r="A1018">
        <v>361</v>
      </c>
      <c r="B1018">
        <v>3</v>
      </c>
      <c r="C1018">
        <v>11</v>
      </c>
      <c r="D1018" t="str">
        <f>VLOOKUP(B1018, Products!$A$2:$C$100, 2, FALSE)</f>
        <v>Surly Wednesday Frameset - 2016</v>
      </c>
      <c r="E1018">
        <v>1</v>
      </c>
      <c r="F1018">
        <v>1680.99</v>
      </c>
      <c r="G1018">
        <v>0.1</v>
      </c>
      <c r="H1018">
        <v>168.09900000000002</v>
      </c>
      <c r="I1018">
        <f>order_items[[#This Row],[list_price]]-order_items[[#This Row],[Discounted_price]]</f>
        <v>1512.8910000000001</v>
      </c>
      <c r="J1018">
        <f>VLOOKUP(B1018, Products!$A$2:$E$100, 3, FALSE)</f>
        <v>8</v>
      </c>
      <c r="K1018">
        <f>VLOOKUP(B1018, Products!$A$2:$F$100, 4, FALSE)</f>
        <v>6</v>
      </c>
    </row>
    <row r="1019" spans="1:11" x14ac:dyDescent="0.3">
      <c r="A1019">
        <v>362</v>
      </c>
      <c r="B1019">
        <v>1</v>
      </c>
      <c r="C1019">
        <v>2</v>
      </c>
      <c r="D1019" t="str">
        <f>VLOOKUP(B1019, Products!$A$2:$C$100, 2, FALSE)</f>
        <v>Trek 820 - 2016</v>
      </c>
      <c r="E1019">
        <v>1</v>
      </c>
      <c r="F1019">
        <v>749.99</v>
      </c>
      <c r="G1019">
        <v>7.0000000000000007E-2</v>
      </c>
      <c r="H1019">
        <v>52.499300000000005</v>
      </c>
      <c r="I1019">
        <f>order_items[[#This Row],[list_price]]-order_items[[#This Row],[Discounted_price]]</f>
        <v>697.49070000000006</v>
      </c>
      <c r="J1019">
        <f>VLOOKUP(B1019, Products!$A$2:$E$100, 3, FALSE)</f>
        <v>9</v>
      </c>
      <c r="K1019">
        <f>VLOOKUP(B1019, Products!$A$2:$F$100, 4, FALSE)</f>
        <v>6</v>
      </c>
    </row>
    <row r="1020" spans="1:11" x14ac:dyDescent="0.3">
      <c r="A1020">
        <v>363</v>
      </c>
      <c r="B1020">
        <v>1</v>
      </c>
      <c r="C1020">
        <v>21</v>
      </c>
      <c r="D1020" t="str">
        <f>VLOOKUP(B1020, Products!$A$2:$C$100, 2, FALSE)</f>
        <v>Trek 820 - 2016</v>
      </c>
      <c r="E1020">
        <v>2</v>
      </c>
      <c r="F1020">
        <v>269.99</v>
      </c>
      <c r="G1020">
        <v>0.1</v>
      </c>
      <c r="H1020">
        <v>26.999000000000002</v>
      </c>
      <c r="I1020">
        <f>order_items[[#This Row],[list_price]]-order_items[[#This Row],[Discounted_price]]</f>
        <v>242.99100000000001</v>
      </c>
      <c r="J1020">
        <f>VLOOKUP(B1020, Products!$A$2:$E$100, 3, FALSE)</f>
        <v>9</v>
      </c>
      <c r="K1020">
        <f>VLOOKUP(B1020, Products!$A$2:$F$100, 4, FALSE)</f>
        <v>6</v>
      </c>
    </row>
    <row r="1021" spans="1:11" x14ac:dyDescent="0.3">
      <c r="A1021">
        <v>363</v>
      </c>
      <c r="B1021">
        <v>2</v>
      </c>
      <c r="C1021">
        <v>14</v>
      </c>
      <c r="D1021" t="str">
        <f>VLOOKUP(B1021, Products!$A$2:$C$100, 2, FALSE)</f>
        <v>Ritchey Timberwolf Frameset - 2016</v>
      </c>
      <c r="E1021">
        <v>1</v>
      </c>
      <c r="F1021">
        <v>269.99</v>
      </c>
      <c r="G1021">
        <v>7.0000000000000007E-2</v>
      </c>
      <c r="H1021">
        <v>18.899300000000004</v>
      </c>
      <c r="I1021">
        <f>order_items[[#This Row],[list_price]]-order_items[[#This Row],[Discounted_price]]</f>
        <v>251.0907</v>
      </c>
      <c r="J1021">
        <f>VLOOKUP(B1021, Products!$A$2:$E$100, 3, FALSE)</f>
        <v>5</v>
      </c>
      <c r="K1021">
        <f>VLOOKUP(B1021, Products!$A$2:$F$100, 4, FALSE)</f>
        <v>6</v>
      </c>
    </row>
    <row r="1022" spans="1:11" x14ac:dyDescent="0.3">
      <c r="A1022">
        <v>363</v>
      </c>
      <c r="B1022">
        <v>3</v>
      </c>
      <c r="C1022">
        <v>15</v>
      </c>
      <c r="D1022" t="str">
        <f>VLOOKUP(B1022, Products!$A$2:$C$100, 2, FALSE)</f>
        <v>Surly Wednesday Frameset - 2016</v>
      </c>
      <c r="E1022">
        <v>1</v>
      </c>
      <c r="F1022">
        <v>529.99</v>
      </c>
      <c r="G1022">
        <v>0.1</v>
      </c>
      <c r="H1022">
        <v>52.999000000000002</v>
      </c>
      <c r="I1022">
        <f>order_items[[#This Row],[list_price]]-order_items[[#This Row],[Discounted_price]]</f>
        <v>476.99099999999999</v>
      </c>
      <c r="J1022">
        <f>VLOOKUP(B1022, Products!$A$2:$E$100, 3, FALSE)</f>
        <v>8</v>
      </c>
      <c r="K1022">
        <f>VLOOKUP(B1022, Products!$A$2:$F$100, 4, FALSE)</f>
        <v>6</v>
      </c>
    </row>
    <row r="1023" spans="1:11" x14ac:dyDescent="0.3">
      <c r="A1023">
        <v>363</v>
      </c>
      <c r="B1023">
        <v>4</v>
      </c>
      <c r="C1023">
        <v>20</v>
      </c>
      <c r="D1023" t="str">
        <f>VLOOKUP(B1023, Products!$A$2:$C$100, 2, FALSE)</f>
        <v>Trek Fuel EX 8 29 - 2016</v>
      </c>
      <c r="E1023">
        <v>1</v>
      </c>
      <c r="F1023">
        <v>599.99</v>
      </c>
      <c r="G1023">
        <v>0.2</v>
      </c>
      <c r="H1023">
        <v>119.998</v>
      </c>
      <c r="I1023">
        <f>order_items[[#This Row],[list_price]]-order_items[[#This Row],[Discounted_price]]</f>
        <v>479.99200000000002</v>
      </c>
      <c r="J1023">
        <f>VLOOKUP(B1023, Products!$A$2:$E$100, 3, FALSE)</f>
        <v>9</v>
      </c>
      <c r="K1023">
        <f>VLOOKUP(B1023, Products!$A$2:$F$100, 4, FALSE)</f>
        <v>6</v>
      </c>
    </row>
    <row r="1024" spans="1:11" x14ac:dyDescent="0.3">
      <c r="A1024">
        <v>364</v>
      </c>
      <c r="B1024">
        <v>1</v>
      </c>
      <c r="C1024">
        <v>25</v>
      </c>
      <c r="D1024" t="str">
        <f>VLOOKUP(B1024, Products!$A$2:$C$100, 2, FALSE)</f>
        <v>Trek 820 - 2016</v>
      </c>
      <c r="E1024">
        <v>2</v>
      </c>
      <c r="F1024">
        <v>499.99</v>
      </c>
      <c r="G1024">
        <v>0.05</v>
      </c>
      <c r="H1024">
        <v>24.999500000000001</v>
      </c>
      <c r="I1024">
        <f>order_items[[#This Row],[list_price]]-order_items[[#This Row],[Discounted_price]]</f>
        <v>474.9905</v>
      </c>
      <c r="J1024">
        <f>VLOOKUP(B1024, Products!$A$2:$E$100, 3, FALSE)</f>
        <v>9</v>
      </c>
      <c r="K1024">
        <f>VLOOKUP(B1024, Products!$A$2:$F$100, 4, FALSE)</f>
        <v>6</v>
      </c>
    </row>
    <row r="1025" spans="1:11" x14ac:dyDescent="0.3">
      <c r="A1025">
        <v>365</v>
      </c>
      <c r="B1025">
        <v>1</v>
      </c>
      <c r="C1025">
        <v>24</v>
      </c>
      <c r="D1025" t="str">
        <f>VLOOKUP(B1025, Products!$A$2:$C$100, 2, FALSE)</f>
        <v>Trek 820 - 2016</v>
      </c>
      <c r="E1025">
        <v>2</v>
      </c>
      <c r="F1025">
        <v>549.99</v>
      </c>
      <c r="G1025">
        <v>7.0000000000000007E-2</v>
      </c>
      <c r="H1025">
        <v>38.499300000000005</v>
      </c>
      <c r="I1025">
        <f>order_items[[#This Row],[list_price]]-order_items[[#This Row],[Discounted_price]]</f>
        <v>511.4907</v>
      </c>
      <c r="J1025">
        <f>VLOOKUP(B1025, Products!$A$2:$E$100, 3, FALSE)</f>
        <v>9</v>
      </c>
      <c r="K1025">
        <f>VLOOKUP(B1025, Products!$A$2:$F$100, 4, FALSE)</f>
        <v>6</v>
      </c>
    </row>
    <row r="1026" spans="1:11" x14ac:dyDescent="0.3">
      <c r="A1026">
        <v>366</v>
      </c>
      <c r="B1026">
        <v>1</v>
      </c>
      <c r="C1026">
        <v>21</v>
      </c>
      <c r="D1026" t="str">
        <f>VLOOKUP(B1026, Products!$A$2:$C$100, 2, FALSE)</f>
        <v>Trek 820 - 2016</v>
      </c>
      <c r="E1026">
        <v>1</v>
      </c>
      <c r="F1026">
        <v>269.99</v>
      </c>
      <c r="G1026">
        <v>0.1</v>
      </c>
      <c r="H1026">
        <v>26.999000000000002</v>
      </c>
      <c r="I1026">
        <f>order_items[[#This Row],[list_price]]-order_items[[#This Row],[Discounted_price]]</f>
        <v>242.99100000000001</v>
      </c>
      <c r="J1026">
        <f>VLOOKUP(B1026, Products!$A$2:$E$100, 3, FALSE)</f>
        <v>9</v>
      </c>
      <c r="K1026">
        <f>VLOOKUP(B1026, Products!$A$2:$F$100, 4, FALSE)</f>
        <v>6</v>
      </c>
    </row>
    <row r="1027" spans="1:11" x14ac:dyDescent="0.3">
      <c r="A1027">
        <v>366</v>
      </c>
      <c r="B1027">
        <v>2</v>
      </c>
      <c r="C1027">
        <v>4</v>
      </c>
      <c r="D1027" t="str">
        <f>VLOOKUP(B1027, Products!$A$2:$C$100, 2, FALSE)</f>
        <v>Ritchey Timberwolf Frameset - 2016</v>
      </c>
      <c r="E1027">
        <v>1</v>
      </c>
      <c r="F1027">
        <v>2899.99</v>
      </c>
      <c r="G1027">
        <v>7.0000000000000007E-2</v>
      </c>
      <c r="H1027">
        <v>202.99930000000001</v>
      </c>
      <c r="I1027">
        <f>order_items[[#This Row],[list_price]]-order_items[[#This Row],[Discounted_price]]</f>
        <v>2696.9906999999998</v>
      </c>
      <c r="J1027">
        <f>VLOOKUP(B1027, Products!$A$2:$E$100, 3, FALSE)</f>
        <v>5</v>
      </c>
      <c r="K1027">
        <f>VLOOKUP(B1027, Products!$A$2:$F$100, 4, FALSE)</f>
        <v>6</v>
      </c>
    </row>
    <row r="1028" spans="1:11" x14ac:dyDescent="0.3">
      <c r="A1028">
        <v>366</v>
      </c>
      <c r="B1028">
        <v>3</v>
      </c>
      <c r="C1028">
        <v>16</v>
      </c>
      <c r="D1028" t="str">
        <f>VLOOKUP(B1028, Products!$A$2:$C$100, 2, FALSE)</f>
        <v>Surly Wednesday Frameset - 2016</v>
      </c>
      <c r="E1028">
        <v>2</v>
      </c>
      <c r="F1028">
        <v>599.99</v>
      </c>
      <c r="G1028">
        <v>0.2</v>
      </c>
      <c r="H1028">
        <v>119.998</v>
      </c>
      <c r="I1028">
        <f>order_items[[#This Row],[list_price]]-order_items[[#This Row],[Discounted_price]]</f>
        <v>479.99200000000002</v>
      </c>
      <c r="J1028">
        <f>VLOOKUP(B1028, Products!$A$2:$E$100, 3, FALSE)</f>
        <v>8</v>
      </c>
      <c r="K1028">
        <f>VLOOKUP(B1028, Products!$A$2:$F$100, 4, FALSE)</f>
        <v>6</v>
      </c>
    </row>
    <row r="1029" spans="1:11" x14ac:dyDescent="0.3">
      <c r="A1029">
        <v>367</v>
      </c>
      <c r="B1029">
        <v>1</v>
      </c>
      <c r="C1029">
        <v>26</v>
      </c>
      <c r="D1029" t="str">
        <f>VLOOKUP(B1029, Products!$A$2:$C$100, 2, FALSE)</f>
        <v>Trek 820 - 2016</v>
      </c>
      <c r="E1029">
        <v>2</v>
      </c>
      <c r="F1029">
        <v>599.99</v>
      </c>
      <c r="G1029">
        <v>0.1</v>
      </c>
      <c r="H1029">
        <v>59.999000000000002</v>
      </c>
      <c r="I1029">
        <f>order_items[[#This Row],[list_price]]-order_items[[#This Row],[Discounted_price]]</f>
        <v>539.99099999999999</v>
      </c>
      <c r="J1029">
        <f>VLOOKUP(B1029, Products!$A$2:$E$100, 3, FALSE)</f>
        <v>9</v>
      </c>
      <c r="K1029">
        <f>VLOOKUP(B1029, Products!$A$2:$F$100, 4, FALSE)</f>
        <v>6</v>
      </c>
    </row>
    <row r="1030" spans="1:11" x14ac:dyDescent="0.3">
      <c r="A1030">
        <v>367</v>
      </c>
      <c r="B1030">
        <v>2</v>
      </c>
      <c r="C1030">
        <v>14</v>
      </c>
      <c r="D1030" t="str">
        <f>VLOOKUP(B1030, Products!$A$2:$C$100, 2, FALSE)</f>
        <v>Ritchey Timberwolf Frameset - 2016</v>
      </c>
      <c r="E1030">
        <v>1</v>
      </c>
      <c r="F1030">
        <v>269.99</v>
      </c>
      <c r="G1030">
        <v>0.05</v>
      </c>
      <c r="H1030">
        <v>13.499500000000001</v>
      </c>
      <c r="I1030">
        <f>order_items[[#This Row],[list_price]]-order_items[[#This Row],[Discounted_price]]</f>
        <v>256.4905</v>
      </c>
      <c r="J1030">
        <f>VLOOKUP(B1030, Products!$A$2:$E$100, 3, FALSE)</f>
        <v>5</v>
      </c>
      <c r="K1030">
        <f>VLOOKUP(B1030, Products!$A$2:$F$100, 4, FALSE)</f>
        <v>6</v>
      </c>
    </row>
    <row r="1031" spans="1:11" x14ac:dyDescent="0.3">
      <c r="A1031">
        <v>367</v>
      </c>
      <c r="B1031">
        <v>3</v>
      </c>
      <c r="C1031">
        <v>10</v>
      </c>
      <c r="D1031" t="str">
        <f>VLOOKUP(B1031, Products!$A$2:$C$100, 2, FALSE)</f>
        <v>Surly Wednesday Frameset - 2016</v>
      </c>
      <c r="E1031">
        <v>2</v>
      </c>
      <c r="F1031">
        <v>1549</v>
      </c>
      <c r="G1031">
        <v>0.05</v>
      </c>
      <c r="H1031">
        <v>77.45</v>
      </c>
      <c r="I1031">
        <f>order_items[[#This Row],[list_price]]-order_items[[#This Row],[Discounted_price]]</f>
        <v>1471.55</v>
      </c>
      <c r="J1031">
        <f>VLOOKUP(B1031, Products!$A$2:$E$100, 3, FALSE)</f>
        <v>8</v>
      </c>
      <c r="K1031">
        <f>VLOOKUP(B1031, Products!$A$2:$F$100, 4, FALSE)</f>
        <v>6</v>
      </c>
    </row>
    <row r="1032" spans="1:11" x14ac:dyDescent="0.3">
      <c r="A1032">
        <v>368</v>
      </c>
      <c r="B1032">
        <v>1</v>
      </c>
      <c r="C1032">
        <v>5</v>
      </c>
      <c r="D1032" t="str">
        <f>VLOOKUP(B1032, Products!$A$2:$C$100, 2, FALSE)</f>
        <v>Trek 820 - 2016</v>
      </c>
      <c r="E1032">
        <v>1</v>
      </c>
      <c r="F1032">
        <v>1320.99</v>
      </c>
      <c r="G1032">
        <v>0.2</v>
      </c>
      <c r="H1032">
        <v>264.19800000000004</v>
      </c>
      <c r="I1032">
        <f>order_items[[#This Row],[list_price]]-order_items[[#This Row],[Discounted_price]]</f>
        <v>1056.7919999999999</v>
      </c>
      <c r="J1032">
        <f>VLOOKUP(B1032, Products!$A$2:$E$100, 3, FALSE)</f>
        <v>9</v>
      </c>
      <c r="K1032">
        <f>VLOOKUP(B1032, Products!$A$2:$F$100, 4, FALSE)</f>
        <v>6</v>
      </c>
    </row>
    <row r="1033" spans="1:11" x14ac:dyDescent="0.3">
      <c r="A1033">
        <v>368</v>
      </c>
      <c r="B1033">
        <v>2</v>
      </c>
      <c r="C1033">
        <v>10</v>
      </c>
      <c r="D1033" t="str">
        <f>VLOOKUP(B1033, Products!$A$2:$C$100, 2, FALSE)</f>
        <v>Ritchey Timberwolf Frameset - 2016</v>
      </c>
      <c r="E1033">
        <v>2</v>
      </c>
      <c r="F1033">
        <v>1549</v>
      </c>
      <c r="G1033">
        <v>0.2</v>
      </c>
      <c r="H1033">
        <v>309.8</v>
      </c>
      <c r="I1033">
        <f>order_items[[#This Row],[list_price]]-order_items[[#This Row],[Discounted_price]]</f>
        <v>1239.2</v>
      </c>
      <c r="J1033">
        <f>VLOOKUP(B1033, Products!$A$2:$E$100, 3, FALSE)</f>
        <v>5</v>
      </c>
      <c r="K1033">
        <f>VLOOKUP(B1033, Products!$A$2:$F$100, 4, FALSE)</f>
        <v>6</v>
      </c>
    </row>
    <row r="1034" spans="1:11" x14ac:dyDescent="0.3">
      <c r="A1034">
        <v>368</v>
      </c>
      <c r="B1034">
        <v>3</v>
      </c>
      <c r="C1034">
        <v>21</v>
      </c>
      <c r="D1034" t="str">
        <f>VLOOKUP(B1034, Products!$A$2:$C$100, 2, FALSE)</f>
        <v>Surly Wednesday Frameset - 2016</v>
      </c>
      <c r="E1034">
        <v>2</v>
      </c>
      <c r="F1034">
        <v>269.99</v>
      </c>
      <c r="G1034">
        <v>0.1</v>
      </c>
      <c r="H1034">
        <v>26.999000000000002</v>
      </c>
      <c r="I1034">
        <f>order_items[[#This Row],[list_price]]-order_items[[#This Row],[Discounted_price]]</f>
        <v>242.99100000000001</v>
      </c>
      <c r="J1034">
        <f>VLOOKUP(B1034, Products!$A$2:$E$100, 3, FALSE)</f>
        <v>8</v>
      </c>
      <c r="K1034">
        <f>VLOOKUP(B1034, Products!$A$2:$F$100, 4, FALSE)</f>
        <v>6</v>
      </c>
    </row>
    <row r="1035" spans="1:11" x14ac:dyDescent="0.3">
      <c r="A1035">
        <v>368</v>
      </c>
      <c r="B1035">
        <v>4</v>
      </c>
      <c r="C1035">
        <v>19</v>
      </c>
      <c r="D1035" t="str">
        <f>VLOOKUP(B1035, Products!$A$2:$C$100, 2, FALSE)</f>
        <v>Trek Fuel EX 8 29 - 2016</v>
      </c>
      <c r="E1035">
        <v>1</v>
      </c>
      <c r="F1035">
        <v>449</v>
      </c>
      <c r="G1035">
        <v>0.05</v>
      </c>
      <c r="H1035">
        <v>22.450000000000003</v>
      </c>
      <c r="I1035">
        <f>order_items[[#This Row],[list_price]]-order_items[[#This Row],[Discounted_price]]</f>
        <v>426.55</v>
      </c>
      <c r="J1035">
        <f>VLOOKUP(B1035, Products!$A$2:$E$100, 3, FALSE)</f>
        <v>9</v>
      </c>
      <c r="K1035">
        <f>VLOOKUP(B1035, Products!$A$2:$F$100, 4, FALSE)</f>
        <v>6</v>
      </c>
    </row>
    <row r="1036" spans="1:11" x14ac:dyDescent="0.3">
      <c r="A1036">
        <v>369</v>
      </c>
      <c r="B1036">
        <v>1</v>
      </c>
      <c r="C1036">
        <v>10</v>
      </c>
      <c r="D1036" t="str">
        <f>VLOOKUP(B1036, Products!$A$2:$C$100, 2, FALSE)</f>
        <v>Trek 820 - 2016</v>
      </c>
      <c r="E1036">
        <v>2</v>
      </c>
      <c r="F1036">
        <v>1549</v>
      </c>
      <c r="G1036">
        <v>7.0000000000000007E-2</v>
      </c>
      <c r="H1036">
        <v>108.43</v>
      </c>
      <c r="I1036">
        <f>order_items[[#This Row],[list_price]]-order_items[[#This Row],[Discounted_price]]</f>
        <v>1440.57</v>
      </c>
      <c r="J1036">
        <f>VLOOKUP(B1036, Products!$A$2:$E$100, 3, FALSE)</f>
        <v>9</v>
      </c>
      <c r="K1036">
        <f>VLOOKUP(B1036, Products!$A$2:$F$100, 4, FALSE)</f>
        <v>6</v>
      </c>
    </row>
    <row r="1037" spans="1:11" x14ac:dyDescent="0.3">
      <c r="A1037">
        <v>370</v>
      </c>
      <c r="B1037">
        <v>1</v>
      </c>
      <c r="C1037">
        <v>25</v>
      </c>
      <c r="D1037" t="str">
        <f>VLOOKUP(B1037, Products!$A$2:$C$100, 2, FALSE)</f>
        <v>Trek 820 - 2016</v>
      </c>
      <c r="E1037">
        <v>2</v>
      </c>
      <c r="F1037">
        <v>499.99</v>
      </c>
      <c r="G1037">
        <v>0.05</v>
      </c>
      <c r="H1037">
        <v>24.999500000000001</v>
      </c>
      <c r="I1037">
        <f>order_items[[#This Row],[list_price]]-order_items[[#This Row],[Discounted_price]]</f>
        <v>474.9905</v>
      </c>
      <c r="J1037">
        <f>VLOOKUP(B1037, Products!$A$2:$E$100, 3, FALSE)</f>
        <v>9</v>
      </c>
      <c r="K1037">
        <f>VLOOKUP(B1037, Products!$A$2:$F$100, 4, FALSE)</f>
        <v>6</v>
      </c>
    </row>
    <row r="1038" spans="1:11" x14ac:dyDescent="0.3">
      <c r="A1038">
        <v>370</v>
      </c>
      <c r="B1038">
        <v>2</v>
      </c>
      <c r="C1038">
        <v>4</v>
      </c>
      <c r="D1038" t="str">
        <f>VLOOKUP(B1038, Products!$A$2:$C$100, 2, FALSE)</f>
        <v>Ritchey Timberwolf Frameset - 2016</v>
      </c>
      <c r="E1038">
        <v>2</v>
      </c>
      <c r="F1038">
        <v>2899.99</v>
      </c>
      <c r="G1038">
        <v>0.1</v>
      </c>
      <c r="H1038">
        <v>289.99899999999997</v>
      </c>
      <c r="I1038">
        <f>order_items[[#This Row],[list_price]]-order_items[[#This Row],[Discounted_price]]</f>
        <v>2609.991</v>
      </c>
      <c r="J1038">
        <f>VLOOKUP(B1038, Products!$A$2:$E$100, 3, FALSE)</f>
        <v>5</v>
      </c>
      <c r="K1038">
        <f>VLOOKUP(B1038, Products!$A$2:$F$100, 4, FALSE)</f>
        <v>6</v>
      </c>
    </row>
    <row r="1039" spans="1:11" x14ac:dyDescent="0.3">
      <c r="A1039">
        <v>371</v>
      </c>
      <c r="B1039">
        <v>1</v>
      </c>
      <c r="C1039">
        <v>14</v>
      </c>
      <c r="D1039" t="str">
        <f>VLOOKUP(B1039, Products!$A$2:$C$100, 2, FALSE)</f>
        <v>Trek 820 - 2016</v>
      </c>
      <c r="E1039">
        <v>1</v>
      </c>
      <c r="F1039">
        <v>269.99</v>
      </c>
      <c r="G1039">
        <v>0.2</v>
      </c>
      <c r="H1039">
        <v>53.998000000000005</v>
      </c>
      <c r="I1039">
        <f>order_items[[#This Row],[list_price]]-order_items[[#This Row],[Discounted_price]]</f>
        <v>215.99200000000002</v>
      </c>
      <c r="J1039">
        <f>VLOOKUP(B1039, Products!$A$2:$E$100, 3, FALSE)</f>
        <v>9</v>
      </c>
      <c r="K1039">
        <f>VLOOKUP(B1039, Products!$A$2:$F$100, 4, FALSE)</f>
        <v>6</v>
      </c>
    </row>
    <row r="1040" spans="1:11" x14ac:dyDescent="0.3">
      <c r="A1040">
        <v>371</v>
      </c>
      <c r="B1040">
        <v>2</v>
      </c>
      <c r="C1040">
        <v>12</v>
      </c>
      <c r="D1040" t="str">
        <f>VLOOKUP(B1040, Products!$A$2:$C$100, 2, FALSE)</f>
        <v>Ritchey Timberwolf Frameset - 2016</v>
      </c>
      <c r="E1040">
        <v>1</v>
      </c>
      <c r="F1040">
        <v>549.99</v>
      </c>
      <c r="G1040">
        <v>0.2</v>
      </c>
      <c r="H1040">
        <v>109.998</v>
      </c>
      <c r="I1040">
        <f>order_items[[#This Row],[list_price]]-order_items[[#This Row],[Discounted_price]]</f>
        <v>439.99200000000002</v>
      </c>
      <c r="J1040">
        <f>VLOOKUP(B1040, Products!$A$2:$E$100, 3, FALSE)</f>
        <v>5</v>
      </c>
      <c r="K1040">
        <f>VLOOKUP(B1040, Products!$A$2:$F$100, 4, FALSE)</f>
        <v>6</v>
      </c>
    </row>
    <row r="1041" spans="1:11" x14ac:dyDescent="0.3">
      <c r="A1041">
        <v>372</v>
      </c>
      <c r="B1041">
        <v>1</v>
      </c>
      <c r="C1041">
        <v>11</v>
      </c>
      <c r="D1041" t="str">
        <f>VLOOKUP(B1041, Products!$A$2:$C$100, 2, FALSE)</f>
        <v>Trek 820 - 2016</v>
      </c>
      <c r="E1041">
        <v>1</v>
      </c>
      <c r="F1041">
        <v>1680.99</v>
      </c>
      <c r="G1041">
        <v>0.05</v>
      </c>
      <c r="H1041">
        <v>84.049500000000009</v>
      </c>
      <c r="I1041">
        <f>order_items[[#This Row],[list_price]]-order_items[[#This Row],[Discounted_price]]</f>
        <v>1596.9404999999999</v>
      </c>
      <c r="J1041">
        <f>VLOOKUP(B1041, Products!$A$2:$E$100, 3, FALSE)</f>
        <v>9</v>
      </c>
      <c r="K1041">
        <f>VLOOKUP(B1041, Products!$A$2:$F$100, 4, FALSE)</f>
        <v>6</v>
      </c>
    </row>
    <row r="1042" spans="1:11" x14ac:dyDescent="0.3">
      <c r="A1042">
        <v>372</v>
      </c>
      <c r="B1042">
        <v>2</v>
      </c>
      <c r="C1042">
        <v>14</v>
      </c>
      <c r="D1042" t="str">
        <f>VLOOKUP(B1042, Products!$A$2:$C$100, 2, FALSE)</f>
        <v>Ritchey Timberwolf Frameset - 2016</v>
      </c>
      <c r="E1042">
        <v>2</v>
      </c>
      <c r="F1042">
        <v>269.99</v>
      </c>
      <c r="G1042">
        <v>0.1</v>
      </c>
      <c r="H1042">
        <v>26.999000000000002</v>
      </c>
      <c r="I1042">
        <f>order_items[[#This Row],[list_price]]-order_items[[#This Row],[Discounted_price]]</f>
        <v>242.99100000000001</v>
      </c>
      <c r="J1042">
        <f>VLOOKUP(B1042, Products!$A$2:$E$100, 3, FALSE)</f>
        <v>5</v>
      </c>
      <c r="K1042">
        <f>VLOOKUP(B1042, Products!$A$2:$F$100, 4, FALSE)</f>
        <v>6</v>
      </c>
    </row>
    <row r="1043" spans="1:11" x14ac:dyDescent="0.3">
      <c r="A1043">
        <v>372</v>
      </c>
      <c r="B1043">
        <v>3</v>
      </c>
      <c r="C1043">
        <v>5</v>
      </c>
      <c r="D1043" t="str">
        <f>VLOOKUP(B1043, Products!$A$2:$C$100, 2, FALSE)</f>
        <v>Surly Wednesday Frameset - 2016</v>
      </c>
      <c r="E1043">
        <v>1</v>
      </c>
      <c r="F1043">
        <v>1320.99</v>
      </c>
      <c r="G1043">
        <v>0.1</v>
      </c>
      <c r="H1043">
        <v>132.09900000000002</v>
      </c>
      <c r="I1043">
        <f>order_items[[#This Row],[list_price]]-order_items[[#This Row],[Discounted_price]]</f>
        <v>1188.8910000000001</v>
      </c>
      <c r="J1043">
        <f>VLOOKUP(B1043, Products!$A$2:$E$100, 3, FALSE)</f>
        <v>8</v>
      </c>
      <c r="K1043">
        <f>VLOOKUP(B1043, Products!$A$2:$F$100, 4, FALSE)</f>
        <v>6</v>
      </c>
    </row>
    <row r="1044" spans="1:11" x14ac:dyDescent="0.3">
      <c r="A1044">
        <v>373</v>
      </c>
      <c r="B1044">
        <v>1</v>
      </c>
      <c r="C1044">
        <v>8</v>
      </c>
      <c r="D1044" t="str">
        <f>VLOOKUP(B1044, Products!$A$2:$C$100, 2, FALSE)</f>
        <v>Trek 820 - 2016</v>
      </c>
      <c r="E1044">
        <v>2</v>
      </c>
      <c r="F1044">
        <v>1799.99</v>
      </c>
      <c r="G1044">
        <v>0.05</v>
      </c>
      <c r="H1044">
        <v>89.999500000000012</v>
      </c>
      <c r="I1044">
        <f>order_items[[#This Row],[list_price]]-order_items[[#This Row],[Discounted_price]]</f>
        <v>1709.9904999999999</v>
      </c>
      <c r="J1044">
        <f>VLOOKUP(B1044, Products!$A$2:$E$100, 3, FALSE)</f>
        <v>9</v>
      </c>
      <c r="K1044">
        <f>VLOOKUP(B1044, Products!$A$2:$F$100, 4, FALSE)</f>
        <v>6</v>
      </c>
    </row>
    <row r="1045" spans="1:11" x14ac:dyDescent="0.3">
      <c r="A1045">
        <v>373</v>
      </c>
      <c r="B1045">
        <v>2</v>
      </c>
      <c r="C1045">
        <v>22</v>
      </c>
      <c r="D1045" t="str">
        <f>VLOOKUP(B1045, Products!$A$2:$C$100, 2, FALSE)</f>
        <v>Ritchey Timberwolf Frameset - 2016</v>
      </c>
      <c r="E1045">
        <v>1</v>
      </c>
      <c r="F1045">
        <v>269.99</v>
      </c>
      <c r="G1045">
        <v>0.1</v>
      </c>
      <c r="H1045">
        <v>26.999000000000002</v>
      </c>
      <c r="I1045">
        <f>order_items[[#This Row],[list_price]]-order_items[[#This Row],[Discounted_price]]</f>
        <v>242.99100000000001</v>
      </c>
      <c r="J1045">
        <f>VLOOKUP(B1045, Products!$A$2:$E$100, 3, FALSE)</f>
        <v>5</v>
      </c>
      <c r="K1045">
        <f>VLOOKUP(B1045, Products!$A$2:$F$100, 4, FALSE)</f>
        <v>6</v>
      </c>
    </row>
    <row r="1046" spans="1:11" x14ac:dyDescent="0.3">
      <c r="A1046">
        <v>373</v>
      </c>
      <c r="B1046">
        <v>3</v>
      </c>
      <c r="C1046">
        <v>19</v>
      </c>
      <c r="D1046" t="str">
        <f>VLOOKUP(B1046, Products!$A$2:$C$100, 2, FALSE)</f>
        <v>Surly Wednesday Frameset - 2016</v>
      </c>
      <c r="E1046">
        <v>2</v>
      </c>
      <c r="F1046">
        <v>449</v>
      </c>
      <c r="G1046">
        <v>0.2</v>
      </c>
      <c r="H1046">
        <v>89.800000000000011</v>
      </c>
      <c r="I1046">
        <f>order_items[[#This Row],[list_price]]-order_items[[#This Row],[Discounted_price]]</f>
        <v>359.2</v>
      </c>
      <c r="J1046">
        <f>VLOOKUP(B1046, Products!$A$2:$E$100, 3, FALSE)</f>
        <v>8</v>
      </c>
      <c r="K1046">
        <f>VLOOKUP(B1046, Products!$A$2:$F$100, 4, FALSE)</f>
        <v>6</v>
      </c>
    </row>
    <row r="1047" spans="1:11" x14ac:dyDescent="0.3">
      <c r="A1047">
        <v>373</v>
      </c>
      <c r="B1047">
        <v>4</v>
      </c>
      <c r="C1047">
        <v>12</v>
      </c>
      <c r="D1047" t="str">
        <f>VLOOKUP(B1047, Products!$A$2:$C$100, 2, FALSE)</f>
        <v>Trek Fuel EX 8 29 - 2016</v>
      </c>
      <c r="E1047">
        <v>1</v>
      </c>
      <c r="F1047">
        <v>549.99</v>
      </c>
      <c r="G1047">
        <v>0.1</v>
      </c>
      <c r="H1047">
        <v>54.999000000000002</v>
      </c>
      <c r="I1047">
        <f>order_items[[#This Row],[list_price]]-order_items[[#This Row],[Discounted_price]]</f>
        <v>494.99099999999999</v>
      </c>
      <c r="J1047">
        <f>VLOOKUP(B1047, Products!$A$2:$E$100, 3, FALSE)</f>
        <v>9</v>
      </c>
      <c r="K1047">
        <f>VLOOKUP(B1047, Products!$A$2:$F$100, 4, FALSE)</f>
        <v>6</v>
      </c>
    </row>
    <row r="1048" spans="1:11" x14ac:dyDescent="0.3">
      <c r="A1048">
        <v>373</v>
      </c>
      <c r="B1048">
        <v>5</v>
      </c>
      <c r="C1048">
        <v>13</v>
      </c>
      <c r="D1048" t="str">
        <f>VLOOKUP(B1048, Products!$A$2:$C$100, 2, FALSE)</f>
        <v>Heller Shagamaw Frame - 2016</v>
      </c>
      <c r="E1048">
        <v>1</v>
      </c>
      <c r="F1048">
        <v>269.99</v>
      </c>
      <c r="G1048">
        <v>0.1</v>
      </c>
      <c r="H1048">
        <v>26.999000000000002</v>
      </c>
      <c r="I1048">
        <f>order_items[[#This Row],[list_price]]-order_items[[#This Row],[Discounted_price]]</f>
        <v>242.99100000000001</v>
      </c>
      <c r="J1048">
        <f>VLOOKUP(B1048, Products!$A$2:$E$100, 3, FALSE)</f>
        <v>3</v>
      </c>
      <c r="K1048">
        <f>VLOOKUP(B1048, Products!$A$2:$F$100, 4, FALSE)</f>
        <v>6</v>
      </c>
    </row>
    <row r="1049" spans="1:11" x14ac:dyDescent="0.3">
      <c r="A1049">
        <v>374</v>
      </c>
      <c r="B1049">
        <v>1</v>
      </c>
      <c r="C1049">
        <v>10</v>
      </c>
      <c r="D1049" t="str">
        <f>VLOOKUP(B1049, Products!$A$2:$C$100, 2, FALSE)</f>
        <v>Trek 820 - 2016</v>
      </c>
      <c r="E1049">
        <v>1</v>
      </c>
      <c r="F1049">
        <v>1549</v>
      </c>
      <c r="G1049">
        <v>0.1</v>
      </c>
      <c r="H1049">
        <v>154.9</v>
      </c>
      <c r="I1049">
        <f>order_items[[#This Row],[list_price]]-order_items[[#This Row],[Discounted_price]]</f>
        <v>1394.1</v>
      </c>
      <c r="J1049">
        <f>VLOOKUP(B1049, Products!$A$2:$E$100, 3, FALSE)</f>
        <v>9</v>
      </c>
      <c r="K1049">
        <f>VLOOKUP(B1049, Products!$A$2:$F$100, 4, FALSE)</f>
        <v>6</v>
      </c>
    </row>
    <row r="1050" spans="1:11" x14ac:dyDescent="0.3">
      <c r="A1050">
        <v>374</v>
      </c>
      <c r="B1050">
        <v>2</v>
      </c>
      <c r="C1050">
        <v>7</v>
      </c>
      <c r="D1050" t="str">
        <f>VLOOKUP(B1050, Products!$A$2:$C$100, 2, FALSE)</f>
        <v>Ritchey Timberwolf Frameset - 2016</v>
      </c>
      <c r="E1050">
        <v>1</v>
      </c>
      <c r="F1050">
        <v>3999.99</v>
      </c>
      <c r="G1050">
        <v>7.0000000000000007E-2</v>
      </c>
      <c r="H1050">
        <v>279.99930000000001</v>
      </c>
      <c r="I1050">
        <f>order_items[[#This Row],[list_price]]-order_items[[#This Row],[Discounted_price]]</f>
        <v>3719.9906999999998</v>
      </c>
      <c r="J1050">
        <f>VLOOKUP(B1050, Products!$A$2:$E$100, 3, FALSE)</f>
        <v>5</v>
      </c>
      <c r="K1050">
        <f>VLOOKUP(B1050, Products!$A$2:$F$100, 4, FALSE)</f>
        <v>6</v>
      </c>
    </row>
    <row r="1051" spans="1:11" x14ac:dyDescent="0.3">
      <c r="A1051">
        <v>375</v>
      </c>
      <c r="B1051">
        <v>1</v>
      </c>
      <c r="C1051">
        <v>21</v>
      </c>
      <c r="D1051" t="str">
        <f>VLOOKUP(B1051, Products!$A$2:$C$100, 2, FALSE)</f>
        <v>Trek 820 - 2016</v>
      </c>
      <c r="E1051">
        <v>2</v>
      </c>
      <c r="F1051">
        <v>269.99</v>
      </c>
      <c r="G1051">
        <v>0.05</v>
      </c>
      <c r="H1051">
        <v>13.499500000000001</v>
      </c>
      <c r="I1051">
        <f>order_items[[#This Row],[list_price]]-order_items[[#This Row],[Discounted_price]]</f>
        <v>256.4905</v>
      </c>
      <c r="J1051">
        <f>VLOOKUP(B1051, Products!$A$2:$E$100, 3, FALSE)</f>
        <v>9</v>
      </c>
      <c r="K1051">
        <f>VLOOKUP(B1051, Products!$A$2:$F$100, 4, FALSE)</f>
        <v>6</v>
      </c>
    </row>
    <row r="1052" spans="1:11" x14ac:dyDescent="0.3">
      <c r="A1052">
        <v>375</v>
      </c>
      <c r="B1052">
        <v>2</v>
      </c>
      <c r="C1052">
        <v>2</v>
      </c>
      <c r="D1052" t="str">
        <f>VLOOKUP(B1052, Products!$A$2:$C$100, 2, FALSE)</f>
        <v>Ritchey Timberwolf Frameset - 2016</v>
      </c>
      <c r="E1052">
        <v>2</v>
      </c>
      <c r="F1052">
        <v>749.99</v>
      </c>
      <c r="G1052">
        <v>0.05</v>
      </c>
      <c r="H1052">
        <v>37.499500000000005</v>
      </c>
      <c r="I1052">
        <f>order_items[[#This Row],[list_price]]-order_items[[#This Row],[Discounted_price]]</f>
        <v>712.4905</v>
      </c>
      <c r="J1052">
        <f>VLOOKUP(B1052, Products!$A$2:$E$100, 3, FALSE)</f>
        <v>5</v>
      </c>
      <c r="K1052">
        <f>VLOOKUP(B1052, Products!$A$2:$F$100, 4, FALSE)</f>
        <v>6</v>
      </c>
    </row>
    <row r="1053" spans="1:11" x14ac:dyDescent="0.3">
      <c r="A1053">
        <v>375</v>
      </c>
      <c r="B1053">
        <v>3</v>
      </c>
      <c r="C1053">
        <v>4</v>
      </c>
      <c r="D1053" t="str">
        <f>VLOOKUP(B1053, Products!$A$2:$C$100, 2, FALSE)</f>
        <v>Surly Wednesday Frameset - 2016</v>
      </c>
      <c r="E1053">
        <v>2</v>
      </c>
      <c r="F1053">
        <v>2899.99</v>
      </c>
      <c r="G1053">
        <v>7.0000000000000007E-2</v>
      </c>
      <c r="H1053">
        <v>202.99930000000001</v>
      </c>
      <c r="I1053">
        <f>order_items[[#This Row],[list_price]]-order_items[[#This Row],[Discounted_price]]</f>
        <v>2696.9906999999998</v>
      </c>
      <c r="J1053">
        <f>VLOOKUP(B1053, Products!$A$2:$E$100, 3, FALSE)</f>
        <v>8</v>
      </c>
      <c r="K1053">
        <f>VLOOKUP(B1053, Products!$A$2:$F$100, 4, FALSE)</f>
        <v>6</v>
      </c>
    </row>
    <row r="1054" spans="1:11" x14ac:dyDescent="0.3">
      <c r="A1054">
        <v>375</v>
      </c>
      <c r="B1054">
        <v>4</v>
      </c>
      <c r="C1054">
        <v>12</v>
      </c>
      <c r="D1054" t="str">
        <f>VLOOKUP(B1054, Products!$A$2:$C$100, 2, FALSE)</f>
        <v>Trek Fuel EX 8 29 - 2016</v>
      </c>
      <c r="E1054">
        <v>2</v>
      </c>
      <c r="F1054">
        <v>549.99</v>
      </c>
      <c r="G1054">
        <v>0.05</v>
      </c>
      <c r="H1054">
        <v>27.499500000000001</v>
      </c>
      <c r="I1054">
        <f>order_items[[#This Row],[list_price]]-order_items[[#This Row],[Discounted_price]]</f>
        <v>522.4905</v>
      </c>
      <c r="J1054">
        <f>VLOOKUP(B1054, Products!$A$2:$E$100, 3, FALSE)</f>
        <v>9</v>
      </c>
      <c r="K1054">
        <f>VLOOKUP(B1054, Products!$A$2:$F$100, 4, FALSE)</f>
        <v>6</v>
      </c>
    </row>
    <row r="1055" spans="1:11" x14ac:dyDescent="0.3">
      <c r="A1055">
        <v>376</v>
      </c>
      <c r="B1055">
        <v>1</v>
      </c>
      <c r="C1055">
        <v>2</v>
      </c>
      <c r="D1055" t="str">
        <f>VLOOKUP(B1055, Products!$A$2:$C$100, 2, FALSE)</f>
        <v>Trek 820 - 2016</v>
      </c>
      <c r="E1055">
        <v>2</v>
      </c>
      <c r="F1055">
        <v>749.99</v>
      </c>
      <c r="G1055">
        <v>7.0000000000000007E-2</v>
      </c>
      <c r="H1055">
        <v>52.499300000000005</v>
      </c>
      <c r="I1055">
        <f>order_items[[#This Row],[list_price]]-order_items[[#This Row],[Discounted_price]]</f>
        <v>697.49070000000006</v>
      </c>
      <c r="J1055">
        <f>VLOOKUP(B1055, Products!$A$2:$E$100, 3, FALSE)</f>
        <v>9</v>
      </c>
      <c r="K1055">
        <f>VLOOKUP(B1055, Products!$A$2:$F$100, 4, FALSE)</f>
        <v>6</v>
      </c>
    </row>
    <row r="1056" spans="1:11" x14ac:dyDescent="0.3">
      <c r="A1056">
        <v>376</v>
      </c>
      <c r="B1056">
        <v>2</v>
      </c>
      <c r="C1056">
        <v>23</v>
      </c>
      <c r="D1056" t="str">
        <f>VLOOKUP(B1056, Products!$A$2:$C$100, 2, FALSE)</f>
        <v>Ritchey Timberwolf Frameset - 2016</v>
      </c>
      <c r="E1056">
        <v>2</v>
      </c>
      <c r="F1056">
        <v>299.99</v>
      </c>
      <c r="G1056">
        <v>0.1</v>
      </c>
      <c r="H1056">
        <v>29.999000000000002</v>
      </c>
      <c r="I1056">
        <f>order_items[[#This Row],[list_price]]-order_items[[#This Row],[Discounted_price]]</f>
        <v>269.99099999999999</v>
      </c>
      <c r="J1056">
        <f>VLOOKUP(B1056, Products!$A$2:$E$100, 3, FALSE)</f>
        <v>5</v>
      </c>
      <c r="K1056">
        <f>VLOOKUP(B1056, Products!$A$2:$F$100, 4, FALSE)</f>
        <v>6</v>
      </c>
    </row>
    <row r="1057" spans="1:11" x14ac:dyDescent="0.3">
      <c r="A1057">
        <v>377</v>
      </c>
      <c r="B1057">
        <v>1</v>
      </c>
      <c r="C1057">
        <v>8</v>
      </c>
      <c r="D1057" t="str">
        <f>VLOOKUP(B1057, Products!$A$2:$C$100, 2, FALSE)</f>
        <v>Trek 820 - 2016</v>
      </c>
      <c r="E1057">
        <v>1</v>
      </c>
      <c r="F1057">
        <v>1799.99</v>
      </c>
      <c r="G1057">
        <v>0.05</v>
      </c>
      <c r="H1057">
        <v>89.999500000000012</v>
      </c>
      <c r="I1057">
        <f>order_items[[#This Row],[list_price]]-order_items[[#This Row],[Discounted_price]]</f>
        <v>1709.9904999999999</v>
      </c>
      <c r="J1057">
        <f>VLOOKUP(B1057, Products!$A$2:$E$100, 3, FALSE)</f>
        <v>9</v>
      </c>
      <c r="K1057">
        <f>VLOOKUP(B1057, Products!$A$2:$F$100, 4, FALSE)</f>
        <v>6</v>
      </c>
    </row>
    <row r="1058" spans="1:11" x14ac:dyDescent="0.3">
      <c r="A1058">
        <v>377</v>
      </c>
      <c r="B1058">
        <v>2</v>
      </c>
      <c r="C1058">
        <v>14</v>
      </c>
      <c r="D1058" t="str">
        <f>VLOOKUP(B1058, Products!$A$2:$C$100, 2, FALSE)</f>
        <v>Ritchey Timberwolf Frameset - 2016</v>
      </c>
      <c r="E1058">
        <v>1</v>
      </c>
      <c r="F1058">
        <v>269.99</v>
      </c>
      <c r="G1058">
        <v>7.0000000000000007E-2</v>
      </c>
      <c r="H1058">
        <v>18.899300000000004</v>
      </c>
      <c r="I1058">
        <f>order_items[[#This Row],[list_price]]-order_items[[#This Row],[Discounted_price]]</f>
        <v>251.0907</v>
      </c>
      <c r="J1058">
        <f>VLOOKUP(B1058, Products!$A$2:$E$100, 3, FALSE)</f>
        <v>5</v>
      </c>
      <c r="K1058">
        <f>VLOOKUP(B1058, Products!$A$2:$F$100, 4, FALSE)</f>
        <v>6</v>
      </c>
    </row>
    <row r="1059" spans="1:11" x14ac:dyDescent="0.3">
      <c r="A1059">
        <v>378</v>
      </c>
      <c r="B1059">
        <v>1</v>
      </c>
      <c r="C1059">
        <v>26</v>
      </c>
      <c r="D1059" t="str">
        <f>VLOOKUP(B1059, Products!$A$2:$C$100, 2, FALSE)</f>
        <v>Trek 820 - 2016</v>
      </c>
      <c r="E1059">
        <v>2</v>
      </c>
      <c r="F1059">
        <v>599.99</v>
      </c>
      <c r="G1059">
        <v>0.05</v>
      </c>
      <c r="H1059">
        <v>29.999500000000001</v>
      </c>
      <c r="I1059">
        <f>order_items[[#This Row],[list_price]]-order_items[[#This Row],[Discounted_price]]</f>
        <v>569.9905</v>
      </c>
      <c r="J1059">
        <f>VLOOKUP(B1059, Products!$A$2:$E$100, 3, FALSE)</f>
        <v>9</v>
      </c>
      <c r="K1059">
        <f>VLOOKUP(B1059, Products!$A$2:$F$100, 4, FALSE)</f>
        <v>6</v>
      </c>
    </row>
    <row r="1060" spans="1:11" x14ac:dyDescent="0.3">
      <c r="A1060">
        <v>379</v>
      </c>
      <c r="B1060">
        <v>1</v>
      </c>
      <c r="C1060">
        <v>9</v>
      </c>
      <c r="D1060" t="str">
        <f>VLOOKUP(B1060, Products!$A$2:$C$100, 2, FALSE)</f>
        <v>Trek 820 - 2016</v>
      </c>
      <c r="E1060">
        <v>1</v>
      </c>
      <c r="F1060">
        <v>2999.99</v>
      </c>
      <c r="G1060">
        <v>7.0000000000000007E-2</v>
      </c>
      <c r="H1060">
        <v>209.99930000000001</v>
      </c>
      <c r="I1060">
        <f>order_items[[#This Row],[list_price]]-order_items[[#This Row],[Discounted_price]]</f>
        <v>2789.9906999999998</v>
      </c>
      <c r="J1060">
        <f>VLOOKUP(B1060, Products!$A$2:$E$100, 3, FALSE)</f>
        <v>9</v>
      </c>
      <c r="K1060">
        <f>VLOOKUP(B1060, Products!$A$2:$F$100, 4, FALSE)</f>
        <v>6</v>
      </c>
    </row>
    <row r="1061" spans="1:11" x14ac:dyDescent="0.3">
      <c r="A1061">
        <v>379</v>
      </c>
      <c r="B1061">
        <v>2</v>
      </c>
      <c r="C1061">
        <v>16</v>
      </c>
      <c r="D1061" t="str">
        <f>VLOOKUP(B1061, Products!$A$2:$C$100, 2, FALSE)</f>
        <v>Ritchey Timberwolf Frameset - 2016</v>
      </c>
      <c r="E1061">
        <v>1</v>
      </c>
      <c r="F1061">
        <v>599.99</v>
      </c>
      <c r="G1061">
        <v>0.2</v>
      </c>
      <c r="H1061">
        <v>119.998</v>
      </c>
      <c r="I1061">
        <f>order_items[[#This Row],[list_price]]-order_items[[#This Row],[Discounted_price]]</f>
        <v>479.99200000000002</v>
      </c>
      <c r="J1061">
        <f>VLOOKUP(B1061, Products!$A$2:$E$100, 3, FALSE)</f>
        <v>5</v>
      </c>
      <c r="K1061">
        <f>VLOOKUP(B1061, Products!$A$2:$F$100, 4, FALSE)</f>
        <v>6</v>
      </c>
    </row>
    <row r="1062" spans="1:11" x14ac:dyDescent="0.3">
      <c r="A1062">
        <v>380</v>
      </c>
      <c r="B1062">
        <v>1</v>
      </c>
      <c r="C1062">
        <v>16</v>
      </c>
      <c r="D1062" t="str">
        <f>VLOOKUP(B1062, Products!$A$2:$C$100, 2, FALSE)</f>
        <v>Trek 820 - 2016</v>
      </c>
      <c r="E1062">
        <v>1</v>
      </c>
      <c r="F1062">
        <v>599.99</v>
      </c>
      <c r="G1062">
        <v>0.05</v>
      </c>
      <c r="H1062">
        <v>29.999500000000001</v>
      </c>
      <c r="I1062">
        <f>order_items[[#This Row],[list_price]]-order_items[[#This Row],[Discounted_price]]</f>
        <v>569.9905</v>
      </c>
      <c r="J1062">
        <f>VLOOKUP(B1062, Products!$A$2:$E$100, 3, FALSE)</f>
        <v>9</v>
      </c>
      <c r="K1062">
        <f>VLOOKUP(B1062, Products!$A$2:$F$100, 4, FALSE)</f>
        <v>6</v>
      </c>
    </row>
    <row r="1063" spans="1:11" x14ac:dyDescent="0.3">
      <c r="A1063">
        <v>380</v>
      </c>
      <c r="B1063">
        <v>2</v>
      </c>
      <c r="C1063">
        <v>11</v>
      </c>
      <c r="D1063" t="str">
        <f>VLOOKUP(B1063, Products!$A$2:$C$100, 2, FALSE)</f>
        <v>Ritchey Timberwolf Frameset - 2016</v>
      </c>
      <c r="E1063">
        <v>2</v>
      </c>
      <c r="F1063">
        <v>1680.99</v>
      </c>
      <c r="G1063">
        <v>0.05</v>
      </c>
      <c r="H1063">
        <v>84.049500000000009</v>
      </c>
      <c r="I1063">
        <f>order_items[[#This Row],[list_price]]-order_items[[#This Row],[Discounted_price]]</f>
        <v>1596.9404999999999</v>
      </c>
      <c r="J1063">
        <f>VLOOKUP(B1063, Products!$A$2:$E$100, 3, FALSE)</f>
        <v>5</v>
      </c>
      <c r="K1063">
        <f>VLOOKUP(B1063, Products!$A$2:$F$100, 4, FALSE)</f>
        <v>6</v>
      </c>
    </row>
    <row r="1064" spans="1:11" x14ac:dyDescent="0.3">
      <c r="A1064">
        <v>381</v>
      </c>
      <c r="B1064">
        <v>1</v>
      </c>
      <c r="C1064">
        <v>21</v>
      </c>
      <c r="D1064" t="str">
        <f>VLOOKUP(B1064, Products!$A$2:$C$100, 2, FALSE)</f>
        <v>Trek 820 - 2016</v>
      </c>
      <c r="E1064">
        <v>2</v>
      </c>
      <c r="F1064">
        <v>269.99</v>
      </c>
      <c r="G1064">
        <v>7.0000000000000007E-2</v>
      </c>
      <c r="H1064">
        <v>18.899300000000004</v>
      </c>
      <c r="I1064">
        <f>order_items[[#This Row],[list_price]]-order_items[[#This Row],[Discounted_price]]</f>
        <v>251.0907</v>
      </c>
      <c r="J1064">
        <f>VLOOKUP(B1064, Products!$A$2:$E$100, 3, FALSE)</f>
        <v>9</v>
      </c>
      <c r="K1064">
        <f>VLOOKUP(B1064, Products!$A$2:$F$100, 4, FALSE)</f>
        <v>6</v>
      </c>
    </row>
    <row r="1065" spans="1:11" x14ac:dyDescent="0.3">
      <c r="A1065">
        <v>382</v>
      </c>
      <c r="B1065">
        <v>1</v>
      </c>
      <c r="C1065">
        <v>8</v>
      </c>
      <c r="D1065" t="str">
        <f>VLOOKUP(B1065, Products!$A$2:$C$100, 2, FALSE)</f>
        <v>Trek 820 - 2016</v>
      </c>
      <c r="E1065">
        <v>1</v>
      </c>
      <c r="F1065">
        <v>1799.99</v>
      </c>
      <c r="G1065">
        <v>0.1</v>
      </c>
      <c r="H1065">
        <v>179.99900000000002</v>
      </c>
      <c r="I1065">
        <f>order_items[[#This Row],[list_price]]-order_items[[#This Row],[Discounted_price]]</f>
        <v>1619.991</v>
      </c>
      <c r="J1065">
        <f>VLOOKUP(B1065, Products!$A$2:$E$100, 3, FALSE)</f>
        <v>9</v>
      </c>
      <c r="K1065">
        <f>VLOOKUP(B1065, Products!$A$2:$F$100, 4, FALSE)</f>
        <v>6</v>
      </c>
    </row>
    <row r="1066" spans="1:11" x14ac:dyDescent="0.3">
      <c r="A1066">
        <v>382</v>
      </c>
      <c r="B1066">
        <v>2</v>
      </c>
      <c r="C1066">
        <v>9</v>
      </c>
      <c r="D1066" t="str">
        <f>VLOOKUP(B1066, Products!$A$2:$C$100, 2, FALSE)</f>
        <v>Ritchey Timberwolf Frameset - 2016</v>
      </c>
      <c r="E1066">
        <v>1</v>
      </c>
      <c r="F1066">
        <v>2999.99</v>
      </c>
      <c r="G1066">
        <v>0.1</v>
      </c>
      <c r="H1066">
        <v>299.99899999999997</v>
      </c>
      <c r="I1066">
        <f>order_items[[#This Row],[list_price]]-order_items[[#This Row],[Discounted_price]]</f>
        <v>2699.991</v>
      </c>
      <c r="J1066">
        <f>VLOOKUP(B1066, Products!$A$2:$E$100, 3, FALSE)</f>
        <v>5</v>
      </c>
      <c r="K1066">
        <f>VLOOKUP(B1066, Products!$A$2:$F$100, 4, FALSE)</f>
        <v>6</v>
      </c>
    </row>
    <row r="1067" spans="1:11" x14ac:dyDescent="0.3">
      <c r="A1067">
        <v>382</v>
      </c>
      <c r="B1067">
        <v>3</v>
      </c>
      <c r="C1067">
        <v>13</v>
      </c>
      <c r="D1067" t="str">
        <f>VLOOKUP(B1067, Products!$A$2:$C$100, 2, FALSE)</f>
        <v>Surly Wednesday Frameset - 2016</v>
      </c>
      <c r="E1067">
        <v>1</v>
      </c>
      <c r="F1067">
        <v>269.99</v>
      </c>
      <c r="G1067">
        <v>7.0000000000000007E-2</v>
      </c>
      <c r="H1067">
        <v>18.899300000000004</v>
      </c>
      <c r="I1067">
        <f>order_items[[#This Row],[list_price]]-order_items[[#This Row],[Discounted_price]]</f>
        <v>251.0907</v>
      </c>
      <c r="J1067">
        <f>VLOOKUP(B1067, Products!$A$2:$E$100, 3, FALSE)</f>
        <v>8</v>
      </c>
      <c r="K1067">
        <f>VLOOKUP(B1067, Products!$A$2:$F$100, 4, FALSE)</f>
        <v>6</v>
      </c>
    </row>
    <row r="1068" spans="1:11" x14ac:dyDescent="0.3">
      <c r="A1068">
        <v>383</v>
      </c>
      <c r="B1068">
        <v>1</v>
      </c>
      <c r="C1068">
        <v>19</v>
      </c>
      <c r="D1068" t="str">
        <f>VLOOKUP(B1068, Products!$A$2:$C$100, 2, FALSE)</f>
        <v>Trek 820 - 2016</v>
      </c>
      <c r="E1068">
        <v>1</v>
      </c>
      <c r="F1068">
        <v>449</v>
      </c>
      <c r="G1068">
        <v>7.0000000000000007E-2</v>
      </c>
      <c r="H1068">
        <v>31.430000000000003</v>
      </c>
      <c r="I1068">
        <f>order_items[[#This Row],[list_price]]-order_items[[#This Row],[Discounted_price]]</f>
        <v>417.57</v>
      </c>
      <c r="J1068">
        <f>VLOOKUP(B1068, Products!$A$2:$E$100, 3, FALSE)</f>
        <v>9</v>
      </c>
      <c r="K1068">
        <f>VLOOKUP(B1068, Products!$A$2:$F$100, 4, FALSE)</f>
        <v>6</v>
      </c>
    </row>
    <row r="1069" spans="1:11" x14ac:dyDescent="0.3">
      <c r="A1069">
        <v>383</v>
      </c>
      <c r="B1069">
        <v>2</v>
      </c>
      <c r="C1069">
        <v>22</v>
      </c>
      <c r="D1069" t="str">
        <f>VLOOKUP(B1069, Products!$A$2:$C$100, 2, FALSE)</f>
        <v>Ritchey Timberwolf Frameset - 2016</v>
      </c>
      <c r="E1069">
        <v>2</v>
      </c>
      <c r="F1069">
        <v>269.99</v>
      </c>
      <c r="G1069">
        <v>0.05</v>
      </c>
      <c r="H1069">
        <v>13.499500000000001</v>
      </c>
      <c r="I1069">
        <f>order_items[[#This Row],[list_price]]-order_items[[#This Row],[Discounted_price]]</f>
        <v>256.4905</v>
      </c>
      <c r="J1069">
        <f>VLOOKUP(B1069, Products!$A$2:$E$100, 3, FALSE)</f>
        <v>5</v>
      </c>
      <c r="K1069">
        <f>VLOOKUP(B1069, Products!$A$2:$F$100, 4, FALSE)</f>
        <v>6</v>
      </c>
    </row>
    <row r="1070" spans="1:11" x14ac:dyDescent="0.3">
      <c r="A1070">
        <v>383</v>
      </c>
      <c r="B1070">
        <v>3</v>
      </c>
      <c r="C1070">
        <v>13</v>
      </c>
      <c r="D1070" t="str">
        <f>VLOOKUP(B1070, Products!$A$2:$C$100, 2, FALSE)</f>
        <v>Surly Wednesday Frameset - 2016</v>
      </c>
      <c r="E1070">
        <v>1</v>
      </c>
      <c r="F1070">
        <v>269.99</v>
      </c>
      <c r="G1070">
        <v>0.1</v>
      </c>
      <c r="H1070">
        <v>26.999000000000002</v>
      </c>
      <c r="I1070">
        <f>order_items[[#This Row],[list_price]]-order_items[[#This Row],[Discounted_price]]</f>
        <v>242.99100000000001</v>
      </c>
      <c r="J1070">
        <f>VLOOKUP(B1070, Products!$A$2:$E$100, 3, FALSE)</f>
        <v>8</v>
      </c>
      <c r="K1070">
        <f>VLOOKUP(B1070, Products!$A$2:$F$100, 4, FALSE)</f>
        <v>6</v>
      </c>
    </row>
    <row r="1071" spans="1:11" x14ac:dyDescent="0.3">
      <c r="A1071">
        <v>383</v>
      </c>
      <c r="B1071">
        <v>4</v>
      </c>
      <c r="C1071">
        <v>21</v>
      </c>
      <c r="D1071" t="str">
        <f>VLOOKUP(B1071, Products!$A$2:$C$100, 2, FALSE)</f>
        <v>Trek Fuel EX 8 29 - 2016</v>
      </c>
      <c r="E1071">
        <v>2</v>
      </c>
      <c r="F1071">
        <v>269.99</v>
      </c>
      <c r="G1071">
        <v>0.05</v>
      </c>
      <c r="H1071">
        <v>13.499500000000001</v>
      </c>
      <c r="I1071">
        <f>order_items[[#This Row],[list_price]]-order_items[[#This Row],[Discounted_price]]</f>
        <v>256.4905</v>
      </c>
      <c r="J1071">
        <f>VLOOKUP(B1071, Products!$A$2:$E$100, 3, FALSE)</f>
        <v>9</v>
      </c>
      <c r="K1071">
        <f>VLOOKUP(B1071, Products!$A$2:$F$100, 4, FALSE)</f>
        <v>6</v>
      </c>
    </row>
    <row r="1072" spans="1:11" x14ac:dyDescent="0.3">
      <c r="A1072">
        <v>383</v>
      </c>
      <c r="B1072">
        <v>5</v>
      </c>
      <c r="C1072">
        <v>14</v>
      </c>
      <c r="D1072" t="str">
        <f>VLOOKUP(B1072, Products!$A$2:$C$100, 2, FALSE)</f>
        <v>Heller Shagamaw Frame - 2016</v>
      </c>
      <c r="E1072">
        <v>1</v>
      </c>
      <c r="F1072">
        <v>269.99</v>
      </c>
      <c r="G1072">
        <v>0.1</v>
      </c>
      <c r="H1072">
        <v>26.999000000000002</v>
      </c>
      <c r="I1072">
        <f>order_items[[#This Row],[list_price]]-order_items[[#This Row],[Discounted_price]]</f>
        <v>242.99100000000001</v>
      </c>
      <c r="J1072">
        <f>VLOOKUP(B1072, Products!$A$2:$E$100, 3, FALSE)</f>
        <v>3</v>
      </c>
      <c r="K1072">
        <f>VLOOKUP(B1072, Products!$A$2:$F$100, 4, FALSE)</f>
        <v>6</v>
      </c>
    </row>
    <row r="1073" spans="1:11" x14ac:dyDescent="0.3">
      <c r="A1073">
        <v>384</v>
      </c>
      <c r="B1073">
        <v>1</v>
      </c>
      <c r="C1073">
        <v>20</v>
      </c>
      <c r="D1073" t="str">
        <f>VLOOKUP(B1073, Products!$A$2:$C$100, 2, FALSE)</f>
        <v>Trek 820 - 2016</v>
      </c>
      <c r="E1073">
        <v>1</v>
      </c>
      <c r="F1073">
        <v>599.99</v>
      </c>
      <c r="G1073">
        <v>0.1</v>
      </c>
      <c r="H1073">
        <v>59.999000000000002</v>
      </c>
      <c r="I1073">
        <f>order_items[[#This Row],[list_price]]-order_items[[#This Row],[Discounted_price]]</f>
        <v>539.99099999999999</v>
      </c>
      <c r="J1073">
        <f>VLOOKUP(B1073, Products!$A$2:$E$100, 3, FALSE)</f>
        <v>9</v>
      </c>
      <c r="K1073">
        <f>VLOOKUP(B1073, Products!$A$2:$F$100, 4, FALSE)</f>
        <v>6</v>
      </c>
    </row>
    <row r="1074" spans="1:11" x14ac:dyDescent="0.3">
      <c r="A1074">
        <v>384</v>
      </c>
      <c r="B1074">
        <v>2</v>
      </c>
      <c r="C1074">
        <v>21</v>
      </c>
      <c r="D1074" t="str">
        <f>VLOOKUP(B1074, Products!$A$2:$C$100, 2, FALSE)</f>
        <v>Ritchey Timberwolf Frameset - 2016</v>
      </c>
      <c r="E1074">
        <v>2</v>
      </c>
      <c r="F1074">
        <v>269.99</v>
      </c>
      <c r="G1074">
        <v>0.2</v>
      </c>
      <c r="H1074">
        <v>53.998000000000005</v>
      </c>
      <c r="I1074">
        <f>order_items[[#This Row],[list_price]]-order_items[[#This Row],[Discounted_price]]</f>
        <v>215.99200000000002</v>
      </c>
      <c r="J1074">
        <f>VLOOKUP(B1074, Products!$A$2:$E$100, 3, FALSE)</f>
        <v>5</v>
      </c>
      <c r="K1074">
        <f>VLOOKUP(B1074, Products!$A$2:$F$100, 4, FALSE)</f>
        <v>6</v>
      </c>
    </row>
    <row r="1075" spans="1:11" x14ac:dyDescent="0.3">
      <c r="A1075">
        <v>384</v>
      </c>
      <c r="B1075">
        <v>3</v>
      </c>
      <c r="C1075">
        <v>8</v>
      </c>
      <c r="D1075" t="str">
        <f>VLOOKUP(B1075, Products!$A$2:$C$100, 2, FALSE)</f>
        <v>Surly Wednesday Frameset - 2016</v>
      </c>
      <c r="E1075">
        <v>1</v>
      </c>
      <c r="F1075">
        <v>1799.99</v>
      </c>
      <c r="G1075">
        <v>0.05</v>
      </c>
      <c r="H1075">
        <v>89.999500000000012</v>
      </c>
      <c r="I1075">
        <f>order_items[[#This Row],[list_price]]-order_items[[#This Row],[Discounted_price]]</f>
        <v>1709.9904999999999</v>
      </c>
      <c r="J1075">
        <f>VLOOKUP(B1075, Products!$A$2:$E$100, 3, FALSE)</f>
        <v>8</v>
      </c>
      <c r="K1075">
        <f>VLOOKUP(B1075, Products!$A$2:$F$100, 4, FALSE)</f>
        <v>6</v>
      </c>
    </row>
    <row r="1076" spans="1:11" x14ac:dyDescent="0.3">
      <c r="A1076">
        <v>384</v>
      </c>
      <c r="B1076">
        <v>4</v>
      </c>
      <c r="C1076">
        <v>15</v>
      </c>
      <c r="D1076" t="str">
        <f>VLOOKUP(B1076, Products!$A$2:$C$100, 2, FALSE)</f>
        <v>Trek Fuel EX 8 29 - 2016</v>
      </c>
      <c r="E1076">
        <v>1</v>
      </c>
      <c r="F1076">
        <v>529.99</v>
      </c>
      <c r="G1076">
        <v>0.1</v>
      </c>
      <c r="H1076">
        <v>52.999000000000002</v>
      </c>
      <c r="I1076">
        <f>order_items[[#This Row],[list_price]]-order_items[[#This Row],[Discounted_price]]</f>
        <v>476.99099999999999</v>
      </c>
      <c r="J1076">
        <f>VLOOKUP(B1076, Products!$A$2:$E$100, 3, FALSE)</f>
        <v>9</v>
      </c>
      <c r="K1076">
        <f>VLOOKUP(B1076, Products!$A$2:$F$100, 4, FALSE)</f>
        <v>6</v>
      </c>
    </row>
    <row r="1077" spans="1:11" x14ac:dyDescent="0.3">
      <c r="A1077">
        <v>384</v>
      </c>
      <c r="B1077">
        <v>5</v>
      </c>
      <c r="C1077">
        <v>4</v>
      </c>
      <c r="D1077" t="str">
        <f>VLOOKUP(B1077, Products!$A$2:$C$100, 2, FALSE)</f>
        <v>Heller Shagamaw Frame - 2016</v>
      </c>
      <c r="E1077">
        <v>1</v>
      </c>
      <c r="F1077">
        <v>2899.99</v>
      </c>
      <c r="G1077">
        <v>0.2</v>
      </c>
      <c r="H1077">
        <v>579.99799999999993</v>
      </c>
      <c r="I1077">
        <f>order_items[[#This Row],[list_price]]-order_items[[#This Row],[Discounted_price]]</f>
        <v>2319.9919999999997</v>
      </c>
      <c r="J1077">
        <f>VLOOKUP(B1077, Products!$A$2:$E$100, 3, FALSE)</f>
        <v>3</v>
      </c>
      <c r="K1077">
        <f>VLOOKUP(B1077, Products!$A$2:$F$100, 4, FALSE)</f>
        <v>6</v>
      </c>
    </row>
    <row r="1078" spans="1:11" x14ac:dyDescent="0.3">
      <c r="A1078">
        <v>385</v>
      </c>
      <c r="B1078">
        <v>1</v>
      </c>
      <c r="C1078">
        <v>21</v>
      </c>
      <c r="D1078" t="str">
        <f>VLOOKUP(B1078, Products!$A$2:$C$100, 2, FALSE)</f>
        <v>Trek 820 - 2016</v>
      </c>
      <c r="E1078">
        <v>1</v>
      </c>
      <c r="F1078">
        <v>269.99</v>
      </c>
      <c r="G1078">
        <v>7.0000000000000007E-2</v>
      </c>
      <c r="H1078">
        <v>18.899300000000004</v>
      </c>
      <c r="I1078">
        <f>order_items[[#This Row],[list_price]]-order_items[[#This Row],[Discounted_price]]</f>
        <v>251.0907</v>
      </c>
      <c r="J1078">
        <f>VLOOKUP(B1078, Products!$A$2:$E$100, 3, FALSE)</f>
        <v>9</v>
      </c>
      <c r="K1078">
        <f>VLOOKUP(B1078, Products!$A$2:$F$100, 4, FALSE)</f>
        <v>6</v>
      </c>
    </row>
    <row r="1079" spans="1:11" x14ac:dyDescent="0.3">
      <c r="A1079">
        <v>385</v>
      </c>
      <c r="B1079">
        <v>2</v>
      </c>
      <c r="C1079">
        <v>7</v>
      </c>
      <c r="D1079" t="str">
        <f>VLOOKUP(B1079, Products!$A$2:$C$100, 2, FALSE)</f>
        <v>Ritchey Timberwolf Frameset - 2016</v>
      </c>
      <c r="E1079">
        <v>2</v>
      </c>
      <c r="F1079">
        <v>3999.99</v>
      </c>
      <c r="G1079">
        <v>0.2</v>
      </c>
      <c r="H1079">
        <v>799.99800000000005</v>
      </c>
      <c r="I1079">
        <f>order_items[[#This Row],[list_price]]-order_items[[#This Row],[Discounted_price]]</f>
        <v>3199.9919999999997</v>
      </c>
      <c r="J1079">
        <f>VLOOKUP(B1079, Products!$A$2:$E$100, 3, FALSE)</f>
        <v>5</v>
      </c>
      <c r="K1079">
        <f>VLOOKUP(B1079, Products!$A$2:$F$100, 4, FALSE)</f>
        <v>6</v>
      </c>
    </row>
    <row r="1080" spans="1:11" x14ac:dyDescent="0.3">
      <c r="A1080">
        <v>385</v>
      </c>
      <c r="B1080">
        <v>3</v>
      </c>
      <c r="C1080">
        <v>26</v>
      </c>
      <c r="D1080" t="str">
        <f>VLOOKUP(B1080, Products!$A$2:$C$100, 2, FALSE)</f>
        <v>Surly Wednesday Frameset - 2016</v>
      </c>
      <c r="E1080">
        <v>2</v>
      </c>
      <c r="F1080">
        <v>599.99</v>
      </c>
      <c r="G1080">
        <v>0.05</v>
      </c>
      <c r="H1080">
        <v>29.999500000000001</v>
      </c>
      <c r="I1080">
        <f>order_items[[#This Row],[list_price]]-order_items[[#This Row],[Discounted_price]]</f>
        <v>569.9905</v>
      </c>
      <c r="J1080">
        <f>VLOOKUP(B1080, Products!$A$2:$E$100, 3, FALSE)</f>
        <v>8</v>
      </c>
      <c r="K1080">
        <f>VLOOKUP(B1080, Products!$A$2:$F$100, 4, FALSE)</f>
        <v>6</v>
      </c>
    </row>
    <row r="1081" spans="1:11" x14ac:dyDescent="0.3">
      <c r="A1081">
        <v>386</v>
      </c>
      <c r="B1081">
        <v>1</v>
      </c>
      <c r="C1081">
        <v>8</v>
      </c>
      <c r="D1081" t="str">
        <f>VLOOKUP(B1081, Products!$A$2:$C$100, 2, FALSE)</f>
        <v>Trek 820 - 2016</v>
      </c>
      <c r="E1081">
        <v>1</v>
      </c>
      <c r="F1081">
        <v>1799.99</v>
      </c>
      <c r="G1081">
        <v>0.2</v>
      </c>
      <c r="H1081">
        <v>359.99800000000005</v>
      </c>
      <c r="I1081">
        <f>order_items[[#This Row],[list_price]]-order_items[[#This Row],[Discounted_price]]</f>
        <v>1439.992</v>
      </c>
      <c r="J1081">
        <f>VLOOKUP(B1081, Products!$A$2:$E$100, 3, FALSE)</f>
        <v>9</v>
      </c>
      <c r="K1081">
        <f>VLOOKUP(B1081, Products!$A$2:$F$100, 4, FALSE)</f>
        <v>6</v>
      </c>
    </row>
    <row r="1082" spans="1:11" x14ac:dyDescent="0.3">
      <c r="A1082">
        <v>386</v>
      </c>
      <c r="B1082">
        <v>2</v>
      </c>
      <c r="C1082">
        <v>3</v>
      </c>
      <c r="D1082" t="str">
        <f>VLOOKUP(B1082, Products!$A$2:$C$100, 2, FALSE)</f>
        <v>Ritchey Timberwolf Frameset - 2016</v>
      </c>
      <c r="E1082">
        <v>2</v>
      </c>
      <c r="F1082">
        <v>999.99</v>
      </c>
      <c r="G1082">
        <v>0.05</v>
      </c>
      <c r="H1082">
        <v>49.999500000000005</v>
      </c>
      <c r="I1082">
        <f>order_items[[#This Row],[list_price]]-order_items[[#This Row],[Discounted_price]]</f>
        <v>949.9905</v>
      </c>
      <c r="J1082">
        <f>VLOOKUP(B1082, Products!$A$2:$E$100, 3, FALSE)</f>
        <v>5</v>
      </c>
      <c r="K1082">
        <f>VLOOKUP(B1082, Products!$A$2:$F$100, 4, FALSE)</f>
        <v>6</v>
      </c>
    </row>
    <row r="1083" spans="1:11" x14ac:dyDescent="0.3">
      <c r="A1083">
        <v>386</v>
      </c>
      <c r="B1083">
        <v>3</v>
      </c>
      <c r="C1083">
        <v>16</v>
      </c>
      <c r="D1083" t="str">
        <f>VLOOKUP(B1083, Products!$A$2:$C$100, 2, FALSE)</f>
        <v>Surly Wednesday Frameset - 2016</v>
      </c>
      <c r="E1083">
        <v>2</v>
      </c>
      <c r="F1083">
        <v>599.99</v>
      </c>
      <c r="G1083">
        <v>0.2</v>
      </c>
      <c r="H1083">
        <v>119.998</v>
      </c>
      <c r="I1083">
        <f>order_items[[#This Row],[list_price]]-order_items[[#This Row],[Discounted_price]]</f>
        <v>479.99200000000002</v>
      </c>
      <c r="J1083">
        <f>VLOOKUP(B1083, Products!$A$2:$E$100, 3, FALSE)</f>
        <v>8</v>
      </c>
      <c r="K1083">
        <f>VLOOKUP(B1083, Products!$A$2:$F$100, 4, FALSE)</f>
        <v>6</v>
      </c>
    </row>
    <row r="1084" spans="1:11" x14ac:dyDescent="0.3">
      <c r="A1084">
        <v>387</v>
      </c>
      <c r="B1084">
        <v>1</v>
      </c>
      <c r="C1084">
        <v>18</v>
      </c>
      <c r="D1084" t="str">
        <f>VLOOKUP(B1084, Products!$A$2:$C$100, 2, FALSE)</f>
        <v>Trek 820 - 2016</v>
      </c>
      <c r="E1084">
        <v>1</v>
      </c>
      <c r="F1084">
        <v>449</v>
      </c>
      <c r="G1084">
        <v>0.2</v>
      </c>
      <c r="H1084">
        <v>89.800000000000011</v>
      </c>
      <c r="I1084">
        <f>order_items[[#This Row],[list_price]]-order_items[[#This Row],[Discounted_price]]</f>
        <v>359.2</v>
      </c>
      <c r="J1084">
        <f>VLOOKUP(B1084, Products!$A$2:$E$100, 3, FALSE)</f>
        <v>9</v>
      </c>
      <c r="K1084">
        <f>VLOOKUP(B1084, Products!$A$2:$F$100, 4, FALSE)</f>
        <v>6</v>
      </c>
    </row>
    <row r="1085" spans="1:11" x14ac:dyDescent="0.3">
      <c r="A1085">
        <v>388</v>
      </c>
      <c r="B1085">
        <v>1</v>
      </c>
      <c r="C1085">
        <v>19</v>
      </c>
      <c r="D1085" t="str">
        <f>VLOOKUP(B1085, Products!$A$2:$C$100, 2, FALSE)</f>
        <v>Trek 820 - 2016</v>
      </c>
      <c r="E1085">
        <v>2</v>
      </c>
      <c r="F1085">
        <v>449</v>
      </c>
      <c r="G1085">
        <v>0.2</v>
      </c>
      <c r="H1085">
        <v>89.800000000000011</v>
      </c>
      <c r="I1085">
        <f>order_items[[#This Row],[list_price]]-order_items[[#This Row],[Discounted_price]]</f>
        <v>359.2</v>
      </c>
      <c r="J1085">
        <f>VLOOKUP(B1085, Products!$A$2:$E$100, 3, FALSE)</f>
        <v>9</v>
      </c>
      <c r="K1085">
        <f>VLOOKUP(B1085, Products!$A$2:$F$100, 4, FALSE)</f>
        <v>6</v>
      </c>
    </row>
    <row r="1086" spans="1:11" x14ac:dyDescent="0.3">
      <c r="A1086">
        <v>388</v>
      </c>
      <c r="B1086">
        <v>2</v>
      </c>
      <c r="C1086">
        <v>13</v>
      </c>
      <c r="D1086" t="str">
        <f>VLOOKUP(B1086, Products!$A$2:$C$100, 2, FALSE)</f>
        <v>Ritchey Timberwolf Frameset - 2016</v>
      </c>
      <c r="E1086">
        <v>2</v>
      </c>
      <c r="F1086">
        <v>269.99</v>
      </c>
      <c r="G1086">
        <v>7.0000000000000007E-2</v>
      </c>
      <c r="H1086">
        <v>18.899300000000004</v>
      </c>
      <c r="I1086">
        <f>order_items[[#This Row],[list_price]]-order_items[[#This Row],[Discounted_price]]</f>
        <v>251.0907</v>
      </c>
      <c r="J1086">
        <f>VLOOKUP(B1086, Products!$A$2:$E$100, 3, FALSE)</f>
        <v>5</v>
      </c>
      <c r="K1086">
        <f>VLOOKUP(B1086, Products!$A$2:$F$100, 4, FALSE)</f>
        <v>6</v>
      </c>
    </row>
    <row r="1087" spans="1:11" x14ac:dyDescent="0.3">
      <c r="A1087">
        <v>388</v>
      </c>
      <c r="B1087">
        <v>3</v>
      </c>
      <c r="C1087">
        <v>2</v>
      </c>
      <c r="D1087" t="str">
        <f>VLOOKUP(B1087, Products!$A$2:$C$100, 2, FALSE)</f>
        <v>Surly Wednesday Frameset - 2016</v>
      </c>
      <c r="E1087">
        <v>1</v>
      </c>
      <c r="F1087">
        <v>749.99</v>
      </c>
      <c r="G1087">
        <v>7.0000000000000007E-2</v>
      </c>
      <c r="H1087">
        <v>52.499300000000005</v>
      </c>
      <c r="I1087">
        <f>order_items[[#This Row],[list_price]]-order_items[[#This Row],[Discounted_price]]</f>
        <v>697.49070000000006</v>
      </c>
      <c r="J1087">
        <f>VLOOKUP(B1087, Products!$A$2:$E$100, 3, FALSE)</f>
        <v>8</v>
      </c>
      <c r="K1087">
        <f>VLOOKUP(B1087, Products!$A$2:$F$100, 4, FALSE)</f>
        <v>6</v>
      </c>
    </row>
    <row r="1088" spans="1:11" x14ac:dyDescent="0.3">
      <c r="A1088">
        <v>388</v>
      </c>
      <c r="B1088">
        <v>4</v>
      </c>
      <c r="C1088">
        <v>11</v>
      </c>
      <c r="D1088" t="str">
        <f>VLOOKUP(B1088, Products!$A$2:$C$100, 2, FALSE)</f>
        <v>Trek Fuel EX 8 29 - 2016</v>
      </c>
      <c r="E1088">
        <v>1</v>
      </c>
      <c r="F1088">
        <v>1680.99</v>
      </c>
      <c r="G1088">
        <v>0.1</v>
      </c>
      <c r="H1088">
        <v>168.09900000000002</v>
      </c>
      <c r="I1088">
        <f>order_items[[#This Row],[list_price]]-order_items[[#This Row],[Discounted_price]]</f>
        <v>1512.8910000000001</v>
      </c>
      <c r="J1088">
        <f>VLOOKUP(B1088, Products!$A$2:$E$100, 3, FALSE)</f>
        <v>9</v>
      </c>
      <c r="K1088">
        <f>VLOOKUP(B1088, Products!$A$2:$F$100, 4, FALSE)</f>
        <v>6</v>
      </c>
    </row>
    <row r="1089" spans="1:11" x14ac:dyDescent="0.3">
      <c r="A1089">
        <v>389</v>
      </c>
      <c r="B1089">
        <v>1</v>
      </c>
      <c r="C1089">
        <v>2</v>
      </c>
      <c r="D1089" t="str">
        <f>VLOOKUP(B1089, Products!$A$2:$C$100, 2, FALSE)</f>
        <v>Trek 820 - 2016</v>
      </c>
      <c r="E1089">
        <v>1</v>
      </c>
      <c r="F1089">
        <v>749.99</v>
      </c>
      <c r="G1089">
        <v>7.0000000000000007E-2</v>
      </c>
      <c r="H1089">
        <v>52.499300000000005</v>
      </c>
      <c r="I1089">
        <f>order_items[[#This Row],[list_price]]-order_items[[#This Row],[Discounted_price]]</f>
        <v>697.49070000000006</v>
      </c>
      <c r="J1089">
        <f>VLOOKUP(B1089, Products!$A$2:$E$100, 3, FALSE)</f>
        <v>9</v>
      </c>
      <c r="K1089">
        <f>VLOOKUP(B1089, Products!$A$2:$F$100, 4, FALSE)</f>
        <v>6</v>
      </c>
    </row>
    <row r="1090" spans="1:11" x14ac:dyDescent="0.3">
      <c r="A1090">
        <v>389</v>
      </c>
      <c r="B1090">
        <v>2</v>
      </c>
      <c r="C1090">
        <v>15</v>
      </c>
      <c r="D1090" t="str">
        <f>VLOOKUP(B1090, Products!$A$2:$C$100, 2, FALSE)</f>
        <v>Ritchey Timberwolf Frameset - 2016</v>
      </c>
      <c r="E1090">
        <v>2</v>
      </c>
      <c r="F1090">
        <v>529.99</v>
      </c>
      <c r="G1090">
        <v>7.0000000000000007E-2</v>
      </c>
      <c r="H1090">
        <v>37.099300000000007</v>
      </c>
      <c r="I1090">
        <f>order_items[[#This Row],[list_price]]-order_items[[#This Row],[Discounted_price]]</f>
        <v>492.89069999999998</v>
      </c>
      <c r="J1090">
        <f>VLOOKUP(B1090, Products!$A$2:$E$100, 3, FALSE)</f>
        <v>5</v>
      </c>
      <c r="K1090">
        <f>VLOOKUP(B1090, Products!$A$2:$F$100, 4, FALSE)</f>
        <v>6</v>
      </c>
    </row>
    <row r="1091" spans="1:11" x14ac:dyDescent="0.3">
      <c r="A1091">
        <v>389</v>
      </c>
      <c r="B1091">
        <v>3</v>
      </c>
      <c r="C1091">
        <v>10</v>
      </c>
      <c r="D1091" t="str">
        <f>VLOOKUP(B1091, Products!$A$2:$C$100, 2, FALSE)</f>
        <v>Surly Wednesday Frameset - 2016</v>
      </c>
      <c r="E1091">
        <v>2</v>
      </c>
      <c r="F1091">
        <v>1549</v>
      </c>
      <c r="G1091">
        <v>0.05</v>
      </c>
      <c r="H1091">
        <v>77.45</v>
      </c>
      <c r="I1091">
        <f>order_items[[#This Row],[list_price]]-order_items[[#This Row],[Discounted_price]]</f>
        <v>1471.55</v>
      </c>
      <c r="J1091">
        <f>VLOOKUP(B1091, Products!$A$2:$E$100, 3, FALSE)</f>
        <v>8</v>
      </c>
      <c r="K1091">
        <f>VLOOKUP(B1091, Products!$A$2:$F$100, 4, FALSE)</f>
        <v>6</v>
      </c>
    </row>
    <row r="1092" spans="1:11" x14ac:dyDescent="0.3">
      <c r="A1092">
        <v>389</v>
      </c>
      <c r="B1092">
        <v>4</v>
      </c>
      <c r="C1092">
        <v>5</v>
      </c>
      <c r="D1092" t="str">
        <f>VLOOKUP(B1092, Products!$A$2:$C$100, 2, FALSE)</f>
        <v>Trek Fuel EX 8 29 - 2016</v>
      </c>
      <c r="E1092">
        <v>1</v>
      </c>
      <c r="F1092">
        <v>1320.99</v>
      </c>
      <c r="G1092">
        <v>0.05</v>
      </c>
      <c r="H1092">
        <v>66.049500000000009</v>
      </c>
      <c r="I1092">
        <f>order_items[[#This Row],[list_price]]-order_items[[#This Row],[Discounted_price]]</f>
        <v>1254.9404999999999</v>
      </c>
      <c r="J1092">
        <f>VLOOKUP(B1092, Products!$A$2:$E$100, 3, FALSE)</f>
        <v>9</v>
      </c>
      <c r="K1092">
        <f>VLOOKUP(B1092, Products!$A$2:$F$100, 4, FALSE)</f>
        <v>6</v>
      </c>
    </row>
    <row r="1093" spans="1:11" x14ac:dyDescent="0.3">
      <c r="A1093">
        <v>389</v>
      </c>
      <c r="B1093">
        <v>5</v>
      </c>
      <c r="C1093">
        <v>9</v>
      </c>
      <c r="D1093" t="str">
        <f>VLOOKUP(B1093, Products!$A$2:$C$100, 2, FALSE)</f>
        <v>Heller Shagamaw Frame - 2016</v>
      </c>
      <c r="E1093">
        <v>1</v>
      </c>
      <c r="F1093">
        <v>2999.99</v>
      </c>
      <c r="G1093">
        <v>0.2</v>
      </c>
      <c r="H1093">
        <v>599.99799999999993</v>
      </c>
      <c r="I1093">
        <f>order_items[[#This Row],[list_price]]-order_items[[#This Row],[Discounted_price]]</f>
        <v>2399.9919999999997</v>
      </c>
      <c r="J1093">
        <f>VLOOKUP(B1093, Products!$A$2:$E$100, 3, FALSE)</f>
        <v>3</v>
      </c>
      <c r="K1093">
        <f>VLOOKUP(B1093, Products!$A$2:$F$100, 4, FALSE)</f>
        <v>6</v>
      </c>
    </row>
    <row r="1094" spans="1:11" x14ac:dyDescent="0.3">
      <c r="A1094">
        <v>390</v>
      </c>
      <c r="B1094">
        <v>1</v>
      </c>
      <c r="C1094">
        <v>23</v>
      </c>
      <c r="D1094" t="str">
        <f>VLOOKUP(B1094, Products!$A$2:$C$100, 2, FALSE)</f>
        <v>Trek 820 - 2016</v>
      </c>
      <c r="E1094">
        <v>1</v>
      </c>
      <c r="F1094">
        <v>299.99</v>
      </c>
      <c r="G1094">
        <v>0.05</v>
      </c>
      <c r="H1094">
        <v>14.999500000000001</v>
      </c>
      <c r="I1094">
        <f>order_items[[#This Row],[list_price]]-order_items[[#This Row],[Discounted_price]]</f>
        <v>284.9905</v>
      </c>
      <c r="J1094">
        <f>VLOOKUP(B1094, Products!$A$2:$E$100, 3, FALSE)</f>
        <v>9</v>
      </c>
      <c r="K1094">
        <f>VLOOKUP(B1094, Products!$A$2:$F$100, 4, FALSE)</f>
        <v>6</v>
      </c>
    </row>
    <row r="1095" spans="1:11" x14ac:dyDescent="0.3">
      <c r="A1095">
        <v>390</v>
      </c>
      <c r="B1095">
        <v>2</v>
      </c>
      <c r="C1095">
        <v>7</v>
      </c>
      <c r="D1095" t="str">
        <f>VLOOKUP(B1095, Products!$A$2:$C$100, 2, FALSE)</f>
        <v>Ritchey Timberwolf Frameset - 2016</v>
      </c>
      <c r="E1095">
        <v>2</v>
      </c>
      <c r="F1095">
        <v>3999.99</v>
      </c>
      <c r="G1095">
        <v>7.0000000000000007E-2</v>
      </c>
      <c r="H1095">
        <v>279.99930000000001</v>
      </c>
      <c r="I1095">
        <f>order_items[[#This Row],[list_price]]-order_items[[#This Row],[Discounted_price]]</f>
        <v>3719.9906999999998</v>
      </c>
      <c r="J1095">
        <f>VLOOKUP(B1095, Products!$A$2:$E$100, 3, FALSE)</f>
        <v>5</v>
      </c>
      <c r="K1095">
        <f>VLOOKUP(B1095, Products!$A$2:$F$100, 4, FALSE)</f>
        <v>6</v>
      </c>
    </row>
    <row r="1096" spans="1:11" x14ac:dyDescent="0.3">
      <c r="A1096">
        <v>390</v>
      </c>
      <c r="B1096">
        <v>3</v>
      </c>
      <c r="C1096">
        <v>9</v>
      </c>
      <c r="D1096" t="str">
        <f>VLOOKUP(B1096, Products!$A$2:$C$100, 2, FALSE)</f>
        <v>Surly Wednesday Frameset - 2016</v>
      </c>
      <c r="E1096">
        <v>1</v>
      </c>
      <c r="F1096">
        <v>2999.99</v>
      </c>
      <c r="G1096">
        <v>0.05</v>
      </c>
      <c r="H1096">
        <v>149.99949999999998</v>
      </c>
      <c r="I1096">
        <f>order_items[[#This Row],[list_price]]-order_items[[#This Row],[Discounted_price]]</f>
        <v>2849.9904999999999</v>
      </c>
      <c r="J1096">
        <f>VLOOKUP(B1096, Products!$A$2:$E$100, 3, FALSE)</f>
        <v>8</v>
      </c>
      <c r="K1096">
        <f>VLOOKUP(B1096, Products!$A$2:$F$100, 4, FALSE)</f>
        <v>6</v>
      </c>
    </row>
    <row r="1097" spans="1:11" x14ac:dyDescent="0.3">
      <c r="A1097">
        <v>391</v>
      </c>
      <c r="B1097">
        <v>1</v>
      </c>
      <c r="C1097">
        <v>8</v>
      </c>
      <c r="D1097" t="str">
        <f>VLOOKUP(B1097, Products!$A$2:$C$100, 2, FALSE)</f>
        <v>Trek 820 - 2016</v>
      </c>
      <c r="E1097">
        <v>1</v>
      </c>
      <c r="F1097">
        <v>1799.99</v>
      </c>
      <c r="G1097">
        <v>7.0000000000000007E-2</v>
      </c>
      <c r="H1097">
        <v>125.99930000000002</v>
      </c>
      <c r="I1097">
        <f>order_items[[#This Row],[list_price]]-order_items[[#This Row],[Discounted_price]]</f>
        <v>1673.9907000000001</v>
      </c>
      <c r="J1097">
        <f>VLOOKUP(B1097, Products!$A$2:$E$100, 3, FALSE)</f>
        <v>9</v>
      </c>
      <c r="K1097">
        <f>VLOOKUP(B1097, Products!$A$2:$F$100, 4, FALSE)</f>
        <v>6</v>
      </c>
    </row>
    <row r="1098" spans="1:11" x14ac:dyDescent="0.3">
      <c r="A1098">
        <v>391</v>
      </c>
      <c r="B1098">
        <v>2</v>
      </c>
      <c r="C1098">
        <v>5</v>
      </c>
      <c r="D1098" t="str">
        <f>VLOOKUP(B1098, Products!$A$2:$C$100, 2, FALSE)</f>
        <v>Ritchey Timberwolf Frameset - 2016</v>
      </c>
      <c r="E1098">
        <v>2</v>
      </c>
      <c r="F1098">
        <v>1320.99</v>
      </c>
      <c r="G1098">
        <v>0.2</v>
      </c>
      <c r="H1098">
        <v>264.19800000000004</v>
      </c>
      <c r="I1098">
        <f>order_items[[#This Row],[list_price]]-order_items[[#This Row],[Discounted_price]]</f>
        <v>1056.7919999999999</v>
      </c>
      <c r="J1098">
        <f>VLOOKUP(B1098, Products!$A$2:$E$100, 3, FALSE)</f>
        <v>5</v>
      </c>
      <c r="K1098">
        <f>VLOOKUP(B1098, Products!$A$2:$F$100, 4, FALSE)</f>
        <v>6</v>
      </c>
    </row>
    <row r="1099" spans="1:11" x14ac:dyDescent="0.3">
      <c r="A1099">
        <v>391</v>
      </c>
      <c r="B1099">
        <v>3</v>
      </c>
      <c r="C1099">
        <v>24</v>
      </c>
      <c r="D1099" t="str">
        <f>VLOOKUP(B1099, Products!$A$2:$C$100, 2, FALSE)</f>
        <v>Surly Wednesday Frameset - 2016</v>
      </c>
      <c r="E1099">
        <v>2</v>
      </c>
      <c r="F1099">
        <v>549.99</v>
      </c>
      <c r="G1099">
        <v>7.0000000000000007E-2</v>
      </c>
      <c r="H1099">
        <v>38.499300000000005</v>
      </c>
      <c r="I1099">
        <f>order_items[[#This Row],[list_price]]-order_items[[#This Row],[Discounted_price]]</f>
        <v>511.4907</v>
      </c>
      <c r="J1099">
        <f>VLOOKUP(B1099, Products!$A$2:$E$100, 3, FALSE)</f>
        <v>8</v>
      </c>
      <c r="K1099">
        <f>VLOOKUP(B1099, Products!$A$2:$F$100, 4, FALSE)</f>
        <v>6</v>
      </c>
    </row>
    <row r="1100" spans="1:11" x14ac:dyDescent="0.3">
      <c r="A1100">
        <v>392</v>
      </c>
      <c r="B1100">
        <v>1</v>
      </c>
      <c r="C1100">
        <v>14</v>
      </c>
      <c r="D1100" t="str">
        <f>VLOOKUP(B1100, Products!$A$2:$C$100, 2, FALSE)</f>
        <v>Trek 820 - 2016</v>
      </c>
      <c r="E1100">
        <v>2</v>
      </c>
      <c r="F1100">
        <v>269.99</v>
      </c>
      <c r="G1100">
        <v>0.1</v>
      </c>
      <c r="H1100">
        <v>26.999000000000002</v>
      </c>
      <c r="I1100">
        <f>order_items[[#This Row],[list_price]]-order_items[[#This Row],[Discounted_price]]</f>
        <v>242.99100000000001</v>
      </c>
      <c r="J1100">
        <f>VLOOKUP(B1100, Products!$A$2:$E$100, 3, FALSE)</f>
        <v>9</v>
      </c>
      <c r="K1100">
        <f>VLOOKUP(B1100, Products!$A$2:$F$100, 4, FALSE)</f>
        <v>6</v>
      </c>
    </row>
    <row r="1101" spans="1:11" x14ac:dyDescent="0.3">
      <c r="A1101">
        <v>392</v>
      </c>
      <c r="B1101">
        <v>2</v>
      </c>
      <c r="C1101">
        <v>3</v>
      </c>
      <c r="D1101" t="str">
        <f>VLOOKUP(B1101, Products!$A$2:$C$100, 2, FALSE)</f>
        <v>Ritchey Timberwolf Frameset - 2016</v>
      </c>
      <c r="E1101">
        <v>2</v>
      </c>
      <c r="F1101">
        <v>999.99</v>
      </c>
      <c r="G1101">
        <v>0.05</v>
      </c>
      <c r="H1101">
        <v>49.999500000000005</v>
      </c>
      <c r="I1101">
        <f>order_items[[#This Row],[list_price]]-order_items[[#This Row],[Discounted_price]]</f>
        <v>949.9905</v>
      </c>
      <c r="J1101">
        <f>VLOOKUP(B1101, Products!$A$2:$E$100, 3, FALSE)</f>
        <v>5</v>
      </c>
      <c r="K1101">
        <f>VLOOKUP(B1101, Products!$A$2:$F$100, 4, FALSE)</f>
        <v>6</v>
      </c>
    </row>
    <row r="1102" spans="1:11" x14ac:dyDescent="0.3">
      <c r="A1102">
        <v>393</v>
      </c>
      <c r="B1102">
        <v>1</v>
      </c>
      <c r="C1102">
        <v>6</v>
      </c>
      <c r="D1102" t="str">
        <f>VLOOKUP(B1102, Products!$A$2:$C$100, 2, FALSE)</f>
        <v>Trek 820 - 2016</v>
      </c>
      <c r="E1102">
        <v>2</v>
      </c>
      <c r="F1102">
        <v>469.99</v>
      </c>
      <c r="G1102">
        <v>0.2</v>
      </c>
      <c r="H1102">
        <v>93.998000000000005</v>
      </c>
      <c r="I1102">
        <f>order_items[[#This Row],[list_price]]-order_items[[#This Row],[Discounted_price]]</f>
        <v>375.99200000000002</v>
      </c>
      <c r="J1102">
        <f>VLOOKUP(B1102, Products!$A$2:$E$100, 3, FALSE)</f>
        <v>9</v>
      </c>
      <c r="K1102">
        <f>VLOOKUP(B1102, Products!$A$2:$F$100, 4, FALSE)</f>
        <v>6</v>
      </c>
    </row>
    <row r="1103" spans="1:11" x14ac:dyDescent="0.3">
      <c r="A1103">
        <v>394</v>
      </c>
      <c r="B1103">
        <v>1</v>
      </c>
      <c r="C1103">
        <v>23</v>
      </c>
      <c r="D1103" t="str">
        <f>VLOOKUP(B1103, Products!$A$2:$C$100, 2, FALSE)</f>
        <v>Trek 820 - 2016</v>
      </c>
      <c r="E1103">
        <v>1</v>
      </c>
      <c r="F1103">
        <v>299.99</v>
      </c>
      <c r="G1103">
        <v>0.05</v>
      </c>
      <c r="H1103">
        <v>14.999500000000001</v>
      </c>
      <c r="I1103">
        <f>order_items[[#This Row],[list_price]]-order_items[[#This Row],[Discounted_price]]</f>
        <v>284.9905</v>
      </c>
      <c r="J1103">
        <f>VLOOKUP(B1103, Products!$A$2:$E$100, 3, FALSE)</f>
        <v>9</v>
      </c>
      <c r="K1103">
        <f>VLOOKUP(B1103, Products!$A$2:$F$100, 4, FALSE)</f>
        <v>6</v>
      </c>
    </row>
    <row r="1104" spans="1:11" x14ac:dyDescent="0.3">
      <c r="A1104">
        <v>394</v>
      </c>
      <c r="B1104">
        <v>2</v>
      </c>
      <c r="C1104">
        <v>16</v>
      </c>
      <c r="D1104" t="str">
        <f>VLOOKUP(B1104, Products!$A$2:$C$100, 2, FALSE)</f>
        <v>Ritchey Timberwolf Frameset - 2016</v>
      </c>
      <c r="E1104">
        <v>1</v>
      </c>
      <c r="F1104">
        <v>599.99</v>
      </c>
      <c r="G1104">
        <v>0.2</v>
      </c>
      <c r="H1104">
        <v>119.998</v>
      </c>
      <c r="I1104">
        <f>order_items[[#This Row],[list_price]]-order_items[[#This Row],[Discounted_price]]</f>
        <v>479.99200000000002</v>
      </c>
      <c r="J1104">
        <f>VLOOKUP(B1104, Products!$A$2:$E$100, 3, FALSE)</f>
        <v>5</v>
      </c>
      <c r="K1104">
        <f>VLOOKUP(B1104, Products!$A$2:$F$100, 4, FALSE)</f>
        <v>6</v>
      </c>
    </row>
    <row r="1105" spans="1:11" x14ac:dyDescent="0.3">
      <c r="A1105">
        <v>394</v>
      </c>
      <c r="B1105">
        <v>3</v>
      </c>
      <c r="C1105">
        <v>14</v>
      </c>
      <c r="D1105" t="str">
        <f>VLOOKUP(B1105, Products!$A$2:$C$100, 2, FALSE)</f>
        <v>Surly Wednesday Frameset - 2016</v>
      </c>
      <c r="E1105">
        <v>2</v>
      </c>
      <c r="F1105">
        <v>269.99</v>
      </c>
      <c r="G1105">
        <v>0.2</v>
      </c>
      <c r="H1105">
        <v>53.998000000000005</v>
      </c>
      <c r="I1105">
        <f>order_items[[#This Row],[list_price]]-order_items[[#This Row],[Discounted_price]]</f>
        <v>215.99200000000002</v>
      </c>
      <c r="J1105">
        <f>VLOOKUP(B1105, Products!$A$2:$E$100, 3, FALSE)</f>
        <v>8</v>
      </c>
      <c r="K1105">
        <f>VLOOKUP(B1105, Products!$A$2:$F$100, 4, FALSE)</f>
        <v>6</v>
      </c>
    </row>
    <row r="1106" spans="1:11" x14ac:dyDescent="0.3">
      <c r="A1106">
        <v>395</v>
      </c>
      <c r="B1106">
        <v>1</v>
      </c>
      <c r="C1106">
        <v>14</v>
      </c>
      <c r="D1106" t="str">
        <f>VLOOKUP(B1106, Products!$A$2:$C$100, 2, FALSE)</f>
        <v>Trek 820 - 2016</v>
      </c>
      <c r="E1106">
        <v>1</v>
      </c>
      <c r="F1106">
        <v>269.99</v>
      </c>
      <c r="G1106">
        <v>0.05</v>
      </c>
      <c r="H1106">
        <v>13.499500000000001</v>
      </c>
      <c r="I1106">
        <f>order_items[[#This Row],[list_price]]-order_items[[#This Row],[Discounted_price]]</f>
        <v>256.4905</v>
      </c>
      <c r="J1106">
        <f>VLOOKUP(B1106, Products!$A$2:$E$100, 3, FALSE)</f>
        <v>9</v>
      </c>
      <c r="K1106">
        <f>VLOOKUP(B1106, Products!$A$2:$F$100, 4, FALSE)</f>
        <v>6</v>
      </c>
    </row>
    <row r="1107" spans="1:11" x14ac:dyDescent="0.3">
      <c r="A1107">
        <v>396</v>
      </c>
      <c r="B1107">
        <v>1</v>
      </c>
      <c r="C1107">
        <v>12</v>
      </c>
      <c r="D1107" t="str">
        <f>VLOOKUP(B1107, Products!$A$2:$C$100, 2, FALSE)</f>
        <v>Trek 820 - 2016</v>
      </c>
      <c r="E1107">
        <v>1</v>
      </c>
      <c r="F1107">
        <v>549.99</v>
      </c>
      <c r="G1107">
        <v>0.1</v>
      </c>
      <c r="H1107">
        <v>54.999000000000002</v>
      </c>
      <c r="I1107">
        <f>order_items[[#This Row],[list_price]]-order_items[[#This Row],[Discounted_price]]</f>
        <v>494.99099999999999</v>
      </c>
      <c r="J1107">
        <f>VLOOKUP(B1107, Products!$A$2:$E$100, 3, FALSE)</f>
        <v>9</v>
      </c>
      <c r="K1107">
        <f>VLOOKUP(B1107, Products!$A$2:$F$100, 4, FALSE)</f>
        <v>6</v>
      </c>
    </row>
    <row r="1108" spans="1:11" x14ac:dyDescent="0.3">
      <c r="A1108">
        <v>396</v>
      </c>
      <c r="B1108">
        <v>2</v>
      </c>
      <c r="C1108">
        <v>25</v>
      </c>
      <c r="D1108" t="str">
        <f>VLOOKUP(B1108, Products!$A$2:$C$100, 2, FALSE)</f>
        <v>Ritchey Timberwolf Frameset - 2016</v>
      </c>
      <c r="E1108">
        <v>2</v>
      </c>
      <c r="F1108">
        <v>499.99</v>
      </c>
      <c r="G1108">
        <v>0.05</v>
      </c>
      <c r="H1108">
        <v>24.999500000000001</v>
      </c>
      <c r="I1108">
        <f>order_items[[#This Row],[list_price]]-order_items[[#This Row],[Discounted_price]]</f>
        <v>474.9905</v>
      </c>
      <c r="J1108">
        <f>VLOOKUP(B1108, Products!$A$2:$E$100, 3, FALSE)</f>
        <v>5</v>
      </c>
      <c r="K1108">
        <f>VLOOKUP(B1108, Products!$A$2:$F$100, 4, FALSE)</f>
        <v>6</v>
      </c>
    </row>
    <row r="1109" spans="1:11" x14ac:dyDescent="0.3">
      <c r="A1109">
        <v>396</v>
      </c>
      <c r="B1109">
        <v>3</v>
      </c>
      <c r="C1109">
        <v>5</v>
      </c>
      <c r="D1109" t="str">
        <f>VLOOKUP(B1109, Products!$A$2:$C$100, 2, FALSE)</f>
        <v>Surly Wednesday Frameset - 2016</v>
      </c>
      <c r="E1109">
        <v>1</v>
      </c>
      <c r="F1109">
        <v>1320.99</v>
      </c>
      <c r="G1109">
        <v>0.2</v>
      </c>
      <c r="H1109">
        <v>264.19800000000004</v>
      </c>
      <c r="I1109">
        <f>order_items[[#This Row],[list_price]]-order_items[[#This Row],[Discounted_price]]</f>
        <v>1056.7919999999999</v>
      </c>
      <c r="J1109">
        <f>VLOOKUP(B1109, Products!$A$2:$E$100, 3, FALSE)</f>
        <v>8</v>
      </c>
      <c r="K1109">
        <f>VLOOKUP(B1109, Products!$A$2:$F$100, 4, FALSE)</f>
        <v>6</v>
      </c>
    </row>
    <row r="1110" spans="1:11" x14ac:dyDescent="0.3">
      <c r="A1110">
        <v>397</v>
      </c>
      <c r="B1110">
        <v>1</v>
      </c>
      <c r="C1110">
        <v>7</v>
      </c>
      <c r="D1110" t="str">
        <f>VLOOKUP(B1110, Products!$A$2:$C$100, 2, FALSE)</f>
        <v>Trek 820 - 2016</v>
      </c>
      <c r="E1110">
        <v>1</v>
      </c>
      <c r="F1110">
        <v>3999.99</v>
      </c>
      <c r="G1110">
        <v>0.05</v>
      </c>
      <c r="H1110">
        <v>199.99950000000001</v>
      </c>
      <c r="I1110">
        <f>order_items[[#This Row],[list_price]]-order_items[[#This Row],[Discounted_price]]</f>
        <v>3799.9904999999999</v>
      </c>
      <c r="J1110">
        <f>VLOOKUP(B1110, Products!$A$2:$E$100, 3, FALSE)</f>
        <v>9</v>
      </c>
      <c r="K1110">
        <f>VLOOKUP(B1110, Products!$A$2:$F$100, 4, FALSE)</f>
        <v>6</v>
      </c>
    </row>
    <row r="1111" spans="1:11" x14ac:dyDescent="0.3">
      <c r="A1111">
        <v>398</v>
      </c>
      <c r="B1111">
        <v>1</v>
      </c>
      <c r="C1111">
        <v>8</v>
      </c>
      <c r="D1111" t="str">
        <f>VLOOKUP(B1111, Products!$A$2:$C$100, 2, FALSE)</f>
        <v>Trek 820 - 2016</v>
      </c>
      <c r="E1111">
        <v>2</v>
      </c>
      <c r="F1111">
        <v>1799.99</v>
      </c>
      <c r="G1111">
        <v>0.05</v>
      </c>
      <c r="H1111">
        <v>89.999500000000012</v>
      </c>
      <c r="I1111">
        <f>order_items[[#This Row],[list_price]]-order_items[[#This Row],[Discounted_price]]</f>
        <v>1709.9904999999999</v>
      </c>
      <c r="J1111">
        <f>VLOOKUP(B1111, Products!$A$2:$E$100, 3, FALSE)</f>
        <v>9</v>
      </c>
      <c r="K1111">
        <f>VLOOKUP(B1111, Products!$A$2:$F$100, 4, FALSE)</f>
        <v>6</v>
      </c>
    </row>
    <row r="1112" spans="1:11" x14ac:dyDescent="0.3">
      <c r="A1112">
        <v>398</v>
      </c>
      <c r="B1112">
        <v>2</v>
      </c>
      <c r="C1112">
        <v>18</v>
      </c>
      <c r="D1112" t="str">
        <f>VLOOKUP(B1112, Products!$A$2:$C$100, 2, FALSE)</f>
        <v>Ritchey Timberwolf Frameset - 2016</v>
      </c>
      <c r="E1112">
        <v>2</v>
      </c>
      <c r="F1112">
        <v>449</v>
      </c>
      <c r="G1112">
        <v>0.05</v>
      </c>
      <c r="H1112">
        <v>22.450000000000003</v>
      </c>
      <c r="I1112">
        <f>order_items[[#This Row],[list_price]]-order_items[[#This Row],[Discounted_price]]</f>
        <v>426.55</v>
      </c>
      <c r="J1112">
        <f>VLOOKUP(B1112, Products!$A$2:$E$100, 3, FALSE)</f>
        <v>5</v>
      </c>
      <c r="K1112">
        <f>VLOOKUP(B1112, Products!$A$2:$F$100, 4, FALSE)</f>
        <v>6</v>
      </c>
    </row>
    <row r="1113" spans="1:11" x14ac:dyDescent="0.3">
      <c r="A1113">
        <v>398</v>
      </c>
      <c r="B1113">
        <v>3</v>
      </c>
      <c r="C1113">
        <v>25</v>
      </c>
      <c r="D1113" t="str">
        <f>VLOOKUP(B1113, Products!$A$2:$C$100, 2, FALSE)</f>
        <v>Surly Wednesday Frameset - 2016</v>
      </c>
      <c r="E1113">
        <v>1</v>
      </c>
      <c r="F1113">
        <v>499.99</v>
      </c>
      <c r="G1113">
        <v>0.2</v>
      </c>
      <c r="H1113">
        <v>99.998000000000005</v>
      </c>
      <c r="I1113">
        <f>order_items[[#This Row],[list_price]]-order_items[[#This Row],[Discounted_price]]</f>
        <v>399.99200000000002</v>
      </c>
      <c r="J1113">
        <f>VLOOKUP(B1113, Products!$A$2:$E$100, 3, FALSE)</f>
        <v>8</v>
      </c>
      <c r="K1113">
        <f>VLOOKUP(B1113, Products!$A$2:$F$100, 4, FALSE)</f>
        <v>6</v>
      </c>
    </row>
    <row r="1114" spans="1:11" x14ac:dyDescent="0.3">
      <c r="A1114">
        <v>398</v>
      </c>
      <c r="B1114">
        <v>4</v>
      </c>
      <c r="C1114">
        <v>17</v>
      </c>
      <c r="D1114" t="str">
        <f>VLOOKUP(B1114, Products!$A$2:$C$100, 2, FALSE)</f>
        <v>Trek Fuel EX 8 29 - 2016</v>
      </c>
      <c r="E1114">
        <v>1</v>
      </c>
      <c r="F1114">
        <v>429</v>
      </c>
      <c r="G1114">
        <v>0.05</v>
      </c>
      <c r="H1114">
        <v>21.450000000000003</v>
      </c>
      <c r="I1114">
        <f>order_items[[#This Row],[list_price]]-order_items[[#This Row],[Discounted_price]]</f>
        <v>407.55</v>
      </c>
      <c r="J1114">
        <f>VLOOKUP(B1114, Products!$A$2:$E$100, 3, FALSE)</f>
        <v>9</v>
      </c>
      <c r="K1114">
        <f>VLOOKUP(B1114, Products!$A$2:$F$100, 4, FALSE)</f>
        <v>6</v>
      </c>
    </row>
    <row r="1115" spans="1:11" x14ac:dyDescent="0.3">
      <c r="A1115">
        <v>399</v>
      </c>
      <c r="B1115">
        <v>1</v>
      </c>
      <c r="C1115">
        <v>25</v>
      </c>
      <c r="D1115" t="str">
        <f>VLOOKUP(B1115, Products!$A$2:$C$100, 2, FALSE)</f>
        <v>Trek 820 - 2016</v>
      </c>
      <c r="E1115">
        <v>1</v>
      </c>
      <c r="F1115">
        <v>499.99</v>
      </c>
      <c r="G1115">
        <v>0.05</v>
      </c>
      <c r="H1115">
        <v>24.999500000000001</v>
      </c>
      <c r="I1115">
        <f>order_items[[#This Row],[list_price]]-order_items[[#This Row],[Discounted_price]]</f>
        <v>474.9905</v>
      </c>
      <c r="J1115">
        <f>VLOOKUP(B1115, Products!$A$2:$E$100, 3, FALSE)</f>
        <v>9</v>
      </c>
      <c r="K1115">
        <f>VLOOKUP(B1115, Products!$A$2:$F$100, 4, FALSE)</f>
        <v>6</v>
      </c>
    </row>
    <row r="1116" spans="1:11" x14ac:dyDescent="0.3">
      <c r="A1116">
        <v>399</v>
      </c>
      <c r="B1116">
        <v>2</v>
      </c>
      <c r="C1116">
        <v>11</v>
      </c>
      <c r="D1116" t="str">
        <f>VLOOKUP(B1116, Products!$A$2:$C$100, 2, FALSE)</f>
        <v>Ritchey Timberwolf Frameset - 2016</v>
      </c>
      <c r="E1116">
        <v>2</v>
      </c>
      <c r="F1116">
        <v>1680.99</v>
      </c>
      <c r="G1116">
        <v>0.05</v>
      </c>
      <c r="H1116">
        <v>84.049500000000009</v>
      </c>
      <c r="I1116">
        <f>order_items[[#This Row],[list_price]]-order_items[[#This Row],[Discounted_price]]</f>
        <v>1596.9404999999999</v>
      </c>
      <c r="J1116">
        <f>VLOOKUP(B1116, Products!$A$2:$E$100, 3, FALSE)</f>
        <v>5</v>
      </c>
      <c r="K1116">
        <f>VLOOKUP(B1116, Products!$A$2:$F$100, 4, FALSE)</f>
        <v>6</v>
      </c>
    </row>
    <row r="1117" spans="1:11" x14ac:dyDescent="0.3">
      <c r="A1117">
        <v>399</v>
      </c>
      <c r="B1117">
        <v>3</v>
      </c>
      <c r="C1117">
        <v>14</v>
      </c>
      <c r="D1117" t="str">
        <f>VLOOKUP(B1117, Products!$A$2:$C$100, 2, FALSE)</f>
        <v>Surly Wednesday Frameset - 2016</v>
      </c>
      <c r="E1117">
        <v>1</v>
      </c>
      <c r="F1117">
        <v>269.99</v>
      </c>
      <c r="G1117">
        <v>0.1</v>
      </c>
      <c r="H1117">
        <v>26.999000000000002</v>
      </c>
      <c r="I1117">
        <f>order_items[[#This Row],[list_price]]-order_items[[#This Row],[Discounted_price]]</f>
        <v>242.99100000000001</v>
      </c>
      <c r="J1117">
        <f>VLOOKUP(B1117, Products!$A$2:$E$100, 3, FALSE)</f>
        <v>8</v>
      </c>
      <c r="K1117">
        <f>VLOOKUP(B1117, Products!$A$2:$F$100, 4, FALSE)</f>
        <v>6</v>
      </c>
    </row>
    <row r="1118" spans="1:11" x14ac:dyDescent="0.3">
      <c r="A1118">
        <v>400</v>
      </c>
      <c r="B1118">
        <v>1</v>
      </c>
      <c r="C1118">
        <v>24</v>
      </c>
      <c r="D1118" t="str">
        <f>VLOOKUP(B1118, Products!$A$2:$C$100, 2, FALSE)</f>
        <v>Trek 820 - 2016</v>
      </c>
      <c r="E1118">
        <v>2</v>
      </c>
      <c r="F1118">
        <v>549.99</v>
      </c>
      <c r="G1118">
        <v>7.0000000000000007E-2</v>
      </c>
      <c r="H1118">
        <v>38.499300000000005</v>
      </c>
      <c r="I1118">
        <f>order_items[[#This Row],[list_price]]-order_items[[#This Row],[Discounted_price]]</f>
        <v>511.4907</v>
      </c>
      <c r="J1118">
        <f>VLOOKUP(B1118, Products!$A$2:$E$100, 3, FALSE)</f>
        <v>9</v>
      </c>
      <c r="K1118">
        <f>VLOOKUP(B1118, Products!$A$2:$F$100, 4, FALSE)</f>
        <v>6</v>
      </c>
    </row>
    <row r="1119" spans="1:11" x14ac:dyDescent="0.3">
      <c r="A1119">
        <v>400</v>
      </c>
      <c r="B1119">
        <v>2</v>
      </c>
      <c r="C1119">
        <v>9</v>
      </c>
      <c r="D1119" t="str">
        <f>VLOOKUP(B1119, Products!$A$2:$C$100, 2, FALSE)</f>
        <v>Ritchey Timberwolf Frameset - 2016</v>
      </c>
      <c r="E1119">
        <v>1</v>
      </c>
      <c r="F1119">
        <v>2999.99</v>
      </c>
      <c r="G1119">
        <v>0.2</v>
      </c>
      <c r="H1119">
        <v>599.99799999999993</v>
      </c>
      <c r="I1119">
        <f>order_items[[#This Row],[list_price]]-order_items[[#This Row],[Discounted_price]]</f>
        <v>2399.9919999999997</v>
      </c>
      <c r="J1119">
        <f>VLOOKUP(B1119, Products!$A$2:$E$100, 3, FALSE)</f>
        <v>5</v>
      </c>
      <c r="K1119">
        <f>VLOOKUP(B1119, Products!$A$2:$F$100, 4, FALSE)</f>
        <v>6</v>
      </c>
    </row>
    <row r="1120" spans="1:11" x14ac:dyDescent="0.3">
      <c r="A1120">
        <v>400</v>
      </c>
      <c r="B1120">
        <v>3</v>
      </c>
      <c r="C1120">
        <v>3</v>
      </c>
      <c r="D1120" t="str">
        <f>VLOOKUP(B1120, Products!$A$2:$C$100, 2, FALSE)</f>
        <v>Surly Wednesday Frameset - 2016</v>
      </c>
      <c r="E1120">
        <v>2</v>
      </c>
      <c r="F1120">
        <v>999.99</v>
      </c>
      <c r="G1120">
        <v>0.2</v>
      </c>
      <c r="H1120">
        <v>199.99800000000002</v>
      </c>
      <c r="I1120">
        <f>order_items[[#This Row],[list_price]]-order_items[[#This Row],[Discounted_price]]</f>
        <v>799.99199999999996</v>
      </c>
      <c r="J1120">
        <f>VLOOKUP(B1120, Products!$A$2:$E$100, 3, FALSE)</f>
        <v>8</v>
      </c>
      <c r="K1120">
        <f>VLOOKUP(B1120, Products!$A$2:$F$100, 4, FALSE)</f>
        <v>6</v>
      </c>
    </row>
    <row r="1121" spans="1:11" x14ac:dyDescent="0.3">
      <c r="A1121">
        <v>401</v>
      </c>
      <c r="B1121">
        <v>1</v>
      </c>
      <c r="C1121">
        <v>23</v>
      </c>
      <c r="D1121" t="str">
        <f>VLOOKUP(B1121, Products!$A$2:$C$100, 2, FALSE)</f>
        <v>Trek 820 - 2016</v>
      </c>
      <c r="E1121">
        <v>1</v>
      </c>
      <c r="F1121">
        <v>299.99</v>
      </c>
      <c r="G1121">
        <v>0.2</v>
      </c>
      <c r="H1121">
        <v>59.998000000000005</v>
      </c>
      <c r="I1121">
        <f>order_items[[#This Row],[list_price]]-order_items[[#This Row],[Discounted_price]]</f>
        <v>239.99200000000002</v>
      </c>
      <c r="J1121">
        <f>VLOOKUP(B1121, Products!$A$2:$E$100, 3, FALSE)</f>
        <v>9</v>
      </c>
      <c r="K1121">
        <f>VLOOKUP(B1121, Products!$A$2:$F$100, 4, FALSE)</f>
        <v>6</v>
      </c>
    </row>
    <row r="1122" spans="1:11" x14ac:dyDescent="0.3">
      <c r="A1122">
        <v>401</v>
      </c>
      <c r="B1122">
        <v>2</v>
      </c>
      <c r="C1122">
        <v>10</v>
      </c>
      <c r="D1122" t="str">
        <f>VLOOKUP(B1122, Products!$A$2:$C$100, 2, FALSE)</f>
        <v>Ritchey Timberwolf Frameset - 2016</v>
      </c>
      <c r="E1122">
        <v>2</v>
      </c>
      <c r="F1122">
        <v>1549</v>
      </c>
      <c r="G1122">
        <v>0.2</v>
      </c>
      <c r="H1122">
        <v>309.8</v>
      </c>
      <c r="I1122">
        <f>order_items[[#This Row],[list_price]]-order_items[[#This Row],[Discounted_price]]</f>
        <v>1239.2</v>
      </c>
      <c r="J1122">
        <f>VLOOKUP(B1122, Products!$A$2:$E$100, 3, FALSE)</f>
        <v>5</v>
      </c>
      <c r="K1122">
        <f>VLOOKUP(B1122, Products!$A$2:$F$100, 4, FALSE)</f>
        <v>6</v>
      </c>
    </row>
    <row r="1123" spans="1:11" x14ac:dyDescent="0.3">
      <c r="A1123">
        <v>402</v>
      </c>
      <c r="B1123">
        <v>1</v>
      </c>
      <c r="C1123">
        <v>6</v>
      </c>
      <c r="D1123" t="str">
        <f>VLOOKUP(B1123, Products!$A$2:$C$100, 2, FALSE)</f>
        <v>Trek 820 - 2016</v>
      </c>
      <c r="E1123">
        <v>2</v>
      </c>
      <c r="F1123">
        <v>469.99</v>
      </c>
      <c r="G1123">
        <v>7.0000000000000007E-2</v>
      </c>
      <c r="H1123">
        <v>32.899300000000004</v>
      </c>
      <c r="I1123">
        <f>order_items[[#This Row],[list_price]]-order_items[[#This Row],[Discounted_price]]</f>
        <v>437.09070000000003</v>
      </c>
      <c r="J1123">
        <f>VLOOKUP(B1123, Products!$A$2:$E$100, 3, FALSE)</f>
        <v>9</v>
      </c>
      <c r="K1123">
        <f>VLOOKUP(B1123, Products!$A$2:$F$100, 4, FALSE)</f>
        <v>6</v>
      </c>
    </row>
    <row r="1124" spans="1:11" x14ac:dyDescent="0.3">
      <c r="A1124">
        <v>402</v>
      </c>
      <c r="B1124">
        <v>2</v>
      </c>
      <c r="C1124">
        <v>5</v>
      </c>
      <c r="D1124" t="str">
        <f>VLOOKUP(B1124, Products!$A$2:$C$100, 2, FALSE)</f>
        <v>Ritchey Timberwolf Frameset - 2016</v>
      </c>
      <c r="E1124">
        <v>1</v>
      </c>
      <c r="F1124">
        <v>1320.99</v>
      </c>
      <c r="G1124">
        <v>7.0000000000000007E-2</v>
      </c>
      <c r="H1124">
        <v>92.469300000000004</v>
      </c>
      <c r="I1124">
        <f>order_items[[#This Row],[list_price]]-order_items[[#This Row],[Discounted_price]]</f>
        <v>1228.5207</v>
      </c>
      <c r="J1124">
        <f>VLOOKUP(B1124, Products!$A$2:$E$100, 3, FALSE)</f>
        <v>5</v>
      </c>
      <c r="K1124">
        <f>VLOOKUP(B1124, Products!$A$2:$F$100, 4, FALSE)</f>
        <v>6</v>
      </c>
    </row>
    <row r="1125" spans="1:11" x14ac:dyDescent="0.3">
      <c r="A1125">
        <v>402</v>
      </c>
      <c r="B1125">
        <v>3</v>
      </c>
      <c r="C1125">
        <v>26</v>
      </c>
      <c r="D1125" t="str">
        <f>VLOOKUP(B1125, Products!$A$2:$C$100, 2, FALSE)</f>
        <v>Surly Wednesday Frameset - 2016</v>
      </c>
      <c r="E1125">
        <v>1</v>
      </c>
      <c r="F1125">
        <v>599.99</v>
      </c>
      <c r="G1125">
        <v>0.05</v>
      </c>
      <c r="H1125">
        <v>29.999500000000001</v>
      </c>
      <c r="I1125">
        <f>order_items[[#This Row],[list_price]]-order_items[[#This Row],[Discounted_price]]</f>
        <v>569.9905</v>
      </c>
      <c r="J1125">
        <f>VLOOKUP(B1125, Products!$A$2:$E$100, 3, FALSE)</f>
        <v>8</v>
      </c>
      <c r="K1125">
        <f>VLOOKUP(B1125, Products!$A$2:$F$100, 4, FALSE)</f>
        <v>6</v>
      </c>
    </row>
    <row r="1126" spans="1:11" x14ac:dyDescent="0.3">
      <c r="A1126">
        <v>403</v>
      </c>
      <c r="B1126">
        <v>1</v>
      </c>
      <c r="C1126">
        <v>12</v>
      </c>
      <c r="D1126" t="str">
        <f>VLOOKUP(B1126, Products!$A$2:$C$100, 2, FALSE)</f>
        <v>Trek 820 - 2016</v>
      </c>
      <c r="E1126">
        <v>2</v>
      </c>
      <c r="F1126">
        <v>549.99</v>
      </c>
      <c r="G1126">
        <v>0.1</v>
      </c>
      <c r="H1126">
        <v>54.999000000000002</v>
      </c>
      <c r="I1126">
        <f>order_items[[#This Row],[list_price]]-order_items[[#This Row],[Discounted_price]]</f>
        <v>494.99099999999999</v>
      </c>
      <c r="J1126">
        <f>VLOOKUP(B1126, Products!$A$2:$E$100, 3, FALSE)</f>
        <v>9</v>
      </c>
      <c r="K1126">
        <f>VLOOKUP(B1126, Products!$A$2:$F$100, 4, FALSE)</f>
        <v>6</v>
      </c>
    </row>
    <row r="1127" spans="1:11" x14ac:dyDescent="0.3">
      <c r="A1127">
        <v>403</v>
      </c>
      <c r="B1127">
        <v>2</v>
      </c>
      <c r="C1127">
        <v>7</v>
      </c>
      <c r="D1127" t="str">
        <f>VLOOKUP(B1127, Products!$A$2:$C$100, 2, FALSE)</f>
        <v>Ritchey Timberwolf Frameset - 2016</v>
      </c>
      <c r="E1127">
        <v>2</v>
      </c>
      <c r="F1127">
        <v>3999.99</v>
      </c>
      <c r="G1127">
        <v>0.2</v>
      </c>
      <c r="H1127">
        <v>799.99800000000005</v>
      </c>
      <c r="I1127">
        <f>order_items[[#This Row],[list_price]]-order_items[[#This Row],[Discounted_price]]</f>
        <v>3199.9919999999997</v>
      </c>
      <c r="J1127">
        <f>VLOOKUP(B1127, Products!$A$2:$E$100, 3, FALSE)</f>
        <v>5</v>
      </c>
      <c r="K1127">
        <f>VLOOKUP(B1127, Products!$A$2:$F$100, 4, FALSE)</f>
        <v>6</v>
      </c>
    </row>
    <row r="1128" spans="1:11" x14ac:dyDescent="0.3">
      <c r="A1128">
        <v>403</v>
      </c>
      <c r="B1128">
        <v>3</v>
      </c>
      <c r="C1128">
        <v>22</v>
      </c>
      <c r="D1128" t="str">
        <f>VLOOKUP(B1128, Products!$A$2:$C$100, 2, FALSE)</f>
        <v>Surly Wednesday Frameset - 2016</v>
      </c>
      <c r="E1128">
        <v>2</v>
      </c>
      <c r="F1128">
        <v>269.99</v>
      </c>
      <c r="G1128">
        <v>0.05</v>
      </c>
      <c r="H1128">
        <v>13.499500000000001</v>
      </c>
      <c r="I1128">
        <f>order_items[[#This Row],[list_price]]-order_items[[#This Row],[Discounted_price]]</f>
        <v>256.4905</v>
      </c>
      <c r="J1128">
        <f>VLOOKUP(B1128, Products!$A$2:$E$100, 3, FALSE)</f>
        <v>8</v>
      </c>
      <c r="K1128">
        <f>VLOOKUP(B1128, Products!$A$2:$F$100, 4, FALSE)</f>
        <v>6</v>
      </c>
    </row>
    <row r="1129" spans="1:11" x14ac:dyDescent="0.3">
      <c r="A1129">
        <v>403</v>
      </c>
      <c r="B1129">
        <v>4</v>
      </c>
      <c r="C1129">
        <v>24</v>
      </c>
      <c r="D1129" t="str">
        <f>VLOOKUP(B1129, Products!$A$2:$C$100, 2, FALSE)</f>
        <v>Trek Fuel EX 8 29 - 2016</v>
      </c>
      <c r="E1129">
        <v>1</v>
      </c>
      <c r="F1129">
        <v>549.99</v>
      </c>
      <c r="G1129">
        <v>0.2</v>
      </c>
      <c r="H1129">
        <v>109.998</v>
      </c>
      <c r="I1129">
        <f>order_items[[#This Row],[list_price]]-order_items[[#This Row],[Discounted_price]]</f>
        <v>439.99200000000002</v>
      </c>
      <c r="J1129">
        <f>VLOOKUP(B1129, Products!$A$2:$E$100, 3, FALSE)</f>
        <v>9</v>
      </c>
      <c r="K1129">
        <f>VLOOKUP(B1129, Products!$A$2:$F$100, 4, FALSE)</f>
        <v>6</v>
      </c>
    </row>
    <row r="1130" spans="1:11" x14ac:dyDescent="0.3">
      <c r="A1130">
        <v>404</v>
      </c>
      <c r="B1130">
        <v>1</v>
      </c>
      <c r="C1130">
        <v>9</v>
      </c>
      <c r="D1130" t="str">
        <f>VLOOKUP(B1130, Products!$A$2:$C$100, 2, FALSE)</f>
        <v>Trek 820 - 2016</v>
      </c>
      <c r="E1130">
        <v>1</v>
      </c>
      <c r="F1130">
        <v>2999.99</v>
      </c>
      <c r="G1130">
        <v>7.0000000000000007E-2</v>
      </c>
      <c r="H1130">
        <v>209.99930000000001</v>
      </c>
      <c r="I1130">
        <f>order_items[[#This Row],[list_price]]-order_items[[#This Row],[Discounted_price]]</f>
        <v>2789.9906999999998</v>
      </c>
      <c r="J1130">
        <f>VLOOKUP(B1130, Products!$A$2:$E$100, 3, FALSE)</f>
        <v>9</v>
      </c>
      <c r="K1130">
        <f>VLOOKUP(B1130, Products!$A$2:$F$100, 4, FALSE)</f>
        <v>6</v>
      </c>
    </row>
    <row r="1131" spans="1:11" x14ac:dyDescent="0.3">
      <c r="A1131">
        <v>404</v>
      </c>
      <c r="B1131">
        <v>2</v>
      </c>
      <c r="C1131">
        <v>25</v>
      </c>
      <c r="D1131" t="str">
        <f>VLOOKUP(B1131, Products!$A$2:$C$100, 2, FALSE)</f>
        <v>Ritchey Timberwolf Frameset - 2016</v>
      </c>
      <c r="E1131">
        <v>2</v>
      </c>
      <c r="F1131">
        <v>499.99</v>
      </c>
      <c r="G1131">
        <v>0.05</v>
      </c>
      <c r="H1131">
        <v>24.999500000000001</v>
      </c>
      <c r="I1131">
        <f>order_items[[#This Row],[list_price]]-order_items[[#This Row],[Discounted_price]]</f>
        <v>474.9905</v>
      </c>
      <c r="J1131">
        <f>VLOOKUP(B1131, Products!$A$2:$E$100, 3, FALSE)</f>
        <v>5</v>
      </c>
      <c r="K1131">
        <f>VLOOKUP(B1131, Products!$A$2:$F$100, 4, FALSE)</f>
        <v>6</v>
      </c>
    </row>
    <row r="1132" spans="1:11" x14ac:dyDescent="0.3">
      <c r="A1132">
        <v>404</v>
      </c>
      <c r="B1132">
        <v>3</v>
      </c>
      <c r="C1132">
        <v>16</v>
      </c>
      <c r="D1132" t="str">
        <f>VLOOKUP(B1132, Products!$A$2:$C$100, 2, FALSE)</f>
        <v>Surly Wednesday Frameset - 2016</v>
      </c>
      <c r="E1132">
        <v>2</v>
      </c>
      <c r="F1132">
        <v>599.99</v>
      </c>
      <c r="G1132">
        <v>0.2</v>
      </c>
      <c r="H1132">
        <v>119.998</v>
      </c>
      <c r="I1132">
        <f>order_items[[#This Row],[list_price]]-order_items[[#This Row],[Discounted_price]]</f>
        <v>479.99200000000002</v>
      </c>
      <c r="J1132">
        <f>VLOOKUP(B1132, Products!$A$2:$E$100, 3, FALSE)</f>
        <v>8</v>
      </c>
      <c r="K1132">
        <f>VLOOKUP(B1132, Products!$A$2:$F$100, 4, FALSE)</f>
        <v>6</v>
      </c>
    </row>
    <row r="1133" spans="1:11" x14ac:dyDescent="0.3">
      <c r="A1133">
        <v>405</v>
      </c>
      <c r="B1133">
        <v>1</v>
      </c>
      <c r="C1133">
        <v>3</v>
      </c>
      <c r="D1133" t="str">
        <f>VLOOKUP(B1133, Products!$A$2:$C$100, 2, FALSE)</f>
        <v>Trek 820 - 2016</v>
      </c>
      <c r="E1133">
        <v>2</v>
      </c>
      <c r="F1133">
        <v>999.99</v>
      </c>
      <c r="G1133">
        <v>0.2</v>
      </c>
      <c r="H1133">
        <v>199.99800000000002</v>
      </c>
      <c r="I1133">
        <f>order_items[[#This Row],[list_price]]-order_items[[#This Row],[Discounted_price]]</f>
        <v>799.99199999999996</v>
      </c>
      <c r="J1133">
        <f>VLOOKUP(B1133, Products!$A$2:$E$100, 3, FALSE)</f>
        <v>9</v>
      </c>
      <c r="K1133">
        <f>VLOOKUP(B1133, Products!$A$2:$F$100, 4, FALSE)</f>
        <v>6</v>
      </c>
    </row>
    <row r="1134" spans="1:11" x14ac:dyDescent="0.3">
      <c r="A1134">
        <v>405</v>
      </c>
      <c r="B1134">
        <v>2</v>
      </c>
      <c r="C1134">
        <v>10</v>
      </c>
      <c r="D1134" t="str">
        <f>VLOOKUP(B1134, Products!$A$2:$C$100, 2, FALSE)</f>
        <v>Ritchey Timberwolf Frameset - 2016</v>
      </c>
      <c r="E1134">
        <v>2</v>
      </c>
      <c r="F1134">
        <v>1549</v>
      </c>
      <c r="G1134">
        <v>0.1</v>
      </c>
      <c r="H1134">
        <v>154.9</v>
      </c>
      <c r="I1134">
        <f>order_items[[#This Row],[list_price]]-order_items[[#This Row],[Discounted_price]]</f>
        <v>1394.1</v>
      </c>
      <c r="J1134">
        <f>VLOOKUP(B1134, Products!$A$2:$E$100, 3, FALSE)</f>
        <v>5</v>
      </c>
      <c r="K1134">
        <f>VLOOKUP(B1134, Products!$A$2:$F$100, 4, FALSE)</f>
        <v>6</v>
      </c>
    </row>
    <row r="1135" spans="1:11" x14ac:dyDescent="0.3">
      <c r="A1135">
        <v>405</v>
      </c>
      <c r="B1135">
        <v>3</v>
      </c>
      <c r="C1135">
        <v>14</v>
      </c>
      <c r="D1135" t="str">
        <f>VLOOKUP(B1135, Products!$A$2:$C$100, 2, FALSE)</f>
        <v>Surly Wednesday Frameset - 2016</v>
      </c>
      <c r="E1135">
        <v>2</v>
      </c>
      <c r="F1135">
        <v>269.99</v>
      </c>
      <c r="G1135">
        <v>7.0000000000000007E-2</v>
      </c>
      <c r="H1135">
        <v>18.899300000000004</v>
      </c>
      <c r="I1135">
        <f>order_items[[#This Row],[list_price]]-order_items[[#This Row],[Discounted_price]]</f>
        <v>251.0907</v>
      </c>
      <c r="J1135">
        <f>VLOOKUP(B1135, Products!$A$2:$E$100, 3, FALSE)</f>
        <v>8</v>
      </c>
      <c r="K1135">
        <f>VLOOKUP(B1135, Products!$A$2:$F$100, 4, FALSE)</f>
        <v>6</v>
      </c>
    </row>
    <row r="1136" spans="1:11" x14ac:dyDescent="0.3">
      <c r="A1136">
        <v>406</v>
      </c>
      <c r="B1136">
        <v>1</v>
      </c>
      <c r="C1136">
        <v>4</v>
      </c>
      <c r="D1136" t="str">
        <f>VLOOKUP(B1136, Products!$A$2:$C$100, 2, FALSE)</f>
        <v>Trek 820 - 2016</v>
      </c>
      <c r="E1136">
        <v>1</v>
      </c>
      <c r="F1136">
        <v>2899.99</v>
      </c>
      <c r="G1136">
        <v>0.2</v>
      </c>
      <c r="H1136">
        <v>579.99799999999993</v>
      </c>
      <c r="I1136">
        <f>order_items[[#This Row],[list_price]]-order_items[[#This Row],[Discounted_price]]</f>
        <v>2319.9919999999997</v>
      </c>
      <c r="J1136">
        <f>VLOOKUP(B1136, Products!$A$2:$E$100, 3, FALSE)</f>
        <v>9</v>
      </c>
      <c r="K1136">
        <f>VLOOKUP(B1136, Products!$A$2:$F$100, 4, FALSE)</f>
        <v>6</v>
      </c>
    </row>
    <row r="1137" spans="1:11" x14ac:dyDescent="0.3">
      <c r="A1137">
        <v>407</v>
      </c>
      <c r="B1137">
        <v>1</v>
      </c>
      <c r="C1137">
        <v>20</v>
      </c>
      <c r="D1137" t="str">
        <f>VLOOKUP(B1137, Products!$A$2:$C$100, 2, FALSE)</f>
        <v>Trek 820 - 2016</v>
      </c>
      <c r="E1137">
        <v>1</v>
      </c>
      <c r="F1137">
        <v>599.99</v>
      </c>
      <c r="G1137">
        <v>0.2</v>
      </c>
      <c r="H1137">
        <v>119.998</v>
      </c>
      <c r="I1137">
        <f>order_items[[#This Row],[list_price]]-order_items[[#This Row],[Discounted_price]]</f>
        <v>479.99200000000002</v>
      </c>
      <c r="J1137">
        <f>VLOOKUP(B1137, Products!$A$2:$E$100, 3, FALSE)</f>
        <v>9</v>
      </c>
      <c r="K1137">
        <f>VLOOKUP(B1137, Products!$A$2:$F$100, 4, FALSE)</f>
        <v>6</v>
      </c>
    </row>
    <row r="1138" spans="1:11" x14ac:dyDescent="0.3">
      <c r="A1138">
        <v>407</v>
      </c>
      <c r="B1138">
        <v>2</v>
      </c>
      <c r="C1138">
        <v>5</v>
      </c>
      <c r="D1138" t="str">
        <f>VLOOKUP(B1138, Products!$A$2:$C$100, 2, FALSE)</f>
        <v>Ritchey Timberwolf Frameset - 2016</v>
      </c>
      <c r="E1138">
        <v>1</v>
      </c>
      <c r="F1138">
        <v>1320.99</v>
      </c>
      <c r="G1138">
        <v>0.05</v>
      </c>
      <c r="H1138">
        <v>66.049500000000009</v>
      </c>
      <c r="I1138">
        <f>order_items[[#This Row],[list_price]]-order_items[[#This Row],[Discounted_price]]</f>
        <v>1254.9404999999999</v>
      </c>
      <c r="J1138">
        <f>VLOOKUP(B1138, Products!$A$2:$E$100, 3, FALSE)</f>
        <v>5</v>
      </c>
      <c r="K1138">
        <f>VLOOKUP(B1138, Products!$A$2:$F$100, 4, FALSE)</f>
        <v>6</v>
      </c>
    </row>
    <row r="1139" spans="1:11" x14ac:dyDescent="0.3">
      <c r="A1139">
        <v>408</v>
      </c>
      <c r="B1139">
        <v>1</v>
      </c>
      <c r="C1139">
        <v>18</v>
      </c>
      <c r="D1139" t="str">
        <f>VLOOKUP(B1139, Products!$A$2:$C$100, 2, FALSE)</f>
        <v>Trek 820 - 2016</v>
      </c>
      <c r="E1139">
        <v>1</v>
      </c>
      <c r="F1139">
        <v>449</v>
      </c>
      <c r="G1139">
        <v>0.2</v>
      </c>
      <c r="H1139">
        <v>89.800000000000011</v>
      </c>
      <c r="I1139">
        <f>order_items[[#This Row],[list_price]]-order_items[[#This Row],[Discounted_price]]</f>
        <v>359.2</v>
      </c>
      <c r="J1139">
        <f>VLOOKUP(B1139, Products!$A$2:$E$100, 3, FALSE)</f>
        <v>9</v>
      </c>
      <c r="K1139">
        <f>VLOOKUP(B1139, Products!$A$2:$F$100, 4, FALSE)</f>
        <v>6</v>
      </c>
    </row>
    <row r="1140" spans="1:11" x14ac:dyDescent="0.3">
      <c r="A1140">
        <v>408</v>
      </c>
      <c r="B1140">
        <v>2</v>
      </c>
      <c r="C1140">
        <v>3</v>
      </c>
      <c r="D1140" t="str">
        <f>VLOOKUP(B1140, Products!$A$2:$C$100, 2, FALSE)</f>
        <v>Ritchey Timberwolf Frameset - 2016</v>
      </c>
      <c r="E1140">
        <v>1</v>
      </c>
      <c r="F1140">
        <v>999.99</v>
      </c>
      <c r="G1140">
        <v>7.0000000000000007E-2</v>
      </c>
      <c r="H1140">
        <v>69.999300000000005</v>
      </c>
      <c r="I1140">
        <f>order_items[[#This Row],[list_price]]-order_items[[#This Row],[Discounted_price]]</f>
        <v>929.99070000000006</v>
      </c>
      <c r="J1140">
        <f>VLOOKUP(B1140, Products!$A$2:$E$100, 3, FALSE)</f>
        <v>5</v>
      </c>
      <c r="K1140">
        <f>VLOOKUP(B1140, Products!$A$2:$F$100, 4, FALSE)</f>
        <v>6</v>
      </c>
    </row>
    <row r="1141" spans="1:11" x14ac:dyDescent="0.3">
      <c r="A1141">
        <v>408</v>
      </c>
      <c r="B1141">
        <v>3</v>
      </c>
      <c r="C1141">
        <v>2</v>
      </c>
      <c r="D1141" t="str">
        <f>VLOOKUP(B1141, Products!$A$2:$C$100, 2, FALSE)</f>
        <v>Surly Wednesday Frameset - 2016</v>
      </c>
      <c r="E1141">
        <v>2</v>
      </c>
      <c r="F1141">
        <v>749.99</v>
      </c>
      <c r="G1141">
        <v>7.0000000000000007E-2</v>
      </c>
      <c r="H1141">
        <v>52.499300000000005</v>
      </c>
      <c r="I1141">
        <f>order_items[[#This Row],[list_price]]-order_items[[#This Row],[Discounted_price]]</f>
        <v>697.49070000000006</v>
      </c>
      <c r="J1141">
        <f>VLOOKUP(B1141, Products!$A$2:$E$100, 3, FALSE)</f>
        <v>8</v>
      </c>
      <c r="K1141">
        <f>VLOOKUP(B1141, Products!$A$2:$F$100, 4, FALSE)</f>
        <v>6</v>
      </c>
    </row>
    <row r="1142" spans="1:11" x14ac:dyDescent="0.3">
      <c r="A1142">
        <v>408</v>
      </c>
      <c r="B1142">
        <v>4</v>
      </c>
      <c r="C1142">
        <v>17</v>
      </c>
      <c r="D1142" t="str">
        <f>VLOOKUP(B1142, Products!$A$2:$C$100, 2, FALSE)</f>
        <v>Trek Fuel EX 8 29 - 2016</v>
      </c>
      <c r="E1142">
        <v>2</v>
      </c>
      <c r="F1142">
        <v>429</v>
      </c>
      <c r="G1142">
        <v>0.2</v>
      </c>
      <c r="H1142">
        <v>85.800000000000011</v>
      </c>
      <c r="I1142">
        <f>order_items[[#This Row],[list_price]]-order_items[[#This Row],[Discounted_price]]</f>
        <v>343.2</v>
      </c>
      <c r="J1142">
        <f>VLOOKUP(B1142, Products!$A$2:$E$100, 3, FALSE)</f>
        <v>9</v>
      </c>
      <c r="K1142">
        <f>VLOOKUP(B1142, Products!$A$2:$F$100, 4, FALSE)</f>
        <v>6</v>
      </c>
    </row>
    <row r="1143" spans="1:11" x14ac:dyDescent="0.3">
      <c r="A1143">
        <v>409</v>
      </c>
      <c r="B1143">
        <v>1</v>
      </c>
      <c r="C1143">
        <v>15</v>
      </c>
      <c r="D1143" t="str">
        <f>VLOOKUP(B1143, Products!$A$2:$C$100, 2, FALSE)</f>
        <v>Trek 820 - 2016</v>
      </c>
      <c r="E1143">
        <v>1</v>
      </c>
      <c r="F1143">
        <v>529.99</v>
      </c>
      <c r="G1143">
        <v>7.0000000000000007E-2</v>
      </c>
      <c r="H1143">
        <v>37.099300000000007</v>
      </c>
      <c r="I1143">
        <f>order_items[[#This Row],[list_price]]-order_items[[#This Row],[Discounted_price]]</f>
        <v>492.89069999999998</v>
      </c>
      <c r="J1143">
        <f>VLOOKUP(B1143, Products!$A$2:$E$100, 3, FALSE)</f>
        <v>9</v>
      </c>
      <c r="K1143">
        <f>VLOOKUP(B1143, Products!$A$2:$F$100, 4, FALSE)</f>
        <v>6</v>
      </c>
    </row>
    <row r="1144" spans="1:11" x14ac:dyDescent="0.3">
      <c r="A1144">
        <v>409</v>
      </c>
      <c r="B1144">
        <v>2</v>
      </c>
      <c r="C1144">
        <v>16</v>
      </c>
      <c r="D1144" t="str">
        <f>VLOOKUP(B1144, Products!$A$2:$C$100, 2, FALSE)</f>
        <v>Ritchey Timberwolf Frameset - 2016</v>
      </c>
      <c r="E1144">
        <v>2</v>
      </c>
      <c r="F1144">
        <v>599.99</v>
      </c>
      <c r="G1144">
        <v>0.2</v>
      </c>
      <c r="H1144">
        <v>119.998</v>
      </c>
      <c r="I1144">
        <f>order_items[[#This Row],[list_price]]-order_items[[#This Row],[Discounted_price]]</f>
        <v>479.99200000000002</v>
      </c>
      <c r="J1144">
        <f>VLOOKUP(B1144, Products!$A$2:$E$100, 3, FALSE)</f>
        <v>5</v>
      </c>
      <c r="K1144">
        <f>VLOOKUP(B1144, Products!$A$2:$F$100, 4, FALSE)</f>
        <v>6</v>
      </c>
    </row>
    <row r="1145" spans="1:11" x14ac:dyDescent="0.3">
      <c r="A1145">
        <v>409</v>
      </c>
      <c r="B1145">
        <v>3</v>
      </c>
      <c r="C1145">
        <v>21</v>
      </c>
      <c r="D1145" t="str">
        <f>VLOOKUP(B1145, Products!$A$2:$C$100, 2, FALSE)</f>
        <v>Surly Wednesday Frameset - 2016</v>
      </c>
      <c r="E1145">
        <v>1</v>
      </c>
      <c r="F1145">
        <v>269.99</v>
      </c>
      <c r="G1145">
        <v>0.05</v>
      </c>
      <c r="H1145">
        <v>13.499500000000001</v>
      </c>
      <c r="I1145">
        <f>order_items[[#This Row],[list_price]]-order_items[[#This Row],[Discounted_price]]</f>
        <v>256.4905</v>
      </c>
      <c r="J1145">
        <f>VLOOKUP(B1145, Products!$A$2:$E$100, 3, FALSE)</f>
        <v>8</v>
      </c>
      <c r="K1145">
        <f>VLOOKUP(B1145, Products!$A$2:$F$100, 4, FALSE)</f>
        <v>6</v>
      </c>
    </row>
    <row r="1146" spans="1:11" x14ac:dyDescent="0.3">
      <c r="A1146">
        <v>410</v>
      </c>
      <c r="B1146">
        <v>1</v>
      </c>
      <c r="C1146">
        <v>25</v>
      </c>
      <c r="D1146" t="str">
        <f>VLOOKUP(B1146, Products!$A$2:$C$100, 2, FALSE)</f>
        <v>Trek 820 - 2016</v>
      </c>
      <c r="E1146">
        <v>1</v>
      </c>
      <c r="F1146">
        <v>499.99</v>
      </c>
      <c r="G1146">
        <v>0.1</v>
      </c>
      <c r="H1146">
        <v>49.999000000000002</v>
      </c>
      <c r="I1146">
        <f>order_items[[#This Row],[list_price]]-order_items[[#This Row],[Discounted_price]]</f>
        <v>449.99099999999999</v>
      </c>
      <c r="J1146">
        <f>VLOOKUP(B1146, Products!$A$2:$E$100, 3, FALSE)</f>
        <v>9</v>
      </c>
      <c r="K1146">
        <f>VLOOKUP(B1146, Products!$A$2:$F$100, 4, FALSE)</f>
        <v>6</v>
      </c>
    </row>
    <row r="1147" spans="1:11" x14ac:dyDescent="0.3">
      <c r="A1147">
        <v>410</v>
      </c>
      <c r="B1147">
        <v>2</v>
      </c>
      <c r="C1147">
        <v>9</v>
      </c>
      <c r="D1147" t="str">
        <f>VLOOKUP(B1147, Products!$A$2:$C$100, 2, FALSE)</f>
        <v>Ritchey Timberwolf Frameset - 2016</v>
      </c>
      <c r="E1147">
        <v>2</v>
      </c>
      <c r="F1147">
        <v>2999.99</v>
      </c>
      <c r="G1147">
        <v>0.05</v>
      </c>
      <c r="H1147">
        <v>149.99949999999998</v>
      </c>
      <c r="I1147">
        <f>order_items[[#This Row],[list_price]]-order_items[[#This Row],[Discounted_price]]</f>
        <v>2849.9904999999999</v>
      </c>
      <c r="J1147">
        <f>VLOOKUP(B1147, Products!$A$2:$E$100, 3, FALSE)</f>
        <v>5</v>
      </c>
      <c r="K1147">
        <f>VLOOKUP(B1147, Products!$A$2:$F$100, 4, FALSE)</f>
        <v>6</v>
      </c>
    </row>
    <row r="1148" spans="1:11" x14ac:dyDescent="0.3">
      <c r="A1148">
        <v>410</v>
      </c>
      <c r="B1148">
        <v>3</v>
      </c>
      <c r="C1148">
        <v>24</v>
      </c>
      <c r="D1148" t="str">
        <f>VLOOKUP(B1148, Products!$A$2:$C$100, 2, FALSE)</f>
        <v>Surly Wednesday Frameset - 2016</v>
      </c>
      <c r="E1148">
        <v>2</v>
      </c>
      <c r="F1148">
        <v>549.99</v>
      </c>
      <c r="G1148">
        <v>0.1</v>
      </c>
      <c r="H1148">
        <v>54.999000000000002</v>
      </c>
      <c r="I1148">
        <f>order_items[[#This Row],[list_price]]-order_items[[#This Row],[Discounted_price]]</f>
        <v>494.99099999999999</v>
      </c>
      <c r="J1148">
        <f>VLOOKUP(B1148, Products!$A$2:$E$100, 3, FALSE)</f>
        <v>8</v>
      </c>
      <c r="K1148">
        <f>VLOOKUP(B1148, Products!$A$2:$F$100, 4, FALSE)</f>
        <v>6</v>
      </c>
    </row>
    <row r="1149" spans="1:11" x14ac:dyDescent="0.3">
      <c r="A1149">
        <v>411</v>
      </c>
      <c r="B1149">
        <v>1</v>
      </c>
      <c r="C1149">
        <v>2</v>
      </c>
      <c r="D1149" t="str">
        <f>VLOOKUP(B1149, Products!$A$2:$C$100, 2, FALSE)</f>
        <v>Trek 820 - 2016</v>
      </c>
      <c r="E1149">
        <v>1</v>
      </c>
      <c r="F1149">
        <v>749.99</v>
      </c>
      <c r="G1149">
        <v>7.0000000000000007E-2</v>
      </c>
      <c r="H1149">
        <v>52.499300000000005</v>
      </c>
      <c r="I1149">
        <f>order_items[[#This Row],[list_price]]-order_items[[#This Row],[Discounted_price]]</f>
        <v>697.49070000000006</v>
      </c>
      <c r="J1149">
        <f>VLOOKUP(B1149, Products!$A$2:$E$100, 3, FALSE)</f>
        <v>9</v>
      </c>
      <c r="K1149">
        <f>VLOOKUP(B1149, Products!$A$2:$F$100, 4, FALSE)</f>
        <v>6</v>
      </c>
    </row>
    <row r="1150" spans="1:11" x14ac:dyDescent="0.3">
      <c r="A1150">
        <v>411</v>
      </c>
      <c r="B1150">
        <v>2</v>
      </c>
      <c r="C1150">
        <v>26</v>
      </c>
      <c r="D1150" t="str">
        <f>VLOOKUP(B1150, Products!$A$2:$C$100, 2, FALSE)</f>
        <v>Ritchey Timberwolf Frameset - 2016</v>
      </c>
      <c r="E1150">
        <v>2</v>
      </c>
      <c r="F1150">
        <v>599.99</v>
      </c>
      <c r="G1150">
        <v>0.05</v>
      </c>
      <c r="H1150">
        <v>29.999500000000001</v>
      </c>
      <c r="I1150">
        <f>order_items[[#This Row],[list_price]]-order_items[[#This Row],[Discounted_price]]</f>
        <v>569.9905</v>
      </c>
      <c r="J1150">
        <f>VLOOKUP(B1150, Products!$A$2:$E$100, 3, FALSE)</f>
        <v>5</v>
      </c>
      <c r="K1150">
        <f>VLOOKUP(B1150, Products!$A$2:$F$100, 4, FALSE)</f>
        <v>6</v>
      </c>
    </row>
    <row r="1151" spans="1:11" x14ac:dyDescent="0.3">
      <c r="A1151">
        <v>412</v>
      </c>
      <c r="B1151">
        <v>1</v>
      </c>
      <c r="C1151">
        <v>7</v>
      </c>
      <c r="D1151" t="str">
        <f>VLOOKUP(B1151, Products!$A$2:$C$100, 2, FALSE)</f>
        <v>Trek 820 - 2016</v>
      </c>
      <c r="E1151">
        <v>1</v>
      </c>
      <c r="F1151">
        <v>3999.99</v>
      </c>
      <c r="G1151">
        <v>0.1</v>
      </c>
      <c r="H1151">
        <v>399.99900000000002</v>
      </c>
      <c r="I1151">
        <f>order_items[[#This Row],[list_price]]-order_items[[#This Row],[Discounted_price]]</f>
        <v>3599.991</v>
      </c>
      <c r="J1151">
        <f>VLOOKUP(B1151, Products!$A$2:$E$100, 3, FALSE)</f>
        <v>9</v>
      </c>
      <c r="K1151">
        <f>VLOOKUP(B1151, Products!$A$2:$F$100, 4, FALSE)</f>
        <v>6</v>
      </c>
    </row>
    <row r="1152" spans="1:11" x14ac:dyDescent="0.3">
      <c r="A1152">
        <v>412</v>
      </c>
      <c r="B1152">
        <v>2</v>
      </c>
      <c r="C1152">
        <v>24</v>
      </c>
      <c r="D1152" t="str">
        <f>VLOOKUP(B1152, Products!$A$2:$C$100, 2, FALSE)</f>
        <v>Ritchey Timberwolf Frameset - 2016</v>
      </c>
      <c r="E1152">
        <v>1</v>
      </c>
      <c r="F1152">
        <v>549.99</v>
      </c>
      <c r="G1152">
        <v>7.0000000000000007E-2</v>
      </c>
      <c r="H1152">
        <v>38.499300000000005</v>
      </c>
      <c r="I1152">
        <f>order_items[[#This Row],[list_price]]-order_items[[#This Row],[Discounted_price]]</f>
        <v>511.4907</v>
      </c>
      <c r="J1152">
        <f>VLOOKUP(B1152, Products!$A$2:$E$100, 3, FALSE)</f>
        <v>5</v>
      </c>
      <c r="K1152">
        <f>VLOOKUP(B1152, Products!$A$2:$F$100, 4, FALSE)</f>
        <v>6</v>
      </c>
    </row>
    <row r="1153" spans="1:11" x14ac:dyDescent="0.3">
      <c r="A1153">
        <v>412</v>
      </c>
      <c r="B1153">
        <v>3</v>
      </c>
      <c r="C1153">
        <v>17</v>
      </c>
      <c r="D1153" t="str">
        <f>VLOOKUP(B1153, Products!$A$2:$C$100, 2, FALSE)</f>
        <v>Surly Wednesday Frameset - 2016</v>
      </c>
      <c r="E1153">
        <v>1</v>
      </c>
      <c r="F1153">
        <v>429</v>
      </c>
      <c r="G1153">
        <v>0.1</v>
      </c>
      <c r="H1153">
        <v>42.900000000000006</v>
      </c>
      <c r="I1153">
        <f>order_items[[#This Row],[list_price]]-order_items[[#This Row],[Discounted_price]]</f>
        <v>386.1</v>
      </c>
      <c r="J1153">
        <f>VLOOKUP(B1153, Products!$A$2:$E$100, 3, FALSE)</f>
        <v>8</v>
      </c>
      <c r="K1153">
        <f>VLOOKUP(B1153, Products!$A$2:$F$100, 4, FALSE)</f>
        <v>6</v>
      </c>
    </row>
    <row r="1154" spans="1:11" x14ac:dyDescent="0.3">
      <c r="A1154">
        <v>413</v>
      </c>
      <c r="B1154">
        <v>1</v>
      </c>
      <c r="C1154">
        <v>8</v>
      </c>
      <c r="D1154" t="str">
        <f>VLOOKUP(B1154, Products!$A$2:$C$100, 2, FALSE)</f>
        <v>Trek 820 - 2016</v>
      </c>
      <c r="E1154">
        <v>2</v>
      </c>
      <c r="F1154">
        <v>1799.99</v>
      </c>
      <c r="G1154">
        <v>0.05</v>
      </c>
      <c r="H1154">
        <v>89.999500000000012</v>
      </c>
      <c r="I1154">
        <f>order_items[[#This Row],[list_price]]-order_items[[#This Row],[Discounted_price]]</f>
        <v>1709.9904999999999</v>
      </c>
      <c r="J1154">
        <f>VLOOKUP(B1154, Products!$A$2:$E$100, 3, FALSE)</f>
        <v>9</v>
      </c>
      <c r="K1154">
        <f>VLOOKUP(B1154, Products!$A$2:$F$100, 4, FALSE)</f>
        <v>6</v>
      </c>
    </row>
    <row r="1155" spans="1:11" x14ac:dyDescent="0.3">
      <c r="A1155">
        <v>413</v>
      </c>
      <c r="B1155">
        <v>2</v>
      </c>
      <c r="C1155">
        <v>25</v>
      </c>
      <c r="D1155" t="str">
        <f>VLOOKUP(B1155, Products!$A$2:$C$100, 2, FALSE)</f>
        <v>Ritchey Timberwolf Frameset - 2016</v>
      </c>
      <c r="E1155">
        <v>1</v>
      </c>
      <c r="F1155">
        <v>499.99</v>
      </c>
      <c r="G1155">
        <v>0.1</v>
      </c>
      <c r="H1155">
        <v>49.999000000000002</v>
      </c>
      <c r="I1155">
        <f>order_items[[#This Row],[list_price]]-order_items[[#This Row],[Discounted_price]]</f>
        <v>449.99099999999999</v>
      </c>
      <c r="J1155">
        <f>VLOOKUP(B1155, Products!$A$2:$E$100, 3, FALSE)</f>
        <v>5</v>
      </c>
      <c r="K1155">
        <f>VLOOKUP(B1155, Products!$A$2:$F$100, 4, FALSE)</f>
        <v>6</v>
      </c>
    </row>
    <row r="1156" spans="1:11" x14ac:dyDescent="0.3">
      <c r="A1156">
        <v>413</v>
      </c>
      <c r="B1156">
        <v>3</v>
      </c>
      <c r="C1156">
        <v>9</v>
      </c>
      <c r="D1156" t="str">
        <f>VLOOKUP(B1156, Products!$A$2:$C$100, 2, FALSE)</f>
        <v>Surly Wednesday Frameset - 2016</v>
      </c>
      <c r="E1156">
        <v>1</v>
      </c>
      <c r="F1156">
        <v>2999.99</v>
      </c>
      <c r="G1156">
        <v>7.0000000000000007E-2</v>
      </c>
      <c r="H1156">
        <v>209.99930000000001</v>
      </c>
      <c r="I1156">
        <f>order_items[[#This Row],[list_price]]-order_items[[#This Row],[Discounted_price]]</f>
        <v>2789.9906999999998</v>
      </c>
      <c r="J1156">
        <f>VLOOKUP(B1156, Products!$A$2:$E$100, 3, FALSE)</f>
        <v>8</v>
      </c>
      <c r="K1156">
        <f>VLOOKUP(B1156, Products!$A$2:$F$100, 4, FALSE)</f>
        <v>6</v>
      </c>
    </row>
    <row r="1157" spans="1:11" x14ac:dyDescent="0.3">
      <c r="A1157">
        <v>414</v>
      </c>
      <c r="B1157">
        <v>1</v>
      </c>
      <c r="C1157">
        <v>4</v>
      </c>
      <c r="D1157" t="str">
        <f>VLOOKUP(B1157, Products!$A$2:$C$100, 2, FALSE)</f>
        <v>Trek 820 - 2016</v>
      </c>
      <c r="E1157">
        <v>2</v>
      </c>
      <c r="F1157">
        <v>2899.99</v>
      </c>
      <c r="G1157">
        <v>0.1</v>
      </c>
      <c r="H1157">
        <v>289.99899999999997</v>
      </c>
      <c r="I1157">
        <f>order_items[[#This Row],[list_price]]-order_items[[#This Row],[Discounted_price]]</f>
        <v>2609.991</v>
      </c>
      <c r="J1157">
        <f>VLOOKUP(B1157, Products!$A$2:$E$100, 3, FALSE)</f>
        <v>9</v>
      </c>
      <c r="K1157">
        <f>VLOOKUP(B1157, Products!$A$2:$F$100, 4, FALSE)</f>
        <v>6</v>
      </c>
    </row>
    <row r="1158" spans="1:11" x14ac:dyDescent="0.3">
      <c r="A1158">
        <v>415</v>
      </c>
      <c r="B1158">
        <v>1</v>
      </c>
      <c r="C1158">
        <v>3</v>
      </c>
      <c r="D1158" t="str">
        <f>VLOOKUP(B1158, Products!$A$2:$C$100, 2, FALSE)</f>
        <v>Trek 820 - 2016</v>
      </c>
      <c r="E1158">
        <v>1</v>
      </c>
      <c r="F1158">
        <v>999.99</v>
      </c>
      <c r="G1158">
        <v>7.0000000000000007E-2</v>
      </c>
      <c r="H1158">
        <v>69.999300000000005</v>
      </c>
      <c r="I1158">
        <f>order_items[[#This Row],[list_price]]-order_items[[#This Row],[Discounted_price]]</f>
        <v>929.99070000000006</v>
      </c>
      <c r="J1158">
        <f>VLOOKUP(B1158, Products!$A$2:$E$100, 3, FALSE)</f>
        <v>9</v>
      </c>
      <c r="K1158">
        <f>VLOOKUP(B1158, Products!$A$2:$F$100, 4, FALSE)</f>
        <v>6</v>
      </c>
    </row>
    <row r="1159" spans="1:11" x14ac:dyDescent="0.3">
      <c r="A1159">
        <v>415</v>
      </c>
      <c r="B1159">
        <v>2</v>
      </c>
      <c r="C1159">
        <v>23</v>
      </c>
      <c r="D1159" t="str">
        <f>VLOOKUP(B1159, Products!$A$2:$C$100, 2, FALSE)</f>
        <v>Ritchey Timberwolf Frameset - 2016</v>
      </c>
      <c r="E1159">
        <v>2</v>
      </c>
      <c r="F1159">
        <v>299.99</v>
      </c>
      <c r="G1159">
        <v>0.2</v>
      </c>
      <c r="H1159">
        <v>59.998000000000005</v>
      </c>
      <c r="I1159">
        <f>order_items[[#This Row],[list_price]]-order_items[[#This Row],[Discounted_price]]</f>
        <v>239.99200000000002</v>
      </c>
      <c r="J1159">
        <f>VLOOKUP(B1159, Products!$A$2:$E$100, 3, FALSE)</f>
        <v>5</v>
      </c>
      <c r="K1159">
        <f>VLOOKUP(B1159, Products!$A$2:$F$100, 4, FALSE)</f>
        <v>6</v>
      </c>
    </row>
    <row r="1160" spans="1:11" x14ac:dyDescent="0.3">
      <c r="A1160">
        <v>415</v>
      </c>
      <c r="B1160">
        <v>3</v>
      </c>
      <c r="C1160">
        <v>5</v>
      </c>
      <c r="D1160" t="str">
        <f>VLOOKUP(B1160, Products!$A$2:$C$100, 2, FALSE)</f>
        <v>Surly Wednesday Frameset - 2016</v>
      </c>
      <c r="E1160">
        <v>1</v>
      </c>
      <c r="F1160">
        <v>1320.99</v>
      </c>
      <c r="G1160">
        <v>0.2</v>
      </c>
      <c r="H1160">
        <v>264.19800000000004</v>
      </c>
      <c r="I1160">
        <f>order_items[[#This Row],[list_price]]-order_items[[#This Row],[Discounted_price]]</f>
        <v>1056.7919999999999</v>
      </c>
      <c r="J1160">
        <f>VLOOKUP(B1160, Products!$A$2:$E$100, 3, FALSE)</f>
        <v>8</v>
      </c>
      <c r="K1160">
        <f>VLOOKUP(B1160, Products!$A$2:$F$100, 4, FALSE)</f>
        <v>6</v>
      </c>
    </row>
    <row r="1161" spans="1:11" x14ac:dyDescent="0.3">
      <c r="A1161">
        <v>415</v>
      </c>
      <c r="B1161">
        <v>4</v>
      </c>
      <c r="C1161">
        <v>6</v>
      </c>
      <c r="D1161" t="str">
        <f>VLOOKUP(B1161, Products!$A$2:$C$100, 2, FALSE)</f>
        <v>Trek Fuel EX 8 29 - 2016</v>
      </c>
      <c r="E1161">
        <v>2</v>
      </c>
      <c r="F1161">
        <v>469.99</v>
      </c>
      <c r="G1161">
        <v>0.05</v>
      </c>
      <c r="H1161">
        <v>23.499500000000001</v>
      </c>
      <c r="I1161">
        <f>order_items[[#This Row],[list_price]]-order_items[[#This Row],[Discounted_price]]</f>
        <v>446.4905</v>
      </c>
      <c r="J1161">
        <f>VLOOKUP(B1161, Products!$A$2:$E$100, 3, FALSE)</f>
        <v>9</v>
      </c>
      <c r="K1161">
        <f>VLOOKUP(B1161, Products!$A$2:$F$100, 4, FALSE)</f>
        <v>6</v>
      </c>
    </row>
    <row r="1162" spans="1:11" x14ac:dyDescent="0.3">
      <c r="A1162">
        <v>416</v>
      </c>
      <c r="B1162">
        <v>1</v>
      </c>
      <c r="C1162">
        <v>22</v>
      </c>
      <c r="D1162" t="str">
        <f>VLOOKUP(B1162, Products!$A$2:$C$100, 2, FALSE)</f>
        <v>Trek 820 - 2016</v>
      </c>
      <c r="E1162">
        <v>1</v>
      </c>
      <c r="F1162">
        <v>269.99</v>
      </c>
      <c r="G1162">
        <v>7.0000000000000007E-2</v>
      </c>
      <c r="H1162">
        <v>18.899300000000004</v>
      </c>
      <c r="I1162">
        <f>order_items[[#This Row],[list_price]]-order_items[[#This Row],[Discounted_price]]</f>
        <v>251.0907</v>
      </c>
      <c r="J1162">
        <f>VLOOKUP(B1162, Products!$A$2:$E$100, 3, FALSE)</f>
        <v>9</v>
      </c>
      <c r="K1162">
        <f>VLOOKUP(B1162, Products!$A$2:$F$100, 4, FALSE)</f>
        <v>6</v>
      </c>
    </row>
    <row r="1163" spans="1:11" x14ac:dyDescent="0.3">
      <c r="A1163">
        <v>416</v>
      </c>
      <c r="B1163">
        <v>2</v>
      </c>
      <c r="C1163">
        <v>14</v>
      </c>
      <c r="D1163" t="str">
        <f>VLOOKUP(B1163, Products!$A$2:$C$100, 2, FALSE)</f>
        <v>Ritchey Timberwolf Frameset - 2016</v>
      </c>
      <c r="E1163">
        <v>1</v>
      </c>
      <c r="F1163">
        <v>269.99</v>
      </c>
      <c r="G1163">
        <v>7.0000000000000007E-2</v>
      </c>
      <c r="H1163">
        <v>18.899300000000004</v>
      </c>
      <c r="I1163">
        <f>order_items[[#This Row],[list_price]]-order_items[[#This Row],[Discounted_price]]</f>
        <v>251.0907</v>
      </c>
      <c r="J1163">
        <f>VLOOKUP(B1163, Products!$A$2:$E$100, 3, FALSE)</f>
        <v>5</v>
      </c>
      <c r="K1163">
        <f>VLOOKUP(B1163, Products!$A$2:$F$100, 4, FALSE)</f>
        <v>6</v>
      </c>
    </row>
    <row r="1164" spans="1:11" x14ac:dyDescent="0.3">
      <c r="A1164">
        <v>416</v>
      </c>
      <c r="B1164">
        <v>3</v>
      </c>
      <c r="C1164">
        <v>24</v>
      </c>
      <c r="D1164" t="str">
        <f>VLOOKUP(B1164, Products!$A$2:$C$100, 2, FALSE)</f>
        <v>Surly Wednesday Frameset - 2016</v>
      </c>
      <c r="E1164">
        <v>1</v>
      </c>
      <c r="F1164">
        <v>549.99</v>
      </c>
      <c r="G1164">
        <v>0.1</v>
      </c>
      <c r="H1164">
        <v>54.999000000000002</v>
      </c>
      <c r="I1164">
        <f>order_items[[#This Row],[list_price]]-order_items[[#This Row],[Discounted_price]]</f>
        <v>494.99099999999999</v>
      </c>
      <c r="J1164">
        <f>VLOOKUP(B1164, Products!$A$2:$E$100, 3, FALSE)</f>
        <v>8</v>
      </c>
      <c r="K1164">
        <f>VLOOKUP(B1164, Products!$A$2:$F$100, 4, FALSE)</f>
        <v>6</v>
      </c>
    </row>
    <row r="1165" spans="1:11" x14ac:dyDescent="0.3">
      <c r="A1165">
        <v>417</v>
      </c>
      <c r="B1165">
        <v>1</v>
      </c>
      <c r="C1165">
        <v>26</v>
      </c>
      <c r="D1165" t="str">
        <f>VLOOKUP(B1165, Products!$A$2:$C$100, 2, FALSE)</f>
        <v>Trek 820 - 2016</v>
      </c>
      <c r="E1165">
        <v>2</v>
      </c>
      <c r="F1165">
        <v>599.99</v>
      </c>
      <c r="G1165">
        <v>7.0000000000000007E-2</v>
      </c>
      <c r="H1165">
        <v>41.999300000000005</v>
      </c>
      <c r="I1165">
        <f>order_items[[#This Row],[list_price]]-order_items[[#This Row],[Discounted_price]]</f>
        <v>557.99070000000006</v>
      </c>
      <c r="J1165">
        <f>VLOOKUP(B1165, Products!$A$2:$E$100, 3, FALSE)</f>
        <v>9</v>
      </c>
      <c r="K1165">
        <f>VLOOKUP(B1165, Products!$A$2:$F$100, 4, FALSE)</f>
        <v>6</v>
      </c>
    </row>
    <row r="1166" spans="1:11" x14ac:dyDescent="0.3">
      <c r="A1166">
        <v>417</v>
      </c>
      <c r="B1166">
        <v>2</v>
      </c>
      <c r="C1166">
        <v>6</v>
      </c>
      <c r="D1166" t="str">
        <f>VLOOKUP(B1166, Products!$A$2:$C$100, 2, FALSE)</f>
        <v>Ritchey Timberwolf Frameset - 2016</v>
      </c>
      <c r="E1166">
        <v>2</v>
      </c>
      <c r="F1166">
        <v>469.99</v>
      </c>
      <c r="G1166">
        <v>7.0000000000000007E-2</v>
      </c>
      <c r="H1166">
        <v>32.899300000000004</v>
      </c>
      <c r="I1166">
        <f>order_items[[#This Row],[list_price]]-order_items[[#This Row],[Discounted_price]]</f>
        <v>437.09070000000003</v>
      </c>
      <c r="J1166">
        <f>VLOOKUP(B1166, Products!$A$2:$E$100, 3, FALSE)</f>
        <v>5</v>
      </c>
      <c r="K1166">
        <f>VLOOKUP(B1166, Products!$A$2:$F$100, 4, FALSE)</f>
        <v>6</v>
      </c>
    </row>
    <row r="1167" spans="1:11" x14ac:dyDescent="0.3">
      <c r="A1167">
        <v>418</v>
      </c>
      <c r="B1167">
        <v>1</v>
      </c>
      <c r="C1167">
        <v>12</v>
      </c>
      <c r="D1167" t="str">
        <f>VLOOKUP(B1167, Products!$A$2:$C$100, 2, FALSE)</f>
        <v>Trek 820 - 2016</v>
      </c>
      <c r="E1167">
        <v>1</v>
      </c>
      <c r="F1167">
        <v>549.99</v>
      </c>
      <c r="G1167">
        <v>0.05</v>
      </c>
      <c r="H1167">
        <v>27.499500000000001</v>
      </c>
      <c r="I1167">
        <f>order_items[[#This Row],[list_price]]-order_items[[#This Row],[Discounted_price]]</f>
        <v>522.4905</v>
      </c>
      <c r="J1167">
        <f>VLOOKUP(B1167, Products!$A$2:$E$100, 3, FALSE)</f>
        <v>9</v>
      </c>
      <c r="K1167">
        <f>VLOOKUP(B1167, Products!$A$2:$F$100, 4, FALSE)</f>
        <v>6</v>
      </c>
    </row>
    <row r="1168" spans="1:11" x14ac:dyDescent="0.3">
      <c r="A1168">
        <v>418</v>
      </c>
      <c r="B1168">
        <v>2</v>
      </c>
      <c r="C1168">
        <v>20</v>
      </c>
      <c r="D1168" t="str">
        <f>VLOOKUP(B1168, Products!$A$2:$C$100, 2, FALSE)</f>
        <v>Ritchey Timberwolf Frameset - 2016</v>
      </c>
      <c r="E1168">
        <v>1</v>
      </c>
      <c r="F1168">
        <v>599.99</v>
      </c>
      <c r="G1168">
        <v>0.05</v>
      </c>
      <c r="H1168">
        <v>29.999500000000001</v>
      </c>
      <c r="I1168">
        <f>order_items[[#This Row],[list_price]]-order_items[[#This Row],[Discounted_price]]</f>
        <v>569.9905</v>
      </c>
      <c r="J1168">
        <f>VLOOKUP(B1168, Products!$A$2:$E$100, 3, FALSE)</f>
        <v>5</v>
      </c>
      <c r="K1168">
        <f>VLOOKUP(B1168, Products!$A$2:$F$100, 4, FALSE)</f>
        <v>6</v>
      </c>
    </row>
    <row r="1169" spans="1:11" x14ac:dyDescent="0.3">
      <c r="A1169">
        <v>419</v>
      </c>
      <c r="B1169">
        <v>1</v>
      </c>
      <c r="C1169">
        <v>9</v>
      </c>
      <c r="D1169" t="str">
        <f>VLOOKUP(B1169, Products!$A$2:$C$100, 2, FALSE)</f>
        <v>Trek 820 - 2016</v>
      </c>
      <c r="E1169">
        <v>1</v>
      </c>
      <c r="F1169">
        <v>2999.99</v>
      </c>
      <c r="G1169">
        <v>0.05</v>
      </c>
      <c r="H1169">
        <v>149.99949999999998</v>
      </c>
      <c r="I1169">
        <f>order_items[[#This Row],[list_price]]-order_items[[#This Row],[Discounted_price]]</f>
        <v>2849.9904999999999</v>
      </c>
      <c r="J1169">
        <f>VLOOKUP(B1169, Products!$A$2:$E$100, 3, FALSE)</f>
        <v>9</v>
      </c>
      <c r="K1169">
        <f>VLOOKUP(B1169, Products!$A$2:$F$100, 4, FALSE)</f>
        <v>6</v>
      </c>
    </row>
    <row r="1170" spans="1:11" x14ac:dyDescent="0.3">
      <c r="A1170">
        <v>420</v>
      </c>
      <c r="B1170">
        <v>1</v>
      </c>
      <c r="C1170">
        <v>17</v>
      </c>
      <c r="D1170" t="str">
        <f>VLOOKUP(B1170, Products!$A$2:$C$100, 2, FALSE)</f>
        <v>Trek 820 - 2016</v>
      </c>
      <c r="E1170">
        <v>2</v>
      </c>
      <c r="F1170">
        <v>429</v>
      </c>
      <c r="G1170">
        <v>0.2</v>
      </c>
      <c r="H1170">
        <v>85.800000000000011</v>
      </c>
      <c r="I1170">
        <f>order_items[[#This Row],[list_price]]-order_items[[#This Row],[Discounted_price]]</f>
        <v>343.2</v>
      </c>
      <c r="J1170">
        <f>VLOOKUP(B1170, Products!$A$2:$E$100, 3, FALSE)</f>
        <v>9</v>
      </c>
      <c r="K1170">
        <f>VLOOKUP(B1170, Products!$A$2:$F$100, 4, FALSE)</f>
        <v>6</v>
      </c>
    </row>
    <row r="1171" spans="1:11" x14ac:dyDescent="0.3">
      <c r="A1171">
        <v>420</v>
      </c>
      <c r="B1171">
        <v>2</v>
      </c>
      <c r="C1171">
        <v>15</v>
      </c>
      <c r="D1171" t="str">
        <f>VLOOKUP(B1171, Products!$A$2:$C$100, 2, FALSE)</f>
        <v>Ritchey Timberwolf Frameset - 2016</v>
      </c>
      <c r="E1171">
        <v>2</v>
      </c>
      <c r="F1171">
        <v>529.99</v>
      </c>
      <c r="G1171">
        <v>0.1</v>
      </c>
      <c r="H1171">
        <v>52.999000000000002</v>
      </c>
      <c r="I1171">
        <f>order_items[[#This Row],[list_price]]-order_items[[#This Row],[Discounted_price]]</f>
        <v>476.99099999999999</v>
      </c>
      <c r="J1171">
        <f>VLOOKUP(B1171, Products!$A$2:$E$100, 3, FALSE)</f>
        <v>5</v>
      </c>
      <c r="K1171">
        <f>VLOOKUP(B1171, Products!$A$2:$F$100, 4, FALSE)</f>
        <v>6</v>
      </c>
    </row>
    <row r="1172" spans="1:11" x14ac:dyDescent="0.3">
      <c r="A1172">
        <v>420</v>
      </c>
      <c r="B1172">
        <v>3</v>
      </c>
      <c r="C1172">
        <v>3</v>
      </c>
      <c r="D1172" t="str">
        <f>VLOOKUP(B1172, Products!$A$2:$C$100, 2, FALSE)</f>
        <v>Surly Wednesday Frameset - 2016</v>
      </c>
      <c r="E1172">
        <v>2</v>
      </c>
      <c r="F1172">
        <v>999.99</v>
      </c>
      <c r="G1172">
        <v>0.05</v>
      </c>
      <c r="H1172">
        <v>49.999500000000005</v>
      </c>
      <c r="I1172">
        <f>order_items[[#This Row],[list_price]]-order_items[[#This Row],[Discounted_price]]</f>
        <v>949.9905</v>
      </c>
      <c r="J1172">
        <f>VLOOKUP(B1172, Products!$A$2:$E$100, 3, FALSE)</f>
        <v>8</v>
      </c>
      <c r="K1172">
        <f>VLOOKUP(B1172, Products!$A$2:$F$100, 4, FALSE)</f>
        <v>6</v>
      </c>
    </row>
    <row r="1173" spans="1:11" x14ac:dyDescent="0.3">
      <c r="A1173">
        <v>421</v>
      </c>
      <c r="B1173">
        <v>1</v>
      </c>
      <c r="C1173">
        <v>6</v>
      </c>
      <c r="D1173" t="str">
        <f>VLOOKUP(B1173, Products!$A$2:$C$100, 2, FALSE)</f>
        <v>Trek 820 - 2016</v>
      </c>
      <c r="E1173">
        <v>2</v>
      </c>
      <c r="F1173">
        <v>469.99</v>
      </c>
      <c r="G1173">
        <v>7.0000000000000007E-2</v>
      </c>
      <c r="H1173">
        <v>32.899300000000004</v>
      </c>
      <c r="I1173">
        <f>order_items[[#This Row],[list_price]]-order_items[[#This Row],[Discounted_price]]</f>
        <v>437.09070000000003</v>
      </c>
      <c r="J1173">
        <f>VLOOKUP(B1173, Products!$A$2:$E$100, 3, FALSE)</f>
        <v>9</v>
      </c>
      <c r="K1173">
        <f>VLOOKUP(B1173, Products!$A$2:$F$100, 4, FALSE)</f>
        <v>6</v>
      </c>
    </row>
    <row r="1174" spans="1:11" x14ac:dyDescent="0.3">
      <c r="A1174">
        <v>421</v>
      </c>
      <c r="B1174">
        <v>2</v>
      </c>
      <c r="C1174">
        <v>3</v>
      </c>
      <c r="D1174" t="str">
        <f>VLOOKUP(B1174, Products!$A$2:$C$100, 2, FALSE)</f>
        <v>Ritchey Timberwolf Frameset - 2016</v>
      </c>
      <c r="E1174">
        <v>2</v>
      </c>
      <c r="F1174">
        <v>999.99</v>
      </c>
      <c r="G1174">
        <v>0.2</v>
      </c>
      <c r="H1174">
        <v>199.99800000000002</v>
      </c>
      <c r="I1174">
        <f>order_items[[#This Row],[list_price]]-order_items[[#This Row],[Discounted_price]]</f>
        <v>799.99199999999996</v>
      </c>
      <c r="J1174">
        <f>VLOOKUP(B1174, Products!$A$2:$E$100, 3, FALSE)</f>
        <v>5</v>
      </c>
      <c r="K1174">
        <f>VLOOKUP(B1174, Products!$A$2:$F$100, 4, FALSE)</f>
        <v>6</v>
      </c>
    </row>
    <row r="1175" spans="1:11" x14ac:dyDescent="0.3">
      <c r="A1175">
        <v>421</v>
      </c>
      <c r="B1175">
        <v>3</v>
      </c>
      <c r="C1175">
        <v>20</v>
      </c>
      <c r="D1175" t="str">
        <f>VLOOKUP(B1175, Products!$A$2:$C$100, 2, FALSE)</f>
        <v>Surly Wednesday Frameset - 2016</v>
      </c>
      <c r="E1175">
        <v>2</v>
      </c>
      <c r="F1175">
        <v>599.99</v>
      </c>
      <c r="G1175">
        <v>0.2</v>
      </c>
      <c r="H1175">
        <v>119.998</v>
      </c>
      <c r="I1175">
        <f>order_items[[#This Row],[list_price]]-order_items[[#This Row],[Discounted_price]]</f>
        <v>479.99200000000002</v>
      </c>
      <c r="J1175">
        <f>VLOOKUP(B1175, Products!$A$2:$E$100, 3, FALSE)</f>
        <v>8</v>
      </c>
      <c r="K1175">
        <f>VLOOKUP(B1175, Products!$A$2:$F$100, 4, FALSE)</f>
        <v>6</v>
      </c>
    </row>
    <row r="1176" spans="1:11" x14ac:dyDescent="0.3">
      <c r="A1176">
        <v>421</v>
      </c>
      <c r="B1176">
        <v>4</v>
      </c>
      <c r="C1176">
        <v>4</v>
      </c>
      <c r="D1176" t="str">
        <f>VLOOKUP(B1176, Products!$A$2:$C$100, 2, FALSE)</f>
        <v>Trek Fuel EX 8 29 - 2016</v>
      </c>
      <c r="E1176">
        <v>1</v>
      </c>
      <c r="F1176">
        <v>2899.99</v>
      </c>
      <c r="G1176">
        <v>7.0000000000000007E-2</v>
      </c>
      <c r="H1176">
        <v>202.99930000000001</v>
      </c>
      <c r="I1176">
        <f>order_items[[#This Row],[list_price]]-order_items[[#This Row],[Discounted_price]]</f>
        <v>2696.9906999999998</v>
      </c>
      <c r="J1176">
        <f>VLOOKUP(B1176, Products!$A$2:$E$100, 3, FALSE)</f>
        <v>9</v>
      </c>
      <c r="K1176">
        <f>VLOOKUP(B1176, Products!$A$2:$F$100, 4, FALSE)</f>
        <v>6</v>
      </c>
    </row>
    <row r="1177" spans="1:11" x14ac:dyDescent="0.3">
      <c r="A1177">
        <v>421</v>
      </c>
      <c r="B1177">
        <v>5</v>
      </c>
      <c r="C1177">
        <v>23</v>
      </c>
      <c r="D1177" t="str">
        <f>VLOOKUP(B1177, Products!$A$2:$C$100, 2, FALSE)</f>
        <v>Heller Shagamaw Frame - 2016</v>
      </c>
      <c r="E1177">
        <v>2</v>
      </c>
      <c r="F1177">
        <v>299.99</v>
      </c>
      <c r="G1177">
        <v>0.2</v>
      </c>
      <c r="H1177">
        <v>59.998000000000005</v>
      </c>
      <c r="I1177">
        <f>order_items[[#This Row],[list_price]]-order_items[[#This Row],[Discounted_price]]</f>
        <v>239.99200000000002</v>
      </c>
      <c r="J1177">
        <f>VLOOKUP(B1177, Products!$A$2:$E$100, 3, FALSE)</f>
        <v>3</v>
      </c>
      <c r="K1177">
        <f>VLOOKUP(B1177, Products!$A$2:$F$100, 4, FALSE)</f>
        <v>6</v>
      </c>
    </row>
    <row r="1178" spans="1:11" x14ac:dyDescent="0.3">
      <c r="A1178">
        <v>422</v>
      </c>
      <c r="B1178">
        <v>1</v>
      </c>
      <c r="C1178">
        <v>20</v>
      </c>
      <c r="D1178" t="str">
        <f>VLOOKUP(B1178, Products!$A$2:$C$100, 2, FALSE)</f>
        <v>Trek 820 - 2016</v>
      </c>
      <c r="E1178">
        <v>2</v>
      </c>
      <c r="F1178">
        <v>599.99</v>
      </c>
      <c r="G1178">
        <v>0.05</v>
      </c>
      <c r="H1178">
        <v>29.999500000000001</v>
      </c>
      <c r="I1178">
        <f>order_items[[#This Row],[list_price]]-order_items[[#This Row],[Discounted_price]]</f>
        <v>569.9905</v>
      </c>
      <c r="J1178">
        <f>VLOOKUP(B1178, Products!$A$2:$E$100, 3, FALSE)</f>
        <v>9</v>
      </c>
      <c r="K1178">
        <f>VLOOKUP(B1178, Products!$A$2:$F$100, 4, FALSE)</f>
        <v>6</v>
      </c>
    </row>
    <row r="1179" spans="1:11" x14ac:dyDescent="0.3">
      <c r="A1179">
        <v>423</v>
      </c>
      <c r="B1179">
        <v>1</v>
      </c>
      <c r="C1179">
        <v>8</v>
      </c>
      <c r="D1179" t="str">
        <f>VLOOKUP(B1179, Products!$A$2:$C$100, 2, FALSE)</f>
        <v>Trek 820 - 2016</v>
      </c>
      <c r="E1179">
        <v>2</v>
      </c>
      <c r="F1179">
        <v>1799.99</v>
      </c>
      <c r="G1179">
        <v>0.05</v>
      </c>
      <c r="H1179">
        <v>89.999500000000012</v>
      </c>
      <c r="I1179">
        <f>order_items[[#This Row],[list_price]]-order_items[[#This Row],[Discounted_price]]</f>
        <v>1709.9904999999999</v>
      </c>
      <c r="J1179">
        <f>VLOOKUP(B1179, Products!$A$2:$E$100, 3, FALSE)</f>
        <v>9</v>
      </c>
      <c r="K1179">
        <f>VLOOKUP(B1179, Products!$A$2:$F$100, 4, FALSE)</f>
        <v>6</v>
      </c>
    </row>
    <row r="1180" spans="1:11" x14ac:dyDescent="0.3">
      <c r="A1180">
        <v>423</v>
      </c>
      <c r="B1180">
        <v>2</v>
      </c>
      <c r="C1180">
        <v>17</v>
      </c>
      <c r="D1180" t="str">
        <f>VLOOKUP(B1180, Products!$A$2:$C$100, 2, FALSE)</f>
        <v>Ritchey Timberwolf Frameset - 2016</v>
      </c>
      <c r="E1180">
        <v>1</v>
      </c>
      <c r="F1180">
        <v>429</v>
      </c>
      <c r="G1180">
        <v>0.2</v>
      </c>
      <c r="H1180">
        <v>85.800000000000011</v>
      </c>
      <c r="I1180">
        <f>order_items[[#This Row],[list_price]]-order_items[[#This Row],[Discounted_price]]</f>
        <v>343.2</v>
      </c>
      <c r="J1180">
        <f>VLOOKUP(B1180, Products!$A$2:$E$100, 3, FALSE)</f>
        <v>5</v>
      </c>
      <c r="K1180">
        <f>VLOOKUP(B1180, Products!$A$2:$F$100, 4, FALSE)</f>
        <v>6</v>
      </c>
    </row>
    <row r="1181" spans="1:11" x14ac:dyDescent="0.3">
      <c r="A1181">
        <v>423</v>
      </c>
      <c r="B1181">
        <v>3</v>
      </c>
      <c r="C1181">
        <v>23</v>
      </c>
      <c r="D1181" t="str">
        <f>VLOOKUP(B1181, Products!$A$2:$C$100, 2, FALSE)</f>
        <v>Surly Wednesday Frameset - 2016</v>
      </c>
      <c r="E1181">
        <v>2</v>
      </c>
      <c r="F1181">
        <v>299.99</v>
      </c>
      <c r="G1181">
        <v>7.0000000000000007E-2</v>
      </c>
      <c r="H1181">
        <v>20.999300000000002</v>
      </c>
      <c r="I1181">
        <f>order_items[[#This Row],[list_price]]-order_items[[#This Row],[Discounted_price]]</f>
        <v>278.9907</v>
      </c>
      <c r="J1181">
        <f>VLOOKUP(B1181, Products!$A$2:$E$100, 3, FALSE)</f>
        <v>8</v>
      </c>
      <c r="K1181">
        <f>VLOOKUP(B1181, Products!$A$2:$F$100, 4, FALSE)</f>
        <v>6</v>
      </c>
    </row>
    <row r="1182" spans="1:11" x14ac:dyDescent="0.3">
      <c r="A1182">
        <v>423</v>
      </c>
      <c r="B1182">
        <v>4</v>
      </c>
      <c r="C1182">
        <v>2</v>
      </c>
      <c r="D1182" t="str">
        <f>VLOOKUP(B1182, Products!$A$2:$C$100, 2, FALSE)</f>
        <v>Trek Fuel EX 8 29 - 2016</v>
      </c>
      <c r="E1182">
        <v>1</v>
      </c>
      <c r="F1182">
        <v>749.99</v>
      </c>
      <c r="G1182">
        <v>0.2</v>
      </c>
      <c r="H1182">
        <v>149.99800000000002</v>
      </c>
      <c r="I1182">
        <f>order_items[[#This Row],[list_price]]-order_items[[#This Row],[Discounted_price]]</f>
        <v>599.99199999999996</v>
      </c>
      <c r="J1182">
        <f>VLOOKUP(B1182, Products!$A$2:$E$100, 3, FALSE)</f>
        <v>9</v>
      </c>
      <c r="K1182">
        <f>VLOOKUP(B1182, Products!$A$2:$F$100, 4, FALSE)</f>
        <v>6</v>
      </c>
    </row>
    <row r="1183" spans="1:11" x14ac:dyDescent="0.3">
      <c r="A1183">
        <v>424</v>
      </c>
      <c r="B1183">
        <v>1</v>
      </c>
      <c r="C1183">
        <v>22</v>
      </c>
      <c r="D1183" t="str">
        <f>VLOOKUP(B1183, Products!$A$2:$C$100, 2, FALSE)</f>
        <v>Trek 820 - 2016</v>
      </c>
      <c r="E1183">
        <v>1</v>
      </c>
      <c r="F1183">
        <v>269.99</v>
      </c>
      <c r="G1183">
        <v>0.1</v>
      </c>
      <c r="H1183">
        <v>26.999000000000002</v>
      </c>
      <c r="I1183">
        <f>order_items[[#This Row],[list_price]]-order_items[[#This Row],[Discounted_price]]</f>
        <v>242.99100000000001</v>
      </c>
      <c r="J1183">
        <f>VLOOKUP(B1183, Products!$A$2:$E$100, 3, FALSE)</f>
        <v>9</v>
      </c>
      <c r="K1183">
        <f>VLOOKUP(B1183, Products!$A$2:$F$100, 4, FALSE)</f>
        <v>6</v>
      </c>
    </row>
    <row r="1184" spans="1:11" x14ac:dyDescent="0.3">
      <c r="A1184">
        <v>424</v>
      </c>
      <c r="B1184">
        <v>2</v>
      </c>
      <c r="C1184">
        <v>6</v>
      </c>
      <c r="D1184" t="str">
        <f>VLOOKUP(B1184, Products!$A$2:$C$100, 2, FALSE)</f>
        <v>Ritchey Timberwolf Frameset - 2016</v>
      </c>
      <c r="E1184">
        <v>1</v>
      </c>
      <c r="F1184">
        <v>469.99</v>
      </c>
      <c r="G1184">
        <v>0.05</v>
      </c>
      <c r="H1184">
        <v>23.499500000000001</v>
      </c>
      <c r="I1184">
        <f>order_items[[#This Row],[list_price]]-order_items[[#This Row],[Discounted_price]]</f>
        <v>446.4905</v>
      </c>
      <c r="J1184">
        <f>VLOOKUP(B1184, Products!$A$2:$E$100, 3, FALSE)</f>
        <v>5</v>
      </c>
      <c r="K1184">
        <f>VLOOKUP(B1184, Products!$A$2:$F$100, 4, FALSE)</f>
        <v>6</v>
      </c>
    </row>
    <row r="1185" spans="1:11" x14ac:dyDescent="0.3">
      <c r="A1185">
        <v>425</v>
      </c>
      <c r="B1185">
        <v>1</v>
      </c>
      <c r="C1185">
        <v>6</v>
      </c>
      <c r="D1185" t="str">
        <f>VLOOKUP(B1185, Products!$A$2:$C$100, 2, FALSE)</f>
        <v>Trek 820 - 2016</v>
      </c>
      <c r="E1185">
        <v>1</v>
      </c>
      <c r="F1185">
        <v>469.99</v>
      </c>
      <c r="G1185">
        <v>0.1</v>
      </c>
      <c r="H1185">
        <v>46.999000000000002</v>
      </c>
      <c r="I1185">
        <f>order_items[[#This Row],[list_price]]-order_items[[#This Row],[Discounted_price]]</f>
        <v>422.99099999999999</v>
      </c>
      <c r="J1185">
        <f>VLOOKUP(B1185, Products!$A$2:$E$100, 3, FALSE)</f>
        <v>9</v>
      </c>
      <c r="K1185">
        <f>VLOOKUP(B1185, Products!$A$2:$F$100, 4, FALSE)</f>
        <v>6</v>
      </c>
    </row>
    <row r="1186" spans="1:11" x14ac:dyDescent="0.3">
      <c r="A1186">
        <v>425</v>
      </c>
      <c r="B1186">
        <v>2</v>
      </c>
      <c r="C1186">
        <v>21</v>
      </c>
      <c r="D1186" t="str">
        <f>VLOOKUP(B1186, Products!$A$2:$C$100, 2, FALSE)</f>
        <v>Ritchey Timberwolf Frameset - 2016</v>
      </c>
      <c r="E1186">
        <v>2</v>
      </c>
      <c r="F1186">
        <v>269.99</v>
      </c>
      <c r="G1186">
        <v>7.0000000000000007E-2</v>
      </c>
      <c r="H1186">
        <v>18.899300000000004</v>
      </c>
      <c r="I1186">
        <f>order_items[[#This Row],[list_price]]-order_items[[#This Row],[Discounted_price]]</f>
        <v>251.0907</v>
      </c>
      <c r="J1186">
        <f>VLOOKUP(B1186, Products!$A$2:$E$100, 3, FALSE)</f>
        <v>5</v>
      </c>
      <c r="K1186">
        <f>VLOOKUP(B1186, Products!$A$2:$F$100, 4, FALSE)</f>
        <v>6</v>
      </c>
    </row>
    <row r="1187" spans="1:11" x14ac:dyDescent="0.3">
      <c r="A1187">
        <v>425</v>
      </c>
      <c r="B1187">
        <v>3</v>
      </c>
      <c r="C1187">
        <v>19</v>
      </c>
      <c r="D1187" t="str">
        <f>VLOOKUP(B1187, Products!$A$2:$C$100, 2, FALSE)</f>
        <v>Surly Wednesday Frameset - 2016</v>
      </c>
      <c r="E1187">
        <v>1</v>
      </c>
      <c r="F1187">
        <v>449</v>
      </c>
      <c r="G1187">
        <v>0.05</v>
      </c>
      <c r="H1187">
        <v>22.450000000000003</v>
      </c>
      <c r="I1187">
        <f>order_items[[#This Row],[list_price]]-order_items[[#This Row],[Discounted_price]]</f>
        <v>426.55</v>
      </c>
      <c r="J1187">
        <f>VLOOKUP(B1187, Products!$A$2:$E$100, 3, FALSE)</f>
        <v>8</v>
      </c>
      <c r="K1187">
        <f>VLOOKUP(B1187, Products!$A$2:$F$100, 4, FALSE)</f>
        <v>6</v>
      </c>
    </row>
    <row r="1188" spans="1:11" x14ac:dyDescent="0.3">
      <c r="A1188">
        <v>426</v>
      </c>
      <c r="B1188">
        <v>1</v>
      </c>
      <c r="C1188">
        <v>10</v>
      </c>
      <c r="D1188" t="str">
        <f>VLOOKUP(B1188, Products!$A$2:$C$100, 2, FALSE)</f>
        <v>Trek 820 - 2016</v>
      </c>
      <c r="E1188">
        <v>1</v>
      </c>
      <c r="F1188">
        <v>1549</v>
      </c>
      <c r="G1188">
        <v>0.1</v>
      </c>
      <c r="H1188">
        <v>154.9</v>
      </c>
      <c r="I1188">
        <f>order_items[[#This Row],[list_price]]-order_items[[#This Row],[Discounted_price]]</f>
        <v>1394.1</v>
      </c>
      <c r="J1188">
        <f>VLOOKUP(B1188, Products!$A$2:$E$100, 3, FALSE)</f>
        <v>9</v>
      </c>
      <c r="K1188">
        <f>VLOOKUP(B1188, Products!$A$2:$F$100, 4, FALSE)</f>
        <v>6</v>
      </c>
    </row>
    <row r="1189" spans="1:11" x14ac:dyDescent="0.3">
      <c r="A1189">
        <v>426</v>
      </c>
      <c r="B1189">
        <v>2</v>
      </c>
      <c r="C1189">
        <v>23</v>
      </c>
      <c r="D1189" t="str">
        <f>VLOOKUP(B1189, Products!$A$2:$C$100, 2, FALSE)</f>
        <v>Ritchey Timberwolf Frameset - 2016</v>
      </c>
      <c r="E1189">
        <v>2</v>
      </c>
      <c r="F1189">
        <v>299.99</v>
      </c>
      <c r="G1189">
        <v>0.05</v>
      </c>
      <c r="H1189">
        <v>14.999500000000001</v>
      </c>
      <c r="I1189">
        <f>order_items[[#This Row],[list_price]]-order_items[[#This Row],[Discounted_price]]</f>
        <v>284.9905</v>
      </c>
      <c r="J1189">
        <f>VLOOKUP(B1189, Products!$A$2:$E$100, 3, FALSE)</f>
        <v>5</v>
      </c>
      <c r="K1189">
        <f>VLOOKUP(B1189, Products!$A$2:$F$100, 4, FALSE)</f>
        <v>6</v>
      </c>
    </row>
    <row r="1190" spans="1:11" x14ac:dyDescent="0.3">
      <c r="A1190">
        <v>427</v>
      </c>
      <c r="B1190">
        <v>1</v>
      </c>
      <c r="C1190">
        <v>12</v>
      </c>
      <c r="D1190" t="str">
        <f>VLOOKUP(B1190, Products!$A$2:$C$100, 2, FALSE)</f>
        <v>Trek 820 - 2016</v>
      </c>
      <c r="E1190">
        <v>2</v>
      </c>
      <c r="F1190">
        <v>549.99</v>
      </c>
      <c r="G1190">
        <v>7.0000000000000007E-2</v>
      </c>
      <c r="H1190">
        <v>38.499300000000005</v>
      </c>
      <c r="I1190">
        <f>order_items[[#This Row],[list_price]]-order_items[[#This Row],[Discounted_price]]</f>
        <v>511.4907</v>
      </c>
      <c r="J1190">
        <f>VLOOKUP(B1190, Products!$A$2:$E$100, 3, FALSE)</f>
        <v>9</v>
      </c>
      <c r="K1190">
        <f>VLOOKUP(B1190, Products!$A$2:$F$100, 4, FALSE)</f>
        <v>6</v>
      </c>
    </row>
    <row r="1191" spans="1:11" x14ac:dyDescent="0.3">
      <c r="A1191">
        <v>427</v>
      </c>
      <c r="B1191">
        <v>2</v>
      </c>
      <c r="C1191">
        <v>15</v>
      </c>
      <c r="D1191" t="str">
        <f>VLOOKUP(B1191, Products!$A$2:$C$100, 2, FALSE)</f>
        <v>Ritchey Timberwolf Frameset - 2016</v>
      </c>
      <c r="E1191">
        <v>2</v>
      </c>
      <c r="F1191">
        <v>529.99</v>
      </c>
      <c r="G1191">
        <v>0.1</v>
      </c>
      <c r="H1191">
        <v>52.999000000000002</v>
      </c>
      <c r="I1191">
        <f>order_items[[#This Row],[list_price]]-order_items[[#This Row],[Discounted_price]]</f>
        <v>476.99099999999999</v>
      </c>
      <c r="J1191">
        <f>VLOOKUP(B1191, Products!$A$2:$E$100, 3, FALSE)</f>
        <v>5</v>
      </c>
      <c r="K1191">
        <f>VLOOKUP(B1191, Products!$A$2:$F$100, 4, FALSE)</f>
        <v>6</v>
      </c>
    </row>
    <row r="1192" spans="1:11" x14ac:dyDescent="0.3">
      <c r="A1192">
        <v>427</v>
      </c>
      <c r="B1192">
        <v>3</v>
      </c>
      <c r="C1192">
        <v>26</v>
      </c>
      <c r="D1192" t="str">
        <f>VLOOKUP(B1192, Products!$A$2:$C$100, 2, FALSE)</f>
        <v>Surly Wednesday Frameset - 2016</v>
      </c>
      <c r="E1192">
        <v>2</v>
      </c>
      <c r="F1192">
        <v>599.99</v>
      </c>
      <c r="G1192">
        <v>7.0000000000000007E-2</v>
      </c>
      <c r="H1192">
        <v>41.999300000000005</v>
      </c>
      <c r="I1192">
        <f>order_items[[#This Row],[list_price]]-order_items[[#This Row],[Discounted_price]]</f>
        <v>557.99070000000006</v>
      </c>
      <c r="J1192">
        <f>VLOOKUP(B1192, Products!$A$2:$E$100, 3, FALSE)</f>
        <v>8</v>
      </c>
      <c r="K1192">
        <f>VLOOKUP(B1192, Products!$A$2:$F$100, 4, FALSE)</f>
        <v>6</v>
      </c>
    </row>
    <row r="1193" spans="1:11" x14ac:dyDescent="0.3">
      <c r="A1193">
        <v>428</v>
      </c>
      <c r="B1193">
        <v>1</v>
      </c>
      <c r="C1193">
        <v>5</v>
      </c>
      <c r="D1193" t="str">
        <f>VLOOKUP(B1193, Products!$A$2:$C$100, 2, FALSE)</f>
        <v>Trek 820 - 2016</v>
      </c>
      <c r="E1193">
        <v>2</v>
      </c>
      <c r="F1193">
        <v>1320.99</v>
      </c>
      <c r="G1193">
        <v>0.2</v>
      </c>
      <c r="H1193">
        <v>264.19800000000004</v>
      </c>
      <c r="I1193">
        <f>order_items[[#This Row],[list_price]]-order_items[[#This Row],[Discounted_price]]</f>
        <v>1056.7919999999999</v>
      </c>
      <c r="J1193">
        <f>VLOOKUP(B1193, Products!$A$2:$E$100, 3, FALSE)</f>
        <v>9</v>
      </c>
      <c r="K1193">
        <f>VLOOKUP(B1193, Products!$A$2:$F$100, 4, FALSE)</f>
        <v>6</v>
      </c>
    </row>
    <row r="1194" spans="1:11" x14ac:dyDescent="0.3">
      <c r="A1194">
        <v>428</v>
      </c>
      <c r="B1194">
        <v>2</v>
      </c>
      <c r="C1194">
        <v>14</v>
      </c>
      <c r="D1194" t="str">
        <f>VLOOKUP(B1194, Products!$A$2:$C$100, 2, FALSE)</f>
        <v>Ritchey Timberwolf Frameset - 2016</v>
      </c>
      <c r="E1194">
        <v>1</v>
      </c>
      <c r="F1194">
        <v>269.99</v>
      </c>
      <c r="G1194">
        <v>0.2</v>
      </c>
      <c r="H1194">
        <v>53.998000000000005</v>
      </c>
      <c r="I1194">
        <f>order_items[[#This Row],[list_price]]-order_items[[#This Row],[Discounted_price]]</f>
        <v>215.99200000000002</v>
      </c>
      <c r="J1194">
        <f>VLOOKUP(B1194, Products!$A$2:$E$100, 3, FALSE)</f>
        <v>5</v>
      </c>
      <c r="K1194">
        <f>VLOOKUP(B1194, Products!$A$2:$F$100, 4, FALSE)</f>
        <v>6</v>
      </c>
    </row>
    <row r="1195" spans="1:11" x14ac:dyDescent="0.3">
      <c r="A1195">
        <v>429</v>
      </c>
      <c r="B1195">
        <v>1</v>
      </c>
      <c r="C1195">
        <v>11</v>
      </c>
      <c r="D1195" t="str">
        <f>VLOOKUP(B1195, Products!$A$2:$C$100, 2, FALSE)</f>
        <v>Trek 820 - 2016</v>
      </c>
      <c r="E1195">
        <v>1</v>
      </c>
      <c r="F1195">
        <v>1680.99</v>
      </c>
      <c r="G1195">
        <v>0.2</v>
      </c>
      <c r="H1195">
        <v>336.19800000000004</v>
      </c>
      <c r="I1195">
        <f>order_items[[#This Row],[list_price]]-order_items[[#This Row],[Discounted_price]]</f>
        <v>1344.7919999999999</v>
      </c>
      <c r="J1195">
        <f>VLOOKUP(B1195, Products!$A$2:$E$100, 3, FALSE)</f>
        <v>9</v>
      </c>
      <c r="K1195">
        <f>VLOOKUP(B1195, Products!$A$2:$F$100, 4, FALSE)</f>
        <v>6</v>
      </c>
    </row>
    <row r="1196" spans="1:11" x14ac:dyDescent="0.3">
      <c r="A1196">
        <v>429</v>
      </c>
      <c r="B1196">
        <v>2</v>
      </c>
      <c r="C1196">
        <v>4</v>
      </c>
      <c r="D1196" t="str">
        <f>VLOOKUP(B1196, Products!$A$2:$C$100, 2, FALSE)</f>
        <v>Ritchey Timberwolf Frameset - 2016</v>
      </c>
      <c r="E1196">
        <v>2</v>
      </c>
      <c r="F1196">
        <v>2899.99</v>
      </c>
      <c r="G1196">
        <v>0.1</v>
      </c>
      <c r="H1196">
        <v>289.99899999999997</v>
      </c>
      <c r="I1196">
        <f>order_items[[#This Row],[list_price]]-order_items[[#This Row],[Discounted_price]]</f>
        <v>2609.991</v>
      </c>
      <c r="J1196">
        <f>VLOOKUP(B1196, Products!$A$2:$E$100, 3, FALSE)</f>
        <v>5</v>
      </c>
      <c r="K1196">
        <f>VLOOKUP(B1196, Products!$A$2:$F$100, 4, FALSE)</f>
        <v>6</v>
      </c>
    </row>
    <row r="1197" spans="1:11" x14ac:dyDescent="0.3">
      <c r="A1197">
        <v>429</v>
      </c>
      <c r="B1197">
        <v>3</v>
      </c>
      <c r="C1197">
        <v>5</v>
      </c>
      <c r="D1197" t="str">
        <f>VLOOKUP(B1197, Products!$A$2:$C$100, 2, FALSE)</f>
        <v>Surly Wednesday Frameset - 2016</v>
      </c>
      <c r="E1197">
        <v>2</v>
      </c>
      <c r="F1197">
        <v>1320.99</v>
      </c>
      <c r="G1197">
        <v>0.05</v>
      </c>
      <c r="H1197">
        <v>66.049500000000009</v>
      </c>
      <c r="I1197">
        <f>order_items[[#This Row],[list_price]]-order_items[[#This Row],[Discounted_price]]</f>
        <v>1254.9404999999999</v>
      </c>
      <c r="J1197">
        <f>VLOOKUP(B1197, Products!$A$2:$E$100, 3, FALSE)</f>
        <v>8</v>
      </c>
      <c r="K1197">
        <f>VLOOKUP(B1197, Products!$A$2:$F$100, 4, FALSE)</f>
        <v>6</v>
      </c>
    </row>
    <row r="1198" spans="1:11" x14ac:dyDescent="0.3">
      <c r="A1198">
        <v>429</v>
      </c>
      <c r="B1198">
        <v>4</v>
      </c>
      <c r="C1198">
        <v>6</v>
      </c>
      <c r="D1198" t="str">
        <f>VLOOKUP(B1198, Products!$A$2:$C$100, 2, FALSE)</f>
        <v>Trek Fuel EX 8 29 - 2016</v>
      </c>
      <c r="E1198">
        <v>1</v>
      </c>
      <c r="F1198">
        <v>469.99</v>
      </c>
      <c r="G1198">
        <v>7.0000000000000007E-2</v>
      </c>
      <c r="H1198">
        <v>32.899300000000004</v>
      </c>
      <c r="I1198">
        <f>order_items[[#This Row],[list_price]]-order_items[[#This Row],[Discounted_price]]</f>
        <v>437.09070000000003</v>
      </c>
      <c r="J1198">
        <f>VLOOKUP(B1198, Products!$A$2:$E$100, 3, FALSE)</f>
        <v>9</v>
      </c>
      <c r="K1198">
        <f>VLOOKUP(B1198, Products!$A$2:$F$100, 4, FALSE)</f>
        <v>6</v>
      </c>
    </row>
    <row r="1199" spans="1:11" x14ac:dyDescent="0.3">
      <c r="A1199">
        <v>429</v>
      </c>
      <c r="B1199">
        <v>5</v>
      </c>
      <c r="C1199">
        <v>2</v>
      </c>
      <c r="D1199" t="str">
        <f>VLOOKUP(B1199, Products!$A$2:$C$100, 2, FALSE)</f>
        <v>Heller Shagamaw Frame - 2016</v>
      </c>
      <c r="E1199">
        <v>1</v>
      </c>
      <c r="F1199">
        <v>749.99</v>
      </c>
      <c r="G1199">
        <v>0.1</v>
      </c>
      <c r="H1199">
        <v>74.999000000000009</v>
      </c>
      <c r="I1199">
        <f>order_items[[#This Row],[list_price]]-order_items[[#This Row],[Discounted_price]]</f>
        <v>674.99099999999999</v>
      </c>
      <c r="J1199">
        <f>VLOOKUP(B1199, Products!$A$2:$E$100, 3, FALSE)</f>
        <v>3</v>
      </c>
      <c r="K1199">
        <f>VLOOKUP(B1199, Products!$A$2:$F$100, 4, FALSE)</f>
        <v>6</v>
      </c>
    </row>
    <row r="1200" spans="1:11" x14ac:dyDescent="0.3">
      <c r="A1200">
        <v>430</v>
      </c>
      <c r="B1200">
        <v>1</v>
      </c>
      <c r="C1200">
        <v>22</v>
      </c>
      <c r="D1200" t="str">
        <f>VLOOKUP(B1200, Products!$A$2:$C$100, 2, FALSE)</f>
        <v>Trek 820 - 2016</v>
      </c>
      <c r="E1200">
        <v>2</v>
      </c>
      <c r="F1200">
        <v>269.99</v>
      </c>
      <c r="G1200">
        <v>0.1</v>
      </c>
      <c r="H1200">
        <v>26.999000000000002</v>
      </c>
      <c r="I1200">
        <f>order_items[[#This Row],[list_price]]-order_items[[#This Row],[Discounted_price]]</f>
        <v>242.99100000000001</v>
      </c>
      <c r="J1200">
        <f>VLOOKUP(B1200, Products!$A$2:$E$100, 3, FALSE)</f>
        <v>9</v>
      </c>
      <c r="K1200">
        <f>VLOOKUP(B1200, Products!$A$2:$F$100, 4, FALSE)</f>
        <v>6</v>
      </c>
    </row>
    <row r="1201" spans="1:11" x14ac:dyDescent="0.3">
      <c r="A1201">
        <v>430</v>
      </c>
      <c r="B1201">
        <v>2</v>
      </c>
      <c r="C1201">
        <v>11</v>
      </c>
      <c r="D1201" t="str">
        <f>VLOOKUP(B1201, Products!$A$2:$C$100, 2, FALSE)</f>
        <v>Ritchey Timberwolf Frameset - 2016</v>
      </c>
      <c r="E1201">
        <v>1</v>
      </c>
      <c r="F1201">
        <v>1680.99</v>
      </c>
      <c r="G1201">
        <v>7.0000000000000007E-2</v>
      </c>
      <c r="H1201">
        <v>117.66930000000001</v>
      </c>
      <c r="I1201">
        <f>order_items[[#This Row],[list_price]]-order_items[[#This Row],[Discounted_price]]</f>
        <v>1563.3207</v>
      </c>
      <c r="J1201">
        <f>VLOOKUP(B1201, Products!$A$2:$E$100, 3, FALSE)</f>
        <v>5</v>
      </c>
      <c r="K1201">
        <f>VLOOKUP(B1201, Products!$A$2:$F$100, 4, FALSE)</f>
        <v>6</v>
      </c>
    </row>
    <row r="1202" spans="1:11" x14ac:dyDescent="0.3">
      <c r="A1202">
        <v>430</v>
      </c>
      <c r="B1202">
        <v>3</v>
      </c>
      <c r="C1202">
        <v>4</v>
      </c>
      <c r="D1202" t="str">
        <f>VLOOKUP(B1202, Products!$A$2:$C$100, 2, FALSE)</f>
        <v>Surly Wednesday Frameset - 2016</v>
      </c>
      <c r="E1202">
        <v>2</v>
      </c>
      <c r="F1202">
        <v>2899.99</v>
      </c>
      <c r="G1202">
        <v>0.2</v>
      </c>
      <c r="H1202">
        <v>579.99799999999993</v>
      </c>
      <c r="I1202">
        <f>order_items[[#This Row],[list_price]]-order_items[[#This Row],[Discounted_price]]</f>
        <v>2319.9919999999997</v>
      </c>
      <c r="J1202">
        <f>VLOOKUP(B1202, Products!$A$2:$E$100, 3, FALSE)</f>
        <v>8</v>
      </c>
      <c r="K1202">
        <f>VLOOKUP(B1202, Products!$A$2:$F$100, 4, FALSE)</f>
        <v>6</v>
      </c>
    </row>
    <row r="1203" spans="1:11" x14ac:dyDescent="0.3">
      <c r="A1203">
        <v>430</v>
      </c>
      <c r="B1203">
        <v>4</v>
      </c>
      <c r="C1203">
        <v>13</v>
      </c>
      <c r="D1203" t="str">
        <f>VLOOKUP(B1203, Products!$A$2:$C$100, 2, FALSE)</f>
        <v>Trek Fuel EX 8 29 - 2016</v>
      </c>
      <c r="E1203">
        <v>2</v>
      </c>
      <c r="F1203">
        <v>269.99</v>
      </c>
      <c r="G1203">
        <v>0.2</v>
      </c>
      <c r="H1203">
        <v>53.998000000000005</v>
      </c>
      <c r="I1203">
        <f>order_items[[#This Row],[list_price]]-order_items[[#This Row],[Discounted_price]]</f>
        <v>215.99200000000002</v>
      </c>
      <c r="J1203">
        <f>VLOOKUP(B1203, Products!$A$2:$E$100, 3, FALSE)</f>
        <v>9</v>
      </c>
      <c r="K1203">
        <f>VLOOKUP(B1203, Products!$A$2:$F$100, 4, FALSE)</f>
        <v>6</v>
      </c>
    </row>
    <row r="1204" spans="1:11" x14ac:dyDescent="0.3">
      <c r="A1204">
        <v>430</v>
      </c>
      <c r="B1204">
        <v>5</v>
      </c>
      <c r="C1204">
        <v>8</v>
      </c>
      <c r="D1204" t="str">
        <f>VLOOKUP(B1204, Products!$A$2:$C$100, 2, FALSE)</f>
        <v>Heller Shagamaw Frame - 2016</v>
      </c>
      <c r="E1204">
        <v>1</v>
      </c>
      <c r="F1204">
        <v>1799.99</v>
      </c>
      <c r="G1204">
        <v>0.2</v>
      </c>
      <c r="H1204">
        <v>359.99800000000005</v>
      </c>
      <c r="I1204">
        <f>order_items[[#This Row],[list_price]]-order_items[[#This Row],[Discounted_price]]</f>
        <v>1439.992</v>
      </c>
      <c r="J1204">
        <f>VLOOKUP(B1204, Products!$A$2:$E$100, 3, FALSE)</f>
        <v>3</v>
      </c>
      <c r="K1204">
        <f>VLOOKUP(B1204, Products!$A$2:$F$100, 4, FALSE)</f>
        <v>6</v>
      </c>
    </row>
    <row r="1205" spans="1:11" x14ac:dyDescent="0.3">
      <c r="A1205">
        <v>431</v>
      </c>
      <c r="B1205">
        <v>1</v>
      </c>
      <c r="C1205">
        <v>14</v>
      </c>
      <c r="D1205" t="str">
        <f>VLOOKUP(B1205, Products!$A$2:$C$100, 2, FALSE)</f>
        <v>Trek 820 - 2016</v>
      </c>
      <c r="E1205">
        <v>2</v>
      </c>
      <c r="F1205">
        <v>269.99</v>
      </c>
      <c r="G1205">
        <v>0.2</v>
      </c>
      <c r="H1205">
        <v>53.998000000000005</v>
      </c>
      <c r="I1205">
        <f>order_items[[#This Row],[list_price]]-order_items[[#This Row],[Discounted_price]]</f>
        <v>215.99200000000002</v>
      </c>
      <c r="J1205">
        <f>VLOOKUP(B1205, Products!$A$2:$E$100, 3, FALSE)</f>
        <v>9</v>
      </c>
      <c r="K1205">
        <f>VLOOKUP(B1205, Products!$A$2:$F$100, 4, FALSE)</f>
        <v>6</v>
      </c>
    </row>
    <row r="1206" spans="1:11" x14ac:dyDescent="0.3">
      <c r="A1206">
        <v>431</v>
      </c>
      <c r="B1206">
        <v>2</v>
      </c>
      <c r="C1206">
        <v>6</v>
      </c>
      <c r="D1206" t="str">
        <f>VLOOKUP(B1206, Products!$A$2:$C$100, 2, FALSE)</f>
        <v>Ritchey Timberwolf Frameset - 2016</v>
      </c>
      <c r="E1206">
        <v>1</v>
      </c>
      <c r="F1206">
        <v>469.99</v>
      </c>
      <c r="G1206">
        <v>0.1</v>
      </c>
      <c r="H1206">
        <v>46.999000000000002</v>
      </c>
      <c r="I1206">
        <f>order_items[[#This Row],[list_price]]-order_items[[#This Row],[Discounted_price]]</f>
        <v>422.99099999999999</v>
      </c>
      <c r="J1206">
        <f>VLOOKUP(B1206, Products!$A$2:$E$100, 3, FALSE)</f>
        <v>5</v>
      </c>
      <c r="K1206">
        <f>VLOOKUP(B1206, Products!$A$2:$F$100, 4, FALSE)</f>
        <v>6</v>
      </c>
    </row>
    <row r="1207" spans="1:11" x14ac:dyDescent="0.3">
      <c r="A1207">
        <v>431</v>
      </c>
      <c r="B1207">
        <v>3</v>
      </c>
      <c r="C1207">
        <v>18</v>
      </c>
      <c r="D1207" t="str">
        <f>VLOOKUP(B1207, Products!$A$2:$C$100, 2, FALSE)</f>
        <v>Surly Wednesday Frameset - 2016</v>
      </c>
      <c r="E1207">
        <v>1</v>
      </c>
      <c r="F1207">
        <v>449</v>
      </c>
      <c r="G1207">
        <v>0.2</v>
      </c>
      <c r="H1207">
        <v>89.800000000000011</v>
      </c>
      <c r="I1207">
        <f>order_items[[#This Row],[list_price]]-order_items[[#This Row],[Discounted_price]]</f>
        <v>359.2</v>
      </c>
      <c r="J1207">
        <f>VLOOKUP(B1207, Products!$A$2:$E$100, 3, FALSE)</f>
        <v>8</v>
      </c>
      <c r="K1207">
        <f>VLOOKUP(B1207, Products!$A$2:$F$100, 4, FALSE)</f>
        <v>6</v>
      </c>
    </row>
    <row r="1208" spans="1:11" x14ac:dyDescent="0.3">
      <c r="A1208">
        <v>431</v>
      </c>
      <c r="B1208">
        <v>4</v>
      </c>
      <c r="C1208">
        <v>13</v>
      </c>
      <c r="D1208" t="str">
        <f>VLOOKUP(B1208, Products!$A$2:$C$100, 2, FALSE)</f>
        <v>Trek Fuel EX 8 29 - 2016</v>
      </c>
      <c r="E1208">
        <v>2</v>
      </c>
      <c r="F1208">
        <v>269.99</v>
      </c>
      <c r="G1208">
        <v>7.0000000000000007E-2</v>
      </c>
      <c r="H1208">
        <v>18.899300000000004</v>
      </c>
      <c r="I1208">
        <f>order_items[[#This Row],[list_price]]-order_items[[#This Row],[Discounted_price]]</f>
        <v>251.0907</v>
      </c>
      <c r="J1208">
        <f>VLOOKUP(B1208, Products!$A$2:$E$100, 3, FALSE)</f>
        <v>9</v>
      </c>
      <c r="K1208">
        <f>VLOOKUP(B1208, Products!$A$2:$F$100, 4, FALSE)</f>
        <v>6</v>
      </c>
    </row>
    <row r="1209" spans="1:11" x14ac:dyDescent="0.3">
      <c r="A1209">
        <v>431</v>
      </c>
      <c r="B1209">
        <v>5</v>
      </c>
      <c r="C1209">
        <v>19</v>
      </c>
      <c r="D1209" t="str">
        <f>VLOOKUP(B1209, Products!$A$2:$C$100, 2, FALSE)</f>
        <v>Heller Shagamaw Frame - 2016</v>
      </c>
      <c r="E1209">
        <v>1</v>
      </c>
      <c r="F1209">
        <v>449</v>
      </c>
      <c r="G1209">
        <v>7.0000000000000007E-2</v>
      </c>
      <c r="H1209">
        <v>31.430000000000003</v>
      </c>
      <c r="I1209">
        <f>order_items[[#This Row],[list_price]]-order_items[[#This Row],[Discounted_price]]</f>
        <v>417.57</v>
      </c>
      <c r="J1209">
        <f>VLOOKUP(B1209, Products!$A$2:$E$100, 3, FALSE)</f>
        <v>3</v>
      </c>
      <c r="K1209">
        <f>VLOOKUP(B1209, Products!$A$2:$F$100, 4, FALSE)</f>
        <v>6</v>
      </c>
    </row>
    <row r="1210" spans="1:11" x14ac:dyDescent="0.3">
      <c r="A1210">
        <v>432</v>
      </c>
      <c r="B1210">
        <v>1</v>
      </c>
      <c r="C1210">
        <v>10</v>
      </c>
      <c r="D1210" t="str">
        <f>VLOOKUP(B1210, Products!$A$2:$C$100, 2, FALSE)</f>
        <v>Trek 820 - 2016</v>
      </c>
      <c r="E1210">
        <v>2</v>
      </c>
      <c r="F1210">
        <v>1549</v>
      </c>
      <c r="G1210">
        <v>0.2</v>
      </c>
      <c r="H1210">
        <v>309.8</v>
      </c>
      <c r="I1210">
        <f>order_items[[#This Row],[list_price]]-order_items[[#This Row],[Discounted_price]]</f>
        <v>1239.2</v>
      </c>
      <c r="J1210">
        <f>VLOOKUP(B1210, Products!$A$2:$E$100, 3, FALSE)</f>
        <v>9</v>
      </c>
      <c r="K1210">
        <f>VLOOKUP(B1210, Products!$A$2:$F$100, 4, FALSE)</f>
        <v>6</v>
      </c>
    </row>
    <row r="1211" spans="1:11" x14ac:dyDescent="0.3">
      <c r="A1211">
        <v>432</v>
      </c>
      <c r="B1211">
        <v>2</v>
      </c>
      <c r="C1211">
        <v>7</v>
      </c>
      <c r="D1211" t="str">
        <f>VLOOKUP(B1211, Products!$A$2:$C$100, 2, FALSE)</f>
        <v>Ritchey Timberwolf Frameset - 2016</v>
      </c>
      <c r="E1211">
        <v>2</v>
      </c>
      <c r="F1211">
        <v>3999.99</v>
      </c>
      <c r="G1211">
        <v>0.05</v>
      </c>
      <c r="H1211">
        <v>199.99950000000001</v>
      </c>
      <c r="I1211">
        <f>order_items[[#This Row],[list_price]]-order_items[[#This Row],[Discounted_price]]</f>
        <v>3799.9904999999999</v>
      </c>
      <c r="J1211">
        <f>VLOOKUP(B1211, Products!$A$2:$E$100, 3, FALSE)</f>
        <v>5</v>
      </c>
      <c r="K1211">
        <f>VLOOKUP(B1211, Products!$A$2:$F$100, 4, FALSE)</f>
        <v>6</v>
      </c>
    </row>
    <row r="1212" spans="1:11" x14ac:dyDescent="0.3">
      <c r="A1212">
        <v>433</v>
      </c>
      <c r="B1212">
        <v>1</v>
      </c>
      <c r="C1212">
        <v>6</v>
      </c>
      <c r="D1212" t="str">
        <f>VLOOKUP(B1212, Products!$A$2:$C$100, 2, FALSE)</f>
        <v>Trek 820 - 2016</v>
      </c>
      <c r="E1212">
        <v>1</v>
      </c>
      <c r="F1212">
        <v>469.99</v>
      </c>
      <c r="G1212">
        <v>0.1</v>
      </c>
      <c r="H1212">
        <v>46.999000000000002</v>
      </c>
      <c r="I1212">
        <f>order_items[[#This Row],[list_price]]-order_items[[#This Row],[Discounted_price]]</f>
        <v>422.99099999999999</v>
      </c>
      <c r="J1212">
        <f>VLOOKUP(B1212, Products!$A$2:$E$100, 3, FALSE)</f>
        <v>9</v>
      </c>
      <c r="K1212">
        <f>VLOOKUP(B1212, Products!$A$2:$F$100, 4, FALSE)</f>
        <v>6</v>
      </c>
    </row>
    <row r="1213" spans="1:11" x14ac:dyDescent="0.3">
      <c r="A1213">
        <v>433</v>
      </c>
      <c r="B1213">
        <v>2</v>
      </c>
      <c r="C1213">
        <v>10</v>
      </c>
      <c r="D1213" t="str">
        <f>VLOOKUP(B1213, Products!$A$2:$C$100, 2, FALSE)</f>
        <v>Ritchey Timberwolf Frameset - 2016</v>
      </c>
      <c r="E1213">
        <v>1</v>
      </c>
      <c r="F1213">
        <v>1549</v>
      </c>
      <c r="G1213">
        <v>0.2</v>
      </c>
      <c r="H1213">
        <v>309.8</v>
      </c>
      <c r="I1213">
        <f>order_items[[#This Row],[list_price]]-order_items[[#This Row],[Discounted_price]]</f>
        <v>1239.2</v>
      </c>
      <c r="J1213">
        <f>VLOOKUP(B1213, Products!$A$2:$E$100, 3, FALSE)</f>
        <v>5</v>
      </c>
      <c r="K1213">
        <f>VLOOKUP(B1213, Products!$A$2:$F$100, 4, FALSE)</f>
        <v>6</v>
      </c>
    </row>
    <row r="1214" spans="1:11" x14ac:dyDescent="0.3">
      <c r="A1214">
        <v>433</v>
      </c>
      <c r="B1214">
        <v>3</v>
      </c>
      <c r="C1214">
        <v>24</v>
      </c>
      <c r="D1214" t="str">
        <f>VLOOKUP(B1214, Products!$A$2:$C$100, 2, FALSE)</f>
        <v>Surly Wednesday Frameset - 2016</v>
      </c>
      <c r="E1214">
        <v>1</v>
      </c>
      <c r="F1214">
        <v>549.99</v>
      </c>
      <c r="G1214">
        <v>0.1</v>
      </c>
      <c r="H1214">
        <v>54.999000000000002</v>
      </c>
      <c r="I1214">
        <f>order_items[[#This Row],[list_price]]-order_items[[#This Row],[Discounted_price]]</f>
        <v>494.99099999999999</v>
      </c>
      <c r="J1214">
        <f>VLOOKUP(B1214, Products!$A$2:$E$100, 3, FALSE)</f>
        <v>8</v>
      </c>
      <c r="K1214">
        <f>VLOOKUP(B1214, Products!$A$2:$F$100, 4, FALSE)</f>
        <v>6</v>
      </c>
    </row>
    <row r="1215" spans="1:11" x14ac:dyDescent="0.3">
      <c r="A1215">
        <v>433</v>
      </c>
      <c r="B1215">
        <v>4</v>
      </c>
      <c r="C1215">
        <v>4</v>
      </c>
      <c r="D1215" t="str">
        <f>VLOOKUP(B1215, Products!$A$2:$C$100, 2, FALSE)</f>
        <v>Trek Fuel EX 8 29 - 2016</v>
      </c>
      <c r="E1215">
        <v>1</v>
      </c>
      <c r="F1215">
        <v>2899.99</v>
      </c>
      <c r="G1215">
        <v>0.2</v>
      </c>
      <c r="H1215">
        <v>579.99799999999993</v>
      </c>
      <c r="I1215">
        <f>order_items[[#This Row],[list_price]]-order_items[[#This Row],[Discounted_price]]</f>
        <v>2319.9919999999997</v>
      </c>
      <c r="J1215">
        <f>VLOOKUP(B1215, Products!$A$2:$E$100, 3, FALSE)</f>
        <v>9</v>
      </c>
      <c r="K1215">
        <f>VLOOKUP(B1215, Products!$A$2:$F$100, 4, FALSE)</f>
        <v>6</v>
      </c>
    </row>
    <row r="1216" spans="1:11" x14ac:dyDescent="0.3">
      <c r="A1216">
        <v>434</v>
      </c>
      <c r="B1216">
        <v>1</v>
      </c>
      <c r="C1216">
        <v>21</v>
      </c>
      <c r="D1216" t="str">
        <f>VLOOKUP(B1216, Products!$A$2:$C$100, 2, FALSE)</f>
        <v>Trek 820 - 2016</v>
      </c>
      <c r="E1216">
        <v>1</v>
      </c>
      <c r="F1216">
        <v>269.99</v>
      </c>
      <c r="G1216">
        <v>0.05</v>
      </c>
      <c r="H1216">
        <v>13.499500000000001</v>
      </c>
      <c r="I1216">
        <f>order_items[[#This Row],[list_price]]-order_items[[#This Row],[Discounted_price]]</f>
        <v>256.4905</v>
      </c>
      <c r="J1216">
        <f>VLOOKUP(B1216, Products!$A$2:$E$100, 3, FALSE)</f>
        <v>9</v>
      </c>
      <c r="K1216">
        <f>VLOOKUP(B1216, Products!$A$2:$F$100, 4, FALSE)</f>
        <v>6</v>
      </c>
    </row>
    <row r="1217" spans="1:11" x14ac:dyDescent="0.3">
      <c r="A1217">
        <v>434</v>
      </c>
      <c r="B1217">
        <v>2</v>
      </c>
      <c r="C1217">
        <v>20</v>
      </c>
      <c r="D1217" t="str">
        <f>VLOOKUP(B1217, Products!$A$2:$C$100, 2, FALSE)</f>
        <v>Ritchey Timberwolf Frameset - 2016</v>
      </c>
      <c r="E1217">
        <v>1</v>
      </c>
      <c r="F1217">
        <v>599.99</v>
      </c>
      <c r="G1217">
        <v>0.1</v>
      </c>
      <c r="H1217">
        <v>59.999000000000002</v>
      </c>
      <c r="I1217">
        <f>order_items[[#This Row],[list_price]]-order_items[[#This Row],[Discounted_price]]</f>
        <v>539.99099999999999</v>
      </c>
      <c r="J1217">
        <f>VLOOKUP(B1217, Products!$A$2:$E$100, 3, FALSE)</f>
        <v>5</v>
      </c>
      <c r="K1217">
        <f>VLOOKUP(B1217, Products!$A$2:$F$100, 4, FALSE)</f>
        <v>6</v>
      </c>
    </row>
    <row r="1218" spans="1:11" x14ac:dyDescent="0.3">
      <c r="A1218">
        <v>434</v>
      </c>
      <c r="B1218">
        <v>3</v>
      </c>
      <c r="C1218">
        <v>9</v>
      </c>
      <c r="D1218" t="str">
        <f>VLOOKUP(B1218, Products!$A$2:$C$100, 2, FALSE)</f>
        <v>Surly Wednesday Frameset - 2016</v>
      </c>
      <c r="E1218">
        <v>1</v>
      </c>
      <c r="F1218">
        <v>2999.99</v>
      </c>
      <c r="G1218">
        <v>0.2</v>
      </c>
      <c r="H1218">
        <v>599.99799999999993</v>
      </c>
      <c r="I1218">
        <f>order_items[[#This Row],[list_price]]-order_items[[#This Row],[Discounted_price]]</f>
        <v>2399.9919999999997</v>
      </c>
      <c r="J1218">
        <f>VLOOKUP(B1218, Products!$A$2:$E$100, 3, FALSE)</f>
        <v>8</v>
      </c>
      <c r="K1218">
        <f>VLOOKUP(B1218, Products!$A$2:$F$100, 4, FALSE)</f>
        <v>6</v>
      </c>
    </row>
    <row r="1219" spans="1:11" x14ac:dyDescent="0.3">
      <c r="A1219">
        <v>434</v>
      </c>
      <c r="B1219">
        <v>4</v>
      </c>
      <c r="C1219">
        <v>11</v>
      </c>
      <c r="D1219" t="str">
        <f>VLOOKUP(B1219, Products!$A$2:$C$100, 2, FALSE)</f>
        <v>Trek Fuel EX 8 29 - 2016</v>
      </c>
      <c r="E1219">
        <v>2</v>
      </c>
      <c r="F1219">
        <v>1680.99</v>
      </c>
      <c r="G1219">
        <v>7.0000000000000007E-2</v>
      </c>
      <c r="H1219">
        <v>117.66930000000001</v>
      </c>
      <c r="I1219">
        <f>order_items[[#This Row],[list_price]]-order_items[[#This Row],[Discounted_price]]</f>
        <v>1563.3207</v>
      </c>
      <c r="J1219">
        <f>VLOOKUP(B1219, Products!$A$2:$E$100, 3, FALSE)</f>
        <v>9</v>
      </c>
      <c r="K1219">
        <f>VLOOKUP(B1219, Products!$A$2:$F$100, 4, FALSE)</f>
        <v>6</v>
      </c>
    </row>
    <row r="1220" spans="1:11" x14ac:dyDescent="0.3">
      <c r="A1220">
        <v>434</v>
      </c>
      <c r="B1220">
        <v>5</v>
      </c>
      <c r="C1220">
        <v>18</v>
      </c>
      <c r="D1220" t="str">
        <f>VLOOKUP(B1220, Products!$A$2:$C$100, 2, FALSE)</f>
        <v>Heller Shagamaw Frame - 2016</v>
      </c>
      <c r="E1220">
        <v>2</v>
      </c>
      <c r="F1220">
        <v>449</v>
      </c>
      <c r="G1220">
        <v>0.05</v>
      </c>
      <c r="H1220">
        <v>22.450000000000003</v>
      </c>
      <c r="I1220">
        <f>order_items[[#This Row],[list_price]]-order_items[[#This Row],[Discounted_price]]</f>
        <v>426.55</v>
      </c>
      <c r="J1220">
        <f>VLOOKUP(B1220, Products!$A$2:$E$100, 3, FALSE)</f>
        <v>3</v>
      </c>
      <c r="K1220">
        <f>VLOOKUP(B1220, Products!$A$2:$F$100, 4, FALSE)</f>
        <v>6</v>
      </c>
    </row>
    <row r="1221" spans="1:11" x14ac:dyDescent="0.3">
      <c r="A1221">
        <v>435</v>
      </c>
      <c r="B1221">
        <v>1</v>
      </c>
      <c r="C1221">
        <v>22</v>
      </c>
      <c r="D1221" t="str">
        <f>VLOOKUP(B1221, Products!$A$2:$C$100, 2, FALSE)</f>
        <v>Trek 820 - 2016</v>
      </c>
      <c r="E1221">
        <v>1</v>
      </c>
      <c r="F1221">
        <v>269.99</v>
      </c>
      <c r="G1221">
        <v>0.05</v>
      </c>
      <c r="H1221">
        <v>13.499500000000001</v>
      </c>
      <c r="I1221">
        <f>order_items[[#This Row],[list_price]]-order_items[[#This Row],[Discounted_price]]</f>
        <v>256.4905</v>
      </c>
      <c r="J1221">
        <f>VLOOKUP(B1221, Products!$A$2:$E$100, 3, FALSE)</f>
        <v>9</v>
      </c>
      <c r="K1221">
        <f>VLOOKUP(B1221, Products!$A$2:$F$100, 4, FALSE)</f>
        <v>6</v>
      </c>
    </row>
    <row r="1222" spans="1:11" x14ac:dyDescent="0.3">
      <c r="A1222">
        <v>435</v>
      </c>
      <c r="B1222">
        <v>2</v>
      </c>
      <c r="C1222">
        <v>9</v>
      </c>
      <c r="D1222" t="str">
        <f>VLOOKUP(B1222, Products!$A$2:$C$100, 2, FALSE)</f>
        <v>Ritchey Timberwolf Frameset - 2016</v>
      </c>
      <c r="E1222">
        <v>1</v>
      </c>
      <c r="F1222">
        <v>2999.99</v>
      </c>
      <c r="G1222">
        <v>0.05</v>
      </c>
      <c r="H1222">
        <v>149.99949999999998</v>
      </c>
      <c r="I1222">
        <f>order_items[[#This Row],[list_price]]-order_items[[#This Row],[Discounted_price]]</f>
        <v>2849.9904999999999</v>
      </c>
      <c r="J1222">
        <f>VLOOKUP(B1222, Products!$A$2:$E$100, 3, FALSE)</f>
        <v>5</v>
      </c>
      <c r="K1222">
        <f>VLOOKUP(B1222, Products!$A$2:$F$100, 4, FALSE)</f>
        <v>6</v>
      </c>
    </row>
    <row r="1223" spans="1:11" x14ac:dyDescent="0.3">
      <c r="A1223">
        <v>435</v>
      </c>
      <c r="B1223">
        <v>3</v>
      </c>
      <c r="C1223">
        <v>18</v>
      </c>
      <c r="D1223" t="str">
        <f>VLOOKUP(B1223, Products!$A$2:$C$100, 2, FALSE)</f>
        <v>Surly Wednesday Frameset - 2016</v>
      </c>
      <c r="E1223">
        <v>1</v>
      </c>
      <c r="F1223">
        <v>449</v>
      </c>
      <c r="G1223">
        <v>0.05</v>
      </c>
      <c r="H1223">
        <v>22.450000000000003</v>
      </c>
      <c r="I1223">
        <f>order_items[[#This Row],[list_price]]-order_items[[#This Row],[Discounted_price]]</f>
        <v>426.55</v>
      </c>
      <c r="J1223">
        <f>VLOOKUP(B1223, Products!$A$2:$E$100, 3, FALSE)</f>
        <v>8</v>
      </c>
      <c r="K1223">
        <f>VLOOKUP(B1223, Products!$A$2:$F$100, 4, FALSE)</f>
        <v>6</v>
      </c>
    </row>
    <row r="1224" spans="1:11" x14ac:dyDescent="0.3">
      <c r="A1224">
        <v>436</v>
      </c>
      <c r="B1224">
        <v>1</v>
      </c>
      <c r="C1224">
        <v>3</v>
      </c>
      <c r="D1224" t="str">
        <f>VLOOKUP(B1224, Products!$A$2:$C$100, 2, FALSE)</f>
        <v>Trek 820 - 2016</v>
      </c>
      <c r="E1224">
        <v>1</v>
      </c>
      <c r="F1224">
        <v>999.99</v>
      </c>
      <c r="G1224">
        <v>0.05</v>
      </c>
      <c r="H1224">
        <v>49.999500000000005</v>
      </c>
      <c r="I1224">
        <f>order_items[[#This Row],[list_price]]-order_items[[#This Row],[Discounted_price]]</f>
        <v>949.9905</v>
      </c>
      <c r="J1224">
        <f>VLOOKUP(B1224, Products!$A$2:$E$100, 3, FALSE)</f>
        <v>9</v>
      </c>
      <c r="K1224">
        <f>VLOOKUP(B1224, Products!$A$2:$F$100, 4, FALSE)</f>
        <v>6</v>
      </c>
    </row>
    <row r="1225" spans="1:11" x14ac:dyDescent="0.3">
      <c r="A1225">
        <v>436</v>
      </c>
      <c r="B1225">
        <v>2</v>
      </c>
      <c r="C1225">
        <v>23</v>
      </c>
      <c r="D1225" t="str">
        <f>VLOOKUP(B1225, Products!$A$2:$C$100, 2, FALSE)</f>
        <v>Ritchey Timberwolf Frameset - 2016</v>
      </c>
      <c r="E1225">
        <v>1</v>
      </c>
      <c r="F1225">
        <v>299.99</v>
      </c>
      <c r="G1225">
        <v>0.2</v>
      </c>
      <c r="H1225">
        <v>59.998000000000005</v>
      </c>
      <c r="I1225">
        <f>order_items[[#This Row],[list_price]]-order_items[[#This Row],[Discounted_price]]</f>
        <v>239.99200000000002</v>
      </c>
      <c r="J1225">
        <f>VLOOKUP(B1225, Products!$A$2:$E$100, 3, FALSE)</f>
        <v>5</v>
      </c>
      <c r="K1225">
        <f>VLOOKUP(B1225, Products!$A$2:$F$100, 4, FALSE)</f>
        <v>6</v>
      </c>
    </row>
    <row r="1226" spans="1:11" x14ac:dyDescent="0.3">
      <c r="A1226">
        <v>437</v>
      </c>
      <c r="B1226">
        <v>1</v>
      </c>
      <c r="C1226">
        <v>3</v>
      </c>
      <c r="D1226" t="str">
        <f>VLOOKUP(B1226, Products!$A$2:$C$100, 2, FALSE)</f>
        <v>Trek 820 - 2016</v>
      </c>
      <c r="E1226">
        <v>1</v>
      </c>
      <c r="F1226">
        <v>999.99</v>
      </c>
      <c r="G1226">
        <v>0.05</v>
      </c>
      <c r="H1226">
        <v>49.999500000000005</v>
      </c>
      <c r="I1226">
        <f>order_items[[#This Row],[list_price]]-order_items[[#This Row],[Discounted_price]]</f>
        <v>949.9905</v>
      </c>
      <c r="J1226">
        <f>VLOOKUP(B1226, Products!$A$2:$E$100, 3, FALSE)</f>
        <v>9</v>
      </c>
      <c r="K1226">
        <f>VLOOKUP(B1226, Products!$A$2:$F$100, 4, FALSE)</f>
        <v>6</v>
      </c>
    </row>
    <row r="1227" spans="1:11" x14ac:dyDescent="0.3">
      <c r="A1227">
        <v>437</v>
      </c>
      <c r="B1227">
        <v>2</v>
      </c>
      <c r="C1227">
        <v>10</v>
      </c>
      <c r="D1227" t="str">
        <f>VLOOKUP(B1227, Products!$A$2:$C$100, 2, FALSE)</f>
        <v>Ritchey Timberwolf Frameset - 2016</v>
      </c>
      <c r="E1227">
        <v>1</v>
      </c>
      <c r="F1227">
        <v>1549</v>
      </c>
      <c r="G1227">
        <v>0.05</v>
      </c>
      <c r="H1227">
        <v>77.45</v>
      </c>
      <c r="I1227">
        <f>order_items[[#This Row],[list_price]]-order_items[[#This Row],[Discounted_price]]</f>
        <v>1471.55</v>
      </c>
      <c r="J1227">
        <f>VLOOKUP(B1227, Products!$A$2:$E$100, 3, FALSE)</f>
        <v>5</v>
      </c>
      <c r="K1227">
        <f>VLOOKUP(B1227, Products!$A$2:$F$100, 4, FALSE)</f>
        <v>6</v>
      </c>
    </row>
    <row r="1228" spans="1:11" x14ac:dyDescent="0.3">
      <c r="A1228">
        <v>437</v>
      </c>
      <c r="B1228">
        <v>3</v>
      </c>
      <c r="C1228">
        <v>8</v>
      </c>
      <c r="D1228" t="str">
        <f>VLOOKUP(B1228, Products!$A$2:$C$100, 2, FALSE)</f>
        <v>Surly Wednesday Frameset - 2016</v>
      </c>
      <c r="E1228">
        <v>2</v>
      </c>
      <c r="F1228">
        <v>1799.99</v>
      </c>
      <c r="G1228">
        <v>0.05</v>
      </c>
      <c r="H1228">
        <v>89.999500000000012</v>
      </c>
      <c r="I1228">
        <f>order_items[[#This Row],[list_price]]-order_items[[#This Row],[Discounted_price]]</f>
        <v>1709.9904999999999</v>
      </c>
      <c r="J1228">
        <f>VLOOKUP(B1228, Products!$A$2:$E$100, 3, FALSE)</f>
        <v>8</v>
      </c>
      <c r="K1228">
        <f>VLOOKUP(B1228, Products!$A$2:$F$100, 4, FALSE)</f>
        <v>6</v>
      </c>
    </row>
    <row r="1229" spans="1:11" x14ac:dyDescent="0.3">
      <c r="A1229">
        <v>438</v>
      </c>
      <c r="B1229">
        <v>1</v>
      </c>
      <c r="C1229">
        <v>4</v>
      </c>
      <c r="D1229" t="str">
        <f>VLOOKUP(B1229, Products!$A$2:$C$100, 2, FALSE)</f>
        <v>Trek 820 - 2016</v>
      </c>
      <c r="E1229">
        <v>1</v>
      </c>
      <c r="F1229">
        <v>2899.99</v>
      </c>
      <c r="G1229">
        <v>7.0000000000000007E-2</v>
      </c>
      <c r="H1229">
        <v>202.99930000000001</v>
      </c>
      <c r="I1229">
        <f>order_items[[#This Row],[list_price]]-order_items[[#This Row],[Discounted_price]]</f>
        <v>2696.9906999999998</v>
      </c>
      <c r="J1229">
        <f>VLOOKUP(B1229, Products!$A$2:$E$100, 3, FALSE)</f>
        <v>9</v>
      </c>
      <c r="K1229">
        <f>VLOOKUP(B1229, Products!$A$2:$F$100, 4, FALSE)</f>
        <v>6</v>
      </c>
    </row>
    <row r="1230" spans="1:11" x14ac:dyDescent="0.3">
      <c r="A1230">
        <v>438</v>
      </c>
      <c r="B1230">
        <v>2</v>
      </c>
      <c r="C1230">
        <v>22</v>
      </c>
      <c r="D1230" t="str">
        <f>VLOOKUP(B1230, Products!$A$2:$C$100, 2, FALSE)</f>
        <v>Ritchey Timberwolf Frameset - 2016</v>
      </c>
      <c r="E1230">
        <v>1</v>
      </c>
      <c r="F1230">
        <v>269.99</v>
      </c>
      <c r="G1230">
        <v>0.1</v>
      </c>
      <c r="H1230">
        <v>26.999000000000002</v>
      </c>
      <c r="I1230">
        <f>order_items[[#This Row],[list_price]]-order_items[[#This Row],[Discounted_price]]</f>
        <v>242.99100000000001</v>
      </c>
      <c r="J1230">
        <f>VLOOKUP(B1230, Products!$A$2:$E$100, 3, FALSE)</f>
        <v>5</v>
      </c>
      <c r="K1230">
        <f>VLOOKUP(B1230, Products!$A$2:$F$100, 4, FALSE)</f>
        <v>6</v>
      </c>
    </row>
    <row r="1231" spans="1:11" x14ac:dyDescent="0.3">
      <c r="A1231">
        <v>438</v>
      </c>
      <c r="B1231">
        <v>3</v>
      </c>
      <c r="C1231">
        <v>8</v>
      </c>
      <c r="D1231" t="str">
        <f>VLOOKUP(B1231, Products!$A$2:$C$100, 2, FALSE)</f>
        <v>Surly Wednesday Frameset - 2016</v>
      </c>
      <c r="E1231">
        <v>2</v>
      </c>
      <c r="F1231">
        <v>1799.99</v>
      </c>
      <c r="G1231">
        <v>0.05</v>
      </c>
      <c r="H1231">
        <v>89.999500000000012</v>
      </c>
      <c r="I1231">
        <f>order_items[[#This Row],[list_price]]-order_items[[#This Row],[Discounted_price]]</f>
        <v>1709.9904999999999</v>
      </c>
      <c r="J1231">
        <f>VLOOKUP(B1231, Products!$A$2:$E$100, 3, FALSE)</f>
        <v>8</v>
      </c>
      <c r="K1231">
        <f>VLOOKUP(B1231, Products!$A$2:$F$100, 4, FALSE)</f>
        <v>6</v>
      </c>
    </row>
    <row r="1232" spans="1:11" x14ac:dyDescent="0.3">
      <c r="A1232">
        <v>438</v>
      </c>
      <c r="B1232">
        <v>4</v>
      </c>
      <c r="C1232">
        <v>13</v>
      </c>
      <c r="D1232" t="str">
        <f>VLOOKUP(B1232, Products!$A$2:$C$100, 2, FALSE)</f>
        <v>Trek Fuel EX 8 29 - 2016</v>
      </c>
      <c r="E1232">
        <v>2</v>
      </c>
      <c r="F1232">
        <v>269.99</v>
      </c>
      <c r="G1232">
        <v>0.05</v>
      </c>
      <c r="H1232">
        <v>13.499500000000001</v>
      </c>
      <c r="I1232">
        <f>order_items[[#This Row],[list_price]]-order_items[[#This Row],[Discounted_price]]</f>
        <v>256.4905</v>
      </c>
      <c r="J1232">
        <f>VLOOKUP(B1232, Products!$A$2:$E$100, 3, FALSE)</f>
        <v>9</v>
      </c>
      <c r="K1232">
        <f>VLOOKUP(B1232, Products!$A$2:$F$100, 4, FALSE)</f>
        <v>6</v>
      </c>
    </row>
    <row r="1233" spans="1:11" x14ac:dyDescent="0.3">
      <c r="A1233">
        <v>439</v>
      </c>
      <c r="B1233">
        <v>1</v>
      </c>
      <c r="C1233">
        <v>6</v>
      </c>
      <c r="D1233" t="str">
        <f>VLOOKUP(B1233, Products!$A$2:$C$100, 2, FALSE)</f>
        <v>Trek 820 - 2016</v>
      </c>
      <c r="E1233">
        <v>2</v>
      </c>
      <c r="F1233">
        <v>469.99</v>
      </c>
      <c r="G1233">
        <v>7.0000000000000007E-2</v>
      </c>
      <c r="H1233">
        <v>32.899300000000004</v>
      </c>
      <c r="I1233">
        <f>order_items[[#This Row],[list_price]]-order_items[[#This Row],[Discounted_price]]</f>
        <v>437.09070000000003</v>
      </c>
      <c r="J1233">
        <f>VLOOKUP(B1233, Products!$A$2:$E$100, 3, FALSE)</f>
        <v>9</v>
      </c>
      <c r="K1233">
        <f>VLOOKUP(B1233, Products!$A$2:$F$100, 4, FALSE)</f>
        <v>6</v>
      </c>
    </row>
    <row r="1234" spans="1:11" x14ac:dyDescent="0.3">
      <c r="A1234">
        <v>439</v>
      </c>
      <c r="B1234">
        <v>2</v>
      </c>
      <c r="C1234">
        <v>7</v>
      </c>
      <c r="D1234" t="str">
        <f>VLOOKUP(B1234, Products!$A$2:$C$100, 2, FALSE)</f>
        <v>Ritchey Timberwolf Frameset - 2016</v>
      </c>
      <c r="E1234">
        <v>2</v>
      </c>
      <c r="F1234">
        <v>3999.99</v>
      </c>
      <c r="G1234">
        <v>0.05</v>
      </c>
      <c r="H1234">
        <v>199.99950000000001</v>
      </c>
      <c r="I1234">
        <f>order_items[[#This Row],[list_price]]-order_items[[#This Row],[Discounted_price]]</f>
        <v>3799.9904999999999</v>
      </c>
      <c r="J1234">
        <f>VLOOKUP(B1234, Products!$A$2:$E$100, 3, FALSE)</f>
        <v>5</v>
      </c>
      <c r="K1234">
        <f>VLOOKUP(B1234, Products!$A$2:$F$100, 4, FALSE)</f>
        <v>6</v>
      </c>
    </row>
    <row r="1235" spans="1:11" x14ac:dyDescent="0.3">
      <c r="A1235">
        <v>440</v>
      </c>
      <c r="B1235">
        <v>1</v>
      </c>
      <c r="C1235">
        <v>19</v>
      </c>
      <c r="D1235" t="str">
        <f>VLOOKUP(B1235, Products!$A$2:$C$100, 2, FALSE)</f>
        <v>Trek 820 - 2016</v>
      </c>
      <c r="E1235">
        <v>2</v>
      </c>
      <c r="F1235">
        <v>449</v>
      </c>
      <c r="G1235">
        <v>7.0000000000000007E-2</v>
      </c>
      <c r="H1235">
        <v>31.430000000000003</v>
      </c>
      <c r="I1235">
        <f>order_items[[#This Row],[list_price]]-order_items[[#This Row],[Discounted_price]]</f>
        <v>417.57</v>
      </c>
      <c r="J1235">
        <f>VLOOKUP(B1235, Products!$A$2:$E$100, 3, FALSE)</f>
        <v>9</v>
      </c>
      <c r="K1235">
        <f>VLOOKUP(B1235, Products!$A$2:$F$100, 4, FALSE)</f>
        <v>6</v>
      </c>
    </row>
    <row r="1236" spans="1:11" x14ac:dyDescent="0.3">
      <c r="A1236">
        <v>440</v>
      </c>
      <c r="B1236">
        <v>2</v>
      </c>
      <c r="C1236">
        <v>4</v>
      </c>
      <c r="D1236" t="str">
        <f>VLOOKUP(B1236, Products!$A$2:$C$100, 2, FALSE)</f>
        <v>Ritchey Timberwolf Frameset - 2016</v>
      </c>
      <c r="E1236">
        <v>2</v>
      </c>
      <c r="F1236">
        <v>2899.99</v>
      </c>
      <c r="G1236">
        <v>7.0000000000000007E-2</v>
      </c>
      <c r="H1236">
        <v>202.99930000000001</v>
      </c>
      <c r="I1236">
        <f>order_items[[#This Row],[list_price]]-order_items[[#This Row],[Discounted_price]]</f>
        <v>2696.9906999999998</v>
      </c>
      <c r="J1236">
        <f>VLOOKUP(B1236, Products!$A$2:$E$100, 3, FALSE)</f>
        <v>5</v>
      </c>
      <c r="K1236">
        <f>VLOOKUP(B1236, Products!$A$2:$F$100, 4, FALSE)</f>
        <v>6</v>
      </c>
    </row>
    <row r="1237" spans="1:11" x14ac:dyDescent="0.3">
      <c r="A1237">
        <v>441</v>
      </c>
      <c r="B1237">
        <v>1</v>
      </c>
      <c r="C1237">
        <v>12</v>
      </c>
      <c r="D1237" t="str">
        <f>VLOOKUP(B1237, Products!$A$2:$C$100, 2, FALSE)</f>
        <v>Trek 820 - 2016</v>
      </c>
      <c r="E1237">
        <v>1</v>
      </c>
      <c r="F1237">
        <v>549.99</v>
      </c>
      <c r="G1237">
        <v>7.0000000000000007E-2</v>
      </c>
      <c r="H1237">
        <v>38.499300000000005</v>
      </c>
      <c r="I1237">
        <f>order_items[[#This Row],[list_price]]-order_items[[#This Row],[Discounted_price]]</f>
        <v>511.4907</v>
      </c>
      <c r="J1237">
        <f>VLOOKUP(B1237, Products!$A$2:$E$100, 3, FALSE)</f>
        <v>9</v>
      </c>
      <c r="K1237">
        <f>VLOOKUP(B1237, Products!$A$2:$F$100, 4, FALSE)</f>
        <v>6</v>
      </c>
    </row>
    <row r="1238" spans="1:11" x14ac:dyDescent="0.3">
      <c r="A1238">
        <v>441</v>
      </c>
      <c r="B1238">
        <v>2</v>
      </c>
      <c r="C1238">
        <v>15</v>
      </c>
      <c r="D1238" t="str">
        <f>VLOOKUP(B1238, Products!$A$2:$C$100, 2, FALSE)</f>
        <v>Ritchey Timberwolf Frameset - 2016</v>
      </c>
      <c r="E1238">
        <v>1</v>
      </c>
      <c r="F1238">
        <v>529.99</v>
      </c>
      <c r="G1238">
        <v>0.1</v>
      </c>
      <c r="H1238">
        <v>52.999000000000002</v>
      </c>
      <c r="I1238">
        <f>order_items[[#This Row],[list_price]]-order_items[[#This Row],[Discounted_price]]</f>
        <v>476.99099999999999</v>
      </c>
      <c r="J1238">
        <f>VLOOKUP(B1238, Products!$A$2:$E$100, 3, FALSE)</f>
        <v>5</v>
      </c>
      <c r="K1238">
        <f>VLOOKUP(B1238, Products!$A$2:$F$100, 4, FALSE)</f>
        <v>6</v>
      </c>
    </row>
    <row r="1239" spans="1:11" x14ac:dyDescent="0.3">
      <c r="A1239">
        <v>442</v>
      </c>
      <c r="B1239">
        <v>1</v>
      </c>
      <c r="C1239">
        <v>16</v>
      </c>
      <c r="D1239" t="str">
        <f>VLOOKUP(B1239, Products!$A$2:$C$100, 2, FALSE)</f>
        <v>Trek 820 - 2016</v>
      </c>
      <c r="E1239">
        <v>2</v>
      </c>
      <c r="F1239">
        <v>599.99</v>
      </c>
      <c r="G1239">
        <v>7.0000000000000007E-2</v>
      </c>
      <c r="H1239">
        <v>41.999300000000005</v>
      </c>
      <c r="I1239">
        <f>order_items[[#This Row],[list_price]]-order_items[[#This Row],[Discounted_price]]</f>
        <v>557.99070000000006</v>
      </c>
      <c r="J1239">
        <f>VLOOKUP(B1239, Products!$A$2:$E$100, 3, FALSE)</f>
        <v>9</v>
      </c>
      <c r="K1239">
        <f>VLOOKUP(B1239, Products!$A$2:$F$100, 4, FALSE)</f>
        <v>6</v>
      </c>
    </row>
    <row r="1240" spans="1:11" x14ac:dyDescent="0.3">
      <c r="A1240">
        <v>442</v>
      </c>
      <c r="B1240">
        <v>2</v>
      </c>
      <c r="C1240">
        <v>26</v>
      </c>
      <c r="D1240" t="str">
        <f>VLOOKUP(B1240, Products!$A$2:$C$100, 2, FALSE)</f>
        <v>Ritchey Timberwolf Frameset - 2016</v>
      </c>
      <c r="E1240">
        <v>2</v>
      </c>
      <c r="F1240">
        <v>599.99</v>
      </c>
      <c r="G1240">
        <v>0.2</v>
      </c>
      <c r="H1240">
        <v>119.998</v>
      </c>
      <c r="I1240">
        <f>order_items[[#This Row],[list_price]]-order_items[[#This Row],[Discounted_price]]</f>
        <v>479.99200000000002</v>
      </c>
      <c r="J1240">
        <f>VLOOKUP(B1240, Products!$A$2:$E$100, 3, FALSE)</f>
        <v>5</v>
      </c>
      <c r="K1240">
        <f>VLOOKUP(B1240, Products!$A$2:$F$100, 4, FALSE)</f>
        <v>6</v>
      </c>
    </row>
    <row r="1241" spans="1:11" x14ac:dyDescent="0.3">
      <c r="A1241">
        <v>442</v>
      </c>
      <c r="B1241">
        <v>3</v>
      </c>
      <c r="C1241">
        <v>6</v>
      </c>
      <c r="D1241" t="str">
        <f>VLOOKUP(B1241, Products!$A$2:$C$100, 2, FALSE)</f>
        <v>Surly Wednesday Frameset - 2016</v>
      </c>
      <c r="E1241">
        <v>2</v>
      </c>
      <c r="F1241">
        <v>469.99</v>
      </c>
      <c r="G1241">
        <v>0.2</v>
      </c>
      <c r="H1241">
        <v>93.998000000000005</v>
      </c>
      <c r="I1241">
        <f>order_items[[#This Row],[list_price]]-order_items[[#This Row],[Discounted_price]]</f>
        <v>375.99200000000002</v>
      </c>
      <c r="J1241">
        <f>VLOOKUP(B1241, Products!$A$2:$E$100, 3, FALSE)</f>
        <v>8</v>
      </c>
      <c r="K1241">
        <f>VLOOKUP(B1241, Products!$A$2:$F$100, 4, FALSE)</f>
        <v>6</v>
      </c>
    </row>
    <row r="1242" spans="1:11" x14ac:dyDescent="0.3">
      <c r="A1242">
        <v>443</v>
      </c>
      <c r="B1242">
        <v>1</v>
      </c>
      <c r="C1242">
        <v>5</v>
      </c>
      <c r="D1242" t="str">
        <f>VLOOKUP(B1242, Products!$A$2:$C$100, 2, FALSE)</f>
        <v>Trek 820 - 2016</v>
      </c>
      <c r="E1242">
        <v>1</v>
      </c>
      <c r="F1242">
        <v>1320.99</v>
      </c>
      <c r="G1242">
        <v>0.05</v>
      </c>
      <c r="H1242">
        <v>66.049500000000009</v>
      </c>
      <c r="I1242">
        <f>order_items[[#This Row],[list_price]]-order_items[[#This Row],[Discounted_price]]</f>
        <v>1254.9404999999999</v>
      </c>
      <c r="J1242">
        <f>VLOOKUP(B1242, Products!$A$2:$E$100, 3, FALSE)</f>
        <v>9</v>
      </c>
      <c r="K1242">
        <f>VLOOKUP(B1242, Products!$A$2:$F$100, 4, FALSE)</f>
        <v>6</v>
      </c>
    </row>
    <row r="1243" spans="1:11" x14ac:dyDescent="0.3">
      <c r="A1243">
        <v>443</v>
      </c>
      <c r="B1243">
        <v>2</v>
      </c>
      <c r="C1243">
        <v>26</v>
      </c>
      <c r="D1243" t="str">
        <f>VLOOKUP(B1243, Products!$A$2:$C$100, 2, FALSE)</f>
        <v>Ritchey Timberwolf Frameset - 2016</v>
      </c>
      <c r="E1243">
        <v>1</v>
      </c>
      <c r="F1243">
        <v>599.99</v>
      </c>
      <c r="G1243">
        <v>0.2</v>
      </c>
      <c r="H1243">
        <v>119.998</v>
      </c>
      <c r="I1243">
        <f>order_items[[#This Row],[list_price]]-order_items[[#This Row],[Discounted_price]]</f>
        <v>479.99200000000002</v>
      </c>
      <c r="J1243">
        <f>VLOOKUP(B1243, Products!$A$2:$E$100, 3, FALSE)</f>
        <v>5</v>
      </c>
      <c r="K1243">
        <f>VLOOKUP(B1243, Products!$A$2:$F$100, 4, FALSE)</f>
        <v>6</v>
      </c>
    </row>
    <row r="1244" spans="1:11" x14ac:dyDescent="0.3">
      <c r="A1244">
        <v>444</v>
      </c>
      <c r="B1244">
        <v>1</v>
      </c>
      <c r="C1244">
        <v>22</v>
      </c>
      <c r="D1244" t="str">
        <f>VLOOKUP(B1244, Products!$A$2:$C$100, 2, FALSE)</f>
        <v>Trek 820 - 2016</v>
      </c>
      <c r="E1244">
        <v>1</v>
      </c>
      <c r="F1244">
        <v>269.99</v>
      </c>
      <c r="G1244">
        <v>7.0000000000000007E-2</v>
      </c>
      <c r="H1244">
        <v>18.899300000000004</v>
      </c>
      <c r="I1244">
        <f>order_items[[#This Row],[list_price]]-order_items[[#This Row],[Discounted_price]]</f>
        <v>251.0907</v>
      </c>
      <c r="J1244">
        <f>VLOOKUP(B1244, Products!$A$2:$E$100, 3, FALSE)</f>
        <v>9</v>
      </c>
      <c r="K1244">
        <f>VLOOKUP(B1244, Products!$A$2:$F$100, 4, FALSE)</f>
        <v>6</v>
      </c>
    </row>
    <row r="1245" spans="1:11" x14ac:dyDescent="0.3">
      <c r="A1245">
        <v>444</v>
      </c>
      <c r="B1245">
        <v>2</v>
      </c>
      <c r="C1245">
        <v>15</v>
      </c>
      <c r="D1245" t="str">
        <f>VLOOKUP(B1245, Products!$A$2:$C$100, 2, FALSE)</f>
        <v>Ritchey Timberwolf Frameset - 2016</v>
      </c>
      <c r="E1245">
        <v>2</v>
      </c>
      <c r="F1245">
        <v>529.99</v>
      </c>
      <c r="G1245">
        <v>7.0000000000000007E-2</v>
      </c>
      <c r="H1245">
        <v>37.099300000000007</v>
      </c>
      <c r="I1245">
        <f>order_items[[#This Row],[list_price]]-order_items[[#This Row],[Discounted_price]]</f>
        <v>492.89069999999998</v>
      </c>
      <c r="J1245">
        <f>VLOOKUP(B1245, Products!$A$2:$E$100, 3, FALSE)</f>
        <v>5</v>
      </c>
      <c r="K1245">
        <f>VLOOKUP(B1245, Products!$A$2:$F$100, 4, FALSE)</f>
        <v>6</v>
      </c>
    </row>
    <row r="1246" spans="1:11" x14ac:dyDescent="0.3">
      <c r="A1246">
        <v>444</v>
      </c>
      <c r="B1246">
        <v>3</v>
      </c>
      <c r="C1246">
        <v>20</v>
      </c>
      <c r="D1246" t="str">
        <f>VLOOKUP(B1246, Products!$A$2:$C$100, 2, FALSE)</f>
        <v>Surly Wednesday Frameset - 2016</v>
      </c>
      <c r="E1246">
        <v>2</v>
      </c>
      <c r="F1246">
        <v>599.99</v>
      </c>
      <c r="G1246">
        <v>0.05</v>
      </c>
      <c r="H1246">
        <v>29.999500000000001</v>
      </c>
      <c r="I1246">
        <f>order_items[[#This Row],[list_price]]-order_items[[#This Row],[Discounted_price]]</f>
        <v>569.9905</v>
      </c>
      <c r="J1246">
        <f>VLOOKUP(B1246, Products!$A$2:$E$100, 3, FALSE)</f>
        <v>8</v>
      </c>
      <c r="K1246">
        <f>VLOOKUP(B1246, Products!$A$2:$F$100, 4, FALSE)</f>
        <v>6</v>
      </c>
    </row>
    <row r="1247" spans="1:11" x14ac:dyDescent="0.3">
      <c r="A1247">
        <v>444</v>
      </c>
      <c r="B1247">
        <v>4</v>
      </c>
      <c r="C1247">
        <v>16</v>
      </c>
      <c r="D1247" t="str">
        <f>VLOOKUP(B1247, Products!$A$2:$C$100, 2, FALSE)</f>
        <v>Trek Fuel EX 8 29 - 2016</v>
      </c>
      <c r="E1247">
        <v>1</v>
      </c>
      <c r="F1247">
        <v>599.99</v>
      </c>
      <c r="G1247">
        <v>0.1</v>
      </c>
      <c r="H1247">
        <v>59.999000000000002</v>
      </c>
      <c r="I1247">
        <f>order_items[[#This Row],[list_price]]-order_items[[#This Row],[Discounted_price]]</f>
        <v>539.99099999999999</v>
      </c>
      <c r="J1247">
        <f>VLOOKUP(B1247, Products!$A$2:$E$100, 3, FALSE)</f>
        <v>9</v>
      </c>
      <c r="K1247">
        <f>VLOOKUP(B1247, Products!$A$2:$F$100, 4, FALSE)</f>
        <v>6</v>
      </c>
    </row>
    <row r="1248" spans="1:11" x14ac:dyDescent="0.3">
      <c r="A1248">
        <v>444</v>
      </c>
      <c r="B1248">
        <v>5</v>
      </c>
      <c r="C1248">
        <v>10</v>
      </c>
      <c r="D1248" t="str">
        <f>VLOOKUP(B1248, Products!$A$2:$C$100, 2, FALSE)</f>
        <v>Heller Shagamaw Frame - 2016</v>
      </c>
      <c r="E1248">
        <v>2</v>
      </c>
      <c r="F1248">
        <v>1549</v>
      </c>
      <c r="G1248">
        <v>0.2</v>
      </c>
      <c r="H1248">
        <v>309.8</v>
      </c>
      <c r="I1248">
        <f>order_items[[#This Row],[list_price]]-order_items[[#This Row],[Discounted_price]]</f>
        <v>1239.2</v>
      </c>
      <c r="J1248">
        <f>VLOOKUP(B1248, Products!$A$2:$E$100, 3, FALSE)</f>
        <v>3</v>
      </c>
      <c r="K1248">
        <f>VLOOKUP(B1248, Products!$A$2:$F$100, 4, FALSE)</f>
        <v>6</v>
      </c>
    </row>
    <row r="1249" spans="1:11" x14ac:dyDescent="0.3">
      <c r="A1249">
        <v>445</v>
      </c>
      <c r="B1249">
        <v>1</v>
      </c>
      <c r="C1249">
        <v>7</v>
      </c>
      <c r="D1249" t="str">
        <f>VLOOKUP(B1249, Products!$A$2:$C$100, 2, FALSE)</f>
        <v>Trek 820 - 2016</v>
      </c>
      <c r="E1249">
        <v>1</v>
      </c>
      <c r="F1249">
        <v>3999.99</v>
      </c>
      <c r="G1249">
        <v>0.2</v>
      </c>
      <c r="H1249">
        <v>799.99800000000005</v>
      </c>
      <c r="I1249">
        <f>order_items[[#This Row],[list_price]]-order_items[[#This Row],[Discounted_price]]</f>
        <v>3199.9919999999997</v>
      </c>
      <c r="J1249">
        <f>VLOOKUP(B1249, Products!$A$2:$E$100, 3, FALSE)</f>
        <v>9</v>
      </c>
      <c r="K1249">
        <f>VLOOKUP(B1249, Products!$A$2:$F$100, 4, FALSE)</f>
        <v>6</v>
      </c>
    </row>
    <row r="1250" spans="1:11" x14ac:dyDescent="0.3">
      <c r="A1250">
        <v>445</v>
      </c>
      <c r="B1250">
        <v>2</v>
      </c>
      <c r="C1250">
        <v>16</v>
      </c>
      <c r="D1250" t="str">
        <f>VLOOKUP(B1250, Products!$A$2:$C$100, 2, FALSE)</f>
        <v>Ritchey Timberwolf Frameset - 2016</v>
      </c>
      <c r="E1250">
        <v>1</v>
      </c>
      <c r="F1250">
        <v>599.99</v>
      </c>
      <c r="G1250">
        <v>7.0000000000000007E-2</v>
      </c>
      <c r="H1250">
        <v>41.999300000000005</v>
      </c>
      <c r="I1250">
        <f>order_items[[#This Row],[list_price]]-order_items[[#This Row],[Discounted_price]]</f>
        <v>557.99070000000006</v>
      </c>
      <c r="J1250">
        <f>VLOOKUP(B1250, Products!$A$2:$E$100, 3, FALSE)</f>
        <v>5</v>
      </c>
      <c r="K1250">
        <f>VLOOKUP(B1250, Products!$A$2:$F$100, 4, FALSE)</f>
        <v>6</v>
      </c>
    </row>
    <row r="1251" spans="1:11" x14ac:dyDescent="0.3">
      <c r="A1251">
        <v>445</v>
      </c>
      <c r="B1251">
        <v>3</v>
      </c>
      <c r="C1251">
        <v>23</v>
      </c>
      <c r="D1251" t="str">
        <f>VLOOKUP(B1251, Products!$A$2:$C$100, 2, FALSE)</f>
        <v>Surly Wednesday Frameset - 2016</v>
      </c>
      <c r="E1251">
        <v>1</v>
      </c>
      <c r="F1251">
        <v>299.99</v>
      </c>
      <c r="G1251">
        <v>0.2</v>
      </c>
      <c r="H1251">
        <v>59.998000000000005</v>
      </c>
      <c r="I1251">
        <f>order_items[[#This Row],[list_price]]-order_items[[#This Row],[Discounted_price]]</f>
        <v>239.99200000000002</v>
      </c>
      <c r="J1251">
        <f>VLOOKUP(B1251, Products!$A$2:$E$100, 3, FALSE)</f>
        <v>8</v>
      </c>
      <c r="K1251">
        <f>VLOOKUP(B1251, Products!$A$2:$F$100, 4, FALSE)</f>
        <v>6</v>
      </c>
    </row>
    <row r="1252" spans="1:11" x14ac:dyDescent="0.3">
      <c r="A1252">
        <v>446</v>
      </c>
      <c r="B1252">
        <v>1</v>
      </c>
      <c r="C1252">
        <v>22</v>
      </c>
      <c r="D1252" t="str">
        <f>VLOOKUP(B1252, Products!$A$2:$C$100, 2, FALSE)</f>
        <v>Trek 820 - 2016</v>
      </c>
      <c r="E1252">
        <v>1</v>
      </c>
      <c r="F1252">
        <v>269.99</v>
      </c>
      <c r="G1252">
        <v>0.2</v>
      </c>
      <c r="H1252">
        <v>53.998000000000005</v>
      </c>
      <c r="I1252">
        <f>order_items[[#This Row],[list_price]]-order_items[[#This Row],[Discounted_price]]</f>
        <v>215.99200000000002</v>
      </c>
      <c r="J1252">
        <f>VLOOKUP(B1252, Products!$A$2:$E$100, 3, FALSE)</f>
        <v>9</v>
      </c>
      <c r="K1252">
        <f>VLOOKUP(B1252, Products!$A$2:$F$100, 4, FALSE)</f>
        <v>6</v>
      </c>
    </row>
    <row r="1253" spans="1:11" x14ac:dyDescent="0.3">
      <c r="A1253">
        <v>446</v>
      </c>
      <c r="B1253">
        <v>2</v>
      </c>
      <c r="C1253">
        <v>16</v>
      </c>
      <c r="D1253" t="str">
        <f>VLOOKUP(B1253, Products!$A$2:$C$100, 2, FALSE)</f>
        <v>Ritchey Timberwolf Frameset - 2016</v>
      </c>
      <c r="E1253">
        <v>2</v>
      </c>
      <c r="F1253">
        <v>599.99</v>
      </c>
      <c r="G1253">
        <v>7.0000000000000007E-2</v>
      </c>
      <c r="H1253">
        <v>41.999300000000005</v>
      </c>
      <c r="I1253">
        <f>order_items[[#This Row],[list_price]]-order_items[[#This Row],[Discounted_price]]</f>
        <v>557.99070000000006</v>
      </c>
      <c r="J1253">
        <f>VLOOKUP(B1253, Products!$A$2:$E$100, 3, FALSE)</f>
        <v>5</v>
      </c>
      <c r="K1253">
        <f>VLOOKUP(B1253, Products!$A$2:$F$100, 4, FALSE)</f>
        <v>6</v>
      </c>
    </row>
    <row r="1254" spans="1:11" x14ac:dyDescent="0.3">
      <c r="A1254">
        <v>447</v>
      </c>
      <c r="B1254">
        <v>1</v>
      </c>
      <c r="C1254">
        <v>4</v>
      </c>
      <c r="D1254" t="str">
        <f>VLOOKUP(B1254, Products!$A$2:$C$100, 2, FALSE)</f>
        <v>Trek 820 - 2016</v>
      </c>
      <c r="E1254">
        <v>2</v>
      </c>
      <c r="F1254">
        <v>2899.99</v>
      </c>
      <c r="G1254">
        <v>0.05</v>
      </c>
      <c r="H1254">
        <v>144.99949999999998</v>
      </c>
      <c r="I1254">
        <f>order_items[[#This Row],[list_price]]-order_items[[#This Row],[Discounted_price]]</f>
        <v>2754.9904999999999</v>
      </c>
      <c r="J1254">
        <f>VLOOKUP(B1254, Products!$A$2:$E$100, 3, FALSE)</f>
        <v>9</v>
      </c>
      <c r="K1254">
        <f>VLOOKUP(B1254, Products!$A$2:$F$100, 4, FALSE)</f>
        <v>6</v>
      </c>
    </row>
    <row r="1255" spans="1:11" x14ac:dyDescent="0.3">
      <c r="A1255">
        <v>447</v>
      </c>
      <c r="B1255">
        <v>2</v>
      </c>
      <c r="C1255">
        <v>3</v>
      </c>
      <c r="D1255" t="str">
        <f>VLOOKUP(B1255, Products!$A$2:$C$100, 2, FALSE)</f>
        <v>Ritchey Timberwolf Frameset - 2016</v>
      </c>
      <c r="E1255">
        <v>1</v>
      </c>
      <c r="F1255">
        <v>999.99</v>
      </c>
      <c r="G1255">
        <v>0.1</v>
      </c>
      <c r="H1255">
        <v>99.999000000000009</v>
      </c>
      <c r="I1255">
        <f>order_items[[#This Row],[list_price]]-order_items[[#This Row],[Discounted_price]]</f>
        <v>899.99099999999999</v>
      </c>
      <c r="J1255">
        <f>VLOOKUP(B1255, Products!$A$2:$E$100, 3, FALSE)</f>
        <v>5</v>
      </c>
      <c r="K1255">
        <f>VLOOKUP(B1255, Products!$A$2:$F$100, 4, FALSE)</f>
        <v>6</v>
      </c>
    </row>
    <row r="1256" spans="1:11" x14ac:dyDescent="0.3">
      <c r="A1256">
        <v>447</v>
      </c>
      <c r="B1256">
        <v>3</v>
      </c>
      <c r="C1256">
        <v>8</v>
      </c>
      <c r="D1256" t="str">
        <f>VLOOKUP(B1256, Products!$A$2:$C$100, 2, FALSE)</f>
        <v>Surly Wednesday Frameset - 2016</v>
      </c>
      <c r="E1256">
        <v>1</v>
      </c>
      <c r="F1256">
        <v>1799.99</v>
      </c>
      <c r="G1256">
        <v>7.0000000000000007E-2</v>
      </c>
      <c r="H1256">
        <v>125.99930000000002</v>
      </c>
      <c r="I1256">
        <f>order_items[[#This Row],[list_price]]-order_items[[#This Row],[Discounted_price]]</f>
        <v>1673.9907000000001</v>
      </c>
      <c r="J1256">
        <f>VLOOKUP(B1256, Products!$A$2:$E$100, 3, FALSE)</f>
        <v>8</v>
      </c>
      <c r="K1256">
        <f>VLOOKUP(B1256, Products!$A$2:$F$100, 4, FALSE)</f>
        <v>6</v>
      </c>
    </row>
    <row r="1257" spans="1:11" x14ac:dyDescent="0.3">
      <c r="A1257">
        <v>448</v>
      </c>
      <c r="B1257">
        <v>1</v>
      </c>
      <c r="C1257">
        <v>13</v>
      </c>
      <c r="D1257" t="str">
        <f>VLOOKUP(B1257, Products!$A$2:$C$100, 2, FALSE)</f>
        <v>Trek 820 - 2016</v>
      </c>
      <c r="E1257">
        <v>2</v>
      </c>
      <c r="F1257">
        <v>269.99</v>
      </c>
      <c r="G1257">
        <v>0.05</v>
      </c>
      <c r="H1257">
        <v>13.499500000000001</v>
      </c>
      <c r="I1257">
        <f>order_items[[#This Row],[list_price]]-order_items[[#This Row],[Discounted_price]]</f>
        <v>256.4905</v>
      </c>
      <c r="J1257">
        <f>VLOOKUP(B1257, Products!$A$2:$E$100, 3, FALSE)</f>
        <v>9</v>
      </c>
      <c r="K1257">
        <f>VLOOKUP(B1257, Products!$A$2:$F$100, 4, FALSE)</f>
        <v>6</v>
      </c>
    </row>
    <row r="1258" spans="1:11" x14ac:dyDescent="0.3">
      <c r="A1258">
        <v>448</v>
      </c>
      <c r="B1258">
        <v>2</v>
      </c>
      <c r="C1258">
        <v>6</v>
      </c>
      <c r="D1258" t="str">
        <f>VLOOKUP(B1258, Products!$A$2:$C$100, 2, FALSE)</f>
        <v>Ritchey Timberwolf Frameset - 2016</v>
      </c>
      <c r="E1258">
        <v>2</v>
      </c>
      <c r="F1258">
        <v>469.99</v>
      </c>
      <c r="G1258">
        <v>0.05</v>
      </c>
      <c r="H1258">
        <v>23.499500000000001</v>
      </c>
      <c r="I1258">
        <f>order_items[[#This Row],[list_price]]-order_items[[#This Row],[Discounted_price]]</f>
        <v>446.4905</v>
      </c>
      <c r="J1258">
        <f>VLOOKUP(B1258, Products!$A$2:$E$100, 3, FALSE)</f>
        <v>5</v>
      </c>
      <c r="K1258">
        <f>VLOOKUP(B1258, Products!$A$2:$F$100, 4, FALSE)</f>
        <v>6</v>
      </c>
    </row>
    <row r="1259" spans="1:11" x14ac:dyDescent="0.3">
      <c r="A1259">
        <v>449</v>
      </c>
      <c r="B1259">
        <v>1</v>
      </c>
      <c r="C1259">
        <v>17</v>
      </c>
      <c r="D1259" t="str">
        <f>VLOOKUP(B1259, Products!$A$2:$C$100, 2, FALSE)</f>
        <v>Trek 820 - 2016</v>
      </c>
      <c r="E1259">
        <v>2</v>
      </c>
      <c r="F1259">
        <v>429</v>
      </c>
      <c r="G1259">
        <v>0.05</v>
      </c>
      <c r="H1259">
        <v>21.450000000000003</v>
      </c>
      <c r="I1259">
        <f>order_items[[#This Row],[list_price]]-order_items[[#This Row],[Discounted_price]]</f>
        <v>407.55</v>
      </c>
      <c r="J1259">
        <f>VLOOKUP(B1259, Products!$A$2:$E$100, 3, FALSE)</f>
        <v>9</v>
      </c>
      <c r="K1259">
        <f>VLOOKUP(B1259, Products!$A$2:$F$100, 4, FALSE)</f>
        <v>6</v>
      </c>
    </row>
    <row r="1260" spans="1:11" x14ac:dyDescent="0.3">
      <c r="A1260">
        <v>449</v>
      </c>
      <c r="B1260">
        <v>2</v>
      </c>
      <c r="C1260">
        <v>2</v>
      </c>
      <c r="D1260" t="str">
        <f>VLOOKUP(B1260, Products!$A$2:$C$100, 2, FALSE)</f>
        <v>Ritchey Timberwolf Frameset - 2016</v>
      </c>
      <c r="E1260">
        <v>1</v>
      </c>
      <c r="F1260">
        <v>749.99</v>
      </c>
      <c r="G1260">
        <v>0.05</v>
      </c>
      <c r="H1260">
        <v>37.499500000000005</v>
      </c>
      <c r="I1260">
        <f>order_items[[#This Row],[list_price]]-order_items[[#This Row],[Discounted_price]]</f>
        <v>712.4905</v>
      </c>
      <c r="J1260">
        <f>VLOOKUP(B1260, Products!$A$2:$E$100, 3, FALSE)</f>
        <v>5</v>
      </c>
      <c r="K1260">
        <f>VLOOKUP(B1260, Products!$A$2:$F$100, 4, FALSE)</f>
        <v>6</v>
      </c>
    </row>
    <row r="1261" spans="1:11" x14ac:dyDescent="0.3">
      <c r="A1261">
        <v>449</v>
      </c>
      <c r="B1261">
        <v>3</v>
      </c>
      <c r="C1261">
        <v>7</v>
      </c>
      <c r="D1261" t="str">
        <f>VLOOKUP(B1261, Products!$A$2:$C$100, 2, FALSE)</f>
        <v>Surly Wednesday Frameset - 2016</v>
      </c>
      <c r="E1261">
        <v>2</v>
      </c>
      <c r="F1261">
        <v>3999.99</v>
      </c>
      <c r="G1261">
        <v>7.0000000000000007E-2</v>
      </c>
      <c r="H1261">
        <v>279.99930000000001</v>
      </c>
      <c r="I1261">
        <f>order_items[[#This Row],[list_price]]-order_items[[#This Row],[Discounted_price]]</f>
        <v>3719.9906999999998</v>
      </c>
      <c r="J1261">
        <f>VLOOKUP(B1261, Products!$A$2:$E$100, 3, FALSE)</f>
        <v>8</v>
      </c>
      <c r="K1261">
        <f>VLOOKUP(B1261, Products!$A$2:$F$100, 4, FALSE)</f>
        <v>6</v>
      </c>
    </row>
    <row r="1262" spans="1:11" x14ac:dyDescent="0.3">
      <c r="A1262">
        <v>449</v>
      </c>
      <c r="B1262">
        <v>4</v>
      </c>
      <c r="C1262">
        <v>26</v>
      </c>
      <c r="D1262" t="str">
        <f>VLOOKUP(B1262, Products!$A$2:$C$100, 2, FALSE)</f>
        <v>Trek Fuel EX 8 29 - 2016</v>
      </c>
      <c r="E1262">
        <v>2</v>
      </c>
      <c r="F1262">
        <v>599.99</v>
      </c>
      <c r="G1262">
        <v>0.2</v>
      </c>
      <c r="H1262">
        <v>119.998</v>
      </c>
      <c r="I1262">
        <f>order_items[[#This Row],[list_price]]-order_items[[#This Row],[Discounted_price]]</f>
        <v>479.99200000000002</v>
      </c>
      <c r="J1262">
        <f>VLOOKUP(B1262, Products!$A$2:$E$100, 3, FALSE)</f>
        <v>9</v>
      </c>
      <c r="K1262">
        <f>VLOOKUP(B1262, Products!$A$2:$F$100, 4, FALSE)</f>
        <v>6</v>
      </c>
    </row>
    <row r="1263" spans="1:11" x14ac:dyDescent="0.3">
      <c r="A1263">
        <v>450</v>
      </c>
      <c r="B1263">
        <v>1</v>
      </c>
      <c r="C1263">
        <v>24</v>
      </c>
      <c r="D1263" t="str">
        <f>VLOOKUP(B1263, Products!$A$2:$C$100, 2, FALSE)</f>
        <v>Trek 820 - 2016</v>
      </c>
      <c r="E1263">
        <v>1</v>
      </c>
      <c r="F1263">
        <v>549.99</v>
      </c>
      <c r="G1263">
        <v>0.05</v>
      </c>
      <c r="H1263">
        <v>27.499500000000001</v>
      </c>
      <c r="I1263">
        <f>order_items[[#This Row],[list_price]]-order_items[[#This Row],[Discounted_price]]</f>
        <v>522.4905</v>
      </c>
      <c r="J1263">
        <f>VLOOKUP(B1263, Products!$A$2:$E$100, 3, FALSE)</f>
        <v>9</v>
      </c>
      <c r="K1263">
        <f>VLOOKUP(B1263, Products!$A$2:$F$100, 4, FALSE)</f>
        <v>6</v>
      </c>
    </row>
    <row r="1264" spans="1:11" x14ac:dyDescent="0.3">
      <c r="A1264">
        <v>450</v>
      </c>
      <c r="B1264">
        <v>2</v>
      </c>
      <c r="C1264">
        <v>12</v>
      </c>
      <c r="D1264" t="str">
        <f>VLOOKUP(B1264, Products!$A$2:$C$100, 2, FALSE)</f>
        <v>Ritchey Timberwolf Frameset - 2016</v>
      </c>
      <c r="E1264">
        <v>1</v>
      </c>
      <c r="F1264">
        <v>549.99</v>
      </c>
      <c r="G1264">
        <v>7.0000000000000007E-2</v>
      </c>
      <c r="H1264">
        <v>38.499300000000005</v>
      </c>
      <c r="I1264">
        <f>order_items[[#This Row],[list_price]]-order_items[[#This Row],[Discounted_price]]</f>
        <v>511.4907</v>
      </c>
      <c r="J1264">
        <f>VLOOKUP(B1264, Products!$A$2:$E$100, 3, FALSE)</f>
        <v>5</v>
      </c>
      <c r="K1264">
        <f>VLOOKUP(B1264, Products!$A$2:$F$100, 4, FALSE)</f>
        <v>6</v>
      </c>
    </row>
    <row r="1265" spans="1:11" x14ac:dyDescent="0.3">
      <c r="A1265">
        <v>450</v>
      </c>
      <c r="B1265">
        <v>3</v>
      </c>
      <c r="C1265">
        <v>5</v>
      </c>
      <c r="D1265" t="str">
        <f>VLOOKUP(B1265, Products!$A$2:$C$100, 2, FALSE)</f>
        <v>Surly Wednesday Frameset - 2016</v>
      </c>
      <c r="E1265">
        <v>1</v>
      </c>
      <c r="F1265">
        <v>1320.99</v>
      </c>
      <c r="G1265">
        <v>0.1</v>
      </c>
      <c r="H1265">
        <v>132.09900000000002</v>
      </c>
      <c r="I1265">
        <f>order_items[[#This Row],[list_price]]-order_items[[#This Row],[Discounted_price]]</f>
        <v>1188.8910000000001</v>
      </c>
      <c r="J1265">
        <f>VLOOKUP(B1265, Products!$A$2:$E$100, 3, FALSE)</f>
        <v>8</v>
      </c>
      <c r="K1265">
        <f>VLOOKUP(B1265, Products!$A$2:$F$100, 4, FALSE)</f>
        <v>6</v>
      </c>
    </row>
    <row r="1266" spans="1:11" x14ac:dyDescent="0.3">
      <c r="A1266">
        <v>451</v>
      </c>
      <c r="B1266">
        <v>1</v>
      </c>
      <c r="C1266">
        <v>14</v>
      </c>
      <c r="D1266" t="str">
        <f>VLOOKUP(B1266, Products!$A$2:$C$100, 2, FALSE)</f>
        <v>Trek 820 - 2016</v>
      </c>
      <c r="E1266">
        <v>2</v>
      </c>
      <c r="F1266">
        <v>269.99</v>
      </c>
      <c r="G1266">
        <v>0.05</v>
      </c>
      <c r="H1266">
        <v>13.499500000000001</v>
      </c>
      <c r="I1266">
        <f>order_items[[#This Row],[list_price]]-order_items[[#This Row],[Discounted_price]]</f>
        <v>256.4905</v>
      </c>
      <c r="J1266">
        <f>VLOOKUP(B1266, Products!$A$2:$E$100, 3, FALSE)</f>
        <v>9</v>
      </c>
      <c r="K1266">
        <f>VLOOKUP(B1266, Products!$A$2:$F$100, 4, FALSE)</f>
        <v>6</v>
      </c>
    </row>
    <row r="1267" spans="1:11" x14ac:dyDescent="0.3">
      <c r="A1267">
        <v>452</v>
      </c>
      <c r="B1267">
        <v>1</v>
      </c>
      <c r="C1267">
        <v>11</v>
      </c>
      <c r="D1267" t="str">
        <f>VLOOKUP(B1267, Products!$A$2:$C$100, 2, FALSE)</f>
        <v>Trek 820 - 2016</v>
      </c>
      <c r="E1267">
        <v>1</v>
      </c>
      <c r="F1267">
        <v>1680.99</v>
      </c>
      <c r="G1267">
        <v>0.05</v>
      </c>
      <c r="H1267">
        <v>84.049500000000009</v>
      </c>
      <c r="I1267">
        <f>order_items[[#This Row],[list_price]]-order_items[[#This Row],[Discounted_price]]</f>
        <v>1596.9404999999999</v>
      </c>
      <c r="J1267">
        <f>VLOOKUP(B1267, Products!$A$2:$E$100, 3, FALSE)</f>
        <v>9</v>
      </c>
      <c r="K1267">
        <f>VLOOKUP(B1267, Products!$A$2:$F$100, 4, FALSE)</f>
        <v>6</v>
      </c>
    </row>
    <row r="1268" spans="1:11" x14ac:dyDescent="0.3">
      <c r="A1268">
        <v>452</v>
      </c>
      <c r="B1268">
        <v>2</v>
      </c>
      <c r="C1268">
        <v>16</v>
      </c>
      <c r="D1268" t="str">
        <f>VLOOKUP(B1268, Products!$A$2:$C$100, 2, FALSE)</f>
        <v>Ritchey Timberwolf Frameset - 2016</v>
      </c>
      <c r="E1268">
        <v>1</v>
      </c>
      <c r="F1268">
        <v>599.99</v>
      </c>
      <c r="G1268">
        <v>0.05</v>
      </c>
      <c r="H1268">
        <v>29.999500000000001</v>
      </c>
      <c r="I1268">
        <f>order_items[[#This Row],[list_price]]-order_items[[#This Row],[Discounted_price]]</f>
        <v>569.9905</v>
      </c>
      <c r="J1268">
        <f>VLOOKUP(B1268, Products!$A$2:$E$100, 3, FALSE)</f>
        <v>5</v>
      </c>
      <c r="K1268">
        <f>VLOOKUP(B1268, Products!$A$2:$F$100, 4, FALSE)</f>
        <v>6</v>
      </c>
    </row>
    <row r="1269" spans="1:11" x14ac:dyDescent="0.3">
      <c r="A1269">
        <v>452</v>
      </c>
      <c r="B1269">
        <v>3</v>
      </c>
      <c r="C1269">
        <v>7</v>
      </c>
      <c r="D1269" t="str">
        <f>VLOOKUP(B1269, Products!$A$2:$C$100, 2, FALSE)</f>
        <v>Surly Wednesday Frameset - 2016</v>
      </c>
      <c r="E1269">
        <v>2</v>
      </c>
      <c r="F1269">
        <v>3999.99</v>
      </c>
      <c r="G1269">
        <v>0.1</v>
      </c>
      <c r="H1269">
        <v>399.99900000000002</v>
      </c>
      <c r="I1269">
        <f>order_items[[#This Row],[list_price]]-order_items[[#This Row],[Discounted_price]]</f>
        <v>3599.991</v>
      </c>
      <c r="J1269">
        <f>VLOOKUP(B1269, Products!$A$2:$E$100, 3, FALSE)</f>
        <v>8</v>
      </c>
      <c r="K1269">
        <f>VLOOKUP(B1269, Products!$A$2:$F$100, 4, FALSE)</f>
        <v>6</v>
      </c>
    </row>
    <row r="1270" spans="1:11" x14ac:dyDescent="0.3">
      <c r="A1270">
        <v>452</v>
      </c>
      <c r="B1270">
        <v>4</v>
      </c>
      <c r="C1270">
        <v>8</v>
      </c>
      <c r="D1270" t="str">
        <f>VLOOKUP(B1270, Products!$A$2:$C$100, 2, FALSE)</f>
        <v>Trek Fuel EX 8 29 - 2016</v>
      </c>
      <c r="E1270">
        <v>1</v>
      </c>
      <c r="F1270">
        <v>1799.99</v>
      </c>
      <c r="G1270">
        <v>0.1</v>
      </c>
      <c r="H1270">
        <v>179.99900000000002</v>
      </c>
      <c r="I1270">
        <f>order_items[[#This Row],[list_price]]-order_items[[#This Row],[Discounted_price]]</f>
        <v>1619.991</v>
      </c>
      <c r="J1270">
        <f>VLOOKUP(B1270, Products!$A$2:$E$100, 3, FALSE)</f>
        <v>9</v>
      </c>
      <c r="K1270">
        <f>VLOOKUP(B1270, Products!$A$2:$F$100, 4, FALSE)</f>
        <v>6</v>
      </c>
    </row>
    <row r="1271" spans="1:11" x14ac:dyDescent="0.3">
      <c r="A1271">
        <v>453</v>
      </c>
      <c r="B1271">
        <v>1</v>
      </c>
      <c r="C1271">
        <v>23</v>
      </c>
      <c r="D1271" t="str">
        <f>VLOOKUP(B1271, Products!$A$2:$C$100, 2, FALSE)</f>
        <v>Trek 820 - 2016</v>
      </c>
      <c r="E1271">
        <v>1</v>
      </c>
      <c r="F1271">
        <v>299.99</v>
      </c>
      <c r="G1271">
        <v>0.05</v>
      </c>
      <c r="H1271">
        <v>14.999500000000001</v>
      </c>
      <c r="I1271">
        <f>order_items[[#This Row],[list_price]]-order_items[[#This Row],[Discounted_price]]</f>
        <v>284.9905</v>
      </c>
      <c r="J1271">
        <f>VLOOKUP(B1271, Products!$A$2:$E$100, 3, FALSE)</f>
        <v>9</v>
      </c>
      <c r="K1271">
        <f>VLOOKUP(B1271, Products!$A$2:$F$100, 4, FALSE)</f>
        <v>6</v>
      </c>
    </row>
    <row r="1272" spans="1:11" x14ac:dyDescent="0.3">
      <c r="A1272">
        <v>453</v>
      </c>
      <c r="B1272">
        <v>2</v>
      </c>
      <c r="C1272">
        <v>20</v>
      </c>
      <c r="D1272" t="str">
        <f>VLOOKUP(B1272, Products!$A$2:$C$100, 2, FALSE)</f>
        <v>Ritchey Timberwolf Frameset - 2016</v>
      </c>
      <c r="E1272">
        <v>2</v>
      </c>
      <c r="F1272">
        <v>599.99</v>
      </c>
      <c r="G1272">
        <v>0.2</v>
      </c>
      <c r="H1272">
        <v>119.998</v>
      </c>
      <c r="I1272">
        <f>order_items[[#This Row],[list_price]]-order_items[[#This Row],[Discounted_price]]</f>
        <v>479.99200000000002</v>
      </c>
      <c r="J1272">
        <f>VLOOKUP(B1272, Products!$A$2:$E$100, 3, FALSE)</f>
        <v>5</v>
      </c>
      <c r="K1272">
        <f>VLOOKUP(B1272, Products!$A$2:$F$100, 4, FALSE)</f>
        <v>6</v>
      </c>
    </row>
    <row r="1273" spans="1:11" x14ac:dyDescent="0.3">
      <c r="A1273">
        <v>453</v>
      </c>
      <c r="B1273">
        <v>3</v>
      </c>
      <c r="C1273">
        <v>4</v>
      </c>
      <c r="D1273" t="str">
        <f>VLOOKUP(B1273, Products!$A$2:$C$100, 2, FALSE)</f>
        <v>Surly Wednesday Frameset - 2016</v>
      </c>
      <c r="E1273">
        <v>1</v>
      </c>
      <c r="F1273">
        <v>2899.99</v>
      </c>
      <c r="G1273">
        <v>0.2</v>
      </c>
      <c r="H1273">
        <v>579.99799999999993</v>
      </c>
      <c r="I1273">
        <f>order_items[[#This Row],[list_price]]-order_items[[#This Row],[Discounted_price]]</f>
        <v>2319.9919999999997</v>
      </c>
      <c r="J1273">
        <f>VLOOKUP(B1273, Products!$A$2:$E$100, 3, FALSE)</f>
        <v>8</v>
      </c>
      <c r="K1273">
        <f>VLOOKUP(B1273, Products!$A$2:$F$100, 4, FALSE)</f>
        <v>6</v>
      </c>
    </row>
    <row r="1274" spans="1:11" x14ac:dyDescent="0.3">
      <c r="A1274">
        <v>454</v>
      </c>
      <c r="B1274">
        <v>1</v>
      </c>
      <c r="C1274">
        <v>25</v>
      </c>
      <c r="D1274" t="str">
        <f>VLOOKUP(B1274, Products!$A$2:$C$100, 2, FALSE)</f>
        <v>Trek 820 - 2016</v>
      </c>
      <c r="E1274">
        <v>2</v>
      </c>
      <c r="F1274">
        <v>499.99</v>
      </c>
      <c r="G1274">
        <v>7.0000000000000007E-2</v>
      </c>
      <c r="H1274">
        <v>34.999300000000005</v>
      </c>
      <c r="I1274">
        <f>order_items[[#This Row],[list_price]]-order_items[[#This Row],[Discounted_price]]</f>
        <v>464.9907</v>
      </c>
      <c r="J1274">
        <f>VLOOKUP(B1274, Products!$A$2:$E$100, 3, FALSE)</f>
        <v>9</v>
      </c>
      <c r="K1274">
        <f>VLOOKUP(B1274, Products!$A$2:$F$100, 4, FALSE)</f>
        <v>6</v>
      </c>
    </row>
    <row r="1275" spans="1:11" x14ac:dyDescent="0.3">
      <c r="A1275">
        <v>454</v>
      </c>
      <c r="B1275">
        <v>2</v>
      </c>
      <c r="C1275">
        <v>13</v>
      </c>
      <c r="D1275" t="str">
        <f>VLOOKUP(B1275, Products!$A$2:$C$100, 2, FALSE)</f>
        <v>Ritchey Timberwolf Frameset - 2016</v>
      </c>
      <c r="E1275">
        <v>2</v>
      </c>
      <c r="F1275">
        <v>269.99</v>
      </c>
      <c r="G1275">
        <v>0.05</v>
      </c>
      <c r="H1275">
        <v>13.499500000000001</v>
      </c>
      <c r="I1275">
        <f>order_items[[#This Row],[list_price]]-order_items[[#This Row],[Discounted_price]]</f>
        <v>256.4905</v>
      </c>
      <c r="J1275">
        <f>VLOOKUP(B1275, Products!$A$2:$E$100, 3, FALSE)</f>
        <v>5</v>
      </c>
      <c r="K1275">
        <f>VLOOKUP(B1275, Products!$A$2:$F$100, 4, FALSE)</f>
        <v>6</v>
      </c>
    </row>
    <row r="1276" spans="1:11" x14ac:dyDescent="0.3">
      <c r="A1276">
        <v>454</v>
      </c>
      <c r="B1276">
        <v>3</v>
      </c>
      <c r="C1276">
        <v>24</v>
      </c>
      <c r="D1276" t="str">
        <f>VLOOKUP(B1276, Products!$A$2:$C$100, 2, FALSE)</f>
        <v>Surly Wednesday Frameset - 2016</v>
      </c>
      <c r="E1276">
        <v>2</v>
      </c>
      <c r="F1276">
        <v>549.99</v>
      </c>
      <c r="G1276">
        <v>0.1</v>
      </c>
      <c r="H1276">
        <v>54.999000000000002</v>
      </c>
      <c r="I1276">
        <f>order_items[[#This Row],[list_price]]-order_items[[#This Row],[Discounted_price]]</f>
        <v>494.99099999999999</v>
      </c>
      <c r="J1276">
        <f>VLOOKUP(B1276, Products!$A$2:$E$100, 3, FALSE)</f>
        <v>8</v>
      </c>
      <c r="K1276">
        <f>VLOOKUP(B1276, Products!$A$2:$F$100, 4, FALSE)</f>
        <v>6</v>
      </c>
    </row>
    <row r="1277" spans="1:11" x14ac:dyDescent="0.3">
      <c r="A1277">
        <v>455</v>
      </c>
      <c r="B1277">
        <v>1</v>
      </c>
      <c r="C1277">
        <v>9</v>
      </c>
      <c r="D1277" t="str">
        <f>VLOOKUP(B1277, Products!$A$2:$C$100, 2, FALSE)</f>
        <v>Trek 820 - 2016</v>
      </c>
      <c r="E1277">
        <v>1</v>
      </c>
      <c r="F1277">
        <v>2999.99</v>
      </c>
      <c r="G1277">
        <v>0.05</v>
      </c>
      <c r="H1277">
        <v>149.99949999999998</v>
      </c>
      <c r="I1277">
        <f>order_items[[#This Row],[list_price]]-order_items[[#This Row],[Discounted_price]]</f>
        <v>2849.9904999999999</v>
      </c>
      <c r="J1277">
        <f>VLOOKUP(B1277, Products!$A$2:$E$100, 3, FALSE)</f>
        <v>9</v>
      </c>
      <c r="K1277">
        <f>VLOOKUP(B1277, Products!$A$2:$F$100, 4, FALSE)</f>
        <v>6</v>
      </c>
    </row>
    <row r="1278" spans="1:11" x14ac:dyDescent="0.3">
      <c r="A1278">
        <v>456</v>
      </c>
      <c r="B1278">
        <v>1</v>
      </c>
      <c r="C1278">
        <v>17</v>
      </c>
      <c r="D1278" t="str">
        <f>VLOOKUP(B1278, Products!$A$2:$C$100, 2, FALSE)</f>
        <v>Trek 820 - 2016</v>
      </c>
      <c r="E1278">
        <v>2</v>
      </c>
      <c r="F1278">
        <v>429</v>
      </c>
      <c r="G1278">
        <v>7.0000000000000007E-2</v>
      </c>
      <c r="H1278">
        <v>30.03</v>
      </c>
      <c r="I1278">
        <f>order_items[[#This Row],[list_price]]-order_items[[#This Row],[Discounted_price]]</f>
        <v>398.97</v>
      </c>
      <c r="J1278">
        <f>VLOOKUP(B1278, Products!$A$2:$E$100, 3, FALSE)</f>
        <v>9</v>
      </c>
      <c r="K1278">
        <f>VLOOKUP(B1278, Products!$A$2:$F$100, 4, FALSE)</f>
        <v>6</v>
      </c>
    </row>
    <row r="1279" spans="1:11" x14ac:dyDescent="0.3">
      <c r="A1279">
        <v>456</v>
      </c>
      <c r="B1279">
        <v>2</v>
      </c>
      <c r="C1279">
        <v>23</v>
      </c>
      <c r="D1279" t="str">
        <f>VLOOKUP(B1279, Products!$A$2:$C$100, 2, FALSE)</f>
        <v>Ritchey Timberwolf Frameset - 2016</v>
      </c>
      <c r="E1279">
        <v>1</v>
      </c>
      <c r="F1279">
        <v>299.99</v>
      </c>
      <c r="G1279">
        <v>7.0000000000000007E-2</v>
      </c>
      <c r="H1279">
        <v>20.999300000000002</v>
      </c>
      <c r="I1279">
        <f>order_items[[#This Row],[list_price]]-order_items[[#This Row],[Discounted_price]]</f>
        <v>278.9907</v>
      </c>
      <c r="J1279">
        <f>VLOOKUP(B1279, Products!$A$2:$E$100, 3, FALSE)</f>
        <v>5</v>
      </c>
      <c r="K1279">
        <f>VLOOKUP(B1279, Products!$A$2:$F$100, 4, FALSE)</f>
        <v>6</v>
      </c>
    </row>
    <row r="1280" spans="1:11" x14ac:dyDescent="0.3">
      <c r="A1280">
        <v>457</v>
      </c>
      <c r="B1280">
        <v>1</v>
      </c>
      <c r="C1280">
        <v>24</v>
      </c>
      <c r="D1280" t="str">
        <f>VLOOKUP(B1280, Products!$A$2:$C$100, 2, FALSE)</f>
        <v>Trek 820 - 2016</v>
      </c>
      <c r="E1280">
        <v>2</v>
      </c>
      <c r="F1280">
        <v>549.99</v>
      </c>
      <c r="G1280">
        <v>7.0000000000000007E-2</v>
      </c>
      <c r="H1280">
        <v>38.499300000000005</v>
      </c>
      <c r="I1280">
        <f>order_items[[#This Row],[list_price]]-order_items[[#This Row],[Discounted_price]]</f>
        <v>511.4907</v>
      </c>
      <c r="J1280">
        <f>VLOOKUP(B1280, Products!$A$2:$E$100, 3, FALSE)</f>
        <v>9</v>
      </c>
      <c r="K1280">
        <f>VLOOKUP(B1280, Products!$A$2:$F$100, 4, FALSE)</f>
        <v>6</v>
      </c>
    </row>
    <row r="1281" spans="1:11" x14ac:dyDescent="0.3">
      <c r="A1281">
        <v>457</v>
      </c>
      <c r="B1281">
        <v>2</v>
      </c>
      <c r="C1281">
        <v>2</v>
      </c>
      <c r="D1281" t="str">
        <f>VLOOKUP(B1281, Products!$A$2:$C$100, 2, FALSE)</f>
        <v>Ritchey Timberwolf Frameset - 2016</v>
      </c>
      <c r="E1281">
        <v>1</v>
      </c>
      <c r="F1281">
        <v>749.99</v>
      </c>
      <c r="G1281">
        <v>0.05</v>
      </c>
      <c r="H1281">
        <v>37.499500000000005</v>
      </c>
      <c r="I1281">
        <f>order_items[[#This Row],[list_price]]-order_items[[#This Row],[Discounted_price]]</f>
        <v>712.4905</v>
      </c>
      <c r="J1281">
        <f>VLOOKUP(B1281, Products!$A$2:$E$100, 3, FALSE)</f>
        <v>5</v>
      </c>
      <c r="K1281">
        <f>VLOOKUP(B1281, Products!$A$2:$F$100, 4, FALSE)</f>
        <v>6</v>
      </c>
    </row>
    <row r="1282" spans="1:11" x14ac:dyDescent="0.3">
      <c r="A1282">
        <v>457</v>
      </c>
      <c r="B1282">
        <v>3</v>
      </c>
      <c r="C1282">
        <v>7</v>
      </c>
      <c r="D1282" t="str">
        <f>VLOOKUP(B1282, Products!$A$2:$C$100, 2, FALSE)</f>
        <v>Surly Wednesday Frameset - 2016</v>
      </c>
      <c r="E1282">
        <v>2</v>
      </c>
      <c r="F1282">
        <v>3999.99</v>
      </c>
      <c r="G1282">
        <v>0.1</v>
      </c>
      <c r="H1282">
        <v>399.99900000000002</v>
      </c>
      <c r="I1282">
        <f>order_items[[#This Row],[list_price]]-order_items[[#This Row],[Discounted_price]]</f>
        <v>3599.991</v>
      </c>
      <c r="J1282">
        <f>VLOOKUP(B1282, Products!$A$2:$E$100, 3, FALSE)</f>
        <v>8</v>
      </c>
      <c r="K1282">
        <f>VLOOKUP(B1282, Products!$A$2:$F$100, 4, FALSE)</f>
        <v>6</v>
      </c>
    </row>
    <row r="1283" spans="1:11" x14ac:dyDescent="0.3">
      <c r="A1283">
        <v>457</v>
      </c>
      <c r="B1283">
        <v>4</v>
      </c>
      <c r="C1283">
        <v>17</v>
      </c>
      <c r="D1283" t="str">
        <f>VLOOKUP(B1283, Products!$A$2:$C$100, 2, FALSE)</f>
        <v>Trek Fuel EX 8 29 - 2016</v>
      </c>
      <c r="E1283">
        <v>1</v>
      </c>
      <c r="F1283">
        <v>429</v>
      </c>
      <c r="G1283">
        <v>0.2</v>
      </c>
      <c r="H1283">
        <v>85.800000000000011</v>
      </c>
      <c r="I1283">
        <f>order_items[[#This Row],[list_price]]-order_items[[#This Row],[Discounted_price]]</f>
        <v>343.2</v>
      </c>
      <c r="J1283">
        <f>VLOOKUP(B1283, Products!$A$2:$E$100, 3, FALSE)</f>
        <v>9</v>
      </c>
      <c r="K1283">
        <f>VLOOKUP(B1283, Products!$A$2:$F$100, 4, FALSE)</f>
        <v>6</v>
      </c>
    </row>
    <row r="1284" spans="1:11" x14ac:dyDescent="0.3">
      <c r="A1284">
        <v>458</v>
      </c>
      <c r="B1284">
        <v>1</v>
      </c>
      <c r="C1284">
        <v>2</v>
      </c>
      <c r="D1284" t="str">
        <f>VLOOKUP(B1284, Products!$A$2:$C$100, 2, FALSE)</f>
        <v>Trek 820 - 2016</v>
      </c>
      <c r="E1284">
        <v>1</v>
      </c>
      <c r="F1284">
        <v>749.99</v>
      </c>
      <c r="G1284">
        <v>0.2</v>
      </c>
      <c r="H1284">
        <v>149.99800000000002</v>
      </c>
      <c r="I1284">
        <f>order_items[[#This Row],[list_price]]-order_items[[#This Row],[Discounted_price]]</f>
        <v>599.99199999999996</v>
      </c>
      <c r="J1284">
        <f>VLOOKUP(B1284, Products!$A$2:$E$100, 3, FALSE)</f>
        <v>9</v>
      </c>
      <c r="K1284">
        <f>VLOOKUP(B1284, Products!$A$2:$F$100, 4, FALSE)</f>
        <v>6</v>
      </c>
    </row>
    <row r="1285" spans="1:11" x14ac:dyDescent="0.3">
      <c r="A1285">
        <v>458</v>
      </c>
      <c r="B1285">
        <v>2</v>
      </c>
      <c r="C1285">
        <v>21</v>
      </c>
      <c r="D1285" t="str">
        <f>VLOOKUP(B1285, Products!$A$2:$C$100, 2, FALSE)</f>
        <v>Ritchey Timberwolf Frameset - 2016</v>
      </c>
      <c r="E1285">
        <v>2</v>
      </c>
      <c r="F1285">
        <v>269.99</v>
      </c>
      <c r="G1285">
        <v>7.0000000000000007E-2</v>
      </c>
      <c r="H1285">
        <v>18.899300000000004</v>
      </c>
      <c r="I1285">
        <f>order_items[[#This Row],[list_price]]-order_items[[#This Row],[Discounted_price]]</f>
        <v>251.0907</v>
      </c>
      <c r="J1285">
        <f>VLOOKUP(B1285, Products!$A$2:$E$100, 3, FALSE)</f>
        <v>5</v>
      </c>
      <c r="K1285">
        <f>VLOOKUP(B1285, Products!$A$2:$F$100, 4, FALSE)</f>
        <v>6</v>
      </c>
    </row>
    <row r="1286" spans="1:11" x14ac:dyDescent="0.3">
      <c r="A1286">
        <v>458</v>
      </c>
      <c r="B1286">
        <v>3</v>
      </c>
      <c r="C1286">
        <v>11</v>
      </c>
      <c r="D1286" t="str">
        <f>VLOOKUP(B1286, Products!$A$2:$C$100, 2, FALSE)</f>
        <v>Surly Wednesday Frameset - 2016</v>
      </c>
      <c r="E1286">
        <v>1</v>
      </c>
      <c r="F1286">
        <v>1680.99</v>
      </c>
      <c r="G1286">
        <v>0.1</v>
      </c>
      <c r="H1286">
        <v>168.09900000000002</v>
      </c>
      <c r="I1286">
        <f>order_items[[#This Row],[list_price]]-order_items[[#This Row],[Discounted_price]]</f>
        <v>1512.8910000000001</v>
      </c>
      <c r="J1286">
        <f>VLOOKUP(B1286, Products!$A$2:$E$100, 3, FALSE)</f>
        <v>8</v>
      </c>
      <c r="K1286">
        <f>VLOOKUP(B1286, Products!$A$2:$F$100, 4, FALSE)</f>
        <v>6</v>
      </c>
    </row>
    <row r="1287" spans="1:11" x14ac:dyDescent="0.3">
      <c r="A1287">
        <v>458</v>
      </c>
      <c r="B1287">
        <v>4</v>
      </c>
      <c r="C1287">
        <v>24</v>
      </c>
      <c r="D1287" t="str">
        <f>VLOOKUP(B1287, Products!$A$2:$C$100, 2, FALSE)</f>
        <v>Trek Fuel EX 8 29 - 2016</v>
      </c>
      <c r="E1287">
        <v>1</v>
      </c>
      <c r="F1287">
        <v>549.99</v>
      </c>
      <c r="G1287">
        <v>0.2</v>
      </c>
      <c r="H1287">
        <v>109.998</v>
      </c>
      <c r="I1287">
        <f>order_items[[#This Row],[list_price]]-order_items[[#This Row],[Discounted_price]]</f>
        <v>439.99200000000002</v>
      </c>
      <c r="J1287">
        <f>VLOOKUP(B1287, Products!$A$2:$E$100, 3, FALSE)</f>
        <v>9</v>
      </c>
      <c r="K1287">
        <f>VLOOKUP(B1287, Products!$A$2:$F$100, 4, FALSE)</f>
        <v>6</v>
      </c>
    </row>
    <row r="1288" spans="1:11" x14ac:dyDescent="0.3">
      <c r="A1288">
        <v>458</v>
      </c>
      <c r="B1288">
        <v>5</v>
      </c>
      <c r="C1288">
        <v>3</v>
      </c>
      <c r="D1288" t="str">
        <f>VLOOKUP(B1288, Products!$A$2:$C$100, 2, FALSE)</f>
        <v>Heller Shagamaw Frame - 2016</v>
      </c>
      <c r="E1288">
        <v>2</v>
      </c>
      <c r="F1288">
        <v>999.99</v>
      </c>
      <c r="G1288">
        <v>0.2</v>
      </c>
      <c r="H1288">
        <v>199.99800000000002</v>
      </c>
      <c r="I1288">
        <f>order_items[[#This Row],[list_price]]-order_items[[#This Row],[Discounted_price]]</f>
        <v>799.99199999999996</v>
      </c>
      <c r="J1288">
        <f>VLOOKUP(B1288, Products!$A$2:$E$100, 3, FALSE)</f>
        <v>3</v>
      </c>
      <c r="K1288">
        <f>VLOOKUP(B1288, Products!$A$2:$F$100, 4, FALSE)</f>
        <v>6</v>
      </c>
    </row>
    <row r="1289" spans="1:11" x14ac:dyDescent="0.3">
      <c r="A1289">
        <v>459</v>
      </c>
      <c r="B1289">
        <v>1</v>
      </c>
      <c r="C1289">
        <v>11</v>
      </c>
      <c r="D1289" t="str">
        <f>VLOOKUP(B1289, Products!$A$2:$C$100, 2, FALSE)</f>
        <v>Trek 820 - 2016</v>
      </c>
      <c r="E1289">
        <v>1</v>
      </c>
      <c r="F1289">
        <v>1680.99</v>
      </c>
      <c r="G1289">
        <v>0.2</v>
      </c>
      <c r="H1289">
        <v>336.19800000000004</v>
      </c>
      <c r="I1289">
        <f>order_items[[#This Row],[list_price]]-order_items[[#This Row],[Discounted_price]]</f>
        <v>1344.7919999999999</v>
      </c>
      <c r="J1289">
        <f>VLOOKUP(B1289, Products!$A$2:$E$100, 3, FALSE)</f>
        <v>9</v>
      </c>
      <c r="K1289">
        <f>VLOOKUP(B1289, Products!$A$2:$F$100, 4, FALSE)</f>
        <v>6</v>
      </c>
    </row>
    <row r="1290" spans="1:11" x14ac:dyDescent="0.3">
      <c r="A1290">
        <v>460</v>
      </c>
      <c r="B1290">
        <v>1</v>
      </c>
      <c r="C1290">
        <v>19</v>
      </c>
      <c r="D1290" t="str">
        <f>VLOOKUP(B1290, Products!$A$2:$C$100, 2, FALSE)</f>
        <v>Trek 820 - 2016</v>
      </c>
      <c r="E1290">
        <v>1</v>
      </c>
      <c r="F1290">
        <v>449</v>
      </c>
      <c r="G1290">
        <v>0.05</v>
      </c>
      <c r="H1290">
        <v>22.450000000000003</v>
      </c>
      <c r="I1290">
        <f>order_items[[#This Row],[list_price]]-order_items[[#This Row],[Discounted_price]]</f>
        <v>426.55</v>
      </c>
      <c r="J1290">
        <f>VLOOKUP(B1290, Products!$A$2:$E$100, 3, FALSE)</f>
        <v>9</v>
      </c>
      <c r="K1290">
        <f>VLOOKUP(B1290, Products!$A$2:$F$100, 4, FALSE)</f>
        <v>6</v>
      </c>
    </row>
    <row r="1291" spans="1:11" x14ac:dyDescent="0.3">
      <c r="A1291">
        <v>460</v>
      </c>
      <c r="B1291">
        <v>2</v>
      </c>
      <c r="C1291">
        <v>18</v>
      </c>
      <c r="D1291" t="str">
        <f>VLOOKUP(B1291, Products!$A$2:$C$100, 2, FALSE)</f>
        <v>Ritchey Timberwolf Frameset - 2016</v>
      </c>
      <c r="E1291">
        <v>2</v>
      </c>
      <c r="F1291">
        <v>449</v>
      </c>
      <c r="G1291">
        <v>7.0000000000000007E-2</v>
      </c>
      <c r="H1291">
        <v>31.430000000000003</v>
      </c>
      <c r="I1291">
        <f>order_items[[#This Row],[list_price]]-order_items[[#This Row],[Discounted_price]]</f>
        <v>417.57</v>
      </c>
      <c r="J1291">
        <f>VLOOKUP(B1291, Products!$A$2:$E$100, 3, FALSE)</f>
        <v>5</v>
      </c>
      <c r="K1291">
        <f>VLOOKUP(B1291, Products!$A$2:$F$100, 4, FALSE)</f>
        <v>6</v>
      </c>
    </row>
    <row r="1292" spans="1:11" x14ac:dyDescent="0.3">
      <c r="A1292">
        <v>460</v>
      </c>
      <c r="B1292">
        <v>3</v>
      </c>
      <c r="C1292">
        <v>4</v>
      </c>
      <c r="D1292" t="str">
        <f>VLOOKUP(B1292, Products!$A$2:$C$100, 2, FALSE)</f>
        <v>Surly Wednesday Frameset - 2016</v>
      </c>
      <c r="E1292">
        <v>1</v>
      </c>
      <c r="F1292">
        <v>2899.99</v>
      </c>
      <c r="G1292">
        <v>0.2</v>
      </c>
      <c r="H1292">
        <v>579.99799999999993</v>
      </c>
      <c r="I1292">
        <f>order_items[[#This Row],[list_price]]-order_items[[#This Row],[Discounted_price]]</f>
        <v>2319.9919999999997</v>
      </c>
      <c r="J1292">
        <f>VLOOKUP(B1292, Products!$A$2:$E$100, 3, FALSE)</f>
        <v>8</v>
      </c>
      <c r="K1292">
        <f>VLOOKUP(B1292, Products!$A$2:$F$100, 4, FALSE)</f>
        <v>6</v>
      </c>
    </row>
    <row r="1293" spans="1:11" x14ac:dyDescent="0.3">
      <c r="A1293">
        <v>460</v>
      </c>
      <c r="B1293">
        <v>4</v>
      </c>
      <c r="C1293">
        <v>22</v>
      </c>
      <c r="D1293" t="str">
        <f>VLOOKUP(B1293, Products!$A$2:$C$100, 2, FALSE)</f>
        <v>Trek Fuel EX 8 29 - 2016</v>
      </c>
      <c r="E1293">
        <v>2</v>
      </c>
      <c r="F1293">
        <v>269.99</v>
      </c>
      <c r="G1293">
        <v>0.1</v>
      </c>
      <c r="H1293">
        <v>26.999000000000002</v>
      </c>
      <c r="I1293">
        <f>order_items[[#This Row],[list_price]]-order_items[[#This Row],[Discounted_price]]</f>
        <v>242.99100000000001</v>
      </c>
      <c r="J1293">
        <f>VLOOKUP(B1293, Products!$A$2:$E$100, 3, FALSE)</f>
        <v>9</v>
      </c>
      <c r="K1293">
        <f>VLOOKUP(B1293, Products!$A$2:$F$100, 4, FALSE)</f>
        <v>6</v>
      </c>
    </row>
    <row r="1294" spans="1:11" x14ac:dyDescent="0.3">
      <c r="A1294">
        <v>461</v>
      </c>
      <c r="B1294">
        <v>1</v>
      </c>
      <c r="C1294">
        <v>16</v>
      </c>
      <c r="D1294" t="str">
        <f>VLOOKUP(B1294, Products!$A$2:$C$100, 2, FALSE)</f>
        <v>Trek 820 - 2016</v>
      </c>
      <c r="E1294">
        <v>1</v>
      </c>
      <c r="F1294">
        <v>599.99</v>
      </c>
      <c r="G1294">
        <v>7.0000000000000007E-2</v>
      </c>
      <c r="H1294">
        <v>41.999300000000005</v>
      </c>
      <c r="I1294">
        <f>order_items[[#This Row],[list_price]]-order_items[[#This Row],[Discounted_price]]</f>
        <v>557.99070000000006</v>
      </c>
      <c r="J1294">
        <f>VLOOKUP(B1294, Products!$A$2:$E$100, 3, FALSE)</f>
        <v>9</v>
      </c>
      <c r="K1294">
        <f>VLOOKUP(B1294, Products!$A$2:$F$100, 4, FALSE)</f>
        <v>6</v>
      </c>
    </row>
    <row r="1295" spans="1:11" x14ac:dyDescent="0.3">
      <c r="A1295">
        <v>461</v>
      </c>
      <c r="B1295">
        <v>2</v>
      </c>
      <c r="C1295">
        <v>4</v>
      </c>
      <c r="D1295" t="str">
        <f>VLOOKUP(B1295, Products!$A$2:$C$100, 2, FALSE)</f>
        <v>Ritchey Timberwolf Frameset - 2016</v>
      </c>
      <c r="E1295">
        <v>1</v>
      </c>
      <c r="F1295">
        <v>2899.99</v>
      </c>
      <c r="G1295">
        <v>0.2</v>
      </c>
      <c r="H1295">
        <v>579.99799999999993</v>
      </c>
      <c r="I1295">
        <f>order_items[[#This Row],[list_price]]-order_items[[#This Row],[Discounted_price]]</f>
        <v>2319.9919999999997</v>
      </c>
      <c r="J1295">
        <f>VLOOKUP(B1295, Products!$A$2:$E$100, 3, FALSE)</f>
        <v>5</v>
      </c>
      <c r="K1295">
        <f>VLOOKUP(B1295, Products!$A$2:$F$100, 4, FALSE)</f>
        <v>6</v>
      </c>
    </row>
    <row r="1296" spans="1:11" x14ac:dyDescent="0.3">
      <c r="A1296">
        <v>461</v>
      </c>
      <c r="B1296">
        <v>3</v>
      </c>
      <c r="C1296">
        <v>8</v>
      </c>
      <c r="D1296" t="str">
        <f>VLOOKUP(B1296, Products!$A$2:$C$100, 2, FALSE)</f>
        <v>Surly Wednesday Frameset - 2016</v>
      </c>
      <c r="E1296">
        <v>2</v>
      </c>
      <c r="F1296">
        <v>1799.99</v>
      </c>
      <c r="G1296">
        <v>0.05</v>
      </c>
      <c r="H1296">
        <v>89.999500000000012</v>
      </c>
      <c r="I1296">
        <f>order_items[[#This Row],[list_price]]-order_items[[#This Row],[Discounted_price]]</f>
        <v>1709.9904999999999</v>
      </c>
      <c r="J1296">
        <f>VLOOKUP(B1296, Products!$A$2:$E$100, 3, FALSE)</f>
        <v>8</v>
      </c>
      <c r="K1296">
        <f>VLOOKUP(B1296, Products!$A$2:$F$100, 4, FALSE)</f>
        <v>6</v>
      </c>
    </row>
    <row r="1297" spans="1:11" x14ac:dyDescent="0.3">
      <c r="A1297">
        <v>461</v>
      </c>
      <c r="B1297">
        <v>4</v>
      </c>
      <c r="C1297">
        <v>24</v>
      </c>
      <c r="D1297" t="str">
        <f>VLOOKUP(B1297, Products!$A$2:$C$100, 2, FALSE)</f>
        <v>Trek Fuel EX 8 29 - 2016</v>
      </c>
      <c r="E1297">
        <v>1</v>
      </c>
      <c r="F1297">
        <v>549.99</v>
      </c>
      <c r="G1297">
        <v>0.1</v>
      </c>
      <c r="H1297">
        <v>54.999000000000002</v>
      </c>
      <c r="I1297">
        <f>order_items[[#This Row],[list_price]]-order_items[[#This Row],[Discounted_price]]</f>
        <v>494.99099999999999</v>
      </c>
      <c r="J1297">
        <f>VLOOKUP(B1297, Products!$A$2:$E$100, 3, FALSE)</f>
        <v>9</v>
      </c>
      <c r="K1297">
        <f>VLOOKUP(B1297, Products!$A$2:$F$100, 4, FALSE)</f>
        <v>6</v>
      </c>
    </row>
    <row r="1298" spans="1:11" x14ac:dyDescent="0.3">
      <c r="A1298">
        <v>461</v>
      </c>
      <c r="B1298">
        <v>5</v>
      </c>
      <c r="C1298">
        <v>18</v>
      </c>
      <c r="D1298" t="str">
        <f>VLOOKUP(B1298, Products!$A$2:$C$100, 2, FALSE)</f>
        <v>Heller Shagamaw Frame - 2016</v>
      </c>
      <c r="E1298">
        <v>2</v>
      </c>
      <c r="F1298">
        <v>449</v>
      </c>
      <c r="G1298">
        <v>0.1</v>
      </c>
      <c r="H1298">
        <v>44.900000000000006</v>
      </c>
      <c r="I1298">
        <f>order_items[[#This Row],[list_price]]-order_items[[#This Row],[Discounted_price]]</f>
        <v>404.1</v>
      </c>
      <c r="J1298">
        <f>VLOOKUP(B1298, Products!$A$2:$E$100, 3, FALSE)</f>
        <v>3</v>
      </c>
      <c r="K1298">
        <f>VLOOKUP(B1298, Products!$A$2:$F$100, 4, FALSE)</f>
        <v>6</v>
      </c>
    </row>
    <row r="1299" spans="1:11" x14ac:dyDescent="0.3">
      <c r="A1299">
        <v>462</v>
      </c>
      <c r="B1299">
        <v>1</v>
      </c>
      <c r="C1299">
        <v>12</v>
      </c>
      <c r="D1299" t="str">
        <f>VLOOKUP(B1299, Products!$A$2:$C$100, 2, FALSE)</f>
        <v>Trek 820 - 2016</v>
      </c>
      <c r="E1299">
        <v>2</v>
      </c>
      <c r="F1299">
        <v>549.99</v>
      </c>
      <c r="G1299">
        <v>0.1</v>
      </c>
      <c r="H1299">
        <v>54.999000000000002</v>
      </c>
      <c r="I1299">
        <f>order_items[[#This Row],[list_price]]-order_items[[#This Row],[Discounted_price]]</f>
        <v>494.99099999999999</v>
      </c>
      <c r="J1299">
        <f>VLOOKUP(B1299, Products!$A$2:$E$100, 3, FALSE)</f>
        <v>9</v>
      </c>
      <c r="K1299">
        <f>VLOOKUP(B1299, Products!$A$2:$F$100, 4, FALSE)</f>
        <v>6</v>
      </c>
    </row>
    <row r="1300" spans="1:11" x14ac:dyDescent="0.3">
      <c r="A1300">
        <v>463</v>
      </c>
      <c r="B1300">
        <v>1</v>
      </c>
      <c r="C1300">
        <v>13</v>
      </c>
      <c r="D1300" t="str">
        <f>VLOOKUP(B1300, Products!$A$2:$C$100, 2, FALSE)</f>
        <v>Trek 820 - 2016</v>
      </c>
      <c r="E1300">
        <v>2</v>
      </c>
      <c r="F1300">
        <v>269.99</v>
      </c>
      <c r="G1300">
        <v>7.0000000000000007E-2</v>
      </c>
      <c r="H1300">
        <v>18.899300000000004</v>
      </c>
      <c r="I1300">
        <f>order_items[[#This Row],[list_price]]-order_items[[#This Row],[Discounted_price]]</f>
        <v>251.0907</v>
      </c>
      <c r="J1300">
        <f>VLOOKUP(B1300, Products!$A$2:$E$100, 3, FALSE)</f>
        <v>9</v>
      </c>
      <c r="K1300">
        <f>VLOOKUP(B1300, Products!$A$2:$F$100, 4, FALSE)</f>
        <v>6</v>
      </c>
    </row>
    <row r="1301" spans="1:11" x14ac:dyDescent="0.3">
      <c r="A1301">
        <v>464</v>
      </c>
      <c r="B1301">
        <v>1</v>
      </c>
      <c r="C1301">
        <v>7</v>
      </c>
      <c r="D1301" t="str">
        <f>VLOOKUP(B1301, Products!$A$2:$C$100, 2, FALSE)</f>
        <v>Trek 820 - 2016</v>
      </c>
      <c r="E1301">
        <v>1</v>
      </c>
      <c r="F1301">
        <v>3999.99</v>
      </c>
      <c r="G1301">
        <v>0.1</v>
      </c>
      <c r="H1301">
        <v>399.99900000000002</v>
      </c>
      <c r="I1301">
        <f>order_items[[#This Row],[list_price]]-order_items[[#This Row],[Discounted_price]]</f>
        <v>3599.991</v>
      </c>
      <c r="J1301">
        <f>VLOOKUP(B1301, Products!$A$2:$E$100, 3, FALSE)</f>
        <v>9</v>
      </c>
      <c r="K1301">
        <f>VLOOKUP(B1301, Products!$A$2:$F$100, 4, FALSE)</f>
        <v>6</v>
      </c>
    </row>
    <row r="1302" spans="1:11" x14ac:dyDescent="0.3">
      <c r="A1302">
        <v>465</v>
      </c>
      <c r="B1302">
        <v>1</v>
      </c>
      <c r="C1302">
        <v>6</v>
      </c>
      <c r="D1302" t="str">
        <f>VLOOKUP(B1302, Products!$A$2:$C$100, 2, FALSE)</f>
        <v>Trek 820 - 2016</v>
      </c>
      <c r="E1302">
        <v>2</v>
      </c>
      <c r="F1302">
        <v>469.99</v>
      </c>
      <c r="G1302">
        <v>0.1</v>
      </c>
      <c r="H1302">
        <v>46.999000000000002</v>
      </c>
      <c r="I1302">
        <f>order_items[[#This Row],[list_price]]-order_items[[#This Row],[Discounted_price]]</f>
        <v>422.99099999999999</v>
      </c>
      <c r="J1302">
        <f>VLOOKUP(B1302, Products!$A$2:$E$100, 3, FALSE)</f>
        <v>9</v>
      </c>
      <c r="K1302">
        <f>VLOOKUP(B1302, Products!$A$2:$F$100, 4, FALSE)</f>
        <v>6</v>
      </c>
    </row>
    <row r="1303" spans="1:11" x14ac:dyDescent="0.3">
      <c r="A1303">
        <v>465</v>
      </c>
      <c r="B1303">
        <v>2</v>
      </c>
      <c r="C1303">
        <v>25</v>
      </c>
      <c r="D1303" t="str">
        <f>VLOOKUP(B1303, Products!$A$2:$C$100, 2, FALSE)</f>
        <v>Ritchey Timberwolf Frameset - 2016</v>
      </c>
      <c r="E1303">
        <v>2</v>
      </c>
      <c r="F1303">
        <v>499.99</v>
      </c>
      <c r="G1303">
        <v>0.1</v>
      </c>
      <c r="H1303">
        <v>49.999000000000002</v>
      </c>
      <c r="I1303">
        <f>order_items[[#This Row],[list_price]]-order_items[[#This Row],[Discounted_price]]</f>
        <v>449.99099999999999</v>
      </c>
      <c r="J1303">
        <f>VLOOKUP(B1303, Products!$A$2:$E$100, 3, FALSE)</f>
        <v>5</v>
      </c>
      <c r="K1303">
        <f>VLOOKUP(B1303, Products!$A$2:$F$100, 4, FALSE)</f>
        <v>6</v>
      </c>
    </row>
    <row r="1304" spans="1:11" x14ac:dyDescent="0.3">
      <c r="A1304">
        <v>466</v>
      </c>
      <c r="B1304">
        <v>1</v>
      </c>
      <c r="C1304">
        <v>19</v>
      </c>
      <c r="D1304" t="str">
        <f>VLOOKUP(B1304, Products!$A$2:$C$100, 2, FALSE)</f>
        <v>Trek 820 - 2016</v>
      </c>
      <c r="E1304">
        <v>2</v>
      </c>
      <c r="F1304">
        <v>449</v>
      </c>
      <c r="G1304">
        <v>0.2</v>
      </c>
      <c r="H1304">
        <v>89.800000000000011</v>
      </c>
      <c r="I1304">
        <f>order_items[[#This Row],[list_price]]-order_items[[#This Row],[Discounted_price]]</f>
        <v>359.2</v>
      </c>
      <c r="J1304">
        <f>VLOOKUP(B1304, Products!$A$2:$E$100, 3, FALSE)</f>
        <v>9</v>
      </c>
      <c r="K1304">
        <f>VLOOKUP(B1304, Products!$A$2:$F$100, 4, FALSE)</f>
        <v>6</v>
      </c>
    </row>
    <row r="1305" spans="1:11" x14ac:dyDescent="0.3">
      <c r="A1305">
        <v>466</v>
      </c>
      <c r="B1305">
        <v>2</v>
      </c>
      <c r="C1305">
        <v>6</v>
      </c>
      <c r="D1305" t="str">
        <f>VLOOKUP(B1305, Products!$A$2:$C$100, 2, FALSE)</f>
        <v>Ritchey Timberwolf Frameset - 2016</v>
      </c>
      <c r="E1305">
        <v>1</v>
      </c>
      <c r="F1305">
        <v>469.99</v>
      </c>
      <c r="G1305">
        <v>0.2</v>
      </c>
      <c r="H1305">
        <v>93.998000000000005</v>
      </c>
      <c r="I1305">
        <f>order_items[[#This Row],[list_price]]-order_items[[#This Row],[Discounted_price]]</f>
        <v>375.99200000000002</v>
      </c>
      <c r="J1305">
        <f>VLOOKUP(B1305, Products!$A$2:$E$100, 3, FALSE)</f>
        <v>5</v>
      </c>
      <c r="K1305">
        <f>VLOOKUP(B1305, Products!$A$2:$F$100, 4, FALSE)</f>
        <v>6</v>
      </c>
    </row>
    <row r="1306" spans="1:11" x14ac:dyDescent="0.3">
      <c r="A1306">
        <v>466</v>
      </c>
      <c r="B1306">
        <v>3</v>
      </c>
      <c r="C1306">
        <v>7</v>
      </c>
      <c r="D1306" t="str">
        <f>VLOOKUP(B1306, Products!$A$2:$C$100, 2, FALSE)</f>
        <v>Surly Wednesday Frameset - 2016</v>
      </c>
      <c r="E1306">
        <v>2</v>
      </c>
      <c r="F1306">
        <v>3999.99</v>
      </c>
      <c r="G1306">
        <v>0.05</v>
      </c>
      <c r="H1306">
        <v>199.99950000000001</v>
      </c>
      <c r="I1306">
        <f>order_items[[#This Row],[list_price]]-order_items[[#This Row],[Discounted_price]]</f>
        <v>3799.9904999999999</v>
      </c>
      <c r="J1306">
        <f>VLOOKUP(B1306, Products!$A$2:$E$100, 3, FALSE)</f>
        <v>8</v>
      </c>
      <c r="K1306">
        <f>VLOOKUP(B1306, Products!$A$2:$F$100, 4, FALSE)</f>
        <v>6</v>
      </c>
    </row>
    <row r="1307" spans="1:11" x14ac:dyDescent="0.3">
      <c r="A1307">
        <v>466</v>
      </c>
      <c r="B1307">
        <v>4</v>
      </c>
      <c r="C1307">
        <v>15</v>
      </c>
      <c r="D1307" t="str">
        <f>VLOOKUP(B1307, Products!$A$2:$C$100, 2, FALSE)</f>
        <v>Trek Fuel EX 8 29 - 2016</v>
      </c>
      <c r="E1307">
        <v>1</v>
      </c>
      <c r="F1307">
        <v>529.99</v>
      </c>
      <c r="G1307">
        <v>0.1</v>
      </c>
      <c r="H1307">
        <v>52.999000000000002</v>
      </c>
      <c r="I1307">
        <f>order_items[[#This Row],[list_price]]-order_items[[#This Row],[Discounted_price]]</f>
        <v>476.99099999999999</v>
      </c>
      <c r="J1307">
        <f>VLOOKUP(B1307, Products!$A$2:$E$100, 3, FALSE)</f>
        <v>9</v>
      </c>
      <c r="K1307">
        <f>VLOOKUP(B1307, Products!$A$2:$F$100, 4, FALSE)</f>
        <v>6</v>
      </c>
    </row>
    <row r="1308" spans="1:11" x14ac:dyDescent="0.3">
      <c r="A1308">
        <v>466</v>
      </c>
      <c r="B1308">
        <v>5</v>
      </c>
      <c r="C1308">
        <v>5</v>
      </c>
      <c r="D1308" t="str">
        <f>VLOOKUP(B1308, Products!$A$2:$C$100, 2, FALSE)</f>
        <v>Heller Shagamaw Frame - 2016</v>
      </c>
      <c r="E1308">
        <v>1</v>
      </c>
      <c r="F1308">
        <v>1320.99</v>
      </c>
      <c r="G1308">
        <v>0.1</v>
      </c>
      <c r="H1308">
        <v>132.09900000000002</v>
      </c>
      <c r="I1308">
        <f>order_items[[#This Row],[list_price]]-order_items[[#This Row],[Discounted_price]]</f>
        <v>1188.8910000000001</v>
      </c>
      <c r="J1308">
        <f>VLOOKUP(B1308, Products!$A$2:$E$100, 3, FALSE)</f>
        <v>3</v>
      </c>
      <c r="K1308">
        <f>VLOOKUP(B1308, Products!$A$2:$F$100, 4, FALSE)</f>
        <v>6</v>
      </c>
    </row>
    <row r="1309" spans="1:11" x14ac:dyDescent="0.3">
      <c r="A1309">
        <v>467</v>
      </c>
      <c r="B1309">
        <v>1</v>
      </c>
      <c r="C1309">
        <v>19</v>
      </c>
      <c r="D1309" t="str">
        <f>VLOOKUP(B1309, Products!$A$2:$C$100, 2, FALSE)</f>
        <v>Trek 820 - 2016</v>
      </c>
      <c r="E1309">
        <v>1</v>
      </c>
      <c r="F1309">
        <v>449</v>
      </c>
      <c r="G1309">
        <v>7.0000000000000007E-2</v>
      </c>
      <c r="H1309">
        <v>31.430000000000003</v>
      </c>
      <c r="I1309">
        <f>order_items[[#This Row],[list_price]]-order_items[[#This Row],[Discounted_price]]</f>
        <v>417.57</v>
      </c>
      <c r="J1309">
        <f>VLOOKUP(B1309, Products!$A$2:$E$100, 3, FALSE)</f>
        <v>9</v>
      </c>
      <c r="K1309">
        <f>VLOOKUP(B1309, Products!$A$2:$F$100, 4, FALSE)</f>
        <v>6</v>
      </c>
    </row>
    <row r="1310" spans="1:11" x14ac:dyDescent="0.3">
      <c r="A1310">
        <v>467</v>
      </c>
      <c r="B1310">
        <v>2</v>
      </c>
      <c r="C1310">
        <v>10</v>
      </c>
      <c r="D1310" t="str">
        <f>VLOOKUP(B1310, Products!$A$2:$C$100, 2, FALSE)</f>
        <v>Ritchey Timberwolf Frameset - 2016</v>
      </c>
      <c r="E1310">
        <v>1</v>
      </c>
      <c r="F1310">
        <v>1549</v>
      </c>
      <c r="G1310">
        <v>7.0000000000000007E-2</v>
      </c>
      <c r="H1310">
        <v>108.43</v>
      </c>
      <c r="I1310">
        <f>order_items[[#This Row],[list_price]]-order_items[[#This Row],[Discounted_price]]</f>
        <v>1440.57</v>
      </c>
      <c r="J1310">
        <f>VLOOKUP(B1310, Products!$A$2:$E$100, 3, FALSE)</f>
        <v>5</v>
      </c>
      <c r="K1310">
        <f>VLOOKUP(B1310, Products!$A$2:$F$100, 4, FALSE)</f>
        <v>6</v>
      </c>
    </row>
    <row r="1311" spans="1:11" x14ac:dyDescent="0.3">
      <c r="A1311">
        <v>467</v>
      </c>
      <c r="B1311">
        <v>3</v>
      </c>
      <c r="C1311">
        <v>22</v>
      </c>
      <c r="D1311" t="str">
        <f>VLOOKUP(B1311, Products!$A$2:$C$100, 2, FALSE)</f>
        <v>Surly Wednesday Frameset - 2016</v>
      </c>
      <c r="E1311">
        <v>2</v>
      </c>
      <c r="F1311">
        <v>269.99</v>
      </c>
      <c r="G1311">
        <v>0.1</v>
      </c>
      <c r="H1311">
        <v>26.999000000000002</v>
      </c>
      <c r="I1311">
        <f>order_items[[#This Row],[list_price]]-order_items[[#This Row],[Discounted_price]]</f>
        <v>242.99100000000001</v>
      </c>
      <c r="J1311">
        <f>VLOOKUP(B1311, Products!$A$2:$E$100, 3, FALSE)</f>
        <v>8</v>
      </c>
      <c r="K1311">
        <f>VLOOKUP(B1311, Products!$A$2:$F$100, 4, FALSE)</f>
        <v>6</v>
      </c>
    </row>
    <row r="1312" spans="1:11" x14ac:dyDescent="0.3">
      <c r="A1312">
        <v>467</v>
      </c>
      <c r="B1312">
        <v>4</v>
      </c>
      <c r="C1312">
        <v>17</v>
      </c>
      <c r="D1312" t="str">
        <f>VLOOKUP(B1312, Products!$A$2:$C$100, 2, FALSE)</f>
        <v>Trek Fuel EX 8 29 - 2016</v>
      </c>
      <c r="E1312">
        <v>2</v>
      </c>
      <c r="F1312">
        <v>429</v>
      </c>
      <c r="G1312">
        <v>7.0000000000000007E-2</v>
      </c>
      <c r="H1312">
        <v>30.03</v>
      </c>
      <c r="I1312">
        <f>order_items[[#This Row],[list_price]]-order_items[[#This Row],[Discounted_price]]</f>
        <v>398.97</v>
      </c>
      <c r="J1312">
        <f>VLOOKUP(B1312, Products!$A$2:$E$100, 3, FALSE)</f>
        <v>9</v>
      </c>
      <c r="K1312">
        <f>VLOOKUP(B1312, Products!$A$2:$F$100, 4, FALSE)</f>
        <v>6</v>
      </c>
    </row>
    <row r="1313" spans="1:11" x14ac:dyDescent="0.3">
      <c r="A1313">
        <v>467</v>
      </c>
      <c r="B1313">
        <v>5</v>
      </c>
      <c r="C1313">
        <v>11</v>
      </c>
      <c r="D1313" t="str">
        <f>VLOOKUP(B1313, Products!$A$2:$C$100, 2, FALSE)</f>
        <v>Heller Shagamaw Frame - 2016</v>
      </c>
      <c r="E1313">
        <v>1</v>
      </c>
      <c r="F1313">
        <v>1680.99</v>
      </c>
      <c r="G1313">
        <v>0.1</v>
      </c>
      <c r="H1313">
        <v>168.09900000000002</v>
      </c>
      <c r="I1313">
        <f>order_items[[#This Row],[list_price]]-order_items[[#This Row],[Discounted_price]]</f>
        <v>1512.8910000000001</v>
      </c>
      <c r="J1313">
        <f>VLOOKUP(B1313, Products!$A$2:$E$100, 3, FALSE)</f>
        <v>3</v>
      </c>
      <c r="K1313">
        <f>VLOOKUP(B1313, Products!$A$2:$F$100, 4, FALSE)</f>
        <v>6</v>
      </c>
    </row>
    <row r="1314" spans="1:11" x14ac:dyDescent="0.3">
      <c r="A1314">
        <v>468</v>
      </c>
      <c r="B1314">
        <v>1</v>
      </c>
      <c r="C1314">
        <v>19</v>
      </c>
      <c r="D1314" t="str">
        <f>VLOOKUP(B1314, Products!$A$2:$C$100, 2, FALSE)</f>
        <v>Trek 820 - 2016</v>
      </c>
      <c r="E1314">
        <v>1</v>
      </c>
      <c r="F1314">
        <v>449</v>
      </c>
      <c r="G1314">
        <v>0.1</v>
      </c>
      <c r="H1314">
        <v>44.900000000000006</v>
      </c>
      <c r="I1314">
        <f>order_items[[#This Row],[list_price]]-order_items[[#This Row],[Discounted_price]]</f>
        <v>404.1</v>
      </c>
      <c r="J1314">
        <f>VLOOKUP(B1314, Products!$A$2:$E$100, 3, FALSE)</f>
        <v>9</v>
      </c>
      <c r="K1314">
        <f>VLOOKUP(B1314, Products!$A$2:$F$100, 4, FALSE)</f>
        <v>6</v>
      </c>
    </row>
    <row r="1315" spans="1:11" x14ac:dyDescent="0.3">
      <c r="A1315">
        <v>468</v>
      </c>
      <c r="B1315">
        <v>2</v>
      </c>
      <c r="C1315">
        <v>9</v>
      </c>
      <c r="D1315" t="str">
        <f>VLOOKUP(B1315, Products!$A$2:$C$100, 2, FALSE)</f>
        <v>Ritchey Timberwolf Frameset - 2016</v>
      </c>
      <c r="E1315">
        <v>2</v>
      </c>
      <c r="F1315">
        <v>2999.99</v>
      </c>
      <c r="G1315">
        <v>0.05</v>
      </c>
      <c r="H1315">
        <v>149.99949999999998</v>
      </c>
      <c r="I1315">
        <f>order_items[[#This Row],[list_price]]-order_items[[#This Row],[Discounted_price]]</f>
        <v>2849.9904999999999</v>
      </c>
      <c r="J1315">
        <f>VLOOKUP(B1315, Products!$A$2:$E$100, 3, FALSE)</f>
        <v>5</v>
      </c>
      <c r="K1315">
        <f>VLOOKUP(B1315, Products!$A$2:$F$100, 4, FALSE)</f>
        <v>6</v>
      </c>
    </row>
    <row r="1316" spans="1:11" x14ac:dyDescent="0.3">
      <c r="A1316">
        <v>468</v>
      </c>
      <c r="B1316">
        <v>3</v>
      </c>
      <c r="C1316">
        <v>10</v>
      </c>
      <c r="D1316" t="str">
        <f>VLOOKUP(B1316, Products!$A$2:$C$100, 2, FALSE)</f>
        <v>Surly Wednesday Frameset - 2016</v>
      </c>
      <c r="E1316">
        <v>2</v>
      </c>
      <c r="F1316">
        <v>1549</v>
      </c>
      <c r="G1316">
        <v>0.05</v>
      </c>
      <c r="H1316">
        <v>77.45</v>
      </c>
      <c r="I1316">
        <f>order_items[[#This Row],[list_price]]-order_items[[#This Row],[Discounted_price]]</f>
        <v>1471.55</v>
      </c>
      <c r="J1316">
        <f>VLOOKUP(B1316, Products!$A$2:$E$100, 3, FALSE)</f>
        <v>8</v>
      </c>
      <c r="K1316">
        <f>VLOOKUP(B1316, Products!$A$2:$F$100, 4, FALSE)</f>
        <v>6</v>
      </c>
    </row>
    <row r="1317" spans="1:11" x14ac:dyDescent="0.3">
      <c r="A1317">
        <v>468</v>
      </c>
      <c r="B1317">
        <v>4</v>
      </c>
      <c r="C1317">
        <v>25</v>
      </c>
      <c r="D1317" t="str">
        <f>VLOOKUP(B1317, Products!$A$2:$C$100, 2, FALSE)</f>
        <v>Trek Fuel EX 8 29 - 2016</v>
      </c>
      <c r="E1317">
        <v>1</v>
      </c>
      <c r="F1317">
        <v>499.99</v>
      </c>
      <c r="G1317">
        <v>0.1</v>
      </c>
      <c r="H1317">
        <v>49.999000000000002</v>
      </c>
      <c r="I1317">
        <f>order_items[[#This Row],[list_price]]-order_items[[#This Row],[Discounted_price]]</f>
        <v>449.99099999999999</v>
      </c>
      <c r="J1317">
        <f>VLOOKUP(B1317, Products!$A$2:$E$100, 3, FALSE)</f>
        <v>9</v>
      </c>
      <c r="K1317">
        <f>VLOOKUP(B1317, Products!$A$2:$F$100, 4, FALSE)</f>
        <v>6</v>
      </c>
    </row>
    <row r="1318" spans="1:11" x14ac:dyDescent="0.3">
      <c r="A1318">
        <v>469</v>
      </c>
      <c r="B1318">
        <v>1</v>
      </c>
      <c r="C1318">
        <v>8</v>
      </c>
      <c r="D1318" t="str">
        <f>VLOOKUP(B1318, Products!$A$2:$C$100, 2, FALSE)</f>
        <v>Trek 820 - 2016</v>
      </c>
      <c r="E1318">
        <v>2</v>
      </c>
      <c r="F1318">
        <v>1799.99</v>
      </c>
      <c r="G1318">
        <v>0.1</v>
      </c>
      <c r="H1318">
        <v>179.99900000000002</v>
      </c>
      <c r="I1318">
        <f>order_items[[#This Row],[list_price]]-order_items[[#This Row],[Discounted_price]]</f>
        <v>1619.991</v>
      </c>
      <c r="J1318">
        <f>VLOOKUP(B1318, Products!$A$2:$E$100, 3, FALSE)</f>
        <v>9</v>
      </c>
      <c r="K1318">
        <f>VLOOKUP(B1318, Products!$A$2:$F$100, 4, FALSE)</f>
        <v>6</v>
      </c>
    </row>
    <row r="1319" spans="1:11" x14ac:dyDescent="0.3">
      <c r="A1319">
        <v>469</v>
      </c>
      <c r="B1319">
        <v>2</v>
      </c>
      <c r="C1319">
        <v>4</v>
      </c>
      <c r="D1319" t="str">
        <f>VLOOKUP(B1319, Products!$A$2:$C$100, 2, FALSE)</f>
        <v>Ritchey Timberwolf Frameset - 2016</v>
      </c>
      <c r="E1319">
        <v>1</v>
      </c>
      <c r="F1319">
        <v>2899.99</v>
      </c>
      <c r="G1319">
        <v>7.0000000000000007E-2</v>
      </c>
      <c r="H1319">
        <v>202.99930000000001</v>
      </c>
      <c r="I1319">
        <f>order_items[[#This Row],[list_price]]-order_items[[#This Row],[Discounted_price]]</f>
        <v>2696.9906999999998</v>
      </c>
      <c r="J1319">
        <f>VLOOKUP(B1319, Products!$A$2:$E$100, 3, FALSE)</f>
        <v>5</v>
      </c>
      <c r="K1319">
        <f>VLOOKUP(B1319, Products!$A$2:$F$100, 4, FALSE)</f>
        <v>6</v>
      </c>
    </row>
    <row r="1320" spans="1:11" x14ac:dyDescent="0.3">
      <c r="A1320">
        <v>469</v>
      </c>
      <c r="B1320">
        <v>3</v>
      </c>
      <c r="C1320">
        <v>15</v>
      </c>
      <c r="D1320" t="str">
        <f>VLOOKUP(B1320, Products!$A$2:$C$100, 2, FALSE)</f>
        <v>Surly Wednesday Frameset - 2016</v>
      </c>
      <c r="E1320">
        <v>2</v>
      </c>
      <c r="F1320">
        <v>529.99</v>
      </c>
      <c r="G1320">
        <v>0.2</v>
      </c>
      <c r="H1320">
        <v>105.998</v>
      </c>
      <c r="I1320">
        <f>order_items[[#This Row],[list_price]]-order_items[[#This Row],[Discounted_price]]</f>
        <v>423.99200000000002</v>
      </c>
      <c r="J1320">
        <f>VLOOKUP(B1320, Products!$A$2:$E$100, 3, FALSE)</f>
        <v>8</v>
      </c>
      <c r="K1320">
        <f>VLOOKUP(B1320, Products!$A$2:$F$100, 4, FALSE)</f>
        <v>6</v>
      </c>
    </row>
    <row r="1321" spans="1:11" x14ac:dyDescent="0.3">
      <c r="A1321">
        <v>470</v>
      </c>
      <c r="B1321">
        <v>1</v>
      </c>
      <c r="C1321">
        <v>18</v>
      </c>
      <c r="D1321" t="str">
        <f>VLOOKUP(B1321, Products!$A$2:$C$100, 2, FALSE)</f>
        <v>Trek 820 - 2016</v>
      </c>
      <c r="E1321">
        <v>1</v>
      </c>
      <c r="F1321">
        <v>449</v>
      </c>
      <c r="G1321">
        <v>0.05</v>
      </c>
      <c r="H1321">
        <v>22.450000000000003</v>
      </c>
      <c r="I1321">
        <f>order_items[[#This Row],[list_price]]-order_items[[#This Row],[Discounted_price]]</f>
        <v>426.55</v>
      </c>
      <c r="J1321">
        <f>VLOOKUP(B1321, Products!$A$2:$E$100, 3, FALSE)</f>
        <v>9</v>
      </c>
      <c r="K1321">
        <f>VLOOKUP(B1321, Products!$A$2:$F$100, 4, FALSE)</f>
        <v>6</v>
      </c>
    </row>
    <row r="1322" spans="1:11" x14ac:dyDescent="0.3">
      <c r="A1322">
        <v>470</v>
      </c>
      <c r="B1322">
        <v>2</v>
      </c>
      <c r="C1322">
        <v>13</v>
      </c>
      <c r="D1322" t="str">
        <f>VLOOKUP(B1322, Products!$A$2:$C$100, 2, FALSE)</f>
        <v>Ritchey Timberwolf Frameset - 2016</v>
      </c>
      <c r="E1322">
        <v>1</v>
      </c>
      <c r="F1322">
        <v>269.99</v>
      </c>
      <c r="G1322">
        <v>0.05</v>
      </c>
      <c r="H1322">
        <v>13.499500000000001</v>
      </c>
      <c r="I1322">
        <f>order_items[[#This Row],[list_price]]-order_items[[#This Row],[Discounted_price]]</f>
        <v>256.4905</v>
      </c>
      <c r="J1322">
        <f>VLOOKUP(B1322, Products!$A$2:$E$100, 3, FALSE)</f>
        <v>5</v>
      </c>
      <c r="K1322">
        <f>VLOOKUP(B1322, Products!$A$2:$F$100, 4, FALSE)</f>
        <v>6</v>
      </c>
    </row>
    <row r="1323" spans="1:11" x14ac:dyDescent="0.3">
      <c r="A1323">
        <v>470</v>
      </c>
      <c r="B1323">
        <v>3</v>
      </c>
      <c r="C1323">
        <v>8</v>
      </c>
      <c r="D1323" t="str">
        <f>VLOOKUP(B1323, Products!$A$2:$C$100, 2, FALSE)</f>
        <v>Surly Wednesday Frameset - 2016</v>
      </c>
      <c r="E1323">
        <v>2</v>
      </c>
      <c r="F1323">
        <v>1799.99</v>
      </c>
      <c r="G1323">
        <v>0.2</v>
      </c>
      <c r="H1323">
        <v>359.99800000000005</v>
      </c>
      <c r="I1323">
        <f>order_items[[#This Row],[list_price]]-order_items[[#This Row],[Discounted_price]]</f>
        <v>1439.992</v>
      </c>
      <c r="J1323">
        <f>VLOOKUP(B1323, Products!$A$2:$E$100, 3, FALSE)</f>
        <v>8</v>
      </c>
      <c r="K1323">
        <f>VLOOKUP(B1323, Products!$A$2:$F$100, 4, FALSE)</f>
        <v>6</v>
      </c>
    </row>
    <row r="1324" spans="1:11" x14ac:dyDescent="0.3">
      <c r="A1324">
        <v>471</v>
      </c>
      <c r="B1324">
        <v>1</v>
      </c>
      <c r="C1324">
        <v>14</v>
      </c>
      <c r="D1324" t="str">
        <f>VLOOKUP(B1324, Products!$A$2:$C$100, 2, FALSE)</f>
        <v>Trek 820 - 2016</v>
      </c>
      <c r="E1324">
        <v>1</v>
      </c>
      <c r="F1324">
        <v>269.99</v>
      </c>
      <c r="G1324">
        <v>0.2</v>
      </c>
      <c r="H1324">
        <v>53.998000000000005</v>
      </c>
      <c r="I1324">
        <f>order_items[[#This Row],[list_price]]-order_items[[#This Row],[Discounted_price]]</f>
        <v>215.99200000000002</v>
      </c>
      <c r="J1324">
        <f>VLOOKUP(B1324, Products!$A$2:$E$100, 3, FALSE)</f>
        <v>9</v>
      </c>
      <c r="K1324">
        <f>VLOOKUP(B1324, Products!$A$2:$F$100, 4, FALSE)</f>
        <v>6</v>
      </c>
    </row>
    <row r="1325" spans="1:11" x14ac:dyDescent="0.3">
      <c r="A1325">
        <v>471</v>
      </c>
      <c r="B1325">
        <v>2</v>
      </c>
      <c r="C1325">
        <v>13</v>
      </c>
      <c r="D1325" t="str">
        <f>VLOOKUP(B1325, Products!$A$2:$C$100, 2, FALSE)</f>
        <v>Ritchey Timberwolf Frameset - 2016</v>
      </c>
      <c r="E1325">
        <v>2</v>
      </c>
      <c r="F1325">
        <v>269.99</v>
      </c>
      <c r="G1325">
        <v>0.05</v>
      </c>
      <c r="H1325">
        <v>13.499500000000001</v>
      </c>
      <c r="I1325">
        <f>order_items[[#This Row],[list_price]]-order_items[[#This Row],[Discounted_price]]</f>
        <v>256.4905</v>
      </c>
      <c r="J1325">
        <f>VLOOKUP(B1325, Products!$A$2:$E$100, 3, FALSE)</f>
        <v>5</v>
      </c>
      <c r="K1325">
        <f>VLOOKUP(B1325, Products!$A$2:$F$100, 4, FALSE)</f>
        <v>6</v>
      </c>
    </row>
    <row r="1326" spans="1:11" x14ac:dyDescent="0.3">
      <c r="A1326">
        <v>472</v>
      </c>
      <c r="B1326">
        <v>1</v>
      </c>
      <c r="C1326">
        <v>15</v>
      </c>
      <c r="D1326" t="str">
        <f>VLOOKUP(B1326, Products!$A$2:$C$100, 2, FALSE)</f>
        <v>Trek 820 - 2016</v>
      </c>
      <c r="E1326">
        <v>1</v>
      </c>
      <c r="F1326">
        <v>529.99</v>
      </c>
      <c r="G1326">
        <v>0.1</v>
      </c>
      <c r="H1326">
        <v>52.999000000000002</v>
      </c>
      <c r="I1326">
        <f>order_items[[#This Row],[list_price]]-order_items[[#This Row],[Discounted_price]]</f>
        <v>476.99099999999999</v>
      </c>
      <c r="J1326">
        <f>VLOOKUP(B1326, Products!$A$2:$E$100, 3, FALSE)</f>
        <v>9</v>
      </c>
      <c r="K1326">
        <f>VLOOKUP(B1326, Products!$A$2:$F$100, 4, FALSE)</f>
        <v>6</v>
      </c>
    </row>
    <row r="1327" spans="1:11" x14ac:dyDescent="0.3">
      <c r="A1327">
        <v>472</v>
      </c>
      <c r="B1327">
        <v>2</v>
      </c>
      <c r="C1327">
        <v>21</v>
      </c>
      <c r="D1327" t="str">
        <f>VLOOKUP(B1327, Products!$A$2:$C$100, 2, FALSE)</f>
        <v>Ritchey Timberwolf Frameset - 2016</v>
      </c>
      <c r="E1327">
        <v>2</v>
      </c>
      <c r="F1327">
        <v>269.99</v>
      </c>
      <c r="G1327">
        <v>0.1</v>
      </c>
      <c r="H1327">
        <v>26.999000000000002</v>
      </c>
      <c r="I1327">
        <f>order_items[[#This Row],[list_price]]-order_items[[#This Row],[Discounted_price]]</f>
        <v>242.99100000000001</v>
      </c>
      <c r="J1327">
        <f>VLOOKUP(B1327, Products!$A$2:$E$100, 3, FALSE)</f>
        <v>5</v>
      </c>
      <c r="K1327">
        <f>VLOOKUP(B1327, Products!$A$2:$F$100, 4, FALSE)</f>
        <v>6</v>
      </c>
    </row>
    <row r="1328" spans="1:11" x14ac:dyDescent="0.3">
      <c r="A1328">
        <v>473</v>
      </c>
      <c r="B1328">
        <v>1</v>
      </c>
      <c r="C1328">
        <v>26</v>
      </c>
      <c r="D1328" t="str">
        <f>VLOOKUP(B1328, Products!$A$2:$C$100, 2, FALSE)</f>
        <v>Trek 820 - 2016</v>
      </c>
      <c r="E1328">
        <v>1</v>
      </c>
      <c r="F1328">
        <v>599.99</v>
      </c>
      <c r="G1328">
        <v>7.0000000000000007E-2</v>
      </c>
      <c r="H1328">
        <v>41.999300000000005</v>
      </c>
      <c r="I1328">
        <f>order_items[[#This Row],[list_price]]-order_items[[#This Row],[Discounted_price]]</f>
        <v>557.99070000000006</v>
      </c>
      <c r="J1328">
        <f>VLOOKUP(B1328, Products!$A$2:$E$100, 3, FALSE)</f>
        <v>9</v>
      </c>
      <c r="K1328">
        <f>VLOOKUP(B1328, Products!$A$2:$F$100, 4, FALSE)</f>
        <v>6</v>
      </c>
    </row>
    <row r="1329" spans="1:11" x14ac:dyDescent="0.3">
      <c r="A1329">
        <v>474</v>
      </c>
      <c r="B1329">
        <v>1</v>
      </c>
      <c r="C1329">
        <v>19</v>
      </c>
      <c r="D1329" t="str">
        <f>VLOOKUP(B1329, Products!$A$2:$C$100, 2, FALSE)</f>
        <v>Trek 820 - 2016</v>
      </c>
      <c r="E1329">
        <v>2</v>
      </c>
      <c r="F1329">
        <v>449</v>
      </c>
      <c r="G1329">
        <v>0.05</v>
      </c>
      <c r="H1329">
        <v>22.450000000000003</v>
      </c>
      <c r="I1329">
        <f>order_items[[#This Row],[list_price]]-order_items[[#This Row],[Discounted_price]]</f>
        <v>426.55</v>
      </c>
      <c r="J1329">
        <f>VLOOKUP(B1329, Products!$A$2:$E$100, 3, FALSE)</f>
        <v>9</v>
      </c>
      <c r="K1329">
        <f>VLOOKUP(B1329, Products!$A$2:$F$100, 4, FALSE)</f>
        <v>6</v>
      </c>
    </row>
    <row r="1330" spans="1:11" x14ac:dyDescent="0.3">
      <c r="A1330">
        <v>474</v>
      </c>
      <c r="B1330">
        <v>2</v>
      </c>
      <c r="C1330">
        <v>11</v>
      </c>
      <c r="D1330" t="str">
        <f>VLOOKUP(B1330, Products!$A$2:$C$100, 2, FALSE)</f>
        <v>Ritchey Timberwolf Frameset - 2016</v>
      </c>
      <c r="E1330">
        <v>1</v>
      </c>
      <c r="F1330">
        <v>1680.99</v>
      </c>
      <c r="G1330">
        <v>0.2</v>
      </c>
      <c r="H1330">
        <v>336.19800000000004</v>
      </c>
      <c r="I1330">
        <f>order_items[[#This Row],[list_price]]-order_items[[#This Row],[Discounted_price]]</f>
        <v>1344.7919999999999</v>
      </c>
      <c r="J1330">
        <f>VLOOKUP(B1330, Products!$A$2:$E$100, 3, FALSE)</f>
        <v>5</v>
      </c>
      <c r="K1330">
        <f>VLOOKUP(B1330, Products!$A$2:$F$100, 4, FALSE)</f>
        <v>6</v>
      </c>
    </row>
    <row r="1331" spans="1:11" x14ac:dyDescent="0.3">
      <c r="A1331">
        <v>475</v>
      </c>
      <c r="B1331">
        <v>1</v>
      </c>
      <c r="C1331">
        <v>17</v>
      </c>
      <c r="D1331" t="str">
        <f>VLOOKUP(B1331, Products!$A$2:$C$100, 2, FALSE)</f>
        <v>Trek 820 - 2016</v>
      </c>
      <c r="E1331">
        <v>2</v>
      </c>
      <c r="F1331">
        <v>429</v>
      </c>
      <c r="G1331">
        <v>7.0000000000000007E-2</v>
      </c>
      <c r="H1331">
        <v>30.03</v>
      </c>
      <c r="I1331">
        <f>order_items[[#This Row],[list_price]]-order_items[[#This Row],[Discounted_price]]</f>
        <v>398.97</v>
      </c>
      <c r="J1331">
        <f>VLOOKUP(B1331, Products!$A$2:$E$100, 3, FALSE)</f>
        <v>9</v>
      </c>
      <c r="K1331">
        <f>VLOOKUP(B1331, Products!$A$2:$F$100, 4, FALSE)</f>
        <v>6</v>
      </c>
    </row>
    <row r="1332" spans="1:11" x14ac:dyDescent="0.3">
      <c r="A1332">
        <v>475</v>
      </c>
      <c r="B1332">
        <v>2</v>
      </c>
      <c r="C1332">
        <v>26</v>
      </c>
      <c r="D1332" t="str">
        <f>VLOOKUP(B1332, Products!$A$2:$C$100, 2, FALSE)</f>
        <v>Ritchey Timberwolf Frameset - 2016</v>
      </c>
      <c r="E1332">
        <v>2</v>
      </c>
      <c r="F1332">
        <v>599.99</v>
      </c>
      <c r="G1332">
        <v>0.2</v>
      </c>
      <c r="H1332">
        <v>119.998</v>
      </c>
      <c r="I1332">
        <f>order_items[[#This Row],[list_price]]-order_items[[#This Row],[Discounted_price]]</f>
        <v>479.99200000000002</v>
      </c>
      <c r="J1332">
        <f>VLOOKUP(B1332, Products!$A$2:$E$100, 3, FALSE)</f>
        <v>5</v>
      </c>
      <c r="K1332">
        <f>VLOOKUP(B1332, Products!$A$2:$F$100, 4, FALSE)</f>
        <v>6</v>
      </c>
    </row>
    <row r="1333" spans="1:11" x14ac:dyDescent="0.3">
      <c r="A1333">
        <v>475</v>
      </c>
      <c r="B1333">
        <v>3</v>
      </c>
      <c r="C1333">
        <v>25</v>
      </c>
      <c r="D1333" t="str">
        <f>VLOOKUP(B1333, Products!$A$2:$C$100, 2, FALSE)</f>
        <v>Surly Wednesday Frameset - 2016</v>
      </c>
      <c r="E1333">
        <v>1</v>
      </c>
      <c r="F1333">
        <v>499.99</v>
      </c>
      <c r="G1333">
        <v>0.2</v>
      </c>
      <c r="H1333">
        <v>99.998000000000005</v>
      </c>
      <c r="I1333">
        <f>order_items[[#This Row],[list_price]]-order_items[[#This Row],[Discounted_price]]</f>
        <v>399.99200000000002</v>
      </c>
      <c r="J1333">
        <f>VLOOKUP(B1333, Products!$A$2:$E$100, 3, FALSE)</f>
        <v>8</v>
      </c>
      <c r="K1333">
        <f>VLOOKUP(B1333, Products!$A$2:$F$100, 4, FALSE)</f>
        <v>6</v>
      </c>
    </row>
    <row r="1334" spans="1:11" x14ac:dyDescent="0.3">
      <c r="A1334">
        <v>476</v>
      </c>
      <c r="B1334">
        <v>1</v>
      </c>
      <c r="C1334">
        <v>22</v>
      </c>
      <c r="D1334" t="str">
        <f>VLOOKUP(B1334, Products!$A$2:$C$100, 2, FALSE)</f>
        <v>Trek 820 - 2016</v>
      </c>
      <c r="E1334">
        <v>2</v>
      </c>
      <c r="F1334">
        <v>269.99</v>
      </c>
      <c r="G1334">
        <v>7.0000000000000007E-2</v>
      </c>
      <c r="H1334">
        <v>18.899300000000004</v>
      </c>
      <c r="I1334">
        <f>order_items[[#This Row],[list_price]]-order_items[[#This Row],[Discounted_price]]</f>
        <v>251.0907</v>
      </c>
      <c r="J1334">
        <f>VLOOKUP(B1334, Products!$A$2:$E$100, 3, FALSE)</f>
        <v>9</v>
      </c>
      <c r="K1334">
        <f>VLOOKUP(B1334, Products!$A$2:$F$100, 4, FALSE)</f>
        <v>6</v>
      </c>
    </row>
    <row r="1335" spans="1:11" x14ac:dyDescent="0.3">
      <c r="A1335">
        <v>476</v>
      </c>
      <c r="B1335">
        <v>2</v>
      </c>
      <c r="C1335">
        <v>4</v>
      </c>
      <c r="D1335" t="str">
        <f>VLOOKUP(B1335, Products!$A$2:$C$100, 2, FALSE)</f>
        <v>Ritchey Timberwolf Frameset - 2016</v>
      </c>
      <c r="E1335">
        <v>2</v>
      </c>
      <c r="F1335">
        <v>2899.99</v>
      </c>
      <c r="G1335">
        <v>0.2</v>
      </c>
      <c r="H1335">
        <v>579.99799999999993</v>
      </c>
      <c r="I1335">
        <f>order_items[[#This Row],[list_price]]-order_items[[#This Row],[Discounted_price]]</f>
        <v>2319.9919999999997</v>
      </c>
      <c r="J1335">
        <f>VLOOKUP(B1335, Products!$A$2:$E$100, 3, FALSE)</f>
        <v>5</v>
      </c>
      <c r="K1335">
        <f>VLOOKUP(B1335, Products!$A$2:$F$100, 4, FALSE)</f>
        <v>6</v>
      </c>
    </row>
    <row r="1336" spans="1:11" x14ac:dyDescent="0.3">
      <c r="A1336">
        <v>476</v>
      </c>
      <c r="B1336">
        <v>3</v>
      </c>
      <c r="C1336">
        <v>11</v>
      </c>
      <c r="D1336" t="str">
        <f>VLOOKUP(B1336, Products!$A$2:$C$100, 2, FALSE)</f>
        <v>Surly Wednesday Frameset - 2016</v>
      </c>
      <c r="E1336">
        <v>2</v>
      </c>
      <c r="F1336">
        <v>1680.99</v>
      </c>
      <c r="G1336">
        <v>7.0000000000000007E-2</v>
      </c>
      <c r="H1336">
        <v>117.66930000000001</v>
      </c>
      <c r="I1336">
        <f>order_items[[#This Row],[list_price]]-order_items[[#This Row],[Discounted_price]]</f>
        <v>1563.3207</v>
      </c>
      <c r="J1336">
        <f>VLOOKUP(B1336, Products!$A$2:$E$100, 3, FALSE)</f>
        <v>8</v>
      </c>
      <c r="K1336">
        <f>VLOOKUP(B1336, Products!$A$2:$F$100, 4, FALSE)</f>
        <v>6</v>
      </c>
    </row>
    <row r="1337" spans="1:11" x14ac:dyDescent="0.3">
      <c r="A1337">
        <v>476</v>
      </c>
      <c r="B1337">
        <v>4</v>
      </c>
      <c r="C1337">
        <v>20</v>
      </c>
      <c r="D1337" t="str">
        <f>VLOOKUP(B1337, Products!$A$2:$C$100, 2, FALSE)</f>
        <v>Trek Fuel EX 8 29 - 2016</v>
      </c>
      <c r="E1337">
        <v>2</v>
      </c>
      <c r="F1337">
        <v>599.99</v>
      </c>
      <c r="G1337">
        <v>0.05</v>
      </c>
      <c r="H1337">
        <v>29.999500000000001</v>
      </c>
      <c r="I1337">
        <f>order_items[[#This Row],[list_price]]-order_items[[#This Row],[Discounted_price]]</f>
        <v>569.9905</v>
      </c>
      <c r="J1337">
        <f>VLOOKUP(B1337, Products!$A$2:$E$100, 3, FALSE)</f>
        <v>9</v>
      </c>
      <c r="K1337">
        <f>VLOOKUP(B1337, Products!$A$2:$F$100, 4, FALSE)</f>
        <v>6</v>
      </c>
    </row>
    <row r="1338" spans="1:11" x14ac:dyDescent="0.3">
      <c r="A1338">
        <v>477</v>
      </c>
      <c r="B1338">
        <v>1</v>
      </c>
      <c r="C1338">
        <v>6</v>
      </c>
      <c r="D1338" t="str">
        <f>VLOOKUP(B1338, Products!$A$2:$C$100, 2, FALSE)</f>
        <v>Trek 820 - 2016</v>
      </c>
      <c r="E1338">
        <v>1</v>
      </c>
      <c r="F1338">
        <v>469.99</v>
      </c>
      <c r="G1338">
        <v>0.1</v>
      </c>
      <c r="H1338">
        <v>46.999000000000002</v>
      </c>
      <c r="I1338">
        <f>order_items[[#This Row],[list_price]]-order_items[[#This Row],[Discounted_price]]</f>
        <v>422.99099999999999</v>
      </c>
      <c r="J1338">
        <f>VLOOKUP(B1338, Products!$A$2:$E$100, 3, FALSE)</f>
        <v>9</v>
      </c>
      <c r="K1338">
        <f>VLOOKUP(B1338, Products!$A$2:$F$100, 4, FALSE)</f>
        <v>6</v>
      </c>
    </row>
    <row r="1339" spans="1:11" x14ac:dyDescent="0.3">
      <c r="A1339">
        <v>477</v>
      </c>
      <c r="B1339">
        <v>2</v>
      </c>
      <c r="C1339">
        <v>10</v>
      </c>
      <c r="D1339" t="str">
        <f>VLOOKUP(B1339, Products!$A$2:$C$100, 2, FALSE)</f>
        <v>Ritchey Timberwolf Frameset - 2016</v>
      </c>
      <c r="E1339">
        <v>1</v>
      </c>
      <c r="F1339">
        <v>1549</v>
      </c>
      <c r="G1339">
        <v>0.05</v>
      </c>
      <c r="H1339">
        <v>77.45</v>
      </c>
      <c r="I1339">
        <f>order_items[[#This Row],[list_price]]-order_items[[#This Row],[Discounted_price]]</f>
        <v>1471.55</v>
      </c>
      <c r="J1339">
        <f>VLOOKUP(B1339, Products!$A$2:$E$100, 3, FALSE)</f>
        <v>5</v>
      </c>
      <c r="K1339">
        <f>VLOOKUP(B1339, Products!$A$2:$F$100, 4, FALSE)</f>
        <v>6</v>
      </c>
    </row>
    <row r="1340" spans="1:11" x14ac:dyDescent="0.3">
      <c r="A1340">
        <v>478</v>
      </c>
      <c r="B1340">
        <v>1</v>
      </c>
      <c r="C1340">
        <v>21</v>
      </c>
      <c r="D1340" t="str">
        <f>VLOOKUP(B1340, Products!$A$2:$C$100, 2, FALSE)</f>
        <v>Trek 820 - 2016</v>
      </c>
      <c r="E1340">
        <v>2</v>
      </c>
      <c r="F1340">
        <v>269.99</v>
      </c>
      <c r="G1340">
        <v>7.0000000000000007E-2</v>
      </c>
      <c r="H1340">
        <v>18.899300000000004</v>
      </c>
      <c r="I1340">
        <f>order_items[[#This Row],[list_price]]-order_items[[#This Row],[Discounted_price]]</f>
        <v>251.0907</v>
      </c>
      <c r="J1340">
        <f>VLOOKUP(B1340, Products!$A$2:$E$100, 3, FALSE)</f>
        <v>9</v>
      </c>
      <c r="K1340">
        <f>VLOOKUP(B1340, Products!$A$2:$F$100, 4, FALSE)</f>
        <v>6</v>
      </c>
    </row>
    <row r="1341" spans="1:11" x14ac:dyDescent="0.3">
      <c r="A1341">
        <v>479</v>
      </c>
      <c r="B1341">
        <v>1</v>
      </c>
      <c r="C1341">
        <v>26</v>
      </c>
      <c r="D1341" t="str">
        <f>VLOOKUP(B1341, Products!$A$2:$C$100, 2, FALSE)</f>
        <v>Trek 820 - 2016</v>
      </c>
      <c r="E1341">
        <v>1</v>
      </c>
      <c r="F1341">
        <v>599.99</v>
      </c>
      <c r="G1341">
        <v>7.0000000000000007E-2</v>
      </c>
      <c r="H1341">
        <v>41.999300000000005</v>
      </c>
      <c r="I1341">
        <f>order_items[[#This Row],[list_price]]-order_items[[#This Row],[Discounted_price]]</f>
        <v>557.99070000000006</v>
      </c>
      <c r="J1341">
        <f>VLOOKUP(B1341, Products!$A$2:$E$100, 3, FALSE)</f>
        <v>9</v>
      </c>
      <c r="K1341">
        <f>VLOOKUP(B1341, Products!$A$2:$F$100, 4, FALSE)</f>
        <v>6</v>
      </c>
    </row>
    <row r="1342" spans="1:11" x14ac:dyDescent="0.3">
      <c r="A1342">
        <v>479</v>
      </c>
      <c r="B1342">
        <v>2</v>
      </c>
      <c r="C1342">
        <v>12</v>
      </c>
      <c r="D1342" t="str">
        <f>VLOOKUP(B1342, Products!$A$2:$C$100, 2, FALSE)</f>
        <v>Ritchey Timberwolf Frameset - 2016</v>
      </c>
      <c r="E1342">
        <v>1</v>
      </c>
      <c r="F1342">
        <v>549.99</v>
      </c>
      <c r="G1342">
        <v>0.05</v>
      </c>
      <c r="H1342">
        <v>27.499500000000001</v>
      </c>
      <c r="I1342">
        <f>order_items[[#This Row],[list_price]]-order_items[[#This Row],[Discounted_price]]</f>
        <v>522.4905</v>
      </c>
      <c r="J1342">
        <f>VLOOKUP(B1342, Products!$A$2:$E$100, 3, FALSE)</f>
        <v>5</v>
      </c>
      <c r="K1342">
        <f>VLOOKUP(B1342, Products!$A$2:$F$100, 4, FALSE)</f>
        <v>6</v>
      </c>
    </row>
    <row r="1343" spans="1:11" x14ac:dyDescent="0.3">
      <c r="A1343">
        <v>479</v>
      </c>
      <c r="B1343">
        <v>3</v>
      </c>
      <c r="C1343">
        <v>21</v>
      </c>
      <c r="D1343" t="str">
        <f>VLOOKUP(B1343, Products!$A$2:$C$100, 2, FALSE)</f>
        <v>Surly Wednesday Frameset - 2016</v>
      </c>
      <c r="E1343">
        <v>1</v>
      </c>
      <c r="F1343">
        <v>269.99</v>
      </c>
      <c r="G1343">
        <v>0.2</v>
      </c>
      <c r="H1343">
        <v>53.998000000000005</v>
      </c>
      <c r="I1343">
        <f>order_items[[#This Row],[list_price]]-order_items[[#This Row],[Discounted_price]]</f>
        <v>215.99200000000002</v>
      </c>
      <c r="J1343">
        <f>VLOOKUP(B1343, Products!$A$2:$E$100, 3, FALSE)</f>
        <v>8</v>
      </c>
      <c r="K1343">
        <f>VLOOKUP(B1343, Products!$A$2:$F$100, 4, FALSE)</f>
        <v>6</v>
      </c>
    </row>
    <row r="1344" spans="1:11" x14ac:dyDescent="0.3">
      <c r="A1344">
        <v>479</v>
      </c>
      <c r="B1344">
        <v>4</v>
      </c>
      <c r="C1344">
        <v>7</v>
      </c>
      <c r="D1344" t="str">
        <f>VLOOKUP(B1344, Products!$A$2:$C$100, 2, FALSE)</f>
        <v>Trek Fuel EX 8 29 - 2016</v>
      </c>
      <c r="E1344">
        <v>1</v>
      </c>
      <c r="F1344">
        <v>3999.99</v>
      </c>
      <c r="G1344">
        <v>0.05</v>
      </c>
      <c r="H1344">
        <v>199.99950000000001</v>
      </c>
      <c r="I1344">
        <f>order_items[[#This Row],[list_price]]-order_items[[#This Row],[Discounted_price]]</f>
        <v>3799.9904999999999</v>
      </c>
      <c r="J1344">
        <f>VLOOKUP(B1344, Products!$A$2:$E$100, 3, FALSE)</f>
        <v>9</v>
      </c>
      <c r="K1344">
        <f>VLOOKUP(B1344, Products!$A$2:$F$100, 4, FALSE)</f>
        <v>6</v>
      </c>
    </row>
    <row r="1345" spans="1:11" x14ac:dyDescent="0.3">
      <c r="A1345">
        <v>479</v>
      </c>
      <c r="B1345">
        <v>5</v>
      </c>
      <c r="C1345">
        <v>10</v>
      </c>
      <c r="D1345" t="str">
        <f>VLOOKUP(B1345, Products!$A$2:$C$100, 2, FALSE)</f>
        <v>Heller Shagamaw Frame - 2016</v>
      </c>
      <c r="E1345">
        <v>1</v>
      </c>
      <c r="F1345">
        <v>1549</v>
      </c>
      <c r="G1345">
        <v>0.2</v>
      </c>
      <c r="H1345">
        <v>309.8</v>
      </c>
      <c r="I1345">
        <f>order_items[[#This Row],[list_price]]-order_items[[#This Row],[Discounted_price]]</f>
        <v>1239.2</v>
      </c>
      <c r="J1345">
        <f>VLOOKUP(B1345, Products!$A$2:$E$100, 3, FALSE)</f>
        <v>3</v>
      </c>
      <c r="K1345">
        <f>VLOOKUP(B1345, Products!$A$2:$F$100, 4, FALSE)</f>
        <v>6</v>
      </c>
    </row>
    <row r="1346" spans="1:11" x14ac:dyDescent="0.3">
      <c r="A1346">
        <v>480</v>
      </c>
      <c r="B1346">
        <v>1</v>
      </c>
      <c r="C1346">
        <v>4</v>
      </c>
      <c r="D1346" t="str">
        <f>VLOOKUP(B1346, Products!$A$2:$C$100, 2, FALSE)</f>
        <v>Trek 820 - 2016</v>
      </c>
      <c r="E1346">
        <v>1</v>
      </c>
      <c r="F1346">
        <v>2899.99</v>
      </c>
      <c r="G1346">
        <v>0.05</v>
      </c>
      <c r="H1346">
        <v>144.99949999999998</v>
      </c>
      <c r="I1346">
        <f>order_items[[#This Row],[list_price]]-order_items[[#This Row],[Discounted_price]]</f>
        <v>2754.9904999999999</v>
      </c>
      <c r="J1346">
        <f>VLOOKUP(B1346, Products!$A$2:$E$100, 3, FALSE)</f>
        <v>9</v>
      </c>
      <c r="K1346">
        <f>VLOOKUP(B1346, Products!$A$2:$F$100, 4, FALSE)</f>
        <v>6</v>
      </c>
    </row>
    <row r="1347" spans="1:11" x14ac:dyDescent="0.3">
      <c r="A1347">
        <v>480</v>
      </c>
      <c r="B1347">
        <v>2</v>
      </c>
      <c r="C1347">
        <v>15</v>
      </c>
      <c r="D1347" t="str">
        <f>VLOOKUP(B1347, Products!$A$2:$C$100, 2, FALSE)</f>
        <v>Ritchey Timberwolf Frameset - 2016</v>
      </c>
      <c r="E1347">
        <v>1</v>
      </c>
      <c r="F1347">
        <v>529.99</v>
      </c>
      <c r="G1347">
        <v>0.05</v>
      </c>
      <c r="H1347">
        <v>26.499500000000001</v>
      </c>
      <c r="I1347">
        <f>order_items[[#This Row],[list_price]]-order_items[[#This Row],[Discounted_price]]</f>
        <v>503.4905</v>
      </c>
      <c r="J1347">
        <f>VLOOKUP(B1347, Products!$A$2:$E$100, 3, FALSE)</f>
        <v>5</v>
      </c>
      <c r="K1347">
        <f>VLOOKUP(B1347, Products!$A$2:$F$100, 4, FALSE)</f>
        <v>6</v>
      </c>
    </row>
    <row r="1348" spans="1:11" x14ac:dyDescent="0.3">
      <c r="A1348">
        <v>480</v>
      </c>
      <c r="B1348">
        <v>3</v>
      </c>
      <c r="C1348">
        <v>23</v>
      </c>
      <c r="D1348" t="str">
        <f>VLOOKUP(B1348, Products!$A$2:$C$100, 2, FALSE)</f>
        <v>Surly Wednesday Frameset - 2016</v>
      </c>
      <c r="E1348">
        <v>2</v>
      </c>
      <c r="F1348">
        <v>299.99</v>
      </c>
      <c r="G1348">
        <v>7.0000000000000007E-2</v>
      </c>
      <c r="H1348">
        <v>20.999300000000002</v>
      </c>
      <c r="I1348">
        <f>order_items[[#This Row],[list_price]]-order_items[[#This Row],[Discounted_price]]</f>
        <v>278.9907</v>
      </c>
      <c r="J1348">
        <f>VLOOKUP(B1348, Products!$A$2:$E$100, 3, FALSE)</f>
        <v>8</v>
      </c>
      <c r="K1348">
        <f>VLOOKUP(B1348, Products!$A$2:$F$100, 4, FALSE)</f>
        <v>6</v>
      </c>
    </row>
    <row r="1349" spans="1:11" x14ac:dyDescent="0.3">
      <c r="A1349">
        <v>481</v>
      </c>
      <c r="B1349">
        <v>1</v>
      </c>
      <c r="C1349">
        <v>13</v>
      </c>
      <c r="D1349" t="str">
        <f>VLOOKUP(B1349, Products!$A$2:$C$100, 2, FALSE)</f>
        <v>Trek 820 - 2016</v>
      </c>
      <c r="E1349">
        <v>2</v>
      </c>
      <c r="F1349">
        <v>269.99</v>
      </c>
      <c r="G1349">
        <v>0.2</v>
      </c>
      <c r="H1349">
        <v>53.998000000000005</v>
      </c>
      <c r="I1349">
        <f>order_items[[#This Row],[list_price]]-order_items[[#This Row],[Discounted_price]]</f>
        <v>215.99200000000002</v>
      </c>
      <c r="J1349">
        <f>VLOOKUP(B1349, Products!$A$2:$E$100, 3, FALSE)</f>
        <v>9</v>
      </c>
      <c r="K1349">
        <f>VLOOKUP(B1349, Products!$A$2:$F$100, 4, FALSE)</f>
        <v>6</v>
      </c>
    </row>
    <row r="1350" spans="1:11" x14ac:dyDescent="0.3">
      <c r="A1350">
        <v>481</v>
      </c>
      <c r="B1350">
        <v>2</v>
      </c>
      <c r="C1350">
        <v>16</v>
      </c>
      <c r="D1350" t="str">
        <f>VLOOKUP(B1350, Products!$A$2:$C$100, 2, FALSE)</f>
        <v>Ritchey Timberwolf Frameset - 2016</v>
      </c>
      <c r="E1350">
        <v>2</v>
      </c>
      <c r="F1350">
        <v>599.99</v>
      </c>
      <c r="G1350">
        <v>7.0000000000000007E-2</v>
      </c>
      <c r="H1350">
        <v>41.999300000000005</v>
      </c>
      <c r="I1350">
        <f>order_items[[#This Row],[list_price]]-order_items[[#This Row],[Discounted_price]]</f>
        <v>557.99070000000006</v>
      </c>
      <c r="J1350">
        <f>VLOOKUP(B1350, Products!$A$2:$E$100, 3, FALSE)</f>
        <v>5</v>
      </c>
      <c r="K1350">
        <f>VLOOKUP(B1350, Products!$A$2:$F$100, 4, FALSE)</f>
        <v>6</v>
      </c>
    </row>
    <row r="1351" spans="1:11" x14ac:dyDescent="0.3">
      <c r="A1351">
        <v>481</v>
      </c>
      <c r="B1351">
        <v>3</v>
      </c>
      <c r="C1351">
        <v>9</v>
      </c>
      <c r="D1351" t="str">
        <f>VLOOKUP(B1351, Products!$A$2:$C$100, 2, FALSE)</f>
        <v>Surly Wednesday Frameset - 2016</v>
      </c>
      <c r="E1351">
        <v>2</v>
      </c>
      <c r="F1351">
        <v>2999.99</v>
      </c>
      <c r="G1351">
        <v>0.1</v>
      </c>
      <c r="H1351">
        <v>299.99899999999997</v>
      </c>
      <c r="I1351">
        <f>order_items[[#This Row],[list_price]]-order_items[[#This Row],[Discounted_price]]</f>
        <v>2699.991</v>
      </c>
      <c r="J1351">
        <f>VLOOKUP(B1351, Products!$A$2:$E$100, 3, FALSE)</f>
        <v>8</v>
      </c>
      <c r="K1351">
        <f>VLOOKUP(B1351, Products!$A$2:$F$100, 4, FALSE)</f>
        <v>6</v>
      </c>
    </row>
    <row r="1352" spans="1:11" x14ac:dyDescent="0.3">
      <c r="A1352">
        <v>482</v>
      </c>
      <c r="B1352">
        <v>1</v>
      </c>
      <c r="C1352">
        <v>13</v>
      </c>
      <c r="D1352" t="str">
        <f>VLOOKUP(B1352, Products!$A$2:$C$100, 2, FALSE)</f>
        <v>Trek 820 - 2016</v>
      </c>
      <c r="E1352">
        <v>1</v>
      </c>
      <c r="F1352">
        <v>269.99</v>
      </c>
      <c r="G1352">
        <v>0.2</v>
      </c>
      <c r="H1352">
        <v>53.998000000000005</v>
      </c>
      <c r="I1352">
        <f>order_items[[#This Row],[list_price]]-order_items[[#This Row],[Discounted_price]]</f>
        <v>215.99200000000002</v>
      </c>
      <c r="J1352">
        <f>VLOOKUP(B1352, Products!$A$2:$E$100, 3, FALSE)</f>
        <v>9</v>
      </c>
      <c r="K1352">
        <f>VLOOKUP(B1352, Products!$A$2:$F$100, 4, FALSE)</f>
        <v>6</v>
      </c>
    </row>
    <row r="1353" spans="1:11" x14ac:dyDescent="0.3">
      <c r="A1353">
        <v>482</v>
      </c>
      <c r="B1353">
        <v>2</v>
      </c>
      <c r="C1353">
        <v>14</v>
      </c>
      <c r="D1353" t="str">
        <f>VLOOKUP(B1353, Products!$A$2:$C$100, 2, FALSE)</f>
        <v>Ritchey Timberwolf Frameset - 2016</v>
      </c>
      <c r="E1353">
        <v>1</v>
      </c>
      <c r="F1353">
        <v>269.99</v>
      </c>
      <c r="G1353">
        <v>0.1</v>
      </c>
      <c r="H1353">
        <v>26.999000000000002</v>
      </c>
      <c r="I1353">
        <f>order_items[[#This Row],[list_price]]-order_items[[#This Row],[Discounted_price]]</f>
        <v>242.99100000000001</v>
      </c>
      <c r="J1353">
        <f>VLOOKUP(B1353, Products!$A$2:$E$100, 3, FALSE)</f>
        <v>5</v>
      </c>
      <c r="K1353">
        <f>VLOOKUP(B1353, Products!$A$2:$F$100, 4, FALSE)</f>
        <v>6</v>
      </c>
    </row>
    <row r="1354" spans="1:11" x14ac:dyDescent="0.3">
      <c r="A1354">
        <v>483</v>
      </c>
      <c r="B1354">
        <v>1</v>
      </c>
      <c r="C1354">
        <v>17</v>
      </c>
      <c r="D1354" t="str">
        <f>VLOOKUP(B1354, Products!$A$2:$C$100, 2, FALSE)</f>
        <v>Trek 820 - 2016</v>
      </c>
      <c r="E1354">
        <v>1</v>
      </c>
      <c r="F1354">
        <v>429</v>
      </c>
      <c r="G1354">
        <v>7.0000000000000007E-2</v>
      </c>
      <c r="H1354">
        <v>30.03</v>
      </c>
      <c r="I1354">
        <f>order_items[[#This Row],[list_price]]-order_items[[#This Row],[Discounted_price]]</f>
        <v>398.97</v>
      </c>
      <c r="J1354">
        <f>VLOOKUP(B1354, Products!$A$2:$E$100, 3, FALSE)</f>
        <v>9</v>
      </c>
      <c r="K1354">
        <f>VLOOKUP(B1354, Products!$A$2:$F$100, 4, FALSE)</f>
        <v>6</v>
      </c>
    </row>
    <row r="1355" spans="1:11" x14ac:dyDescent="0.3">
      <c r="A1355">
        <v>484</v>
      </c>
      <c r="B1355">
        <v>1</v>
      </c>
      <c r="C1355">
        <v>8</v>
      </c>
      <c r="D1355" t="str">
        <f>VLOOKUP(B1355, Products!$A$2:$C$100, 2, FALSE)</f>
        <v>Trek 820 - 2016</v>
      </c>
      <c r="E1355">
        <v>2</v>
      </c>
      <c r="F1355">
        <v>1799.99</v>
      </c>
      <c r="G1355">
        <v>0.1</v>
      </c>
      <c r="H1355">
        <v>179.99900000000002</v>
      </c>
      <c r="I1355">
        <f>order_items[[#This Row],[list_price]]-order_items[[#This Row],[Discounted_price]]</f>
        <v>1619.991</v>
      </c>
      <c r="J1355">
        <f>VLOOKUP(B1355, Products!$A$2:$E$100, 3, FALSE)</f>
        <v>9</v>
      </c>
      <c r="K1355">
        <f>VLOOKUP(B1355, Products!$A$2:$F$100, 4, FALSE)</f>
        <v>6</v>
      </c>
    </row>
    <row r="1356" spans="1:11" x14ac:dyDescent="0.3">
      <c r="A1356">
        <v>484</v>
      </c>
      <c r="B1356">
        <v>2</v>
      </c>
      <c r="C1356">
        <v>24</v>
      </c>
      <c r="D1356" t="str">
        <f>VLOOKUP(B1356, Products!$A$2:$C$100, 2, FALSE)</f>
        <v>Ritchey Timberwolf Frameset - 2016</v>
      </c>
      <c r="E1356">
        <v>1</v>
      </c>
      <c r="F1356">
        <v>549.99</v>
      </c>
      <c r="G1356">
        <v>0.05</v>
      </c>
      <c r="H1356">
        <v>27.499500000000001</v>
      </c>
      <c r="I1356">
        <f>order_items[[#This Row],[list_price]]-order_items[[#This Row],[Discounted_price]]</f>
        <v>522.4905</v>
      </c>
      <c r="J1356">
        <f>VLOOKUP(B1356, Products!$A$2:$E$100, 3, FALSE)</f>
        <v>5</v>
      </c>
      <c r="K1356">
        <f>VLOOKUP(B1356, Products!$A$2:$F$100, 4, FALSE)</f>
        <v>6</v>
      </c>
    </row>
    <row r="1357" spans="1:11" x14ac:dyDescent="0.3">
      <c r="A1357">
        <v>484</v>
      </c>
      <c r="B1357">
        <v>3</v>
      </c>
      <c r="C1357">
        <v>9</v>
      </c>
      <c r="D1357" t="str">
        <f>VLOOKUP(B1357, Products!$A$2:$C$100, 2, FALSE)</f>
        <v>Surly Wednesday Frameset - 2016</v>
      </c>
      <c r="E1357">
        <v>2</v>
      </c>
      <c r="F1357">
        <v>2999.99</v>
      </c>
      <c r="G1357">
        <v>0.05</v>
      </c>
      <c r="H1357">
        <v>149.99949999999998</v>
      </c>
      <c r="I1357">
        <f>order_items[[#This Row],[list_price]]-order_items[[#This Row],[Discounted_price]]</f>
        <v>2849.9904999999999</v>
      </c>
      <c r="J1357">
        <f>VLOOKUP(B1357, Products!$A$2:$E$100, 3, FALSE)</f>
        <v>8</v>
      </c>
      <c r="K1357">
        <f>VLOOKUP(B1357, Products!$A$2:$F$100, 4, FALSE)</f>
        <v>6</v>
      </c>
    </row>
    <row r="1358" spans="1:11" x14ac:dyDescent="0.3">
      <c r="A1358">
        <v>484</v>
      </c>
      <c r="B1358">
        <v>4</v>
      </c>
      <c r="C1358">
        <v>6</v>
      </c>
      <c r="D1358" t="str">
        <f>VLOOKUP(B1358, Products!$A$2:$C$100, 2, FALSE)</f>
        <v>Trek Fuel EX 8 29 - 2016</v>
      </c>
      <c r="E1358">
        <v>1</v>
      </c>
      <c r="F1358">
        <v>469.99</v>
      </c>
      <c r="G1358">
        <v>0.2</v>
      </c>
      <c r="H1358">
        <v>93.998000000000005</v>
      </c>
      <c r="I1358">
        <f>order_items[[#This Row],[list_price]]-order_items[[#This Row],[Discounted_price]]</f>
        <v>375.99200000000002</v>
      </c>
      <c r="J1358">
        <f>VLOOKUP(B1358, Products!$A$2:$E$100, 3, FALSE)</f>
        <v>9</v>
      </c>
      <c r="K1358">
        <f>VLOOKUP(B1358, Products!$A$2:$F$100, 4, FALSE)</f>
        <v>6</v>
      </c>
    </row>
    <row r="1359" spans="1:11" x14ac:dyDescent="0.3">
      <c r="A1359">
        <v>485</v>
      </c>
      <c r="B1359">
        <v>1</v>
      </c>
      <c r="C1359">
        <v>13</v>
      </c>
      <c r="D1359" t="str">
        <f>VLOOKUP(B1359, Products!$A$2:$C$100, 2, FALSE)</f>
        <v>Trek 820 - 2016</v>
      </c>
      <c r="E1359">
        <v>1</v>
      </c>
      <c r="F1359">
        <v>269.99</v>
      </c>
      <c r="G1359">
        <v>0.1</v>
      </c>
      <c r="H1359">
        <v>26.999000000000002</v>
      </c>
      <c r="I1359">
        <f>order_items[[#This Row],[list_price]]-order_items[[#This Row],[Discounted_price]]</f>
        <v>242.99100000000001</v>
      </c>
      <c r="J1359">
        <f>VLOOKUP(B1359, Products!$A$2:$E$100, 3, FALSE)</f>
        <v>9</v>
      </c>
      <c r="K1359">
        <f>VLOOKUP(B1359, Products!$A$2:$F$100, 4, FALSE)</f>
        <v>6</v>
      </c>
    </row>
    <row r="1360" spans="1:11" x14ac:dyDescent="0.3">
      <c r="A1360">
        <v>485</v>
      </c>
      <c r="B1360">
        <v>2</v>
      </c>
      <c r="C1360">
        <v>26</v>
      </c>
      <c r="D1360" t="str">
        <f>VLOOKUP(B1360, Products!$A$2:$C$100, 2, FALSE)</f>
        <v>Ritchey Timberwolf Frameset - 2016</v>
      </c>
      <c r="E1360">
        <v>2</v>
      </c>
      <c r="F1360">
        <v>599.99</v>
      </c>
      <c r="G1360">
        <v>0.05</v>
      </c>
      <c r="H1360">
        <v>29.999500000000001</v>
      </c>
      <c r="I1360">
        <f>order_items[[#This Row],[list_price]]-order_items[[#This Row],[Discounted_price]]</f>
        <v>569.9905</v>
      </c>
      <c r="J1360">
        <f>VLOOKUP(B1360, Products!$A$2:$E$100, 3, FALSE)</f>
        <v>5</v>
      </c>
      <c r="K1360">
        <f>VLOOKUP(B1360, Products!$A$2:$F$100, 4, FALSE)</f>
        <v>6</v>
      </c>
    </row>
    <row r="1361" spans="1:11" x14ac:dyDescent="0.3">
      <c r="A1361">
        <v>486</v>
      </c>
      <c r="B1361">
        <v>1</v>
      </c>
      <c r="C1361">
        <v>9</v>
      </c>
      <c r="D1361" t="str">
        <f>VLOOKUP(B1361, Products!$A$2:$C$100, 2, FALSE)</f>
        <v>Trek 820 - 2016</v>
      </c>
      <c r="E1361">
        <v>1</v>
      </c>
      <c r="F1361">
        <v>2999.99</v>
      </c>
      <c r="G1361">
        <v>7.0000000000000007E-2</v>
      </c>
      <c r="H1361">
        <v>209.99930000000001</v>
      </c>
      <c r="I1361">
        <f>order_items[[#This Row],[list_price]]-order_items[[#This Row],[Discounted_price]]</f>
        <v>2789.9906999999998</v>
      </c>
      <c r="J1361">
        <f>VLOOKUP(B1361, Products!$A$2:$E$100, 3, FALSE)</f>
        <v>9</v>
      </c>
      <c r="K1361">
        <f>VLOOKUP(B1361, Products!$A$2:$F$100, 4, FALSE)</f>
        <v>6</v>
      </c>
    </row>
    <row r="1362" spans="1:11" x14ac:dyDescent="0.3">
      <c r="A1362">
        <v>486</v>
      </c>
      <c r="B1362">
        <v>2</v>
      </c>
      <c r="C1362">
        <v>23</v>
      </c>
      <c r="D1362" t="str">
        <f>VLOOKUP(B1362, Products!$A$2:$C$100, 2, FALSE)</f>
        <v>Ritchey Timberwolf Frameset - 2016</v>
      </c>
      <c r="E1362">
        <v>2</v>
      </c>
      <c r="F1362">
        <v>299.99</v>
      </c>
      <c r="G1362">
        <v>0.05</v>
      </c>
      <c r="H1362">
        <v>14.999500000000001</v>
      </c>
      <c r="I1362">
        <f>order_items[[#This Row],[list_price]]-order_items[[#This Row],[Discounted_price]]</f>
        <v>284.9905</v>
      </c>
      <c r="J1362">
        <f>VLOOKUP(B1362, Products!$A$2:$E$100, 3, FALSE)</f>
        <v>5</v>
      </c>
      <c r="K1362">
        <f>VLOOKUP(B1362, Products!$A$2:$F$100, 4, FALSE)</f>
        <v>6</v>
      </c>
    </row>
    <row r="1363" spans="1:11" x14ac:dyDescent="0.3">
      <c r="A1363">
        <v>487</v>
      </c>
      <c r="B1363">
        <v>1</v>
      </c>
      <c r="C1363">
        <v>6</v>
      </c>
      <c r="D1363" t="str">
        <f>VLOOKUP(B1363, Products!$A$2:$C$100, 2, FALSE)</f>
        <v>Trek 820 - 2016</v>
      </c>
      <c r="E1363">
        <v>1</v>
      </c>
      <c r="F1363">
        <v>469.99</v>
      </c>
      <c r="G1363">
        <v>0.2</v>
      </c>
      <c r="H1363">
        <v>93.998000000000005</v>
      </c>
      <c r="I1363">
        <f>order_items[[#This Row],[list_price]]-order_items[[#This Row],[Discounted_price]]</f>
        <v>375.99200000000002</v>
      </c>
      <c r="J1363">
        <f>VLOOKUP(B1363, Products!$A$2:$E$100, 3, FALSE)</f>
        <v>9</v>
      </c>
      <c r="K1363">
        <f>VLOOKUP(B1363, Products!$A$2:$F$100, 4, FALSE)</f>
        <v>6</v>
      </c>
    </row>
    <row r="1364" spans="1:11" x14ac:dyDescent="0.3">
      <c r="A1364">
        <v>488</v>
      </c>
      <c r="B1364">
        <v>1</v>
      </c>
      <c r="C1364">
        <v>13</v>
      </c>
      <c r="D1364" t="str">
        <f>VLOOKUP(B1364, Products!$A$2:$C$100, 2, FALSE)</f>
        <v>Trek 820 - 2016</v>
      </c>
      <c r="E1364">
        <v>2</v>
      </c>
      <c r="F1364">
        <v>269.99</v>
      </c>
      <c r="G1364">
        <v>7.0000000000000007E-2</v>
      </c>
      <c r="H1364">
        <v>18.899300000000004</v>
      </c>
      <c r="I1364">
        <f>order_items[[#This Row],[list_price]]-order_items[[#This Row],[Discounted_price]]</f>
        <v>251.0907</v>
      </c>
      <c r="J1364">
        <f>VLOOKUP(B1364, Products!$A$2:$E$100, 3, FALSE)</f>
        <v>9</v>
      </c>
      <c r="K1364">
        <f>VLOOKUP(B1364, Products!$A$2:$F$100, 4, FALSE)</f>
        <v>6</v>
      </c>
    </row>
    <row r="1365" spans="1:11" x14ac:dyDescent="0.3">
      <c r="A1365">
        <v>488</v>
      </c>
      <c r="B1365">
        <v>2</v>
      </c>
      <c r="C1365">
        <v>23</v>
      </c>
      <c r="D1365" t="str">
        <f>VLOOKUP(B1365, Products!$A$2:$C$100, 2, FALSE)</f>
        <v>Ritchey Timberwolf Frameset - 2016</v>
      </c>
      <c r="E1365">
        <v>2</v>
      </c>
      <c r="F1365">
        <v>299.99</v>
      </c>
      <c r="G1365">
        <v>0.05</v>
      </c>
      <c r="H1365">
        <v>14.999500000000001</v>
      </c>
      <c r="I1365">
        <f>order_items[[#This Row],[list_price]]-order_items[[#This Row],[Discounted_price]]</f>
        <v>284.9905</v>
      </c>
      <c r="J1365">
        <f>VLOOKUP(B1365, Products!$A$2:$E$100, 3, FALSE)</f>
        <v>5</v>
      </c>
      <c r="K1365">
        <f>VLOOKUP(B1365, Products!$A$2:$F$100, 4, FALSE)</f>
        <v>6</v>
      </c>
    </row>
    <row r="1366" spans="1:11" x14ac:dyDescent="0.3">
      <c r="A1366">
        <v>488</v>
      </c>
      <c r="B1366">
        <v>3</v>
      </c>
      <c r="C1366">
        <v>22</v>
      </c>
      <c r="D1366" t="str">
        <f>VLOOKUP(B1366, Products!$A$2:$C$100, 2, FALSE)</f>
        <v>Surly Wednesday Frameset - 2016</v>
      </c>
      <c r="E1366">
        <v>1</v>
      </c>
      <c r="F1366">
        <v>269.99</v>
      </c>
      <c r="G1366">
        <v>0.05</v>
      </c>
      <c r="H1366">
        <v>13.499500000000001</v>
      </c>
      <c r="I1366">
        <f>order_items[[#This Row],[list_price]]-order_items[[#This Row],[Discounted_price]]</f>
        <v>256.4905</v>
      </c>
      <c r="J1366">
        <f>VLOOKUP(B1366, Products!$A$2:$E$100, 3, FALSE)</f>
        <v>8</v>
      </c>
      <c r="K1366">
        <f>VLOOKUP(B1366, Products!$A$2:$F$100, 4, FALSE)</f>
        <v>6</v>
      </c>
    </row>
    <row r="1367" spans="1:11" x14ac:dyDescent="0.3">
      <c r="A1367">
        <v>489</v>
      </c>
      <c r="B1367">
        <v>1</v>
      </c>
      <c r="C1367">
        <v>8</v>
      </c>
      <c r="D1367" t="str">
        <f>VLOOKUP(B1367, Products!$A$2:$C$100, 2, FALSE)</f>
        <v>Trek 820 - 2016</v>
      </c>
      <c r="E1367">
        <v>2</v>
      </c>
      <c r="F1367">
        <v>1799.99</v>
      </c>
      <c r="G1367">
        <v>0.1</v>
      </c>
      <c r="H1367">
        <v>179.99900000000002</v>
      </c>
      <c r="I1367">
        <f>order_items[[#This Row],[list_price]]-order_items[[#This Row],[Discounted_price]]</f>
        <v>1619.991</v>
      </c>
      <c r="J1367">
        <f>VLOOKUP(B1367, Products!$A$2:$E$100, 3, FALSE)</f>
        <v>9</v>
      </c>
      <c r="K1367">
        <f>VLOOKUP(B1367, Products!$A$2:$F$100, 4, FALSE)</f>
        <v>6</v>
      </c>
    </row>
    <row r="1368" spans="1:11" x14ac:dyDescent="0.3">
      <c r="A1368">
        <v>490</v>
      </c>
      <c r="B1368">
        <v>1</v>
      </c>
      <c r="C1368">
        <v>12</v>
      </c>
      <c r="D1368" t="str">
        <f>VLOOKUP(B1368, Products!$A$2:$C$100, 2, FALSE)</f>
        <v>Trek 820 - 2016</v>
      </c>
      <c r="E1368">
        <v>1</v>
      </c>
      <c r="F1368">
        <v>549.99</v>
      </c>
      <c r="G1368">
        <v>0.1</v>
      </c>
      <c r="H1368">
        <v>54.999000000000002</v>
      </c>
      <c r="I1368">
        <f>order_items[[#This Row],[list_price]]-order_items[[#This Row],[Discounted_price]]</f>
        <v>494.99099999999999</v>
      </c>
      <c r="J1368">
        <f>VLOOKUP(B1368, Products!$A$2:$E$100, 3, FALSE)</f>
        <v>9</v>
      </c>
      <c r="K1368">
        <f>VLOOKUP(B1368, Products!$A$2:$F$100, 4, FALSE)</f>
        <v>6</v>
      </c>
    </row>
    <row r="1369" spans="1:11" x14ac:dyDescent="0.3">
      <c r="A1369">
        <v>490</v>
      </c>
      <c r="B1369">
        <v>2</v>
      </c>
      <c r="C1369">
        <v>23</v>
      </c>
      <c r="D1369" t="str">
        <f>VLOOKUP(B1369, Products!$A$2:$C$100, 2, FALSE)</f>
        <v>Ritchey Timberwolf Frameset - 2016</v>
      </c>
      <c r="E1369">
        <v>1</v>
      </c>
      <c r="F1369">
        <v>299.99</v>
      </c>
      <c r="G1369">
        <v>0.05</v>
      </c>
      <c r="H1369">
        <v>14.999500000000001</v>
      </c>
      <c r="I1369">
        <f>order_items[[#This Row],[list_price]]-order_items[[#This Row],[Discounted_price]]</f>
        <v>284.9905</v>
      </c>
      <c r="J1369">
        <f>VLOOKUP(B1369, Products!$A$2:$E$100, 3, FALSE)</f>
        <v>5</v>
      </c>
      <c r="K1369">
        <f>VLOOKUP(B1369, Products!$A$2:$F$100, 4, FALSE)</f>
        <v>6</v>
      </c>
    </row>
    <row r="1370" spans="1:11" x14ac:dyDescent="0.3">
      <c r="A1370">
        <v>490</v>
      </c>
      <c r="B1370">
        <v>3</v>
      </c>
      <c r="C1370">
        <v>14</v>
      </c>
      <c r="D1370" t="str">
        <f>VLOOKUP(B1370, Products!$A$2:$C$100, 2, FALSE)</f>
        <v>Surly Wednesday Frameset - 2016</v>
      </c>
      <c r="E1370">
        <v>1</v>
      </c>
      <c r="F1370">
        <v>269.99</v>
      </c>
      <c r="G1370">
        <v>0.1</v>
      </c>
      <c r="H1370">
        <v>26.999000000000002</v>
      </c>
      <c r="I1370">
        <f>order_items[[#This Row],[list_price]]-order_items[[#This Row],[Discounted_price]]</f>
        <v>242.99100000000001</v>
      </c>
      <c r="J1370">
        <f>VLOOKUP(B1370, Products!$A$2:$E$100, 3, FALSE)</f>
        <v>8</v>
      </c>
      <c r="K1370">
        <f>VLOOKUP(B1370, Products!$A$2:$F$100, 4, FALSE)</f>
        <v>6</v>
      </c>
    </row>
    <row r="1371" spans="1:11" x14ac:dyDescent="0.3">
      <c r="A1371">
        <v>490</v>
      </c>
      <c r="B1371">
        <v>4</v>
      </c>
      <c r="C1371">
        <v>13</v>
      </c>
      <c r="D1371" t="str">
        <f>VLOOKUP(B1371, Products!$A$2:$C$100, 2, FALSE)</f>
        <v>Trek Fuel EX 8 29 - 2016</v>
      </c>
      <c r="E1371">
        <v>2</v>
      </c>
      <c r="F1371">
        <v>269.99</v>
      </c>
      <c r="G1371">
        <v>7.0000000000000007E-2</v>
      </c>
      <c r="H1371">
        <v>18.899300000000004</v>
      </c>
      <c r="I1371">
        <f>order_items[[#This Row],[list_price]]-order_items[[#This Row],[Discounted_price]]</f>
        <v>251.0907</v>
      </c>
      <c r="J1371">
        <f>VLOOKUP(B1371, Products!$A$2:$E$100, 3, FALSE)</f>
        <v>9</v>
      </c>
      <c r="K1371">
        <f>VLOOKUP(B1371, Products!$A$2:$F$100, 4, FALSE)</f>
        <v>6</v>
      </c>
    </row>
    <row r="1372" spans="1:11" x14ac:dyDescent="0.3">
      <c r="A1372">
        <v>491</v>
      </c>
      <c r="B1372">
        <v>1</v>
      </c>
      <c r="C1372">
        <v>9</v>
      </c>
      <c r="D1372" t="str">
        <f>VLOOKUP(B1372, Products!$A$2:$C$100, 2, FALSE)</f>
        <v>Trek 820 - 2016</v>
      </c>
      <c r="E1372">
        <v>2</v>
      </c>
      <c r="F1372">
        <v>2999.99</v>
      </c>
      <c r="G1372">
        <v>0.2</v>
      </c>
      <c r="H1372">
        <v>599.99799999999993</v>
      </c>
      <c r="I1372">
        <f>order_items[[#This Row],[list_price]]-order_items[[#This Row],[Discounted_price]]</f>
        <v>2399.9919999999997</v>
      </c>
      <c r="J1372">
        <f>VLOOKUP(B1372, Products!$A$2:$E$100, 3, FALSE)</f>
        <v>9</v>
      </c>
      <c r="K1372">
        <f>VLOOKUP(B1372, Products!$A$2:$F$100, 4, FALSE)</f>
        <v>6</v>
      </c>
    </row>
    <row r="1373" spans="1:11" x14ac:dyDescent="0.3">
      <c r="A1373">
        <v>491</v>
      </c>
      <c r="B1373">
        <v>2</v>
      </c>
      <c r="C1373">
        <v>21</v>
      </c>
      <c r="D1373" t="str">
        <f>VLOOKUP(B1373, Products!$A$2:$C$100, 2, FALSE)</f>
        <v>Ritchey Timberwolf Frameset - 2016</v>
      </c>
      <c r="E1373">
        <v>2</v>
      </c>
      <c r="F1373">
        <v>269.99</v>
      </c>
      <c r="G1373">
        <v>0.05</v>
      </c>
      <c r="H1373">
        <v>13.499500000000001</v>
      </c>
      <c r="I1373">
        <f>order_items[[#This Row],[list_price]]-order_items[[#This Row],[Discounted_price]]</f>
        <v>256.4905</v>
      </c>
      <c r="J1373">
        <f>VLOOKUP(B1373, Products!$A$2:$E$100, 3, FALSE)</f>
        <v>5</v>
      </c>
      <c r="K1373">
        <f>VLOOKUP(B1373, Products!$A$2:$F$100, 4, FALSE)</f>
        <v>6</v>
      </c>
    </row>
    <row r="1374" spans="1:11" x14ac:dyDescent="0.3">
      <c r="A1374">
        <v>491</v>
      </c>
      <c r="B1374">
        <v>3</v>
      </c>
      <c r="C1374">
        <v>15</v>
      </c>
      <c r="D1374" t="str">
        <f>VLOOKUP(B1374, Products!$A$2:$C$100, 2, FALSE)</f>
        <v>Surly Wednesday Frameset - 2016</v>
      </c>
      <c r="E1374">
        <v>2</v>
      </c>
      <c r="F1374">
        <v>529.99</v>
      </c>
      <c r="G1374">
        <v>0.05</v>
      </c>
      <c r="H1374">
        <v>26.499500000000001</v>
      </c>
      <c r="I1374">
        <f>order_items[[#This Row],[list_price]]-order_items[[#This Row],[Discounted_price]]</f>
        <v>503.4905</v>
      </c>
      <c r="J1374">
        <f>VLOOKUP(B1374, Products!$A$2:$E$100, 3, FALSE)</f>
        <v>8</v>
      </c>
      <c r="K1374">
        <f>VLOOKUP(B1374, Products!$A$2:$F$100, 4, FALSE)</f>
        <v>6</v>
      </c>
    </row>
    <row r="1375" spans="1:11" x14ac:dyDescent="0.3">
      <c r="A1375">
        <v>492</v>
      </c>
      <c r="B1375">
        <v>1</v>
      </c>
      <c r="C1375">
        <v>6</v>
      </c>
      <c r="D1375" t="str">
        <f>VLOOKUP(B1375, Products!$A$2:$C$100, 2, FALSE)</f>
        <v>Trek 820 - 2016</v>
      </c>
      <c r="E1375">
        <v>1</v>
      </c>
      <c r="F1375">
        <v>469.99</v>
      </c>
      <c r="G1375">
        <v>0.1</v>
      </c>
      <c r="H1375">
        <v>46.999000000000002</v>
      </c>
      <c r="I1375">
        <f>order_items[[#This Row],[list_price]]-order_items[[#This Row],[Discounted_price]]</f>
        <v>422.99099999999999</v>
      </c>
      <c r="J1375">
        <f>VLOOKUP(B1375, Products!$A$2:$E$100, 3, FALSE)</f>
        <v>9</v>
      </c>
      <c r="K1375">
        <f>VLOOKUP(B1375, Products!$A$2:$F$100, 4, FALSE)</f>
        <v>6</v>
      </c>
    </row>
    <row r="1376" spans="1:11" x14ac:dyDescent="0.3">
      <c r="A1376">
        <v>492</v>
      </c>
      <c r="B1376">
        <v>2</v>
      </c>
      <c r="C1376">
        <v>22</v>
      </c>
      <c r="D1376" t="str">
        <f>VLOOKUP(B1376, Products!$A$2:$C$100, 2, FALSE)</f>
        <v>Ritchey Timberwolf Frameset - 2016</v>
      </c>
      <c r="E1376">
        <v>2</v>
      </c>
      <c r="F1376">
        <v>269.99</v>
      </c>
      <c r="G1376">
        <v>0.1</v>
      </c>
      <c r="H1376">
        <v>26.999000000000002</v>
      </c>
      <c r="I1376">
        <f>order_items[[#This Row],[list_price]]-order_items[[#This Row],[Discounted_price]]</f>
        <v>242.99100000000001</v>
      </c>
      <c r="J1376">
        <f>VLOOKUP(B1376, Products!$A$2:$E$100, 3, FALSE)</f>
        <v>5</v>
      </c>
      <c r="K1376">
        <f>VLOOKUP(B1376, Products!$A$2:$F$100, 4, FALSE)</f>
        <v>6</v>
      </c>
    </row>
    <row r="1377" spans="1:11" x14ac:dyDescent="0.3">
      <c r="A1377">
        <v>492</v>
      </c>
      <c r="B1377">
        <v>3</v>
      </c>
      <c r="C1377">
        <v>26</v>
      </c>
      <c r="D1377" t="str">
        <f>VLOOKUP(B1377, Products!$A$2:$C$100, 2, FALSE)</f>
        <v>Surly Wednesday Frameset - 2016</v>
      </c>
      <c r="E1377">
        <v>1</v>
      </c>
      <c r="F1377">
        <v>599.99</v>
      </c>
      <c r="G1377">
        <v>0.05</v>
      </c>
      <c r="H1377">
        <v>29.999500000000001</v>
      </c>
      <c r="I1377">
        <f>order_items[[#This Row],[list_price]]-order_items[[#This Row],[Discounted_price]]</f>
        <v>569.9905</v>
      </c>
      <c r="J1377">
        <f>VLOOKUP(B1377, Products!$A$2:$E$100, 3, FALSE)</f>
        <v>8</v>
      </c>
      <c r="K1377">
        <f>VLOOKUP(B1377, Products!$A$2:$F$100, 4, FALSE)</f>
        <v>6</v>
      </c>
    </row>
    <row r="1378" spans="1:11" x14ac:dyDescent="0.3">
      <c r="A1378">
        <v>493</v>
      </c>
      <c r="B1378">
        <v>1</v>
      </c>
      <c r="C1378">
        <v>15</v>
      </c>
      <c r="D1378" t="str">
        <f>VLOOKUP(B1378, Products!$A$2:$C$100, 2, FALSE)</f>
        <v>Trek 820 - 2016</v>
      </c>
      <c r="E1378">
        <v>1</v>
      </c>
      <c r="F1378">
        <v>529.99</v>
      </c>
      <c r="G1378">
        <v>0.05</v>
      </c>
      <c r="H1378">
        <v>26.499500000000001</v>
      </c>
      <c r="I1378">
        <f>order_items[[#This Row],[list_price]]-order_items[[#This Row],[Discounted_price]]</f>
        <v>503.4905</v>
      </c>
      <c r="J1378">
        <f>VLOOKUP(B1378, Products!$A$2:$E$100, 3, FALSE)</f>
        <v>9</v>
      </c>
      <c r="K1378">
        <f>VLOOKUP(B1378, Products!$A$2:$F$100, 4, FALSE)</f>
        <v>6</v>
      </c>
    </row>
    <row r="1379" spans="1:11" x14ac:dyDescent="0.3">
      <c r="A1379">
        <v>493</v>
      </c>
      <c r="B1379">
        <v>2</v>
      </c>
      <c r="C1379">
        <v>18</v>
      </c>
      <c r="D1379" t="str">
        <f>VLOOKUP(B1379, Products!$A$2:$C$100, 2, FALSE)</f>
        <v>Ritchey Timberwolf Frameset - 2016</v>
      </c>
      <c r="E1379">
        <v>2</v>
      </c>
      <c r="F1379">
        <v>449</v>
      </c>
      <c r="G1379">
        <v>0.05</v>
      </c>
      <c r="H1379">
        <v>22.450000000000003</v>
      </c>
      <c r="I1379">
        <f>order_items[[#This Row],[list_price]]-order_items[[#This Row],[Discounted_price]]</f>
        <v>426.55</v>
      </c>
      <c r="J1379">
        <f>VLOOKUP(B1379, Products!$A$2:$E$100, 3, FALSE)</f>
        <v>5</v>
      </c>
      <c r="K1379">
        <f>VLOOKUP(B1379, Products!$A$2:$F$100, 4, FALSE)</f>
        <v>6</v>
      </c>
    </row>
    <row r="1380" spans="1:11" x14ac:dyDescent="0.3">
      <c r="A1380">
        <v>493</v>
      </c>
      <c r="B1380">
        <v>3</v>
      </c>
      <c r="C1380">
        <v>26</v>
      </c>
      <c r="D1380" t="str">
        <f>VLOOKUP(B1380, Products!$A$2:$C$100, 2, FALSE)</f>
        <v>Surly Wednesday Frameset - 2016</v>
      </c>
      <c r="E1380">
        <v>1</v>
      </c>
      <c r="F1380">
        <v>599.99</v>
      </c>
      <c r="G1380">
        <v>0.05</v>
      </c>
      <c r="H1380">
        <v>29.999500000000001</v>
      </c>
      <c r="I1380">
        <f>order_items[[#This Row],[list_price]]-order_items[[#This Row],[Discounted_price]]</f>
        <v>569.9905</v>
      </c>
      <c r="J1380">
        <f>VLOOKUP(B1380, Products!$A$2:$E$100, 3, FALSE)</f>
        <v>8</v>
      </c>
      <c r="K1380">
        <f>VLOOKUP(B1380, Products!$A$2:$F$100, 4, FALSE)</f>
        <v>6</v>
      </c>
    </row>
    <row r="1381" spans="1:11" x14ac:dyDescent="0.3">
      <c r="A1381">
        <v>494</v>
      </c>
      <c r="B1381">
        <v>1</v>
      </c>
      <c r="C1381">
        <v>23</v>
      </c>
      <c r="D1381" t="str">
        <f>VLOOKUP(B1381, Products!$A$2:$C$100, 2, FALSE)</f>
        <v>Trek 820 - 2016</v>
      </c>
      <c r="E1381">
        <v>1</v>
      </c>
      <c r="F1381">
        <v>299.99</v>
      </c>
      <c r="G1381">
        <v>0.1</v>
      </c>
      <c r="H1381">
        <v>29.999000000000002</v>
      </c>
      <c r="I1381">
        <f>order_items[[#This Row],[list_price]]-order_items[[#This Row],[Discounted_price]]</f>
        <v>269.99099999999999</v>
      </c>
      <c r="J1381">
        <f>VLOOKUP(B1381, Products!$A$2:$E$100, 3, FALSE)</f>
        <v>9</v>
      </c>
      <c r="K1381">
        <f>VLOOKUP(B1381, Products!$A$2:$F$100, 4, FALSE)</f>
        <v>6</v>
      </c>
    </row>
    <row r="1382" spans="1:11" x14ac:dyDescent="0.3">
      <c r="A1382">
        <v>495</v>
      </c>
      <c r="B1382">
        <v>1</v>
      </c>
      <c r="C1382">
        <v>22</v>
      </c>
      <c r="D1382" t="str">
        <f>VLOOKUP(B1382, Products!$A$2:$C$100, 2, FALSE)</f>
        <v>Trek 820 - 2016</v>
      </c>
      <c r="E1382">
        <v>1</v>
      </c>
      <c r="F1382">
        <v>269.99</v>
      </c>
      <c r="G1382">
        <v>0.2</v>
      </c>
      <c r="H1382">
        <v>53.998000000000005</v>
      </c>
      <c r="I1382">
        <f>order_items[[#This Row],[list_price]]-order_items[[#This Row],[Discounted_price]]</f>
        <v>215.99200000000002</v>
      </c>
      <c r="J1382">
        <f>VLOOKUP(B1382, Products!$A$2:$E$100, 3, FALSE)</f>
        <v>9</v>
      </c>
      <c r="K1382">
        <f>VLOOKUP(B1382, Products!$A$2:$F$100, 4, FALSE)</f>
        <v>6</v>
      </c>
    </row>
    <row r="1383" spans="1:11" x14ac:dyDescent="0.3">
      <c r="A1383">
        <v>495</v>
      </c>
      <c r="B1383">
        <v>2</v>
      </c>
      <c r="C1383">
        <v>9</v>
      </c>
      <c r="D1383" t="str">
        <f>VLOOKUP(B1383, Products!$A$2:$C$100, 2, FALSE)</f>
        <v>Ritchey Timberwolf Frameset - 2016</v>
      </c>
      <c r="E1383">
        <v>1</v>
      </c>
      <c r="F1383">
        <v>2999.99</v>
      </c>
      <c r="G1383">
        <v>0.05</v>
      </c>
      <c r="H1383">
        <v>149.99949999999998</v>
      </c>
      <c r="I1383">
        <f>order_items[[#This Row],[list_price]]-order_items[[#This Row],[Discounted_price]]</f>
        <v>2849.9904999999999</v>
      </c>
      <c r="J1383">
        <f>VLOOKUP(B1383, Products!$A$2:$E$100, 3, FALSE)</f>
        <v>5</v>
      </c>
      <c r="K1383">
        <f>VLOOKUP(B1383, Products!$A$2:$F$100, 4, FALSE)</f>
        <v>6</v>
      </c>
    </row>
    <row r="1384" spans="1:11" x14ac:dyDescent="0.3">
      <c r="A1384">
        <v>496</v>
      </c>
      <c r="B1384">
        <v>1</v>
      </c>
      <c r="C1384">
        <v>23</v>
      </c>
      <c r="D1384" t="str">
        <f>VLOOKUP(B1384, Products!$A$2:$C$100, 2, FALSE)</f>
        <v>Trek 820 - 2016</v>
      </c>
      <c r="E1384">
        <v>1</v>
      </c>
      <c r="F1384">
        <v>299.99</v>
      </c>
      <c r="G1384">
        <v>0.2</v>
      </c>
      <c r="H1384">
        <v>59.998000000000005</v>
      </c>
      <c r="I1384">
        <f>order_items[[#This Row],[list_price]]-order_items[[#This Row],[Discounted_price]]</f>
        <v>239.99200000000002</v>
      </c>
      <c r="J1384">
        <f>VLOOKUP(B1384, Products!$A$2:$E$100, 3, FALSE)</f>
        <v>9</v>
      </c>
      <c r="K1384">
        <f>VLOOKUP(B1384, Products!$A$2:$F$100, 4, FALSE)</f>
        <v>6</v>
      </c>
    </row>
    <row r="1385" spans="1:11" x14ac:dyDescent="0.3">
      <c r="A1385">
        <v>496</v>
      </c>
      <c r="B1385">
        <v>2</v>
      </c>
      <c r="C1385">
        <v>13</v>
      </c>
      <c r="D1385" t="str">
        <f>VLOOKUP(B1385, Products!$A$2:$C$100, 2, FALSE)</f>
        <v>Ritchey Timberwolf Frameset - 2016</v>
      </c>
      <c r="E1385">
        <v>1</v>
      </c>
      <c r="F1385">
        <v>269.99</v>
      </c>
      <c r="G1385">
        <v>0.1</v>
      </c>
      <c r="H1385">
        <v>26.999000000000002</v>
      </c>
      <c r="I1385">
        <f>order_items[[#This Row],[list_price]]-order_items[[#This Row],[Discounted_price]]</f>
        <v>242.99100000000001</v>
      </c>
      <c r="J1385">
        <f>VLOOKUP(B1385, Products!$A$2:$E$100, 3, FALSE)</f>
        <v>5</v>
      </c>
      <c r="K1385">
        <f>VLOOKUP(B1385, Products!$A$2:$F$100, 4, FALSE)</f>
        <v>6</v>
      </c>
    </row>
    <row r="1386" spans="1:11" x14ac:dyDescent="0.3">
      <c r="A1386">
        <v>496</v>
      </c>
      <c r="B1386">
        <v>3</v>
      </c>
      <c r="C1386">
        <v>21</v>
      </c>
      <c r="D1386" t="str">
        <f>VLOOKUP(B1386, Products!$A$2:$C$100, 2, FALSE)</f>
        <v>Surly Wednesday Frameset - 2016</v>
      </c>
      <c r="E1386">
        <v>2</v>
      </c>
      <c r="F1386">
        <v>269.99</v>
      </c>
      <c r="G1386">
        <v>0.2</v>
      </c>
      <c r="H1386">
        <v>53.998000000000005</v>
      </c>
      <c r="I1386">
        <f>order_items[[#This Row],[list_price]]-order_items[[#This Row],[Discounted_price]]</f>
        <v>215.99200000000002</v>
      </c>
      <c r="J1386">
        <f>VLOOKUP(B1386, Products!$A$2:$E$100, 3, FALSE)</f>
        <v>8</v>
      </c>
      <c r="K1386">
        <f>VLOOKUP(B1386, Products!$A$2:$F$100, 4, FALSE)</f>
        <v>6</v>
      </c>
    </row>
    <row r="1387" spans="1:11" x14ac:dyDescent="0.3">
      <c r="A1387">
        <v>497</v>
      </c>
      <c r="B1387">
        <v>1</v>
      </c>
      <c r="C1387">
        <v>25</v>
      </c>
      <c r="D1387" t="str">
        <f>VLOOKUP(B1387, Products!$A$2:$C$100, 2, FALSE)</f>
        <v>Trek 820 - 2016</v>
      </c>
      <c r="E1387">
        <v>2</v>
      </c>
      <c r="F1387">
        <v>499.99</v>
      </c>
      <c r="G1387">
        <v>7.0000000000000007E-2</v>
      </c>
      <c r="H1387">
        <v>34.999300000000005</v>
      </c>
      <c r="I1387">
        <f>order_items[[#This Row],[list_price]]-order_items[[#This Row],[Discounted_price]]</f>
        <v>464.9907</v>
      </c>
      <c r="J1387">
        <f>VLOOKUP(B1387, Products!$A$2:$E$100, 3, FALSE)</f>
        <v>9</v>
      </c>
      <c r="K1387">
        <f>VLOOKUP(B1387, Products!$A$2:$F$100, 4, FALSE)</f>
        <v>6</v>
      </c>
    </row>
    <row r="1388" spans="1:11" x14ac:dyDescent="0.3">
      <c r="A1388">
        <v>498</v>
      </c>
      <c r="B1388">
        <v>1</v>
      </c>
      <c r="C1388">
        <v>24</v>
      </c>
      <c r="D1388" t="str">
        <f>VLOOKUP(B1388, Products!$A$2:$C$100, 2, FALSE)</f>
        <v>Trek 820 - 2016</v>
      </c>
      <c r="E1388">
        <v>1</v>
      </c>
      <c r="F1388">
        <v>549.99</v>
      </c>
      <c r="G1388">
        <v>7.0000000000000007E-2</v>
      </c>
      <c r="H1388">
        <v>38.499300000000005</v>
      </c>
      <c r="I1388">
        <f>order_items[[#This Row],[list_price]]-order_items[[#This Row],[Discounted_price]]</f>
        <v>511.4907</v>
      </c>
      <c r="J1388">
        <f>VLOOKUP(B1388, Products!$A$2:$E$100, 3, FALSE)</f>
        <v>9</v>
      </c>
      <c r="K1388">
        <f>VLOOKUP(B1388, Products!$A$2:$F$100, 4, FALSE)</f>
        <v>6</v>
      </c>
    </row>
    <row r="1389" spans="1:11" x14ac:dyDescent="0.3">
      <c r="A1389">
        <v>498</v>
      </c>
      <c r="B1389">
        <v>2</v>
      </c>
      <c r="C1389">
        <v>21</v>
      </c>
      <c r="D1389" t="str">
        <f>VLOOKUP(B1389, Products!$A$2:$C$100, 2, FALSE)</f>
        <v>Ritchey Timberwolf Frameset - 2016</v>
      </c>
      <c r="E1389">
        <v>1</v>
      </c>
      <c r="F1389">
        <v>269.99</v>
      </c>
      <c r="G1389">
        <v>0.1</v>
      </c>
      <c r="H1389">
        <v>26.999000000000002</v>
      </c>
      <c r="I1389">
        <f>order_items[[#This Row],[list_price]]-order_items[[#This Row],[Discounted_price]]</f>
        <v>242.99100000000001</v>
      </c>
      <c r="J1389">
        <f>VLOOKUP(B1389, Products!$A$2:$E$100, 3, FALSE)</f>
        <v>5</v>
      </c>
      <c r="K1389">
        <f>VLOOKUP(B1389, Products!$A$2:$F$100, 4, FALSE)</f>
        <v>6</v>
      </c>
    </row>
    <row r="1390" spans="1:11" x14ac:dyDescent="0.3">
      <c r="A1390">
        <v>498</v>
      </c>
      <c r="B1390">
        <v>3</v>
      </c>
      <c r="C1390">
        <v>10</v>
      </c>
      <c r="D1390" t="str">
        <f>VLOOKUP(B1390, Products!$A$2:$C$100, 2, FALSE)</f>
        <v>Surly Wednesday Frameset - 2016</v>
      </c>
      <c r="E1390">
        <v>1</v>
      </c>
      <c r="F1390">
        <v>1549</v>
      </c>
      <c r="G1390">
        <v>7.0000000000000007E-2</v>
      </c>
      <c r="H1390">
        <v>108.43</v>
      </c>
      <c r="I1390">
        <f>order_items[[#This Row],[list_price]]-order_items[[#This Row],[Discounted_price]]</f>
        <v>1440.57</v>
      </c>
      <c r="J1390">
        <f>VLOOKUP(B1390, Products!$A$2:$E$100, 3, FALSE)</f>
        <v>8</v>
      </c>
      <c r="K1390">
        <f>VLOOKUP(B1390, Products!$A$2:$F$100, 4, FALSE)</f>
        <v>6</v>
      </c>
    </row>
    <row r="1391" spans="1:11" x14ac:dyDescent="0.3">
      <c r="A1391">
        <v>499</v>
      </c>
      <c r="B1391">
        <v>1</v>
      </c>
      <c r="C1391">
        <v>11</v>
      </c>
      <c r="D1391" t="str">
        <f>VLOOKUP(B1391, Products!$A$2:$C$100, 2, FALSE)</f>
        <v>Trek 820 - 2016</v>
      </c>
      <c r="E1391">
        <v>1</v>
      </c>
      <c r="F1391">
        <v>1680.99</v>
      </c>
      <c r="G1391">
        <v>0.2</v>
      </c>
      <c r="H1391">
        <v>336.19800000000004</v>
      </c>
      <c r="I1391">
        <f>order_items[[#This Row],[list_price]]-order_items[[#This Row],[Discounted_price]]</f>
        <v>1344.7919999999999</v>
      </c>
      <c r="J1391">
        <f>VLOOKUP(B1391, Products!$A$2:$E$100, 3, FALSE)</f>
        <v>9</v>
      </c>
      <c r="K1391">
        <f>VLOOKUP(B1391, Products!$A$2:$F$100, 4, FALSE)</f>
        <v>6</v>
      </c>
    </row>
    <row r="1392" spans="1:11" x14ac:dyDescent="0.3">
      <c r="A1392">
        <v>499</v>
      </c>
      <c r="B1392">
        <v>2</v>
      </c>
      <c r="C1392">
        <v>15</v>
      </c>
      <c r="D1392" t="str">
        <f>VLOOKUP(B1392, Products!$A$2:$C$100, 2, FALSE)</f>
        <v>Ritchey Timberwolf Frameset - 2016</v>
      </c>
      <c r="E1392">
        <v>1</v>
      </c>
      <c r="F1392">
        <v>529.99</v>
      </c>
      <c r="G1392">
        <v>7.0000000000000007E-2</v>
      </c>
      <c r="H1392">
        <v>37.099300000000007</v>
      </c>
      <c r="I1392">
        <f>order_items[[#This Row],[list_price]]-order_items[[#This Row],[Discounted_price]]</f>
        <v>492.89069999999998</v>
      </c>
      <c r="J1392">
        <f>VLOOKUP(B1392, Products!$A$2:$E$100, 3, FALSE)</f>
        <v>5</v>
      </c>
      <c r="K1392">
        <f>VLOOKUP(B1392, Products!$A$2:$F$100, 4, FALSE)</f>
        <v>6</v>
      </c>
    </row>
    <row r="1393" spans="1:11" x14ac:dyDescent="0.3">
      <c r="A1393">
        <v>499</v>
      </c>
      <c r="B1393">
        <v>3</v>
      </c>
      <c r="C1393">
        <v>14</v>
      </c>
      <c r="D1393" t="str">
        <f>VLOOKUP(B1393, Products!$A$2:$C$100, 2, FALSE)</f>
        <v>Surly Wednesday Frameset - 2016</v>
      </c>
      <c r="E1393">
        <v>2</v>
      </c>
      <c r="F1393">
        <v>269.99</v>
      </c>
      <c r="G1393">
        <v>0.2</v>
      </c>
      <c r="H1393">
        <v>53.998000000000005</v>
      </c>
      <c r="I1393">
        <f>order_items[[#This Row],[list_price]]-order_items[[#This Row],[Discounted_price]]</f>
        <v>215.99200000000002</v>
      </c>
      <c r="J1393">
        <f>VLOOKUP(B1393, Products!$A$2:$E$100, 3, FALSE)</f>
        <v>8</v>
      </c>
      <c r="K1393">
        <f>VLOOKUP(B1393, Products!$A$2:$F$100, 4, FALSE)</f>
        <v>6</v>
      </c>
    </row>
    <row r="1394" spans="1:11" x14ac:dyDescent="0.3">
      <c r="A1394">
        <v>499</v>
      </c>
      <c r="B1394">
        <v>4</v>
      </c>
      <c r="C1394">
        <v>20</v>
      </c>
      <c r="D1394" t="str">
        <f>VLOOKUP(B1394, Products!$A$2:$C$100, 2, FALSE)</f>
        <v>Trek Fuel EX 8 29 - 2016</v>
      </c>
      <c r="E1394">
        <v>2</v>
      </c>
      <c r="F1394">
        <v>599.99</v>
      </c>
      <c r="G1394">
        <v>0.1</v>
      </c>
      <c r="H1394">
        <v>59.999000000000002</v>
      </c>
      <c r="I1394">
        <f>order_items[[#This Row],[list_price]]-order_items[[#This Row],[Discounted_price]]</f>
        <v>539.99099999999999</v>
      </c>
      <c r="J1394">
        <f>VLOOKUP(B1394, Products!$A$2:$E$100, 3, FALSE)</f>
        <v>9</v>
      </c>
      <c r="K1394">
        <f>VLOOKUP(B1394, Products!$A$2:$F$100, 4, FALSE)</f>
        <v>6</v>
      </c>
    </row>
    <row r="1395" spans="1:11" x14ac:dyDescent="0.3">
      <c r="A1395">
        <v>500</v>
      </c>
      <c r="B1395">
        <v>1</v>
      </c>
      <c r="C1395">
        <v>12</v>
      </c>
      <c r="D1395" t="str">
        <f>VLOOKUP(B1395, Products!$A$2:$C$100, 2, FALSE)</f>
        <v>Trek 820 - 2016</v>
      </c>
      <c r="E1395">
        <v>2</v>
      </c>
      <c r="F1395">
        <v>549.99</v>
      </c>
      <c r="G1395">
        <v>0.05</v>
      </c>
      <c r="H1395">
        <v>27.499500000000001</v>
      </c>
      <c r="I1395">
        <f>order_items[[#This Row],[list_price]]-order_items[[#This Row],[Discounted_price]]</f>
        <v>522.4905</v>
      </c>
      <c r="J1395">
        <f>VLOOKUP(B1395, Products!$A$2:$E$100, 3, FALSE)</f>
        <v>9</v>
      </c>
      <c r="K1395">
        <f>VLOOKUP(B1395, Products!$A$2:$F$100, 4, FALSE)</f>
        <v>6</v>
      </c>
    </row>
    <row r="1396" spans="1:11" x14ac:dyDescent="0.3">
      <c r="A1396">
        <v>500</v>
      </c>
      <c r="B1396">
        <v>2</v>
      </c>
      <c r="C1396">
        <v>14</v>
      </c>
      <c r="D1396" t="str">
        <f>VLOOKUP(B1396, Products!$A$2:$C$100, 2, FALSE)</f>
        <v>Ritchey Timberwolf Frameset - 2016</v>
      </c>
      <c r="E1396">
        <v>1</v>
      </c>
      <c r="F1396">
        <v>269.99</v>
      </c>
      <c r="G1396">
        <v>0.2</v>
      </c>
      <c r="H1396">
        <v>53.998000000000005</v>
      </c>
      <c r="I1396">
        <f>order_items[[#This Row],[list_price]]-order_items[[#This Row],[Discounted_price]]</f>
        <v>215.99200000000002</v>
      </c>
      <c r="J1396">
        <f>VLOOKUP(B1396, Products!$A$2:$E$100, 3, FALSE)</f>
        <v>5</v>
      </c>
      <c r="K1396">
        <f>VLOOKUP(B1396, Products!$A$2:$F$100, 4, FALSE)</f>
        <v>6</v>
      </c>
    </row>
    <row r="1397" spans="1:11" x14ac:dyDescent="0.3">
      <c r="A1397">
        <v>501</v>
      </c>
      <c r="B1397">
        <v>1</v>
      </c>
      <c r="C1397">
        <v>19</v>
      </c>
      <c r="D1397" t="str">
        <f>VLOOKUP(B1397, Products!$A$2:$C$100, 2, FALSE)</f>
        <v>Trek 820 - 2016</v>
      </c>
      <c r="E1397">
        <v>2</v>
      </c>
      <c r="F1397">
        <v>449</v>
      </c>
      <c r="G1397">
        <v>0.05</v>
      </c>
      <c r="H1397">
        <v>22.450000000000003</v>
      </c>
      <c r="I1397">
        <f>order_items[[#This Row],[list_price]]-order_items[[#This Row],[Discounted_price]]</f>
        <v>426.55</v>
      </c>
      <c r="J1397">
        <f>VLOOKUP(B1397, Products!$A$2:$E$100, 3, FALSE)</f>
        <v>9</v>
      </c>
      <c r="K1397">
        <f>VLOOKUP(B1397, Products!$A$2:$F$100, 4, FALSE)</f>
        <v>6</v>
      </c>
    </row>
    <row r="1398" spans="1:11" x14ac:dyDescent="0.3">
      <c r="A1398">
        <v>501</v>
      </c>
      <c r="B1398">
        <v>2</v>
      </c>
      <c r="C1398">
        <v>8</v>
      </c>
      <c r="D1398" t="str">
        <f>VLOOKUP(B1398, Products!$A$2:$C$100, 2, FALSE)</f>
        <v>Ritchey Timberwolf Frameset - 2016</v>
      </c>
      <c r="E1398">
        <v>1</v>
      </c>
      <c r="F1398">
        <v>1799.99</v>
      </c>
      <c r="G1398">
        <v>7.0000000000000007E-2</v>
      </c>
      <c r="H1398">
        <v>125.99930000000002</v>
      </c>
      <c r="I1398">
        <f>order_items[[#This Row],[list_price]]-order_items[[#This Row],[Discounted_price]]</f>
        <v>1673.9907000000001</v>
      </c>
      <c r="J1398">
        <f>VLOOKUP(B1398, Products!$A$2:$E$100, 3, FALSE)</f>
        <v>5</v>
      </c>
      <c r="K1398">
        <f>VLOOKUP(B1398, Products!$A$2:$F$100, 4, FALSE)</f>
        <v>6</v>
      </c>
    </row>
    <row r="1399" spans="1:11" x14ac:dyDescent="0.3">
      <c r="A1399">
        <v>501</v>
      </c>
      <c r="B1399">
        <v>3</v>
      </c>
      <c r="C1399">
        <v>14</v>
      </c>
      <c r="D1399" t="str">
        <f>VLOOKUP(B1399, Products!$A$2:$C$100, 2, FALSE)</f>
        <v>Surly Wednesday Frameset - 2016</v>
      </c>
      <c r="E1399">
        <v>1</v>
      </c>
      <c r="F1399">
        <v>269.99</v>
      </c>
      <c r="G1399">
        <v>0.1</v>
      </c>
      <c r="H1399">
        <v>26.999000000000002</v>
      </c>
      <c r="I1399">
        <f>order_items[[#This Row],[list_price]]-order_items[[#This Row],[Discounted_price]]</f>
        <v>242.99100000000001</v>
      </c>
      <c r="J1399">
        <f>VLOOKUP(B1399, Products!$A$2:$E$100, 3, FALSE)</f>
        <v>8</v>
      </c>
      <c r="K1399">
        <f>VLOOKUP(B1399, Products!$A$2:$F$100, 4, FALSE)</f>
        <v>6</v>
      </c>
    </row>
    <row r="1400" spans="1:11" x14ac:dyDescent="0.3">
      <c r="A1400">
        <v>501</v>
      </c>
      <c r="B1400">
        <v>4</v>
      </c>
      <c r="C1400">
        <v>23</v>
      </c>
      <c r="D1400" t="str">
        <f>VLOOKUP(B1400, Products!$A$2:$C$100, 2, FALSE)</f>
        <v>Trek Fuel EX 8 29 - 2016</v>
      </c>
      <c r="E1400">
        <v>2</v>
      </c>
      <c r="F1400">
        <v>299.99</v>
      </c>
      <c r="G1400">
        <v>7.0000000000000007E-2</v>
      </c>
      <c r="H1400">
        <v>20.999300000000002</v>
      </c>
      <c r="I1400">
        <f>order_items[[#This Row],[list_price]]-order_items[[#This Row],[Discounted_price]]</f>
        <v>278.9907</v>
      </c>
      <c r="J1400">
        <f>VLOOKUP(B1400, Products!$A$2:$E$100, 3, FALSE)</f>
        <v>9</v>
      </c>
      <c r="K1400">
        <f>VLOOKUP(B1400, Products!$A$2:$F$100, 4, FALSE)</f>
        <v>6</v>
      </c>
    </row>
    <row r="1401" spans="1:11" x14ac:dyDescent="0.3">
      <c r="A1401">
        <v>502</v>
      </c>
      <c r="B1401">
        <v>1</v>
      </c>
      <c r="C1401">
        <v>13</v>
      </c>
      <c r="D1401" t="str">
        <f>VLOOKUP(B1401, Products!$A$2:$C$100, 2, FALSE)</f>
        <v>Trek 820 - 2016</v>
      </c>
      <c r="E1401">
        <v>1</v>
      </c>
      <c r="F1401">
        <v>269.99</v>
      </c>
      <c r="G1401">
        <v>0.05</v>
      </c>
      <c r="H1401">
        <v>13.499500000000001</v>
      </c>
      <c r="I1401">
        <f>order_items[[#This Row],[list_price]]-order_items[[#This Row],[Discounted_price]]</f>
        <v>256.4905</v>
      </c>
      <c r="J1401">
        <f>VLOOKUP(B1401, Products!$A$2:$E$100, 3, FALSE)</f>
        <v>9</v>
      </c>
      <c r="K1401">
        <f>VLOOKUP(B1401, Products!$A$2:$F$100, 4, FALSE)</f>
        <v>6</v>
      </c>
    </row>
    <row r="1402" spans="1:11" x14ac:dyDescent="0.3">
      <c r="A1402">
        <v>503</v>
      </c>
      <c r="B1402">
        <v>1</v>
      </c>
      <c r="C1402">
        <v>13</v>
      </c>
      <c r="D1402" t="str">
        <f>VLOOKUP(B1402, Products!$A$2:$C$100, 2, FALSE)</f>
        <v>Trek 820 - 2016</v>
      </c>
      <c r="E1402">
        <v>2</v>
      </c>
      <c r="F1402">
        <v>269.99</v>
      </c>
      <c r="G1402">
        <v>7.0000000000000007E-2</v>
      </c>
      <c r="H1402">
        <v>18.899300000000004</v>
      </c>
      <c r="I1402">
        <f>order_items[[#This Row],[list_price]]-order_items[[#This Row],[Discounted_price]]</f>
        <v>251.0907</v>
      </c>
      <c r="J1402">
        <f>VLOOKUP(B1402, Products!$A$2:$E$100, 3, FALSE)</f>
        <v>9</v>
      </c>
      <c r="K1402">
        <f>VLOOKUP(B1402, Products!$A$2:$F$100, 4, FALSE)</f>
        <v>6</v>
      </c>
    </row>
    <row r="1403" spans="1:11" x14ac:dyDescent="0.3">
      <c r="A1403">
        <v>503</v>
      </c>
      <c r="B1403">
        <v>2</v>
      </c>
      <c r="C1403">
        <v>10</v>
      </c>
      <c r="D1403" t="str">
        <f>VLOOKUP(B1403, Products!$A$2:$C$100, 2, FALSE)</f>
        <v>Ritchey Timberwolf Frameset - 2016</v>
      </c>
      <c r="E1403">
        <v>1</v>
      </c>
      <c r="F1403">
        <v>1549</v>
      </c>
      <c r="G1403">
        <v>0.05</v>
      </c>
      <c r="H1403">
        <v>77.45</v>
      </c>
      <c r="I1403">
        <f>order_items[[#This Row],[list_price]]-order_items[[#This Row],[Discounted_price]]</f>
        <v>1471.55</v>
      </c>
      <c r="J1403">
        <f>VLOOKUP(B1403, Products!$A$2:$E$100, 3, FALSE)</f>
        <v>5</v>
      </c>
      <c r="K1403">
        <f>VLOOKUP(B1403, Products!$A$2:$F$100, 4, FALSE)</f>
        <v>6</v>
      </c>
    </row>
    <row r="1404" spans="1:11" x14ac:dyDescent="0.3">
      <c r="A1404">
        <v>504</v>
      </c>
      <c r="B1404">
        <v>1</v>
      </c>
      <c r="C1404">
        <v>24</v>
      </c>
      <c r="D1404" t="str">
        <f>VLOOKUP(B1404, Products!$A$2:$C$100, 2, FALSE)</f>
        <v>Trek 820 - 2016</v>
      </c>
      <c r="E1404">
        <v>2</v>
      </c>
      <c r="F1404">
        <v>549.99</v>
      </c>
      <c r="G1404">
        <v>0.1</v>
      </c>
      <c r="H1404">
        <v>54.999000000000002</v>
      </c>
      <c r="I1404">
        <f>order_items[[#This Row],[list_price]]-order_items[[#This Row],[Discounted_price]]</f>
        <v>494.99099999999999</v>
      </c>
      <c r="J1404">
        <f>VLOOKUP(B1404, Products!$A$2:$E$100, 3, FALSE)</f>
        <v>9</v>
      </c>
      <c r="K1404">
        <f>VLOOKUP(B1404, Products!$A$2:$F$100, 4, FALSE)</f>
        <v>6</v>
      </c>
    </row>
    <row r="1405" spans="1:11" x14ac:dyDescent="0.3">
      <c r="A1405">
        <v>504</v>
      </c>
      <c r="B1405">
        <v>2</v>
      </c>
      <c r="C1405">
        <v>2</v>
      </c>
      <c r="D1405" t="str">
        <f>VLOOKUP(B1405, Products!$A$2:$C$100, 2, FALSE)</f>
        <v>Ritchey Timberwolf Frameset - 2016</v>
      </c>
      <c r="E1405">
        <v>2</v>
      </c>
      <c r="F1405">
        <v>749.99</v>
      </c>
      <c r="G1405">
        <v>0.05</v>
      </c>
      <c r="H1405">
        <v>37.499500000000005</v>
      </c>
      <c r="I1405">
        <f>order_items[[#This Row],[list_price]]-order_items[[#This Row],[Discounted_price]]</f>
        <v>712.4905</v>
      </c>
      <c r="J1405">
        <f>VLOOKUP(B1405, Products!$A$2:$E$100, 3, FALSE)</f>
        <v>5</v>
      </c>
      <c r="K1405">
        <f>VLOOKUP(B1405, Products!$A$2:$F$100, 4, FALSE)</f>
        <v>6</v>
      </c>
    </row>
    <row r="1406" spans="1:11" x14ac:dyDescent="0.3">
      <c r="A1406">
        <v>505</v>
      </c>
      <c r="B1406">
        <v>1</v>
      </c>
      <c r="C1406">
        <v>26</v>
      </c>
      <c r="D1406" t="str">
        <f>VLOOKUP(B1406, Products!$A$2:$C$100, 2, FALSE)</f>
        <v>Trek 820 - 2016</v>
      </c>
      <c r="E1406">
        <v>1</v>
      </c>
      <c r="F1406">
        <v>599.99</v>
      </c>
      <c r="G1406">
        <v>0.2</v>
      </c>
      <c r="H1406">
        <v>119.998</v>
      </c>
      <c r="I1406">
        <f>order_items[[#This Row],[list_price]]-order_items[[#This Row],[Discounted_price]]</f>
        <v>479.99200000000002</v>
      </c>
      <c r="J1406">
        <f>VLOOKUP(B1406, Products!$A$2:$E$100, 3, FALSE)</f>
        <v>9</v>
      </c>
      <c r="K1406">
        <f>VLOOKUP(B1406, Products!$A$2:$F$100, 4, FALSE)</f>
        <v>6</v>
      </c>
    </row>
    <row r="1407" spans="1:11" x14ac:dyDescent="0.3">
      <c r="A1407">
        <v>506</v>
      </c>
      <c r="B1407">
        <v>1</v>
      </c>
      <c r="C1407">
        <v>25</v>
      </c>
      <c r="D1407" t="str">
        <f>VLOOKUP(B1407, Products!$A$2:$C$100, 2, FALSE)</f>
        <v>Trek 820 - 2016</v>
      </c>
      <c r="E1407">
        <v>1</v>
      </c>
      <c r="F1407">
        <v>499.99</v>
      </c>
      <c r="G1407">
        <v>0.1</v>
      </c>
      <c r="H1407">
        <v>49.999000000000002</v>
      </c>
      <c r="I1407">
        <f>order_items[[#This Row],[list_price]]-order_items[[#This Row],[Discounted_price]]</f>
        <v>449.99099999999999</v>
      </c>
      <c r="J1407">
        <f>VLOOKUP(B1407, Products!$A$2:$E$100, 3, FALSE)</f>
        <v>9</v>
      </c>
      <c r="K1407">
        <f>VLOOKUP(B1407, Products!$A$2:$F$100, 4, FALSE)</f>
        <v>6</v>
      </c>
    </row>
    <row r="1408" spans="1:11" x14ac:dyDescent="0.3">
      <c r="A1408">
        <v>506</v>
      </c>
      <c r="B1408">
        <v>2</v>
      </c>
      <c r="C1408">
        <v>7</v>
      </c>
      <c r="D1408" t="str">
        <f>VLOOKUP(B1408, Products!$A$2:$C$100, 2, FALSE)</f>
        <v>Ritchey Timberwolf Frameset - 2016</v>
      </c>
      <c r="E1408">
        <v>1</v>
      </c>
      <c r="F1408">
        <v>3999.99</v>
      </c>
      <c r="G1408">
        <v>7.0000000000000007E-2</v>
      </c>
      <c r="H1408">
        <v>279.99930000000001</v>
      </c>
      <c r="I1408">
        <f>order_items[[#This Row],[list_price]]-order_items[[#This Row],[Discounted_price]]</f>
        <v>3719.9906999999998</v>
      </c>
      <c r="J1408">
        <f>VLOOKUP(B1408, Products!$A$2:$E$100, 3, FALSE)</f>
        <v>5</v>
      </c>
      <c r="K1408">
        <f>VLOOKUP(B1408, Products!$A$2:$F$100, 4, FALSE)</f>
        <v>6</v>
      </c>
    </row>
    <row r="1409" spans="1:11" x14ac:dyDescent="0.3">
      <c r="A1409">
        <v>507</v>
      </c>
      <c r="B1409">
        <v>1</v>
      </c>
      <c r="C1409">
        <v>11</v>
      </c>
      <c r="D1409" t="str">
        <f>VLOOKUP(B1409, Products!$A$2:$C$100, 2, FALSE)</f>
        <v>Trek 820 - 2016</v>
      </c>
      <c r="E1409">
        <v>2</v>
      </c>
      <c r="F1409">
        <v>1680.99</v>
      </c>
      <c r="G1409">
        <v>0.05</v>
      </c>
      <c r="H1409">
        <v>84.049500000000009</v>
      </c>
      <c r="I1409">
        <f>order_items[[#This Row],[list_price]]-order_items[[#This Row],[Discounted_price]]</f>
        <v>1596.9404999999999</v>
      </c>
      <c r="J1409">
        <f>VLOOKUP(B1409, Products!$A$2:$E$100, 3, FALSE)</f>
        <v>9</v>
      </c>
      <c r="K1409">
        <f>VLOOKUP(B1409, Products!$A$2:$F$100, 4, FALSE)</f>
        <v>6</v>
      </c>
    </row>
    <row r="1410" spans="1:11" x14ac:dyDescent="0.3">
      <c r="A1410">
        <v>507</v>
      </c>
      <c r="B1410">
        <v>2</v>
      </c>
      <c r="C1410">
        <v>13</v>
      </c>
      <c r="D1410" t="str">
        <f>VLOOKUP(B1410, Products!$A$2:$C$100, 2, FALSE)</f>
        <v>Ritchey Timberwolf Frameset - 2016</v>
      </c>
      <c r="E1410">
        <v>2</v>
      </c>
      <c r="F1410">
        <v>269.99</v>
      </c>
      <c r="G1410">
        <v>7.0000000000000007E-2</v>
      </c>
      <c r="H1410">
        <v>18.899300000000004</v>
      </c>
      <c r="I1410">
        <f>order_items[[#This Row],[list_price]]-order_items[[#This Row],[Discounted_price]]</f>
        <v>251.0907</v>
      </c>
      <c r="J1410">
        <f>VLOOKUP(B1410, Products!$A$2:$E$100, 3, FALSE)</f>
        <v>5</v>
      </c>
      <c r="K1410">
        <f>VLOOKUP(B1410, Products!$A$2:$F$100, 4, FALSE)</f>
        <v>6</v>
      </c>
    </row>
    <row r="1411" spans="1:11" x14ac:dyDescent="0.3">
      <c r="A1411">
        <v>507</v>
      </c>
      <c r="B1411">
        <v>3</v>
      </c>
      <c r="C1411">
        <v>20</v>
      </c>
      <c r="D1411" t="str">
        <f>VLOOKUP(B1411, Products!$A$2:$C$100, 2, FALSE)</f>
        <v>Surly Wednesday Frameset - 2016</v>
      </c>
      <c r="E1411">
        <v>2</v>
      </c>
      <c r="F1411">
        <v>599.99</v>
      </c>
      <c r="G1411">
        <v>0.1</v>
      </c>
      <c r="H1411">
        <v>59.999000000000002</v>
      </c>
      <c r="I1411">
        <f>order_items[[#This Row],[list_price]]-order_items[[#This Row],[Discounted_price]]</f>
        <v>539.99099999999999</v>
      </c>
      <c r="J1411">
        <f>VLOOKUP(B1411, Products!$A$2:$E$100, 3, FALSE)</f>
        <v>8</v>
      </c>
      <c r="K1411">
        <f>VLOOKUP(B1411, Products!$A$2:$F$100, 4, FALSE)</f>
        <v>6</v>
      </c>
    </row>
    <row r="1412" spans="1:11" x14ac:dyDescent="0.3">
      <c r="A1412">
        <v>508</v>
      </c>
      <c r="B1412">
        <v>1</v>
      </c>
      <c r="C1412">
        <v>8</v>
      </c>
      <c r="D1412" t="str">
        <f>VLOOKUP(B1412, Products!$A$2:$C$100, 2, FALSE)</f>
        <v>Trek 820 - 2016</v>
      </c>
      <c r="E1412">
        <v>1</v>
      </c>
      <c r="F1412">
        <v>1799.99</v>
      </c>
      <c r="G1412">
        <v>0.05</v>
      </c>
      <c r="H1412">
        <v>89.999500000000012</v>
      </c>
      <c r="I1412">
        <f>order_items[[#This Row],[list_price]]-order_items[[#This Row],[Discounted_price]]</f>
        <v>1709.9904999999999</v>
      </c>
      <c r="J1412">
        <f>VLOOKUP(B1412, Products!$A$2:$E$100, 3, FALSE)</f>
        <v>9</v>
      </c>
      <c r="K1412">
        <f>VLOOKUP(B1412, Products!$A$2:$F$100, 4, FALSE)</f>
        <v>6</v>
      </c>
    </row>
    <row r="1413" spans="1:11" x14ac:dyDescent="0.3">
      <c r="A1413">
        <v>508</v>
      </c>
      <c r="B1413">
        <v>2</v>
      </c>
      <c r="C1413">
        <v>2</v>
      </c>
      <c r="D1413" t="str">
        <f>VLOOKUP(B1413, Products!$A$2:$C$100, 2, FALSE)</f>
        <v>Ritchey Timberwolf Frameset - 2016</v>
      </c>
      <c r="E1413">
        <v>2</v>
      </c>
      <c r="F1413">
        <v>749.99</v>
      </c>
      <c r="G1413">
        <v>0.05</v>
      </c>
      <c r="H1413">
        <v>37.499500000000005</v>
      </c>
      <c r="I1413">
        <f>order_items[[#This Row],[list_price]]-order_items[[#This Row],[Discounted_price]]</f>
        <v>712.4905</v>
      </c>
      <c r="J1413">
        <f>VLOOKUP(B1413, Products!$A$2:$E$100, 3, FALSE)</f>
        <v>5</v>
      </c>
      <c r="K1413">
        <f>VLOOKUP(B1413, Products!$A$2:$F$100, 4, FALSE)</f>
        <v>6</v>
      </c>
    </row>
    <row r="1414" spans="1:11" x14ac:dyDescent="0.3">
      <c r="A1414">
        <v>508</v>
      </c>
      <c r="B1414">
        <v>3</v>
      </c>
      <c r="C1414">
        <v>10</v>
      </c>
      <c r="D1414" t="str">
        <f>VLOOKUP(B1414, Products!$A$2:$C$100, 2, FALSE)</f>
        <v>Surly Wednesday Frameset - 2016</v>
      </c>
      <c r="E1414">
        <v>2</v>
      </c>
      <c r="F1414">
        <v>1549</v>
      </c>
      <c r="G1414">
        <v>0.05</v>
      </c>
      <c r="H1414">
        <v>77.45</v>
      </c>
      <c r="I1414">
        <f>order_items[[#This Row],[list_price]]-order_items[[#This Row],[Discounted_price]]</f>
        <v>1471.55</v>
      </c>
      <c r="J1414">
        <f>VLOOKUP(B1414, Products!$A$2:$E$100, 3, FALSE)</f>
        <v>8</v>
      </c>
      <c r="K1414">
        <f>VLOOKUP(B1414, Products!$A$2:$F$100, 4, FALSE)</f>
        <v>6</v>
      </c>
    </row>
    <row r="1415" spans="1:11" x14ac:dyDescent="0.3">
      <c r="A1415">
        <v>508</v>
      </c>
      <c r="B1415">
        <v>4</v>
      </c>
      <c r="C1415">
        <v>25</v>
      </c>
      <c r="D1415" t="str">
        <f>VLOOKUP(B1415, Products!$A$2:$C$100, 2, FALSE)</f>
        <v>Trek Fuel EX 8 29 - 2016</v>
      </c>
      <c r="E1415">
        <v>1</v>
      </c>
      <c r="F1415">
        <v>499.99</v>
      </c>
      <c r="G1415">
        <v>7.0000000000000007E-2</v>
      </c>
      <c r="H1415">
        <v>34.999300000000005</v>
      </c>
      <c r="I1415">
        <f>order_items[[#This Row],[list_price]]-order_items[[#This Row],[Discounted_price]]</f>
        <v>464.9907</v>
      </c>
      <c r="J1415">
        <f>VLOOKUP(B1415, Products!$A$2:$E$100, 3, FALSE)</f>
        <v>9</v>
      </c>
      <c r="K1415">
        <f>VLOOKUP(B1415, Products!$A$2:$F$100, 4, FALSE)</f>
        <v>6</v>
      </c>
    </row>
    <row r="1416" spans="1:11" x14ac:dyDescent="0.3">
      <c r="A1416">
        <v>509</v>
      </c>
      <c r="B1416">
        <v>1</v>
      </c>
      <c r="C1416">
        <v>23</v>
      </c>
      <c r="D1416" t="str">
        <f>VLOOKUP(B1416, Products!$A$2:$C$100, 2, FALSE)</f>
        <v>Trek 820 - 2016</v>
      </c>
      <c r="E1416">
        <v>2</v>
      </c>
      <c r="F1416">
        <v>299.99</v>
      </c>
      <c r="G1416">
        <v>0.2</v>
      </c>
      <c r="H1416">
        <v>59.998000000000005</v>
      </c>
      <c r="I1416">
        <f>order_items[[#This Row],[list_price]]-order_items[[#This Row],[Discounted_price]]</f>
        <v>239.99200000000002</v>
      </c>
      <c r="J1416">
        <f>VLOOKUP(B1416, Products!$A$2:$E$100, 3, FALSE)</f>
        <v>9</v>
      </c>
      <c r="K1416">
        <f>VLOOKUP(B1416, Products!$A$2:$F$100, 4, FALSE)</f>
        <v>6</v>
      </c>
    </row>
    <row r="1417" spans="1:11" x14ac:dyDescent="0.3">
      <c r="A1417">
        <v>509</v>
      </c>
      <c r="B1417">
        <v>2</v>
      </c>
      <c r="C1417">
        <v>4</v>
      </c>
      <c r="D1417" t="str">
        <f>VLOOKUP(B1417, Products!$A$2:$C$100, 2, FALSE)</f>
        <v>Ritchey Timberwolf Frameset - 2016</v>
      </c>
      <c r="E1417">
        <v>2</v>
      </c>
      <c r="F1417">
        <v>2899.99</v>
      </c>
      <c r="G1417">
        <v>0.05</v>
      </c>
      <c r="H1417">
        <v>144.99949999999998</v>
      </c>
      <c r="I1417">
        <f>order_items[[#This Row],[list_price]]-order_items[[#This Row],[Discounted_price]]</f>
        <v>2754.9904999999999</v>
      </c>
      <c r="J1417">
        <f>VLOOKUP(B1417, Products!$A$2:$E$100, 3, FALSE)</f>
        <v>5</v>
      </c>
      <c r="K1417">
        <f>VLOOKUP(B1417, Products!$A$2:$F$100, 4, FALSE)</f>
        <v>6</v>
      </c>
    </row>
    <row r="1418" spans="1:11" x14ac:dyDescent="0.3">
      <c r="A1418">
        <v>510</v>
      </c>
      <c r="B1418">
        <v>1</v>
      </c>
      <c r="C1418">
        <v>17</v>
      </c>
      <c r="D1418" t="str">
        <f>VLOOKUP(B1418, Products!$A$2:$C$100, 2, FALSE)</f>
        <v>Trek 820 - 2016</v>
      </c>
      <c r="E1418">
        <v>1</v>
      </c>
      <c r="F1418">
        <v>429</v>
      </c>
      <c r="G1418">
        <v>0.1</v>
      </c>
      <c r="H1418">
        <v>42.900000000000006</v>
      </c>
      <c r="I1418">
        <f>order_items[[#This Row],[list_price]]-order_items[[#This Row],[Discounted_price]]</f>
        <v>386.1</v>
      </c>
      <c r="J1418">
        <f>VLOOKUP(B1418, Products!$A$2:$E$100, 3, FALSE)</f>
        <v>9</v>
      </c>
      <c r="K1418">
        <f>VLOOKUP(B1418, Products!$A$2:$F$100, 4, FALSE)</f>
        <v>6</v>
      </c>
    </row>
    <row r="1419" spans="1:11" x14ac:dyDescent="0.3">
      <c r="A1419">
        <v>511</v>
      </c>
      <c r="B1419">
        <v>1</v>
      </c>
      <c r="C1419">
        <v>22</v>
      </c>
      <c r="D1419" t="str">
        <f>VLOOKUP(B1419, Products!$A$2:$C$100, 2, FALSE)</f>
        <v>Trek 820 - 2016</v>
      </c>
      <c r="E1419">
        <v>2</v>
      </c>
      <c r="F1419">
        <v>269.99</v>
      </c>
      <c r="G1419">
        <v>0.05</v>
      </c>
      <c r="H1419">
        <v>13.499500000000001</v>
      </c>
      <c r="I1419">
        <f>order_items[[#This Row],[list_price]]-order_items[[#This Row],[Discounted_price]]</f>
        <v>256.4905</v>
      </c>
      <c r="J1419">
        <f>VLOOKUP(B1419, Products!$A$2:$E$100, 3, FALSE)</f>
        <v>9</v>
      </c>
      <c r="K1419">
        <f>VLOOKUP(B1419, Products!$A$2:$F$100, 4, FALSE)</f>
        <v>6</v>
      </c>
    </row>
    <row r="1420" spans="1:11" x14ac:dyDescent="0.3">
      <c r="A1420">
        <v>511</v>
      </c>
      <c r="B1420">
        <v>2</v>
      </c>
      <c r="C1420">
        <v>13</v>
      </c>
      <c r="D1420" t="str">
        <f>VLOOKUP(B1420, Products!$A$2:$C$100, 2, FALSE)</f>
        <v>Ritchey Timberwolf Frameset - 2016</v>
      </c>
      <c r="E1420">
        <v>1</v>
      </c>
      <c r="F1420">
        <v>269.99</v>
      </c>
      <c r="G1420">
        <v>0.1</v>
      </c>
      <c r="H1420">
        <v>26.999000000000002</v>
      </c>
      <c r="I1420">
        <f>order_items[[#This Row],[list_price]]-order_items[[#This Row],[Discounted_price]]</f>
        <v>242.99100000000001</v>
      </c>
      <c r="J1420">
        <f>VLOOKUP(B1420, Products!$A$2:$E$100, 3, FALSE)</f>
        <v>5</v>
      </c>
      <c r="K1420">
        <f>VLOOKUP(B1420, Products!$A$2:$F$100, 4, FALSE)</f>
        <v>6</v>
      </c>
    </row>
    <row r="1421" spans="1:11" x14ac:dyDescent="0.3">
      <c r="A1421">
        <v>512</v>
      </c>
      <c r="B1421">
        <v>1</v>
      </c>
      <c r="C1421">
        <v>21</v>
      </c>
      <c r="D1421" t="str">
        <f>VLOOKUP(B1421, Products!$A$2:$C$100, 2, FALSE)</f>
        <v>Trek 820 - 2016</v>
      </c>
      <c r="E1421">
        <v>1</v>
      </c>
      <c r="F1421">
        <v>269.99</v>
      </c>
      <c r="G1421">
        <v>7.0000000000000007E-2</v>
      </c>
      <c r="H1421">
        <v>18.899300000000004</v>
      </c>
      <c r="I1421">
        <f>order_items[[#This Row],[list_price]]-order_items[[#This Row],[Discounted_price]]</f>
        <v>251.0907</v>
      </c>
      <c r="J1421">
        <f>VLOOKUP(B1421, Products!$A$2:$E$100, 3, FALSE)</f>
        <v>9</v>
      </c>
      <c r="K1421">
        <f>VLOOKUP(B1421, Products!$A$2:$F$100, 4, FALSE)</f>
        <v>6</v>
      </c>
    </row>
    <row r="1422" spans="1:11" x14ac:dyDescent="0.3">
      <c r="A1422">
        <v>513</v>
      </c>
      <c r="B1422">
        <v>1</v>
      </c>
      <c r="C1422">
        <v>7</v>
      </c>
      <c r="D1422" t="str">
        <f>VLOOKUP(B1422, Products!$A$2:$C$100, 2, FALSE)</f>
        <v>Trek 820 - 2016</v>
      </c>
      <c r="E1422">
        <v>1</v>
      </c>
      <c r="F1422">
        <v>3999.99</v>
      </c>
      <c r="G1422">
        <v>7.0000000000000007E-2</v>
      </c>
      <c r="H1422">
        <v>279.99930000000001</v>
      </c>
      <c r="I1422">
        <f>order_items[[#This Row],[list_price]]-order_items[[#This Row],[Discounted_price]]</f>
        <v>3719.9906999999998</v>
      </c>
      <c r="J1422">
        <f>VLOOKUP(B1422, Products!$A$2:$E$100, 3, FALSE)</f>
        <v>9</v>
      </c>
      <c r="K1422">
        <f>VLOOKUP(B1422, Products!$A$2:$F$100, 4, FALSE)</f>
        <v>6</v>
      </c>
    </row>
    <row r="1423" spans="1:11" x14ac:dyDescent="0.3">
      <c r="A1423">
        <v>513</v>
      </c>
      <c r="B1423">
        <v>2</v>
      </c>
      <c r="C1423">
        <v>13</v>
      </c>
      <c r="D1423" t="str">
        <f>VLOOKUP(B1423, Products!$A$2:$C$100, 2, FALSE)</f>
        <v>Ritchey Timberwolf Frameset - 2016</v>
      </c>
      <c r="E1423">
        <v>1</v>
      </c>
      <c r="F1423">
        <v>269.99</v>
      </c>
      <c r="G1423">
        <v>0.2</v>
      </c>
      <c r="H1423">
        <v>53.998000000000005</v>
      </c>
      <c r="I1423">
        <f>order_items[[#This Row],[list_price]]-order_items[[#This Row],[Discounted_price]]</f>
        <v>215.99200000000002</v>
      </c>
      <c r="J1423">
        <f>VLOOKUP(B1423, Products!$A$2:$E$100, 3, FALSE)</f>
        <v>5</v>
      </c>
      <c r="K1423">
        <f>VLOOKUP(B1423, Products!$A$2:$F$100, 4, FALSE)</f>
        <v>6</v>
      </c>
    </row>
    <row r="1424" spans="1:11" x14ac:dyDescent="0.3">
      <c r="A1424">
        <v>513</v>
      </c>
      <c r="B1424">
        <v>3</v>
      </c>
      <c r="C1424">
        <v>23</v>
      </c>
      <c r="D1424" t="str">
        <f>VLOOKUP(B1424, Products!$A$2:$C$100, 2, FALSE)</f>
        <v>Surly Wednesday Frameset - 2016</v>
      </c>
      <c r="E1424">
        <v>1</v>
      </c>
      <c r="F1424">
        <v>299.99</v>
      </c>
      <c r="G1424">
        <v>7.0000000000000007E-2</v>
      </c>
      <c r="H1424">
        <v>20.999300000000002</v>
      </c>
      <c r="I1424">
        <f>order_items[[#This Row],[list_price]]-order_items[[#This Row],[Discounted_price]]</f>
        <v>278.9907</v>
      </c>
      <c r="J1424">
        <f>VLOOKUP(B1424, Products!$A$2:$E$100, 3, FALSE)</f>
        <v>8</v>
      </c>
      <c r="K1424">
        <f>VLOOKUP(B1424, Products!$A$2:$F$100, 4, FALSE)</f>
        <v>6</v>
      </c>
    </row>
    <row r="1425" spans="1:11" x14ac:dyDescent="0.3">
      <c r="A1425">
        <v>514</v>
      </c>
      <c r="B1425">
        <v>1</v>
      </c>
      <c r="C1425">
        <v>18</v>
      </c>
      <c r="D1425" t="str">
        <f>VLOOKUP(B1425, Products!$A$2:$C$100, 2, FALSE)</f>
        <v>Trek 820 - 2016</v>
      </c>
      <c r="E1425">
        <v>2</v>
      </c>
      <c r="F1425">
        <v>449</v>
      </c>
      <c r="G1425">
        <v>0.2</v>
      </c>
      <c r="H1425">
        <v>89.800000000000011</v>
      </c>
      <c r="I1425">
        <f>order_items[[#This Row],[list_price]]-order_items[[#This Row],[Discounted_price]]</f>
        <v>359.2</v>
      </c>
      <c r="J1425">
        <f>VLOOKUP(B1425, Products!$A$2:$E$100, 3, FALSE)</f>
        <v>9</v>
      </c>
      <c r="K1425">
        <f>VLOOKUP(B1425, Products!$A$2:$F$100, 4, FALSE)</f>
        <v>6</v>
      </c>
    </row>
    <row r="1426" spans="1:11" x14ac:dyDescent="0.3">
      <c r="A1426">
        <v>514</v>
      </c>
      <c r="B1426">
        <v>2</v>
      </c>
      <c r="C1426">
        <v>17</v>
      </c>
      <c r="D1426" t="str">
        <f>VLOOKUP(B1426, Products!$A$2:$C$100, 2, FALSE)</f>
        <v>Ritchey Timberwolf Frameset - 2016</v>
      </c>
      <c r="E1426">
        <v>2</v>
      </c>
      <c r="F1426">
        <v>429</v>
      </c>
      <c r="G1426">
        <v>7.0000000000000007E-2</v>
      </c>
      <c r="H1426">
        <v>30.03</v>
      </c>
      <c r="I1426">
        <f>order_items[[#This Row],[list_price]]-order_items[[#This Row],[Discounted_price]]</f>
        <v>398.97</v>
      </c>
      <c r="J1426">
        <f>VLOOKUP(B1426, Products!$A$2:$E$100, 3, FALSE)</f>
        <v>5</v>
      </c>
      <c r="K1426">
        <f>VLOOKUP(B1426, Products!$A$2:$F$100, 4, FALSE)</f>
        <v>6</v>
      </c>
    </row>
    <row r="1427" spans="1:11" x14ac:dyDescent="0.3">
      <c r="A1427">
        <v>515</v>
      </c>
      <c r="B1427">
        <v>1</v>
      </c>
      <c r="C1427">
        <v>8</v>
      </c>
      <c r="D1427" t="str">
        <f>VLOOKUP(B1427, Products!$A$2:$C$100, 2, FALSE)</f>
        <v>Trek 820 - 2016</v>
      </c>
      <c r="E1427">
        <v>1</v>
      </c>
      <c r="F1427">
        <v>1799.99</v>
      </c>
      <c r="G1427">
        <v>7.0000000000000007E-2</v>
      </c>
      <c r="H1427">
        <v>125.99930000000002</v>
      </c>
      <c r="I1427">
        <f>order_items[[#This Row],[list_price]]-order_items[[#This Row],[Discounted_price]]</f>
        <v>1673.9907000000001</v>
      </c>
      <c r="J1427">
        <f>VLOOKUP(B1427, Products!$A$2:$E$100, 3, FALSE)</f>
        <v>9</v>
      </c>
      <c r="K1427">
        <f>VLOOKUP(B1427, Products!$A$2:$F$100, 4, FALSE)</f>
        <v>6</v>
      </c>
    </row>
    <row r="1428" spans="1:11" x14ac:dyDescent="0.3">
      <c r="A1428">
        <v>515</v>
      </c>
      <c r="B1428">
        <v>2</v>
      </c>
      <c r="C1428">
        <v>5</v>
      </c>
      <c r="D1428" t="str">
        <f>VLOOKUP(B1428, Products!$A$2:$C$100, 2, FALSE)</f>
        <v>Ritchey Timberwolf Frameset - 2016</v>
      </c>
      <c r="E1428">
        <v>1</v>
      </c>
      <c r="F1428">
        <v>1320.99</v>
      </c>
      <c r="G1428">
        <v>0.1</v>
      </c>
      <c r="H1428">
        <v>132.09900000000002</v>
      </c>
      <c r="I1428">
        <f>order_items[[#This Row],[list_price]]-order_items[[#This Row],[Discounted_price]]</f>
        <v>1188.8910000000001</v>
      </c>
      <c r="J1428">
        <f>VLOOKUP(B1428, Products!$A$2:$E$100, 3, FALSE)</f>
        <v>5</v>
      </c>
      <c r="K1428">
        <f>VLOOKUP(B1428, Products!$A$2:$F$100, 4, FALSE)</f>
        <v>6</v>
      </c>
    </row>
    <row r="1429" spans="1:11" x14ac:dyDescent="0.3">
      <c r="A1429">
        <v>515</v>
      </c>
      <c r="B1429">
        <v>3</v>
      </c>
      <c r="C1429">
        <v>25</v>
      </c>
      <c r="D1429" t="str">
        <f>VLOOKUP(B1429, Products!$A$2:$C$100, 2, FALSE)</f>
        <v>Surly Wednesday Frameset - 2016</v>
      </c>
      <c r="E1429">
        <v>2</v>
      </c>
      <c r="F1429">
        <v>499.99</v>
      </c>
      <c r="G1429">
        <v>7.0000000000000007E-2</v>
      </c>
      <c r="H1429">
        <v>34.999300000000005</v>
      </c>
      <c r="I1429">
        <f>order_items[[#This Row],[list_price]]-order_items[[#This Row],[Discounted_price]]</f>
        <v>464.9907</v>
      </c>
      <c r="J1429">
        <f>VLOOKUP(B1429, Products!$A$2:$E$100, 3, FALSE)</f>
        <v>8</v>
      </c>
      <c r="K1429">
        <f>VLOOKUP(B1429, Products!$A$2:$F$100, 4, FALSE)</f>
        <v>6</v>
      </c>
    </row>
    <row r="1430" spans="1:11" x14ac:dyDescent="0.3">
      <c r="A1430">
        <v>515</v>
      </c>
      <c r="B1430">
        <v>4</v>
      </c>
      <c r="C1430">
        <v>6</v>
      </c>
      <c r="D1430" t="str">
        <f>VLOOKUP(B1430, Products!$A$2:$C$100, 2, FALSE)</f>
        <v>Trek Fuel EX 8 29 - 2016</v>
      </c>
      <c r="E1430">
        <v>2</v>
      </c>
      <c r="F1430">
        <v>469.99</v>
      </c>
      <c r="G1430">
        <v>0.2</v>
      </c>
      <c r="H1430">
        <v>93.998000000000005</v>
      </c>
      <c r="I1430">
        <f>order_items[[#This Row],[list_price]]-order_items[[#This Row],[Discounted_price]]</f>
        <v>375.99200000000002</v>
      </c>
      <c r="J1430">
        <f>VLOOKUP(B1430, Products!$A$2:$E$100, 3, FALSE)</f>
        <v>9</v>
      </c>
      <c r="K1430">
        <f>VLOOKUP(B1430, Products!$A$2:$F$100, 4, FALSE)</f>
        <v>6</v>
      </c>
    </row>
    <row r="1431" spans="1:11" x14ac:dyDescent="0.3">
      <c r="A1431">
        <v>516</v>
      </c>
      <c r="B1431">
        <v>1</v>
      </c>
      <c r="C1431">
        <v>7</v>
      </c>
      <c r="D1431" t="str">
        <f>VLOOKUP(B1431, Products!$A$2:$C$100, 2, FALSE)</f>
        <v>Trek 820 - 2016</v>
      </c>
      <c r="E1431">
        <v>1</v>
      </c>
      <c r="F1431">
        <v>3999.99</v>
      </c>
      <c r="G1431">
        <v>0.05</v>
      </c>
      <c r="H1431">
        <v>199.99950000000001</v>
      </c>
      <c r="I1431">
        <f>order_items[[#This Row],[list_price]]-order_items[[#This Row],[Discounted_price]]</f>
        <v>3799.9904999999999</v>
      </c>
      <c r="J1431">
        <f>VLOOKUP(B1431, Products!$A$2:$E$100, 3, FALSE)</f>
        <v>9</v>
      </c>
      <c r="K1431">
        <f>VLOOKUP(B1431, Products!$A$2:$F$100, 4, FALSE)</f>
        <v>6</v>
      </c>
    </row>
    <row r="1432" spans="1:11" x14ac:dyDescent="0.3">
      <c r="A1432">
        <v>516</v>
      </c>
      <c r="B1432">
        <v>2</v>
      </c>
      <c r="C1432">
        <v>5</v>
      </c>
      <c r="D1432" t="str">
        <f>VLOOKUP(B1432, Products!$A$2:$C$100, 2, FALSE)</f>
        <v>Ritchey Timberwolf Frameset - 2016</v>
      </c>
      <c r="E1432">
        <v>2</v>
      </c>
      <c r="F1432">
        <v>1320.99</v>
      </c>
      <c r="G1432">
        <v>0.1</v>
      </c>
      <c r="H1432">
        <v>132.09900000000002</v>
      </c>
      <c r="I1432">
        <f>order_items[[#This Row],[list_price]]-order_items[[#This Row],[Discounted_price]]</f>
        <v>1188.8910000000001</v>
      </c>
      <c r="J1432">
        <f>VLOOKUP(B1432, Products!$A$2:$E$100, 3, FALSE)</f>
        <v>5</v>
      </c>
      <c r="K1432">
        <f>VLOOKUP(B1432, Products!$A$2:$F$100, 4, FALSE)</f>
        <v>6</v>
      </c>
    </row>
    <row r="1433" spans="1:11" x14ac:dyDescent="0.3">
      <c r="A1433">
        <v>517</v>
      </c>
      <c r="B1433">
        <v>1</v>
      </c>
      <c r="C1433">
        <v>21</v>
      </c>
      <c r="D1433" t="str">
        <f>VLOOKUP(B1433, Products!$A$2:$C$100, 2, FALSE)</f>
        <v>Trek 820 - 2016</v>
      </c>
      <c r="E1433">
        <v>2</v>
      </c>
      <c r="F1433">
        <v>269.99</v>
      </c>
      <c r="G1433">
        <v>7.0000000000000007E-2</v>
      </c>
      <c r="H1433">
        <v>18.899300000000004</v>
      </c>
      <c r="I1433">
        <f>order_items[[#This Row],[list_price]]-order_items[[#This Row],[Discounted_price]]</f>
        <v>251.0907</v>
      </c>
      <c r="J1433">
        <f>VLOOKUP(B1433, Products!$A$2:$E$100, 3, FALSE)</f>
        <v>9</v>
      </c>
      <c r="K1433">
        <f>VLOOKUP(B1433, Products!$A$2:$F$100, 4, FALSE)</f>
        <v>6</v>
      </c>
    </row>
    <row r="1434" spans="1:11" x14ac:dyDescent="0.3">
      <c r="A1434">
        <v>518</v>
      </c>
      <c r="B1434">
        <v>1</v>
      </c>
      <c r="C1434">
        <v>16</v>
      </c>
      <c r="D1434" t="str">
        <f>VLOOKUP(B1434, Products!$A$2:$C$100, 2, FALSE)</f>
        <v>Trek 820 - 2016</v>
      </c>
      <c r="E1434">
        <v>2</v>
      </c>
      <c r="F1434">
        <v>599.99</v>
      </c>
      <c r="G1434">
        <v>0.2</v>
      </c>
      <c r="H1434">
        <v>119.998</v>
      </c>
      <c r="I1434">
        <f>order_items[[#This Row],[list_price]]-order_items[[#This Row],[Discounted_price]]</f>
        <v>479.99200000000002</v>
      </c>
      <c r="J1434">
        <f>VLOOKUP(B1434, Products!$A$2:$E$100, 3, FALSE)</f>
        <v>9</v>
      </c>
      <c r="K1434">
        <f>VLOOKUP(B1434, Products!$A$2:$F$100, 4, FALSE)</f>
        <v>6</v>
      </c>
    </row>
    <row r="1435" spans="1:11" x14ac:dyDescent="0.3">
      <c r="A1435">
        <v>518</v>
      </c>
      <c r="B1435">
        <v>2</v>
      </c>
      <c r="C1435">
        <v>5</v>
      </c>
      <c r="D1435" t="str">
        <f>VLOOKUP(B1435, Products!$A$2:$C$100, 2, FALSE)</f>
        <v>Ritchey Timberwolf Frameset - 2016</v>
      </c>
      <c r="E1435">
        <v>2</v>
      </c>
      <c r="F1435">
        <v>1320.99</v>
      </c>
      <c r="G1435">
        <v>0.05</v>
      </c>
      <c r="H1435">
        <v>66.049500000000009</v>
      </c>
      <c r="I1435">
        <f>order_items[[#This Row],[list_price]]-order_items[[#This Row],[Discounted_price]]</f>
        <v>1254.9404999999999</v>
      </c>
      <c r="J1435">
        <f>VLOOKUP(B1435, Products!$A$2:$E$100, 3, FALSE)</f>
        <v>5</v>
      </c>
      <c r="K1435">
        <f>VLOOKUP(B1435, Products!$A$2:$F$100, 4, FALSE)</f>
        <v>6</v>
      </c>
    </row>
    <row r="1436" spans="1:11" x14ac:dyDescent="0.3">
      <c r="A1436">
        <v>518</v>
      </c>
      <c r="B1436">
        <v>3</v>
      </c>
      <c r="C1436">
        <v>25</v>
      </c>
      <c r="D1436" t="str">
        <f>VLOOKUP(B1436, Products!$A$2:$C$100, 2, FALSE)</f>
        <v>Surly Wednesday Frameset - 2016</v>
      </c>
      <c r="E1436">
        <v>2</v>
      </c>
      <c r="F1436">
        <v>499.99</v>
      </c>
      <c r="G1436">
        <v>0.05</v>
      </c>
      <c r="H1436">
        <v>24.999500000000001</v>
      </c>
      <c r="I1436">
        <f>order_items[[#This Row],[list_price]]-order_items[[#This Row],[Discounted_price]]</f>
        <v>474.9905</v>
      </c>
      <c r="J1436">
        <f>VLOOKUP(B1436, Products!$A$2:$E$100, 3, FALSE)</f>
        <v>8</v>
      </c>
      <c r="K1436">
        <f>VLOOKUP(B1436, Products!$A$2:$F$100, 4, FALSE)</f>
        <v>6</v>
      </c>
    </row>
    <row r="1437" spans="1:11" x14ac:dyDescent="0.3">
      <c r="A1437">
        <v>518</v>
      </c>
      <c r="B1437">
        <v>4</v>
      </c>
      <c r="C1437">
        <v>15</v>
      </c>
      <c r="D1437" t="str">
        <f>VLOOKUP(B1437, Products!$A$2:$C$100, 2, FALSE)</f>
        <v>Trek Fuel EX 8 29 - 2016</v>
      </c>
      <c r="E1437">
        <v>2</v>
      </c>
      <c r="F1437">
        <v>529.99</v>
      </c>
      <c r="G1437">
        <v>0.2</v>
      </c>
      <c r="H1437">
        <v>105.998</v>
      </c>
      <c r="I1437">
        <f>order_items[[#This Row],[list_price]]-order_items[[#This Row],[Discounted_price]]</f>
        <v>423.99200000000002</v>
      </c>
      <c r="J1437">
        <f>VLOOKUP(B1437, Products!$A$2:$E$100, 3, FALSE)</f>
        <v>9</v>
      </c>
      <c r="K1437">
        <f>VLOOKUP(B1437, Products!$A$2:$F$100, 4, FALSE)</f>
        <v>6</v>
      </c>
    </row>
    <row r="1438" spans="1:11" x14ac:dyDescent="0.3">
      <c r="A1438">
        <v>518</v>
      </c>
      <c r="B1438">
        <v>5</v>
      </c>
      <c r="C1438">
        <v>11</v>
      </c>
      <c r="D1438" t="str">
        <f>VLOOKUP(B1438, Products!$A$2:$C$100, 2, FALSE)</f>
        <v>Heller Shagamaw Frame - 2016</v>
      </c>
      <c r="E1438">
        <v>2</v>
      </c>
      <c r="F1438">
        <v>1680.99</v>
      </c>
      <c r="G1438">
        <v>7.0000000000000007E-2</v>
      </c>
      <c r="H1438">
        <v>117.66930000000001</v>
      </c>
      <c r="I1438">
        <f>order_items[[#This Row],[list_price]]-order_items[[#This Row],[Discounted_price]]</f>
        <v>1563.3207</v>
      </c>
      <c r="J1438">
        <f>VLOOKUP(B1438, Products!$A$2:$E$100, 3, FALSE)</f>
        <v>3</v>
      </c>
      <c r="K1438">
        <f>VLOOKUP(B1438, Products!$A$2:$F$100, 4, FALSE)</f>
        <v>6</v>
      </c>
    </row>
    <row r="1439" spans="1:11" x14ac:dyDescent="0.3">
      <c r="A1439">
        <v>519</v>
      </c>
      <c r="B1439">
        <v>1</v>
      </c>
      <c r="C1439">
        <v>6</v>
      </c>
      <c r="D1439" t="str">
        <f>VLOOKUP(B1439, Products!$A$2:$C$100, 2, FALSE)</f>
        <v>Trek 820 - 2016</v>
      </c>
      <c r="E1439">
        <v>1</v>
      </c>
      <c r="F1439">
        <v>469.99</v>
      </c>
      <c r="G1439">
        <v>7.0000000000000007E-2</v>
      </c>
      <c r="H1439">
        <v>32.899300000000004</v>
      </c>
      <c r="I1439">
        <f>order_items[[#This Row],[list_price]]-order_items[[#This Row],[Discounted_price]]</f>
        <v>437.09070000000003</v>
      </c>
      <c r="J1439">
        <f>VLOOKUP(B1439, Products!$A$2:$E$100, 3, FALSE)</f>
        <v>9</v>
      </c>
      <c r="K1439">
        <f>VLOOKUP(B1439, Products!$A$2:$F$100, 4, FALSE)</f>
        <v>6</v>
      </c>
    </row>
    <row r="1440" spans="1:11" x14ac:dyDescent="0.3">
      <c r="A1440">
        <v>519</v>
      </c>
      <c r="B1440">
        <v>2</v>
      </c>
      <c r="C1440">
        <v>16</v>
      </c>
      <c r="D1440" t="str">
        <f>VLOOKUP(B1440, Products!$A$2:$C$100, 2, FALSE)</f>
        <v>Ritchey Timberwolf Frameset - 2016</v>
      </c>
      <c r="E1440">
        <v>1</v>
      </c>
      <c r="F1440">
        <v>599.99</v>
      </c>
      <c r="G1440">
        <v>0.1</v>
      </c>
      <c r="H1440">
        <v>59.999000000000002</v>
      </c>
      <c r="I1440">
        <f>order_items[[#This Row],[list_price]]-order_items[[#This Row],[Discounted_price]]</f>
        <v>539.99099999999999</v>
      </c>
      <c r="J1440">
        <f>VLOOKUP(B1440, Products!$A$2:$E$100, 3, FALSE)</f>
        <v>5</v>
      </c>
      <c r="K1440">
        <f>VLOOKUP(B1440, Products!$A$2:$F$100, 4, FALSE)</f>
        <v>6</v>
      </c>
    </row>
    <row r="1441" spans="1:11" x14ac:dyDescent="0.3">
      <c r="A1441">
        <v>519</v>
      </c>
      <c r="B1441">
        <v>3</v>
      </c>
      <c r="C1441">
        <v>23</v>
      </c>
      <c r="D1441" t="str">
        <f>VLOOKUP(B1441, Products!$A$2:$C$100, 2, FALSE)</f>
        <v>Surly Wednesday Frameset - 2016</v>
      </c>
      <c r="E1441">
        <v>2</v>
      </c>
      <c r="F1441">
        <v>299.99</v>
      </c>
      <c r="G1441">
        <v>0.05</v>
      </c>
      <c r="H1441">
        <v>14.999500000000001</v>
      </c>
      <c r="I1441">
        <f>order_items[[#This Row],[list_price]]-order_items[[#This Row],[Discounted_price]]</f>
        <v>284.9905</v>
      </c>
      <c r="J1441">
        <f>VLOOKUP(B1441, Products!$A$2:$E$100, 3, FALSE)</f>
        <v>8</v>
      </c>
      <c r="K1441">
        <f>VLOOKUP(B1441, Products!$A$2:$F$100, 4, FALSE)</f>
        <v>6</v>
      </c>
    </row>
    <row r="1442" spans="1:11" x14ac:dyDescent="0.3">
      <c r="A1442">
        <v>519</v>
      </c>
      <c r="B1442">
        <v>4</v>
      </c>
      <c r="C1442">
        <v>18</v>
      </c>
      <c r="D1442" t="str">
        <f>VLOOKUP(B1442, Products!$A$2:$C$100, 2, FALSE)</f>
        <v>Trek Fuel EX 8 29 - 2016</v>
      </c>
      <c r="E1442">
        <v>2</v>
      </c>
      <c r="F1442">
        <v>449</v>
      </c>
      <c r="G1442">
        <v>0.2</v>
      </c>
      <c r="H1442">
        <v>89.800000000000011</v>
      </c>
      <c r="I1442">
        <f>order_items[[#This Row],[list_price]]-order_items[[#This Row],[Discounted_price]]</f>
        <v>359.2</v>
      </c>
      <c r="J1442">
        <f>VLOOKUP(B1442, Products!$A$2:$E$100, 3, FALSE)</f>
        <v>9</v>
      </c>
      <c r="K1442">
        <f>VLOOKUP(B1442, Products!$A$2:$F$100, 4, FALSE)</f>
        <v>6</v>
      </c>
    </row>
    <row r="1443" spans="1:11" x14ac:dyDescent="0.3">
      <c r="A1443">
        <v>519</v>
      </c>
      <c r="B1443">
        <v>5</v>
      </c>
      <c r="C1443">
        <v>7</v>
      </c>
      <c r="D1443" t="str">
        <f>VLOOKUP(B1443, Products!$A$2:$C$100, 2, FALSE)</f>
        <v>Heller Shagamaw Frame - 2016</v>
      </c>
      <c r="E1443">
        <v>1</v>
      </c>
      <c r="F1443">
        <v>3999.99</v>
      </c>
      <c r="G1443">
        <v>0.05</v>
      </c>
      <c r="H1443">
        <v>199.99950000000001</v>
      </c>
      <c r="I1443">
        <f>order_items[[#This Row],[list_price]]-order_items[[#This Row],[Discounted_price]]</f>
        <v>3799.9904999999999</v>
      </c>
      <c r="J1443">
        <f>VLOOKUP(B1443, Products!$A$2:$E$100, 3, FALSE)</f>
        <v>3</v>
      </c>
      <c r="K1443">
        <f>VLOOKUP(B1443, Products!$A$2:$F$100, 4, FALSE)</f>
        <v>6</v>
      </c>
    </row>
    <row r="1444" spans="1:11" x14ac:dyDescent="0.3">
      <c r="A1444">
        <v>520</v>
      </c>
      <c r="B1444">
        <v>1</v>
      </c>
      <c r="C1444">
        <v>26</v>
      </c>
      <c r="D1444" t="str">
        <f>VLOOKUP(B1444, Products!$A$2:$C$100, 2, FALSE)</f>
        <v>Trek 820 - 2016</v>
      </c>
      <c r="E1444">
        <v>1</v>
      </c>
      <c r="F1444">
        <v>599.99</v>
      </c>
      <c r="G1444">
        <v>0.1</v>
      </c>
      <c r="H1444">
        <v>59.999000000000002</v>
      </c>
      <c r="I1444">
        <f>order_items[[#This Row],[list_price]]-order_items[[#This Row],[Discounted_price]]</f>
        <v>539.99099999999999</v>
      </c>
      <c r="J1444">
        <f>VLOOKUP(B1444, Products!$A$2:$E$100, 3, FALSE)</f>
        <v>9</v>
      </c>
      <c r="K1444">
        <f>VLOOKUP(B1444, Products!$A$2:$F$100, 4, FALSE)</f>
        <v>6</v>
      </c>
    </row>
    <row r="1445" spans="1:11" x14ac:dyDescent="0.3">
      <c r="A1445">
        <v>520</v>
      </c>
      <c r="B1445">
        <v>2</v>
      </c>
      <c r="C1445">
        <v>24</v>
      </c>
      <c r="D1445" t="str">
        <f>VLOOKUP(B1445, Products!$A$2:$C$100, 2, FALSE)</f>
        <v>Ritchey Timberwolf Frameset - 2016</v>
      </c>
      <c r="E1445">
        <v>1</v>
      </c>
      <c r="F1445">
        <v>549.99</v>
      </c>
      <c r="G1445">
        <v>0.2</v>
      </c>
      <c r="H1445">
        <v>109.998</v>
      </c>
      <c r="I1445">
        <f>order_items[[#This Row],[list_price]]-order_items[[#This Row],[Discounted_price]]</f>
        <v>439.99200000000002</v>
      </c>
      <c r="J1445">
        <f>VLOOKUP(B1445, Products!$A$2:$E$100, 3, FALSE)</f>
        <v>5</v>
      </c>
      <c r="K1445">
        <f>VLOOKUP(B1445, Products!$A$2:$F$100, 4, FALSE)</f>
        <v>6</v>
      </c>
    </row>
    <row r="1446" spans="1:11" x14ac:dyDescent="0.3">
      <c r="A1446">
        <v>520</v>
      </c>
      <c r="B1446">
        <v>3</v>
      </c>
      <c r="C1446">
        <v>10</v>
      </c>
      <c r="D1446" t="str">
        <f>VLOOKUP(B1446, Products!$A$2:$C$100, 2, FALSE)</f>
        <v>Surly Wednesday Frameset - 2016</v>
      </c>
      <c r="E1446">
        <v>1</v>
      </c>
      <c r="F1446">
        <v>1549</v>
      </c>
      <c r="G1446">
        <v>7.0000000000000007E-2</v>
      </c>
      <c r="H1446">
        <v>108.43</v>
      </c>
      <c r="I1446">
        <f>order_items[[#This Row],[list_price]]-order_items[[#This Row],[Discounted_price]]</f>
        <v>1440.57</v>
      </c>
      <c r="J1446">
        <f>VLOOKUP(B1446, Products!$A$2:$E$100, 3, FALSE)</f>
        <v>8</v>
      </c>
      <c r="K1446">
        <f>VLOOKUP(B1446, Products!$A$2:$F$100, 4, FALSE)</f>
        <v>6</v>
      </c>
    </row>
    <row r="1447" spans="1:11" x14ac:dyDescent="0.3">
      <c r="A1447">
        <v>521</v>
      </c>
      <c r="B1447">
        <v>1</v>
      </c>
      <c r="C1447">
        <v>5</v>
      </c>
      <c r="D1447" t="str">
        <f>VLOOKUP(B1447, Products!$A$2:$C$100, 2, FALSE)</f>
        <v>Trek 820 - 2016</v>
      </c>
      <c r="E1447">
        <v>1</v>
      </c>
      <c r="F1447">
        <v>1320.99</v>
      </c>
      <c r="G1447">
        <v>0.2</v>
      </c>
      <c r="H1447">
        <v>264.19800000000004</v>
      </c>
      <c r="I1447">
        <f>order_items[[#This Row],[list_price]]-order_items[[#This Row],[Discounted_price]]</f>
        <v>1056.7919999999999</v>
      </c>
      <c r="J1447">
        <f>VLOOKUP(B1447, Products!$A$2:$E$100, 3, FALSE)</f>
        <v>9</v>
      </c>
      <c r="K1447">
        <f>VLOOKUP(B1447, Products!$A$2:$F$100, 4, FALSE)</f>
        <v>6</v>
      </c>
    </row>
    <row r="1448" spans="1:11" x14ac:dyDescent="0.3">
      <c r="A1448">
        <v>521</v>
      </c>
      <c r="B1448">
        <v>2</v>
      </c>
      <c r="C1448">
        <v>14</v>
      </c>
      <c r="D1448" t="str">
        <f>VLOOKUP(B1448, Products!$A$2:$C$100, 2, FALSE)</f>
        <v>Ritchey Timberwolf Frameset - 2016</v>
      </c>
      <c r="E1448">
        <v>1</v>
      </c>
      <c r="F1448">
        <v>269.99</v>
      </c>
      <c r="G1448">
        <v>0.2</v>
      </c>
      <c r="H1448">
        <v>53.998000000000005</v>
      </c>
      <c r="I1448">
        <f>order_items[[#This Row],[list_price]]-order_items[[#This Row],[Discounted_price]]</f>
        <v>215.99200000000002</v>
      </c>
      <c r="J1448">
        <f>VLOOKUP(B1448, Products!$A$2:$E$100, 3, FALSE)</f>
        <v>5</v>
      </c>
      <c r="K1448">
        <f>VLOOKUP(B1448, Products!$A$2:$F$100, 4, FALSE)</f>
        <v>6</v>
      </c>
    </row>
    <row r="1449" spans="1:11" x14ac:dyDescent="0.3">
      <c r="A1449">
        <v>522</v>
      </c>
      <c r="B1449">
        <v>1</v>
      </c>
      <c r="C1449">
        <v>4</v>
      </c>
      <c r="D1449" t="str">
        <f>VLOOKUP(B1449, Products!$A$2:$C$100, 2, FALSE)</f>
        <v>Trek 820 - 2016</v>
      </c>
      <c r="E1449">
        <v>2</v>
      </c>
      <c r="F1449">
        <v>2899.99</v>
      </c>
      <c r="G1449">
        <v>7.0000000000000007E-2</v>
      </c>
      <c r="H1449">
        <v>202.99930000000001</v>
      </c>
      <c r="I1449">
        <f>order_items[[#This Row],[list_price]]-order_items[[#This Row],[Discounted_price]]</f>
        <v>2696.9906999999998</v>
      </c>
      <c r="J1449">
        <f>VLOOKUP(B1449, Products!$A$2:$E$100, 3, FALSE)</f>
        <v>9</v>
      </c>
      <c r="K1449">
        <f>VLOOKUP(B1449, Products!$A$2:$F$100, 4, FALSE)</f>
        <v>6</v>
      </c>
    </row>
    <row r="1450" spans="1:11" x14ac:dyDescent="0.3">
      <c r="A1450">
        <v>522</v>
      </c>
      <c r="B1450">
        <v>2</v>
      </c>
      <c r="C1450">
        <v>22</v>
      </c>
      <c r="D1450" t="str">
        <f>VLOOKUP(B1450, Products!$A$2:$C$100, 2, FALSE)</f>
        <v>Ritchey Timberwolf Frameset - 2016</v>
      </c>
      <c r="E1450">
        <v>2</v>
      </c>
      <c r="F1450">
        <v>269.99</v>
      </c>
      <c r="G1450">
        <v>7.0000000000000007E-2</v>
      </c>
      <c r="H1450">
        <v>18.899300000000004</v>
      </c>
      <c r="I1450">
        <f>order_items[[#This Row],[list_price]]-order_items[[#This Row],[Discounted_price]]</f>
        <v>251.0907</v>
      </c>
      <c r="J1450">
        <f>VLOOKUP(B1450, Products!$A$2:$E$100, 3, FALSE)</f>
        <v>5</v>
      </c>
      <c r="K1450">
        <f>VLOOKUP(B1450, Products!$A$2:$F$100, 4, FALSE)</f>
        <v>6</v>
      </c>
    </row>
    <row r="1451" spans="1:11" x14ac:dyDescent="0.3">
      <c r="A1451">
        <v>522</v>
      </c>
      <c r="B1451">
        <v>3</v>
      </c>
      <c r="C1451">
        <v>21</v>
      </c>
      <c r="D1451" t="str">
        <f>VLOOKUP(B1451, Products!$A$2:$C$100, 2, FALSE)</f>
        <v>Surly Wednesday Frameset - 2016</v>
      </c>
      <c r="E1451">
        <v>1</v>
      </c>
      <c r="F1451">
        <v>269.99</v>
      </c>
      <c r="G1451">
        <v>0.05</v>
      </c>
      <c r="H1451">
        <v>13.499500000000001</v>
      </c>
      <c r="I1451">
        <f>order_items[[#This Row],[list_price]]-order_items[[#This Row],[Discounted_price]]</f>
        <v>256.4905</v>
      </c>
      <c r="J1451">
        <f>VLOOKUP(B1451, Products!$A$2:$E$100, 3, FALSE)</f>
        <v>8</v>
      </c>
      <c r="K1451">
        <f>VLOOKUP(B1451, Products!$A$2:$F$100, 4, FALSE)</f>
        <v>6</v>
      </c>
    </row>
    <row r="1452" spans="1:11" x14ac:dyDescent="0.3">
      <c r="A1452">
        <v>523</v>
      </c>
      <c r="B1452">
        <v>1</v>
      </c>
      <c r="C1452">
        <v>12</v>
      </c>
      <c r="D1452" t="str">
        <f>VLOOKUP(B1452, Products!$A$2:$C$100, 2, FALSE)</f>
        <v>Trek 820 - 2016</v>
      </c>
      <c r="E1452">
        <v>1</v>
      </c>
      <c r="F1452">
        <v>549.99</v>
      </c>
      <c r="G1452">
        <v>0.2</v>
      </c>
      <c r="H1452">
        <v>109.998</v>
      </c>
      <c r="I1452">
        <f>order_items[[#This Row],[list_price]]-order_items[[#This Row],[Discounted_price]]</f>
        <v>439.99200000000002</v>
      </c>
      <c r="J1452">
        <f>VLOOKUP(B1452, Products!$A$2:$E$100, 3, FALSE)</f>
        <v>9</v>
      </c>
      <c r="K1452">
        <f>VLOOKUP(B1452, Products!$A$2:$F$100, 4, FALSE)</f>
        <v>6</v>
      </c>
    </row>
    <row r="1453" spans="1:11" x14ac:dyDescent="0.3">
      <c r="A1453">
        <v>523</v>
      </c>
      <c r="B1453">
        <v>2</v>
      </c>
      <c r="C1453">
        <v>20</v>
      </c>
      <c r="D1453" t="str">
        <f>VLOOKUP(B1453, Products!$A$2:$C$100, 2, FALSE)</f>
        <v>Ritchey Timberwolf Frameset - 2016</v>
      </c>
      <c r="E1453">
        <v>1</v>
      </c>
      <c r="F1453">
        <v>599.99</v>
      </c>
      <c r="G1453">
        <v>0.05</v>
      </c>
      <c r="H1453">
        <v>29.999500000000001</v>
      </c>
      <c r="I1453">
        <f>order_items[[#This Row],[list_price]]-order_items[[#This Row],[Discounted_price]]</f>
        <v>569.9905</v>
      </c>
      <c r="J1453">
        <f>VLOOKUP(B1453, Products!$A$2:$E$100, 3, FALSE)</f>
        <v>5</v>
      </c>
      <c r="K1453">
        <f>VLOOKUP(B1453, Products!$A$2:$F$100, 4, FALSE)</f>
        <v>6</v>
      </c>
    </row>
    <row r="1454" spans="1:11" x14ac:dyDescent="0.3">
      <c r="A1454">
        <v>523</v>
      </c>
      <c r="B1454">
        <v>3</v>
      </c>
      <c r="C1454">
        <v>5</v>
      </c>
      <c r="D1454" t="str">
        <f>VLOOKUP(B1454, Products!$A$2:$C$100, 2, FALSE)</f>
        <v>Surly Wednesday Frameset - 2016</v>
      </c>
      <c r="E1454">
        <v>2</v>
      </c>
      <c r="F1454">
        <v>1320.99</v>
      </c>
      <c r="G1454">
        <v>0.1</v>
      </c>
      <c r="H1454">
        <v>132.09900000000002</v>
      </c>
      <c r="I1454">
        <f>order_items[[#This Row],[list_price]]-order_items[[#This Row],[Discounted_price]]</f>
        <v>1188.8910000000001</v>
      </c>
      <c r="J1454">
        <f>VLOOKUP(B1454, Products!$A$2:$E$100, 3, FALSE)</f>
        <v>8</v>
      </c>
      <c r="K1454">
        <f>VLOOKUP(B1454, Products!$A$2:$F$100, 4, FALSE)</f>
        <v>6</v>
      </c>
    </row>
    <row r="1455" spans="1:11" x14ac:dyDescent="0.3">
      <c r="A1455">
        <v>523</v>
      </c>
      <c r="B1455">
        <v>4</v>
      </c>
      <c r="C1455">
        <v>16</v>
      </c>
      <c r="D1455" t="str">
        <f>VLOOKUP(B1455, Products!$A$2:$C$100, 2, FALSE)</f>
        <v>Trek Fuel EX 8 29 - 2016</v>
      </c>
      <c r="E1455">
        <v>2</v>
      </c>
      <c r="F1455">
        <v>599.99</v>
      </c>
      <c r="G1455">
        <v>7.0000000000000007E-2</v>
      </c>
      <c r="H1455">
        <v>41.999300000000005</v>
      </c>
      <c r="I1455">
        <f>order_items[[#This Row],[list_price]]-order_items[[#This Row],[Discounted_price]]</f>
        <v>557.99070000000006</v>
      </c>
      <c r="J1455">
        <f>VLOOKUP(B1455, Products!$A$2:$E$100, 3, FALSE)</f>
        <v>9</v>
      </c>
      <c r="K1455">
        <f>VLOOKUP(B1455, Products!$A$2:$F$100, 4, FALSE)</f>
        <v>6</v>
      </c>
    </row>
    <row r="1456" spans="1:11" x14ac:dyDescent="0.3">
      <c r="A1456">
        <v>524</v>
      </c>
      <c r="B1456">
        <v>1</v>
      </c>
      <c r="C1456">
        <v>11</v>
      </c>
      <c r="D1456" t="str">
        <f>VLOOKUP(B1456, Products!$A$2:$C$100, 2, FALSE)</f>
        <v>Trek 820 - 2016</v>
      </c>
      <c r="E1456">
        <v>1</v>
      </c>
      <c r="F1456">
        <v>1680.99</v>
      </c>
      <c r="G1456">
        <v>7.0000000000000007E-2</v>
      </c>
      <c r="H1456">
        <v>117.66930000000001</v>
      </c>
      <c r="I1456">
        <f>order_items[[#This Row],[list_price]]-order_items[[#This Row],[Discounted_price]]</f>
        <v>1563.3207</v>
      </c>
      <c r="J1456">
        <f>VLOOKUP(B1456, Products!$A$2:$E$100, 3, FALSE)</f>
        <v>9</v>
      </c>
      <c r="K1456">
        <f>VLOOKUP(B1456, Products!$A$2:$F$100, 4, FALSE)</f>
        <v>6</v>
      </c>
    </row>
    <row r="1457" spans="1:11" x14ac:dyDescent="0.3">
      <c r="A1457">
        <v>524</v>
      </c>
      <c r="B1457">
        <v>2</v>
      </c>
      <c r="C1457">
        <v>2</v>
      </c>
      <c r="D1457" t="str">
        <f>VLOOKUP(B1457, Products!$A$2:$C$100, 2, FALSE)</f>
        <v>Ritchey Timberwolf Frameset - 2016</v>
      </c>
      <c r="E1457">
        <v>1</v>
      </c>
      <c r="F1457">
        <v>749.99</v>
      </c>
      <c r="G1457">
        <v>0.05</v>
      </c>
      <c r="H1457">
        <v>37.499500000000005</v>
      </c>
      <c r="I1457">
        <f>order_items[[#This Row],[list_price]]-order_items[[#This Row],[Discounted_price]]</f>
        <v>712.4905</v>
      </c>
      <c r="J1457">
        <f>VLOOKUP(B1457, Products!$A$2:$E$100, 3, FALSE)</f>
        <v>5</v>
      </c>
      <c r="K1457">
        <f>VLOOKUP(B1457, Products!$A$2:$F$100, 4, FALSE)</f>
        <v>6</v>
      </c>
    </row>
    <row r="1458" spans="1:11" x14ac:dyDescent="0.3">
      <c r="A1458">
        <v>524</v>
      </c>
      <c r="B1458">
        <v>3</v>
      </c>
      <c r="C1458">
        <v>9</v>
      </c>
      <c r="D1458" t="str">
        <f>VLOOKUP(B1458, Products!$A$2:$C$100, 2, FALSE)</f>
        <v>Surly Wednesday Frameset - 2016</v>
      </c>
      <c r="E1458">
        <v>1</v>
      </c>
      <c r="F1458">
        <v>2999.99</v>
      </c>
      <c r="G1458">
        <v>0.2</v>
      </c>
      <c r="H1458">
        <v>599.99799999999993</v>
      </c>
      <c r="I1458">
        <f>order_items[[#This Row],[list_price]]-order_items[[#This Row],[Discounted_price]]</f>
        <v>2399.9919999999997</v>
      </c>
      <c r="J1458">
        <f>VLOOKUP(B1458, Products!$A$2:$E$100, 3, FALSE)</f>
        <v>8</v>
      </c>
      <c r="K1458">
        <f>VLOOKUP(B1458, Products!$A$2:$F$100, 4, FALSE)</f>
        <v>6</v>
      </c>
    </row>
    <row r="1459" spans="1:11" x14ac:dyDescent="0.3">
      <c r="A1459">
        <v>524</v>
      </c>
      <c r="B1459">
        <v>4</v>
      </c>
      <c r="C1459">
        <v>3</v>
      </c>
      <c r="D1459" t="str">
        <f>VLOOKUP(B1459, Products!$A$2:$C$100, 2, FALSE)</f>
        <v>Trek Fuel EX 8 29 - 2016</v>
      </c>
      <c r="E1459">
        <v>2</v>
      </c>
      <c r="F1459">
        <v>999.99</v>
      </c>
      <c r="G1459">
        <v>7.0000000000000007E-2</v>
      </c>
      <c r="H1459">
        <v>69.999300000000005</v>
      </c>
      <c r="I1459">
        <f>order_items[[#This Row],[list_price]]-order_items[[#This Row],[Discounted_price]]</f>
        <v>929.99070000000006</v>
      </c>
      <c r="J1459">
        <f>VLOOKUP(B1459, Products!$A$2:$E$100, 3, FALSE)</f>
        <v>9</v>
      </c>
      <c r="K1459">
        <f>VLOOKUP(B1459, Products!$A$2:$F$100, 4, FALSE)</f>
        <v>6</v>
      </c>
    </row>
    <row r="1460" spans="1:11" x14ac:dyDescent="0.3">
      <c r="A1460">
        <v>524</v>
      </c>
      <c r="B1460">
        <v>5</v>
      </c>
      <c r="C1460">
        <v>26</v>
      </c>
      <c r="D1460" t="str">
        <f>VLOOKUP(B1460, Products!$A$2:$C$100, 2, FALSE)</f>
        <v>Heller Shagamaw Frame - 2016</v>
      </c>
      <c r="E1460">
        <v>1</v>
      </c>
      <c r="F1460">
        <v>599.99</v>
      </c>
      <c r="G1460">
        <v>0.05</v>
      </c>
      <c r="H1460">
        <v>29.999500000000001</v>
      </c>
      <c r="I1460">
        <f>order_items[[#This Row],[list_price]]-order_items[[#This Row],[Discounted_price]]</f>
        <v>569.9905</v>
      </c>
      <c r="J1460">
        <f>VLOOKUP(B1460, Products!$A$2:$E$100, 3, FALSE)</f>
        <v>3</v>
      </c>
      <c r="K1460">
        <f>VLOOKUP(B1460, Products!$A$2:$F$100, 4, FALSE)</f>
        <v>6</v>
      </c>
    </row>
    <row r="1461" spans="1:11" x14ac:dyDescent="0.3">
      <c r="A1461">
        <v>525</v>
      </c>
      <c r="B1461">
        <v>1</v>
      </c>
      <c r="C1461">
        <v>9</v>
      </c>
      <c r="D1461" t="str">
        <f>VLOOKUP(B1461, Products!$A$2:$C$100, 2, FALSE)</f>
        <v>Trek 820 - 2016</v>
      </c>
      <c r="E1461">
        <v>2</v>
      </c>
      <c r="F1461">
        <v>2999.99</v>
      </c>
      <c r="G1461">
        <v>7.0000000000000007E-2</v>
      </c>
      <c r="H1461">
        <v>209.99930000000001</v>
      </c>
      <c r="I1461">
        <f>order_items[[#This Row],[list_price]]-order_items[[#This Row],[Discounted_price]]</f>
        <v>2789.9906999999998</v>
      </c>
      <c r="J1461">
        <f>VLOOKUP(B1461, Products!$A$2:$E$100, 3, FALSE)</f>
        <v>9</v>
      </c>
      <c r="K1461">
        <f>VLOOKUP(B1461, Products!$A$2:$F$100, 4, FALSE)</f>
        <v>6</v>
      </c>
    </row>
    <row r="1462" spans="1:11" x14ac:dyDescent="0.3">
      <c r="A1462">
        <v>525</v>
      </c>
      <c r="B1462">
        <v>2</v>
      </c>
      <c r="C1462">
        <v>6</v>
      </c>
      <c r="D1462" t="str">
        <f>VLOOKUP(B1462, Products!$A$2:$C$100, 2, FALSE)</f>
        <v>Ritchey Timberwolf Frameset - 2016</v>
      </c>
      <c r="E1462">
        <v>2</v>
      </c>
      <c r="F1462">
        <v>469.99</v>
      </c>
      <c r="G1462">
        <v>7.0000000000000007E-2</v>
      </c>
      <c r="H1462">
        <v>32.899300000000004</v>
      </c>
      <c r="I1462">
        <f>order_items[[#This Row],[list_price]]-order_items[[#This Row],[Discounted_price]]</f>
        <v>437.09070000000003</v>
      </c>
      <c r="J1462">
        <f>VLOOKUP(B1462, Products!$A$2:$E$100, 3, FALSE)</f>
        <v>5</v>
      </c>
      <c r="K1462">
        <f>VLOOKUP(B1462, Products!$A$2:$F$100, 4, FALSE)</f>
        <v>6</v>
      </c>
    </row>
    <row r="1463" spans="1:11" x14ac:dyDescent="0.3">
      <c r="A1463">
        <v>525</v>
      </c>
      <c r="B1463">
        <v>3</v>
      </c>
      <c r="C1463">
        <v>10</v>
      </c>
      <c r="D1463" t="str">
        <f>VLOOKUP(B1463, Products!$A$2:$C$100, 2, FALSE)</f>
        <v>Surly Wednesday Frameset - 2016</v>
      </c>
      <c r="E1463">
        <v>1</v>
      </c>
      <c r="F1463">
        <v>1549</v>
      </c>
      <c r="G1463">
        <v>0.1</v>
      </c>
      <c r="H1463">
        <v>154.9</v>
      </c>
      <c r="I1463">
        <f>order_items[[#This Row],[list_price]]-order_items[[#This Row],[Discounted_price]]</f>
        <v>1394.1</v>
      </c>
      <c r="J1463">
        <f>VLOOKUP(B1463, Products!$A$2:$E$100, 3, FALSE)</f>
        <v>8</v>
      </c>
      <c r="K1463">
        <f>VLOOKUP(B1463, Products!$A$2:$F$100, 4, FALSE)</f>
        <v>6</v>
      </c>
    </row>
    <row r="1464" spans="1:11" x14ac:dyDescent="0.3">
      <c r="A1464">
        <v>526</v>
      </c>
      <c r="B1464">
        <v>1</v>
      </c>
      <c r="C1464">
        <v>3</v>
      </c>
      <c r="D1464" t="str">
        <f>VLOOKUP(B1464, Products!$A$2:$C$100, 2, FALSE)</f>
        <v>Trek 820 - 2016</v>
      </c>
      <c r="E1464">
        <v>2</v>
      </c>
      <c r="F1464">
        <v>999.99</v>
      </c>
      <c r="G1464">
        <v>0.1</v>
      </c>
      <c r="H1464">
        <v>99.999000000000009</v>
      </c>
      <c r="I1464">
        <f>order_items[[#This Row],[list_price]]-order_items[[#This Row],[Discounted_price]]</f>
        <v>899.99099999999999</v>
      </c>
      <c r="J1464">
        <f>VLOOKUP(B1464, Products!$A$2:$E$100, 3, FALSE)</f>
        <v>9</v>
      </c>
      <c r="K1464">
        <f>VLOOKUP(B1464, Products!$A$2:$F$100, 4, FALSE)</f>
        <v>6</v>
      </c>
    </row>
    <row r="1465" spans="1:11" x14ac:dyDescent="0.3">
      <c r="A1465">
        <v>526</v>
      </c>
      <c r="B1465">
        <v>2</v>
      </c>
      <c r="C1465">
        <v>8</v>
      </c>
      <c r="D1465" t="str">
        <f>VLOOKUP(B1465, Products!$A$2:$C$100, 2, FALSE)</f>
        <v>Ritchey Timberwolf Frameset - 2016</v>
      </c>
      <c r="E1465">
        <v>1</v>
      </c>
      <c r="F1465">
        <v>1799.99</v>
      </c>
      <c r="G1465">
        <v>0.1</v>
      </c>
      <c r="H1465">
        <v>179.99900000000002</v>
      </c>
      <c r="I1465">
        <f>order_items[[#This Row],[list_price]]-order_items[[#This Row],[Discounted_price]]</f>
        <v>1619.991</v>
      </c>
      <c r="J1465">
        <f>VLOOKUP(B1465, Products!$A$2:$E$100, 3, FALSE)</f>
        <v>5</v>
      </c>
      <c r="K1465">
        <f>VLOOKUP(B1465, Products!$A$2:$F$100, 4, FALSE)</f>
        <v>6</v>
      </c>
    </row>
    <row r="1466" spans="1:11" x14ac:dyDescent="0.3">
      <c r="A1466">
        <v>526</v>
      </c>
      <c r="B1466">
        <v>3</v>
      </c>
      <c r="C1466">
        <v>21</v>
      </c>
      <c r="D1466" t="str">
        <f>VLOOKUP(B1466, Products!$A$2:$C$100, 2, FALSE)</f>
        <v>Surly Wednesday Frameset - 2016</v>
      </c>
      <c r="E1466">
        <v>1</v>
      </c>
      <c r="F1466">
        <v>269.99</v>
      </c>
      <c r="G1466">
        <v>0.05</v>
      </c>
      <c r="H1466">
        <v>13.499500000000001</v>
      </c>
      <c r="I1466">
        <f>order_items[[#This Row],[list_price]]-order_items[[#This Row],[Discounted_price]]</f>
        <v>256.4905</v>
      </c>
      <c r="J1466">
        <f>VLOOKUP(B1466, Products!$A$2:$E$100, 3, FALSE)</f>
        <v>8</v>
      </c>
      <c r="K1466">
        <f>VLOOKUP(B1466, Products!$A$2:$F$100, 4, FALSE)</f>
        <v>6</v>
      </c>
    </row>
    <row r="1467" spans="1:11" x14ac:dyDescent="0.3">
      <c r="A1467">
        <v>526</v>
      </c>
      <c r="B1467">
        <v>4</v>
      </c>
      <c r="C1467">
        <v>15</v>
      </c>
      <c r="D1467" t="str">
        <f>VLOOKUP(B1467, Products!$A$2:$C$100, 2, FALSE)</f>
        <v>Trek Fuel EX 8 29 - 2016</v>
      </c>
      <c r="E1467">
        <v>1</v>
      </c>
      <c r="F1467">
        <v>529.99</v>
      </c>
      <c r="G1467">
        <v>7.0000000000000007E-2</v>
      </c>
      <c r="H1467">
        <v>37.099300000000007</v>
      </c>
      <c r="I1467">
        <f>order_items[[#This Row],[list_price]]-order_items[[#This Row],[Discounted_price]]</f>
        <v>492.89069999999998</v>
      </c>
      <c r="J1467">
        <f>VLOOKUP(B1467, Products!$A$2:$E$100, 3, FALSE)</f>
        <v>9</v>
      </c>
      <c r="K1467">
        <f>VLOOKUP(B1467, Products!$A$2:$F$100, 4, FALSE)</f>
        <v>6</v>
      </c>
    </row>
    <row r="1468" spans="1:11" x14ac:dyDescent="0.3">
      <c r="A1468">
        <v>527</v>
      </c>
      <c r="B1468">
        <v>1</v>
      </c>
      <c r="C1468">
        <v>18</v>
      </c>
      <c r="D1468" t="str">
        <f>VLOOKUP(B1468, Products!$A$2:$C$100, 2, FALSE)</f>
        <v>Trek 820 - 2016</v>
      </c>
      <c r="E1468">
        <v>2</v>
      </c>
      <c r="F1468">
        <v>449</v>
      </c>
      <c r="G1468">
        <v>7.0000000000000007E-2</v>
      </c>
      <c r="H1468">
        <v>31.430000000000003</v>
      </c>
      <c r="I1468">
        <f>order_items[[#This Row],[list_price]]-order_items[[#This Row],[Discounted_price]]</f>
        <v>417.57</v>
      </c>
      <c r="J1468">
        <f>VLOOKUP(B1468, Products!$A$2:$E$100, 3, FALSE)</f>
        <v>9</v>
      </c>
      <c r="K1468">
        <f>VLOOKUP(B1468, Products!$A$2:$F$100, 4, FALSE)</f>
        <v>6</v>
      </c>
    </row>
    <row r="1469" spans="1:11" x14ac:dyDescent="0.3">
      <c r="A1469">
        <v>527</v>
      </c>
      <c r="B1469">
        <v>2</v>
      </c>
      <c r="C1469">
        <v>4</v>
      </c>
      <c r="D1469" t="str">
        <f>VLOOKUP(B1469, Products!$A$2:$C$100, 2, FALSE)</f>
        <v>Ritchey Timberwolf Frameset - 2016</v>
      </c>
      <c r="E1469">
        <v>1</v>
      </c>
      <c r="F1469">
        <v>2899.99</v>
      </c>
      <c r="G1469">
        <v>0.2</v>
      </c>
      <c r="H1469">
        <v>579.99799999999993</v>
      </c>
      <c r="I1469">
        <f>order_items[[#This Row],[list_price]]-order_items[[#This Row],[Discounted_price]]</f>
        <v>2319.9919999999997</v>
      </c>
      <c r="J1469">
        <f>VLOOKUP(B1469, Products!$A$2:$E$100, 3, FALSE)</f>
        <v>5</v>
      </c>
      <c r="K1469">
        <f>VLOOKUP(B1469, Products!$A$2:$F$100, 4, FALSE)</f>
        <v>6</v>
      </c>
    </row>
    <row r="1470" spans="1:11" x14ac:dyDescent="0.3">
      <c r="A1470">
        <v>527</v>
      </c>
      <c r="B1470">
        <v>3</v>
      </c>
      <c r="C1470">
        <v>19</v>
      </c>
      <c r="D1470" t="str">
        <f>VLOOKUP(B1470, Products!$A$2:$C$100, 2, FALSE)</f>
        <v>Surly Wednesday Frameset - 2016</v>
      </c>
      <c r="E1470">
        <v>1</v>
      </c>
      <c r="F1470">
        <v>449</v>
      </c>
      <c r="G1470">
        <v>0.1</v>
      </c>
      <c r="H1470">
        <v>44.900000000000006</v>
      </c>
      <c r="I1470">
        <f>order_items[[#This Row],[list_price]]-order_items[[#This Row],[Discounted_price]]</f>
        <v>404.1</v>
      </c>
      <c r="J1470">
        <f>VLOOKUP(B1470, Products!$A$2:$E$100, 3, FALSE)</f>
        <v>8</v>
      </c>
      <c r="K1470">
        <f>VLOOKUP(B1470, Products!$A$2:$F$100, 4, FALSE)</f>
        <v>6</v>
      </c>
    </row>
    <row r="1471" spans="1:11" x14ac:dyDescent="0.3">
      <c r="A1471">
        <v>527</v>
      </c>
      <c r="B1471">
        <v>4</v>
      </c>
      <c r="C1471">
        <v>9</v>
      </c>
      <c r="D1471" t="str">
        <f>VLOOKUP(B1471, Products!$A$2:$C$100, 2, FALSE)</f>
        <v>Trek Fuel EX 8 29 - 2016</v>
      </c>
      <c r="E1471">
        <v>2</v>
      </c>
      <c r="F1471">
        <v>2999.99</v>
      </c>
      <c r="G1471">
        <v>0.2</v>
      </c>
      <c r="H1471">
        <v>599.99799999999993</v>
      </c>
      <c r="I1471">
        <f>order_items[[#This Row],[list_price]]-order_items[[#This Row],[Discounted_price]]</f>
        <v>2399.9919999999997</v>
      </c>
      <c r="J1471">
        <f>VLOOKUP(B1471, Products!$A$2:$E$100, 3, FALSE)</f>
        <v>9</v>
      </c>
      <c r="K1471">
        <f>VLOOKUP(B1471, Products!$A$2:$F$100, 4, FALSE)</f>
        <v>6</v>
      </c>
    </row>
    <row r="1472" spans="1:11" x14ac:dyDescent="0.3">
      <c r="A1472">
        <v>528</v>
      </c>
      <c r="B1472">
        <v>1</v>
      </c>
      <c r="C1472">
        <v>21</v>
      </c>
      <c r="D1472" t="str">
        <f>VLOOKUP(B1472, Products!$A$2:$C$100, 2, FALSE)</f>
        <v>Trek 820 - 2016</v>
      </c>
      <c r="E1472">
        <v>2</v>
      </c>
      <c r="F1472">
        <v>269.99</v>
      </c>
      <c r="G1472">
        <v>0.05</v>
      </c>
      <c r="H1472">
        <v>13.499500000000001</v>
      </c>
      <c r="I1472">
        <f>order_items[[#This Row],[list_price]]-order_items[[#This Row],[Discounted_price]]</f>
        <v>256.4905</v>
      </c>
      <c r="J1472">
        <f>VLOOKUP(B1472, Products!$A$2:$E$100, 3, FALSE)</f>
        <v>9</v>
      </c>
      <c r="K1472">
        <f>VLOOKUP(B1472, Products!$A$2:$F$100, 4, FALSE)</f>
        <v>6</v>
      </c>
    </row>
    <row r="1473" spans="1:11" x14ac:dyDescent="0.3">
      <c r="A1473">
        <v>529</v>
      </c>
      <c r="B1473">
        <v>1</v>
      </c>
      <c r="C1473">
        <v>12</v>
      </c>
      <c r="D1473" t="str">
        <f>VLOOKUP(B1473, Products!$A$2:$C$100, 2, FALSE)</f>
        <v>Trek 820 - 2016</v>
      </c>
      <c r="E1473">
        <v>2</v>
      </c>
      <c r="F1473">
        <v>549.99</v>
      </c>
      <c r="G1473">
        <v>7.0000000000000007E-2</v>
      </c>
      <c r="H1473">
        <v>38.499300000000005</v>
      </c>
      <c r="I1473">
        <f>order_items[[#This Row],[list_price]]-order_items[[#This Row],[Discounted_price]]</f>
        <v>511.4907</v>
      </c>
      <c r="J1473">
        <f>VLOOKUP(B1473, Products!$A$2:$E$100, 3, FALSE)</f>
        <v>9</v>
      </c>
      <c r="K1473">
        <f>VLOOKUP(B1473, Products!$A$2:$F$100, 4, FALSE)</f>
        <v>6</v>
      </c>
    </row>
    <row r="1474" spans="1:11" x14ac:dyDescent="0.3">
      <c r="A1474">
        <v>530</v>
      </c>
      <c r="B1474">
        <v>1</v>
      </c>
      <c r="C1474">
        <v>2</v>
      </c>
      <c r="D1474" t="str">
        <f>VLOOKUP(B1474, Products!$A$2:$C$100, 2, FALSE)</f>
        <v>Trek 820 - 2016</v>
      </c>
      <c r="E1474">
        <v>2</v>
      </c>
      <c r="F1474">
        <v>749.99</v>
      </c>
      <c r="G1474">
        <v>0.05</v>
      </c>
      <c r="H1474">
        <v>37.499500000000005</v>
      </c>
      <c r="I1474">
        <f>order_items[[#This Row],[list_price]]-order_items[[#This Row],[Discounted_price]]</f>
        <v>712.4905</v>
      </c>
      <c r="J1474">
        <f>VLOOKUP(B1474, Products!$A$2:$E$100, 3, FALSE)</f>
        <v>9</v>
      </c>
      <c r="K1474">
        <f>VLOOKUP(B1474, Products!$A$2:$F$100, 4, FALSE)</f>
        <v>6</v>
      </c>
    </row>
    <row r="1475" spans="1:11" x14ac:dyDescent="0.3">
      <c r="A1475">
        <v>530</v>
      </c>
      <c r="B1475">
        <v>2</v>
      </c>
      <c r="C1475">
        <v>4</v>
      </c>
      <c r="D1475" t="str">
        <f>VLOOKUP(B1475, Products!$A$2:$C$100, 2, FALSE)</f>
        <v>Ritchey Timberwolf Frameset - 2016</v>
      </c>
      <c r="E1475">
        <v>1</v>
      </c>
      <c r="F1475">
        <v>2899.99</v>
      </c>
      <c r="G1475">
        <v>7.0000000000000007E-2</v>
      </c>
      <c r="H1475">
        <v>202.99930000000001</v>
      </c>
      <c r="I1475">
        <f>order_items[[#This Row],[list_price]]-order_items[[#This Row],[Discounted_price]]</f>
        <v>2696.9906999999998</v>
      </c>
      <c r="J1475">
        <f>VLOOKUP(B1475, Products!$A$2:$E$100, 3, FALSE)</f>
        <v>5</v>
      </c>
      <c r="K1475">
        <f>VLOOKUP(B1475, Products!$A$2:$F$100, 4, FALSE)</f>
        <v>6</v>
      </c>
    </row>
    <row r="1476" spans="1:11" x14ac:dyDescent="0.3">
      <c r="A1476">
        <v>530</v>
      </c>
      <c r="B1476">
        <v>3</v>
      </c>
      <c r="C1476">
        <v>6</v>
      </c>
      <c r="D1476" t="str">
        <f>VLOOKUP(B1476, Products!$A$2:$C$100, 2, FALSE)</f>
        <v>Surly Wednesday Frameset - 2016</v>
      </c>
      <c r="E1476">
        <v>2</v>
      </c>
      <c r="F1476">
        <v>469.99</v>
      </c>
      <c r="G1476">
        <v>0.2</v>
      </c>
      <c r="H1476">
        <v>93.998000000000005</v>
      </c>
      <c r="I1476">
        <f>order_items[[#This Row],[list_price]]-order_items[[#This Row],[Discounted_price]]</f>
        <v>375.99200000000002</v>
      </c>
      <c r="J1476">
        <f>VLOOKUP(B1476, Products!$A$2:$E$100, 3, FALSE)</f>
        <v>8</v>
      </c>
      <c r="K1476">
        <f>VLOOKUP(B1476, Products!$A$2:$F$100, 4, FALSE)</f>
        <v>6</v>
      </c>
    </row>
    <row r="1477" spans="1:11" x14ac:dyDescent="0.3">
      <c r="A1477">
        <v>531</v>
      </c>
      <c r="B1477">
        <v>1</v>
      </c>
      <c r="C1477">
        <v>6</v>
      </c>
      <c r="D1477" t="str">
        <f>VLOOKUP(B1477, Products!$A$2:$C$100, 2, FALSE)</f>
        <v>Trek 820 - 2016</v>
      </c>
      <c r="E1477">
        <v>1</v>
      </c>
      <c r="F1477">
        <v>469.99</v>
      </c>
      <c r="G1477">
        <v>0.2</v>
      </c>
      <c r="H1477">
        <v>93.998000000000005</v>
      </c>
      <c r="I1477">
        <f>order_items[[#This Row],[list_price]]-order_items[[#This Row],[Discounted_price]]</f>
        <v>375.99200000000002</v>
      </c>
      <c r="J1477">
        <f>VLOOKUP(B1477, Products!$A$2:$E$100, 3, FALSE)</f>
        <v>9</v>
      </c>
      <c r="K1477">
        <f>VLOOKUP(B1477, Products!$A$2:$F$100, 4, FALSE)</f>
        <v>6</v>
      </c>
    </row>
    <row r="1478" spans="1:11" x14ac:dyDescent="0.3">
      <c r="A1478">
        <v>531</v>
      </c>
      <c r="B1478">
        <v>2</v>
      </c>
      <c r="C1478">
        <v>12</v>
      </c>
      <c r="D1478" t="str">
        <f>VLOOKUP(B1478, Products!$A$2:$C$100, 2, FALSE)</f>
        <v>Ritchey Timberwolf Frameset - 2016</v>
      </c>
      <c r="E1478">
        <v>2</v>
      </c>
      <c r="F1478">
        <v>549.99</v>
      </c>
      <c r="G1478">
        <v>0.2</v>
      </c>
      <c r="H1478">
        <v>109.998</v>
      </c>
      <c r="I1478">
        <f>order_items[[#This Row],[list_price]]-order_items[[#This Row],[Discounted_price]]</f>
        <v>439.99200000000002</v>
      </c>
      <c r="J1478">
        <f>VLOOKUP(B1478, Products!$A$2:$E$100, 3, FALSE)</f>
        <v>5</v>
      </c>
      <c r="K1478">
        <f>VLOOKUP(B1478, Products!$A$2:$F$100, 4, FALSE)</f>
        <v>6</v>
      </c>
    </row>
    <row r="1479" spans="1:11" x14ac:dyDescent="0.3">
      <c r="A1479">
        <v>531</v>
      </c>
      <c r="B1479">
        <v>3</v>
      </c>
      <c r="C1479">
        <v>25</v>
      </c>
      <c r="D1479" t="str">
        <f>VLOOKUP(B1479, Products!$A$2:$C$100, 2, FALSE)</f>
        <v>Surly Wednesday Frameset - 2016</v>
      </c>
      <c r="E1479">
        <v>1</v>
      </c>
      <c r="F1479">
        <v>499.99</v>
      </c>
      <c r="G1479">
        <v>7.0000000000000007E-2</v>
      </c>
      <c r="H1479">
        <v>34.999300000000005</v>
      </c>
      <c r="I1479">
        <f>order_items[[#This Row],[list_price]]-order_items[[#This Row],[Discounted_price]]</f>
        <v>464.9907</v>
      </c>
      <c r="J1479">
        <f>VLOOKUP(B1479, Products!$A$2:$E$100, 3, FALSE)</f>
        <v>8</v>
      </c>
      <c r="K1479">
        <f>VLOOKUP(B1479, Products!$A$2:$F$100, 4, FALSE)</f>
        <v>6</v>
      </c>
    </row>
    <row r="1480" spans="1:11" x14ac:dyDescent="0.3">
      <c r="A1480">
        <v>532</v>
      </c>
      <c r="B1480">
        <v>1</v>
      </c>
      <c r="C1480">
        <v>17</v>
      </c>
      <c r="D1480" t="str">
        <f>VLOOKUP(B1480, Products!$A$2:$C$100, 2, FALSE)</f>
        <v>Trek 820 - 2016</v>
      </c>
      <c r="E1480">
        <v>2</v>
      </c>
      <c r="F1480">
        <v>429</v>
      </c>
      <c r="G1480">
        <v>7.0000000000000007E-2</v>
      </c>
      <c r="H1480">
        <v>30.03</v>
      </c>
      <c r="I1480">
        <f>order_items[[#This Row],[list_price]]-order_items[[#This Row],[Discounted_price]]</f>
        <v>398.97</v>
      </c>
      <c r="J1480">
        <f>VLOOKUP(B1480, Products!$A$2:$E$100, 3, FALSE)</f>
        <v>9</v>
      </c>
      <c r="K1480">
        <f>VLOOKUP(B1480, Products!$A$2:$F$100, 4, FALSE)</f>
        <v>6</v>
      </c>
    </row>
    <row r="1481" spans="1:11" x14ac:dyDescent="0.3">
      <c r="A1481">
        <v>532</v>
      </c>
      <c r="B1481">
        <v>2</v>
      </c>
      <c r="C1481">
        <v>16</v>
      </c>
      <c r="D1481" t="str">
        <f>VLOOKUP(B1481, Products!$A$2:$C$100, 2, FALSE)</f>
        <v>Ritchey Timberwolf Frameset - 2016</v>
      </c>
      <c r="E1481">
        <v>2</v>
      </c>
      <c r="F1481">
        <v>599.99</v>
      </c>
      <c r="G1481">
        <v>0.2</v>
      </c>
      <c r="H1481">
        <v>119.998</v>
      </c>
      <c r="I1481">
        <f>order_items[[#This Row],[list_price]]-order_items[[#This Row],[Discounted_price]]</f>
        <v>479.99200000000002</v>
      </c>
      <c r="J1481">
        <f>VLOOKUP(B1481, Products!$A$2:$E$100, 3, FALSE)</f>
        <v>5</v>
      </c>
      <c r="K1481">
        <f>VLOOKUP(B1481, Products!$A$2:$F$100, 4, FALSE)</f>
        <v>6</v>
      </c>
    </row>
    <row r="1482" spans="1:11" x14ac:dyDescent="0.3">
      <c r="A1482">
        <v>532</v>
      </c>
      <c r="B1482">
        <v>3</v>
      </c>
      <c r="C1482">
        <v>12</v>
      </c>
      <c r="D1482" t="str">
        <f>VLOOKUP(B1482, Products!$A$2:$C$100, 2, FALSE)</f>
        <v>Surly Wednesday Frameset - 2016</v>
      </c>
      <c r="E1482">
        <v>1</v>
      </c>
      <c r="F1482">
        <v>549.99</v>
      </c>
      <c r="G1482">
        <v>0.1</v>
      </c>
      <c r="H1482">
        <v>54.999000000000002</v>
      </c>
      <c r="I1482">
        <f>order_items[[#This Row],[list_price]]-order_items[[#This Row],[Discounted_price]]</f>
        <v>494.99099999999999</v>
      </c>
      <c r="J1482">
        <f>VLOOKUP(B1482, Products!$A$2:$E$100, 3, FALSE)</f>
        <v>8</v>
      </c>
      <c r="K1482">
        <f>VLOOKUP(B1482, Products!$A$2:$F$100, 4, FALSE)</f>
        <v>6</v>
      </c>
    </row>
    <row r="1483" spans="1:11" x14ac:dyDescent="0.3">
      <c r="A1483">
        <v>533</v>
      </c>
      <c r="B1483">
        <v>1</v>
      </c>
      <c r="C1483">
        <v>4</v>
      </c>
      <c r="D1483" t="str">
        <f>VLOOKUP(B1483, Products!$A$2:$C$100, 2, FALSE)</f>
        <v>Trek 820 - 2016</v>
      </c>
      <c r="E1483">
        <v>1</v>
      </c>
      <c r="F1483">
        <v>2899.99</v>
      </c>
      <c r="G1483">
        <v>0.2</v>
      </c>
      <c r="H1483">
        <v>579.99799999999993</v>
      </c>
      <c r="I1483">
        <f>order_items[[#This Row],[list_price]]-order_items[[#This Row],[Discounted_price]]</f>
        <v>2319.9919999999997</v>
      </c>
      <c r="J1483">
        <f>VLOOKUP(B1483, Products!$A$2:$E$100, 3, FALSE)</f>
        <v>9</v>
      </c>
      <c r="K1483">
        <f>VLOOKUP(B1483, Products!$A$2:$F$100, 4, FALSE)</f>
        <v>6</v>
      </c>
    </row>
    <row r="1484" spans="1:11" x14ac:dyDescent="0.3">
      <c r="A1484">
        <v>533</v>
      </c>
      <c r="B1484">
        <v>2</v>
      </c>
      <c r="C1484">
        <v>12</v>
      </c>
      <c r="D1484" t="str">
        <f>VLOOKUP(B1484, Products!$A$2:$C$100, 2, FALSE)</f>
        <v>Ritchey Timberwolf Frameset - 2016</v>
      </c>
      <c r="E1484">
        <v>2</v>
      </c>
      <c r="F1484">
        <v>549.99</v>
      </c>
      <c r="G1484">
        <v>0.1</v>
      </c>
      <c r="H1484">
        <v>54.999000000000002</v>
      </c>
      <c r="I1484">
        <f>order_items[[#This Row],[list_price]]-order_items[[#This Row],[Discounted_price]]</f>
        <v>494.99099999999999</v>
      </c>
      <c r="J1484">
        <f>VLOOKUP(B1484, Products!$A$2:$E$100, 3, FALSE)</f>
        <v>5</v>
      </c>
      <c r="K1484">
        <f>VLOOKUP(B1484, Products!$A$2:$F$100, 4, FALSE)</f>
        <v>6</v>
      </c>
    </row>
    <row r="1485" spans="1:11" x14ac:dyDescent="0.3">
      <c r="A1485">
        <v>533</v>
      </c>
      <c r="B1485">
        <v>3</v>
      </c>
      <c r="C1485">
        <v>10</v>
      </c>
      <c r="D1485" t="str">
        <f>VLOOKUP(B1485, Products!$A$2:$C$100, 2, FALSE)</f>
        <v>Surly Wednesday Frameset - 2016</v>
      </c>
      <c r="E1485">
        <v>1</v>
      </c>
      <c r="F1485">
        <v>1549</v>
      </c>
      <c r="G1485">
        <v>0.2</v>
      </c>
      <c r="H1485">
        <v>309.8</v>
      </c>
      <c r="I1485">
        <f>order_items[[#This Row],[list_price]]-order_items[[#This Row],[Discounted_price]]</f>
        <v>1239.2</v>
      </c>
      <c r="J1485">
        <f>VLOOKUP(B1485, Products!$A$2:$E$100, 3, FALSE)</f>
        <v>8</v>
      </c>
      <c r="K1485">
        <f>VLOOKUP(B1485, Products!$A$2:$F$100, 4, FALSE)</f>
        <v>6</v>
      </c>
    </row>
    <row r="1486" spans="1:11" x14ac:dyDescent="0.3">
      <c r="A1486">
        <v>533</v>
      </c>
      <c r="B1486">
        <v>4</v>
      </c>
      <c r="C1486">
        <v>25</v>
      </c>
      <c r="D1486" t="str">
        <f>VLOOKUP(B1486, Products!$A$2:$C$100, 2, FALSE)</f>
        <v>Trek Fuel EX 8 29 - 2016</v>
      </c>
      <c r="E1486">
        <v>1</v>
      </c>
      <c r="F1486">
        <v>499.99</v>
      </c>
      <c r="G1486">
        <v>0.05</v>
      </c>
      <c r="H1486">
        <v>24.999500000000001</v>
      </c>
      <c r="I1486">
        <f>order_items[[#This Row],[list_price]]-order_items[[#This Row],[Discounted_price]]</f>
        <v>474.9905</v>
      </c>
      <c r="J1486">
        <f>VLOOKUP(B1486, Products!$A$2:$E$100, 3, FALSE)</f>
        <v>9</v>
      </c>
      <c r="K1486">
        <f>VLOOKUP(B1486, Products!$A$2:$F$100, 4, FALSE)</f>
        <v>6</v>
      </c>
    </row>
    <row r="1487" spans="1:11" x14ac:dyDescent="0.3">
      <c r="A1487">
        <v>534</v>
      </c>
      <c r="B1487">
        <v>1</v>
      </c>
      <c r="C1487">
        <v>21</v>
      </c>
      <c r="D1487" t="str">
        <f>VLOOKUP(B1487, Products!$A$2:$C$100, 2, FALSE)</f>
        <v>Trek 820 - 2016</v>
      </c>
      <c r="E1487">
        <v>2</v>
      </c>
      <c r="F1487">
        <v>269.99</v>
      </c>
      <c r="G1487">
        <v>0.05</v>
      </c>
      <c r="H1487">
        <v>13.499500000000001</v>
      </c>
      <c r="I1487">
        <f>order_items[[#This Row],[list_price]]-order_items[[#This Row],[Discounted_price]]</f>
        <v>256.4905</v>
      </c>
      <c r="J1487">
        <f>VLOOKUP(B1487, Products!$A$2:$E$100, 3, FALSE)</f>
        <v>9</v>
      </c>
      <c r="K1487">
        <f>VLOOKUP(B1487, Products!$A$2:$F$100, 4, FALSE)</f>
        <v>6</v>
      </c>
    </row>
    <row r="1488" spans="1:11" x14ac:dyDescent="0.3">
      <c r="A1488">
        <v>534</v>
      </c>
      <c r="B1488">
        <v>2</v>
      </c>
      <c r="C1488">
        <v>9</v>
      </c>
      <c r="D1488" t="str">
        <f>VLOOKUP(B1488, Products!$A$2:$C$100, 2, FALSE)</f>
        <v>Ritchey Timberwolf Frameset - 2016</v>
      </c>
      <c r="E1488">
        <v>2</v>
      </c>
      <c r="F1488">
        <v>2999.99</v>
      </c>
      <c r="G1488">
        <v>0.05</v>
      </c>
      <c r="H1488">
        <v>149.99949999999998</v>
      </c>
      <c r="I1488">
        <f>order_items[[#This Row],[list_price]]-order_items[[#This Row],[Discounted_price]]</f>
        <v>2849.9904999999999</v>
      </c>
      <c r="J1488">
        <f>VLOOKUP(B1488, Products!$A$2:$E$100, 3, FALSE)</f>
        <v>5</v>
      </c>
      <c r="K1488">
        <f>VLOOKUP(B1488, Products!$A$2:$F$100, 4, FALSE)</f>
        <v>6</v>
      </c>
    </row>
    <row r="1489" spans="1:11" x14ac:dyDescent="0.3">
      <c r="A1489">
        <v>534</v>
      </c>
      <c r="B1489">
        <v>3</v>
      </c>
      <c r="C1489">
        <v>2</v>
      </c>
      <c r="D1489" t="str">
        <f>VLOOKUP(B1489, Products!$A$2:$C$100, 2, FALSE)</f>
        <v>Surly Wednesday Frameset - 2016</v>
      </c>
      <c r="E1489">
        <v>1</v>
      </c>
      <c r="F1489">
        <v>749.99</v>
      </c>
      <c r="G1489">
        <v>7.0000000000000007E-2</v>
      </c>
      <c r="H1489">
        <v>52.499300000000005</v>
      </c>
      <c r="I1489">
        <f>order_items[[#This Row],[list_price]]-order_items[[#This Row],[Discounted_price]]</f>
        <v>697.49070000000006</v>
      </c>
      <c r="J1489">
        <f>VLOOKUP(B1489, Products!$A$2:$E$100, 3, FALSE)</f>
        <v>8</v>
      </c>
      <c r="K1489">
        <f>VLOOKUP(B1489, Products!$A$2:$F$100, 4, FALSE)</f>
        <v>6</v>
      </c>
    </row>
    <row r="1490" spans="1:11" x14ac:dyDescent="0.3">
      <c r="A1490">
        <v>534</v>
      </c>
      <c r="B1490">
        <v>4</v>
      </c>
      <c r="C1490">
        <v>24</v>
      </c>
      <c r="D1490" t="str">
        <f>VLOOKUP(B1490, Products!$A$2:$C$100, 2, FALSE)</f>
        <v>Trek Fuel EX 8 29 - 2016</v>
      </c>
      <c r="E1490">
        <v>2</v>
      </c>
      <c r="F1490">
        <v>549.99</v>
      </c>
      <c r="G1490">
        <v>0.1</v>
      </c>
      <c r="H1490">
        <v>54.999000000000002</v>
      </c>
      <c r="I1490">
        <f>order_items[[#This Row],[list_price]]-order_items[[#This Row],[Discounted_price]]</f>
        <v>494.99099999999999</v>
      </c>
      <c r="J1490">
        <f>VLOOKUP(B1490, Products!$A$2:$E$100, 3, FALSE)</f>
        <v>9</v>
      </c>
      <c r="K1490">
        <f>VLOOKUP(B1490, Products!$A$2:$F$100, 4, FALSE)</f>
        <v>6</v>
      </c>
    </row>
    <row r="1491" spans="1:11" x14ac:dyDescent="0.3">
      <c r="A1491">
        <v>535</v>
      </c>
      <c r="B1491">
        <v>1</v>
      </c>
      <c r="C1491">
        <v>24</v>
      </c>
      <c r="D1491" t="str">
        <f>VLOOKUP(B1491, Products!$A$2:$C$100, 2, FALSE)</f>
        <v>Trek 820 - 2016</v>
      </c>
      <c r="E1491">
        <v>1</v>
      </c>
      <c r="F1491">
        <v>549.99</v>
      </c>
      <c r="G1491">
        <v>0.05</v>
      </c>
      <c r="H1491">
        <v>27.499500000000001</v>
      </c>
      <c r="I1491">
        <f>order_items[[#This Row],[list_price]]-order_items[[#This Row],[Discounted_price]]</f>
        <v>522.4905</v>
      </c>
      <c r="J1491">
        <f>VLOOKUP(B1491, Products!$A$2:$E$100, 3, FALSE)</f>
        <v>9</v>
      </c>
      <c r="K1491">
        <f>VLOOKUP(B1491, Products!$A$2:$F$100, 4, FALSE)</f>
        <v>6</v>
      </c>
    </row>
    <row r="1492" spans="1:11" x14ac:dyDescent="0.3">
      <c r="A1492">
        <v>535</v>
      </c>
      <c r="B1492">
        <v>2</v>
      </c>
      <c r="C1492">
        <v>15</v>
      </c>
      <c r="D1492" t="str">
        <f>VLOOKUP(B1492, Products!$A$2:$C$100, 2, FALSE)</f>
        <v>Ritchey Timberwolf Frameset - 2016</v>
      </c>
      <c r="E1492">
        <v>1</v>
      </c>
      <c r="F1492">
        <v>529.99</v>
      </c>
      <c r="G1492">
        <v>0.1</v>
      </c>
      <c r="H1492">
        <v>52.999000000000002</v>
      </c>
      <c r="I1492">
        <f>order_items[[#This Row],[list_price]]-order_items[[#This Row],[Discounted_price]]</f>
        <v>476.99099999999999</v>
      </c>
      <c r="J1492">
        <f>VLOOKUP(B1492, Products!$A$2:$E$100, 3, FALSE)</f>
        <v>5</v>
      </c>
      <c r="K1492">
        <f>VLOOKUP(B1492, Products!$A$2:$F$100, 4, FALSE)</f>
        <v>6</v>
      </c>
    </row>
    <row r="1493" spans="1:11" x14ac:dyDescent="0.3">
      <c r="A1493">
        <v>535</v>
      </c>
      <c r="B1493">
        <v>3</v>
      </c>
      <c r="C1493">
        <v>22</v>
      </c>
      <c r="D1493" t="str">
        <f>VLOOKUP(B1493, Products!$A$2:$C$100, 2, FALSE)</f>
        <v>Surly Wednesday Frameset - 2016</v>
      </c>
      <c r="E1493">
        <v>2</v>
      </c>
      <c r="F1493">
        <v>269.99</v>
      </c>
      <c r="G1493">
        <v>0.1</v>
      </c>
      <c r="H1493">
        <v>26.999000000000002</v>
      </c>
      <c r="I1493">
        <f>order_items[[#This Row],[list_price]]-order_items[[#This Row],[Discounted_price]]</f>
        <v>242.99100000000001</v>
      </c>
      <c r="J1493">
        <f>VLOOKUP(B1493, Products!$A$2:$E$100, 3, FALSE)</f>
        <v>8</v>
      </c>
      <c r="K1493">
        <f>VLOOKUP(B1493, Products!$A$2:$F$100, 4, FALSE)</f>
        <v>6</v>
      </c>
    </row>
    <row r="1494" spans="1:11" x14ac:dyDescent="0.3">
      <c r="A1494">
        <v>536</v>
      </c>
      <c r="B1494">
        <v>1</v>
      </c>
      <c r="C1494">
        <v>22</v>
      </c>
      <c r="D1494" t="str">
        <f>VLOOKUP(B1494, Products!$A$2:$C$100, 2, FALSE)</f>
        <v>Trek 820 - 2016</v>
      </c>
      <c r="E1494">
        <v>1</v>
      </c>
      <c r="F1494">
        <v>269.99</v>
      </c>
      <c r="G1494">
        <v>0.1</v>
      </c>
      <c r="H1494">
        <v>26.999000000000002</v>
      </c>
      <c r="I1494">
        <f>order_items[[#This Row],[list_price]]-order_items[[#This Row],[Discounted_price]]</f>
        <v>242.99100000000001</v>
      </c>
      <c r="J1494">
        <f>VLOOKUP(B1494, Products!$A$2:$E$100, 3, FALSE)</f>
        <v>9</v>
      </c>
      <c r="K1494">
        <f>VLOOKUP(B1494, Products!$A$2:$F$100, 4, FALSE)</f>
        <v>6</v>
      </c>
    </row>
    <row r="1495" spans="1:11" x14ac:dyDescent="0.3">
      <c r="A1495">
        <v>536</v>
      </c>
      <c r="B1495">
        <v>2</v>
      </c>
      <c r="C1495">
        <v>2</v>
      </c>
      <c r="D1495" t="str">
        <f>VLOOKUP(B1495, Products!$A$2:$C$100, 2, FALSE)</f>
        <v>Ritchey Timberwolf Frameset - 2016</v>
      </c>
      <c r="E1495">
        <v>1</v>
      </c>
      <c r="F1495">
        <v>749.99</v>
      </c>
      <c r="G1495">
        <v>0.1</v>
      </c>
      <c r="H1495">
        <v>74.999000000000009</v>
      </c>
      <c r="I1495">
        <f>order_items[[#This Row],[list_price]]-order_items[[#This Row],[Discounted_price]]</f>
        <v>674.99099999999999</v>
      </c>
      <c r="J1495">
        <f>VLOOKUP(B1495, Products!$A$2:$E$100, 3, FALSE)</f>
        <v>5</v>
      </c>
      <c r="K1495">
        <f>VLOOKUP(B1495, Products!$A$2:$F$100, 4, FALSE)</f>
        <v>6</v>
      </c>
    </row>
    <row r="1496" spans="1:11" x14ac:dyDescent="0.3">
      <c r="A1496">
        <v>536</v>
      </c>
      <c r="B1496">
        <v>3</v>
      </c>
      <c r="C1496">
        <v>12</v>
      </c>
      <c r="D1496" t="str">
        <f>VLOOKUP(B1496, Products!$A$2:$C$100, 2, FALSE)</f>
        <v>Surly Wednesday Frameset - 2016</v>
      </c>
      <c r="E1496">
        <v>2</v>
      </c>
      <c r="F1496">
        <v>549.99</v>
      </c>
      <c r="G1496">
        <v>0.05</v>
      </c>
      <c r="H1496">
        <v>27.499500000000001</v>
      </c>
      <c r="I1496">
        <f>order_items[[#This Row],[list_price]]-order_items[[#This Row],[Discounted_price]]</f>
        <v>522.4905</v>
      </c>
      <c r="J1496">
        <f>VLOOKUP(B1496, Products!$A$2:$E$100, 3, FALSE)</f>
        <v>8</v>
      </c>
      <c r="K1496">
        <f>VLOOKUP(B1496, Products!$A$2:$F$100, 4, FALSE)</f>
        <v>6</v>
      </c>
    </row>
    <row r="1497" spans="1:11" x14ac:dyDescent="0.3">
      <c r="A1497">
        <v>536</v>
      </c>
      <c r="B1497">
        <v>4</v>
      </c>
      <c r="C1497">
        <v>14</v>
      </c>
      <c r="D1497" t="str">
        <f>VLOOKUP(B1497, Products!$A$2:$C$100, 2, FALSE)</f>
        <v>Trek Fuel EX 8 29 - 2016</v>
      </c>
      <c r="E1497">
        <v>1</v>
      </c>
      <c r="F1497">
        <v>269.99</v>
      </c>
      <c r="G1497">
        <v>7.0000000000000007E-2</v>
      </c>
      <c r="H1497">
        <v>18.899300000000004</v>
      </c>
      <c r="I1497">
        <f>order_items[[#This Row],[list_price]]-order_items[[#This Row],[Discounted_price]]</f>
        <v>251.0907</v>
      </c>
      <c r="J1497">
        <f>VLOOKUP(B1497, Products!$A$2:$E$100, 3, FALSE)</f>
        <v>9</v>
      </c>
      <c r="K1497">
        <f>VLOOKUP(B1497, Products!$A$2:$F$100, 4, FALSE)</f>
        <v>6</v>
      </c>
    </row>
    <row r="1498" spans="1:11" x14ac:dyDescent="0.3">
      <c r="A1498">
        <v>537</v>
      </c>
      <c r="B1498">
        <v>1</v>
      </c>
      <c r="C1498">
        <v>10</v>
      </c>
      <c r="D1498" t="str">
        <f>VLOOKUP(B1498, Products!$A$2:$C$100, 2, FALSE)</f>
        <v>Trek 820 - 2016</v>
      </c>
      <c r="E1498">
        <v>1</v>
      </c>
      <c r="F1498">
        <v>1549</v>
      </c>
      <c r="G1498">
        <v>0.05</v>
      </c>
      <c r="H1498">
        <v>77.45</v>
      </c>
      <c r="I1498">
        <f>order_items[[#This Row],[list_price]]-order_items[[#This Row],[Discounted_price]]</f>
        <v>1471.55</v>
      </c>
      <c r="J1498">
        <f>VLOOKUP(B1498, Products!$A$2:$E$100, 3, FALSE)</f>
        <v>9</v>
      </c>
      <c r="K1498">
        <f>VLOOKUP(B1498, Products!$A$2:$F$100, 4, FALSE)</f>
        <v>6</v>
      </c>
    </row>
    <row r="1499" spans="1:11" x14ac:dyDescent="0.3">
      <c r="A1499">
        <v>537</v>
      </c>
      <c r="B1499">
        <v>2</v>
      </c>
      <c r="C1499">
        <v>26</v>
      </c>
      <c r="D1499" t="str">
        <f>VLOOKUP(B1499, Products!$A$2:$C$100, 2, FALSE)</f>
        <v>Ritchey Timberwolf Frameset - 2016</v>
      </c>
      <c r="E1499">
        <v>1</v>
      </c>
      <c r="F1499">
        <v>599.99</v>
      </c>
      <c r="G1499">
        <v>0.05</v>
      </c>
      <c r="H1499">
        <v>29.999500000000001</v>
      </c>
      <c r="I1499">
        <f>order_items[[#This Row],[list_price]]-order_items[[#This Row],[Discounted_price]]</f>
        <v>569.9905</v>
      </c>
      <c r="J1499">
        <f>VLOOKUP(B1499, Products!$A$2:$E$100, 3, FALSE)</f>
        <v>5</v>
      </c>
      <c r="K1499">
        <f>VLOOKUP(B1499, Products!$A$2:$F$100, 4, FALSE)</f>
        <v>6</v>
      </c>
    </row>
    <row r="1500" spans="1:11" x14ac:dyDescent="0.3">
      <c r="A1500">
        <v>537</v>
      </c>
      <c r="B1500">
        <v>3</v>
      </c>
      <c r="C1500">
        <v>17</v>
      </c>
      <c r="D1500" t="str">
        <f>VLOOKUP(B1500, Products!$A$2:$C$100, 2, FALSE)</f>
        <v>Surly Wednesday Frameset - 2016</v>
      </c>
      <c r="E1500">
        <v>2</v>
      </c>
      <c r="F1500">
        <v>429</v>
      </c>
      <c r="G1500">
        <v>0.1</v>
      </c>
      <c r="H1500">
        <v>42.900000000000006</v>
      </c>
      <c r="I1500">
        <f>order_items[[#This Row],[list_price]]-order_items[[#This Row],[Discounted_price]]</f>
        <v>386.1</v>
      </c>
      <c r="J1500">
        <f>VLOOKUP(B1500, Products!$A$2:$E$100, 3, FALSE)</f>
        <v>8</v>
      </c>
      <c r="K1500">
        <f>VLOOKUP(B1500, Products!$A$2:$F$100, 4, FALSE)</f>
        <v>6</v>
      </c>
    </row>
    <row r="1501" spans="1:11" x14ac:dyDescent="0.3">
      <c r="A1501">
        <v>537</v>
      </c>
      <c r="B1501">
        <v>4</v>
      </c>
      <c r="C1501">
        <v>25</v>
      </c>
      <c r="D1501" t="str">
        <f>VLOOKUP(B1501, Products!$A$2:$C$100, 2, FALSE)</f>
        <v>Trek Fuel EX 8 29 - 2016</v>
      </c>
      <c r="E1501">
        <v>2</v>
      </c>
      <c r="F1501">
        <v>499.99</v>
      </c>
      <c r="G1501">
        <v>0.2</v>
      </c>
      <c r="H1501">
        <v>99.998000000000005</v>
      </c>
      <c r="I1501">
        <f>order_items[[#This Row],[list_price]]-order_items[[#This Row],[Discounted_price]]</f>
        <v>399.99200000000002</v>
      </c>
      <c r="J1501">
        <f>VLOOKUP(B1501, Products!$A$2:$E$100, 3, FALSE)</f>
        <v>9</v>
      </c>
      <c r="K1501">
        <f>VLOOKUP(B1501, Products!$A$2:$F$100, 4, FALSE)</f>
        <v>6</v>
      </c>
    </row>
    <row r="1502" spans="1:11" x14ac:dyDescent="0.3">
      <c r="A1502">
        <v>538</v>
      </c>
      <c r="B1502">
        <v>1</v>
      </c>
      <c r="C1502">
        <v>2</v>
      </c>
      <c r="D1502" t="str">
        <f>VLOOKUP(B1502, Products!$A$2:$C$100, 2, FALSE)</f>
        <v>Trek 820 - 2016</v>
      </c>
      <c r="E1502">
        <v>2</v>
      </c>
      <c r="F1502">
        <v>749.99</v>
      </c>
      <c r="G1502">
        <v>0.2</v>
      </c>
      <c r="H1502">
        <v>149.99800000000002</v>
      </c>
      <c r="I1502">
        <f>order_items[[#This Row],[list_price]]-order_items[[#This Row],[Discounted_price]]</f>
        <v>599.99199999999996</v>
      </c>
      <c r="J1502">
        <f>VLOOKUP(B1502, Products!$A$2:$E$100, 3, FALSE)</f>
        <v>9</v>
      </c>
      <c r="K1502">
        <f>VLOOKUP(B1502, Products!$A$2:$F$100, 4, FALSE)</f>
        <v>6</v>
      </c>
    </row>
    <row r="1503" spans="1:11" x14ac:dyDescent="0.3">
      <c r="A1503">
        <v>539</v>
      </c>
      <c r="B1503">
        <v>1</v>
      </c>
      <c r="C1503">
        <v>9</v>
      </c>
      <c r="D1503" t="str">
        <f>VLOOKUP(B1503, Products!$A$2:$C$100, 2, FALSE)</f>
        <v>Trek 820 - 2016</v>
      </c>
      <c r="E1503">
        <v>2</v>
      </c>
      <c r="F1503">
        <v>2999.99</v>
      </c>
      <c r="G1503">
        <v>0.1</v>
      </c>
      <c r="H1503">
        <v>299.99899999999997</v>
      </c>
      <c r="I1503">
        <f>order_items[[#This Row],[list_price]]-order_items[[#This Row],[Discounted_price]]</f>
        <v>2699.991</v>
      </c>
      <c r="J1503">
        <f>VLOOKUP(B1503, Products!$A$2:$E$100, 3, FALSE)</f>
        <v>9</v>
      </c>
      <c r="K1503">
        <f>VLOOKUP(B1503, Products!$A$2:$F$100, 4, FALSE)</f>
        <v>6</v>
      </c>
    </row>
    <row r="1504" spans="1:11" x14ac:dyDescent="0.3">
      <c r="A1504">
        <v>539</v>
      </c>
      <c r="B1504">
        <v>2</v>
      </c>
      <c r="C1504">
        <v>23</v>
      </c>
      <c r="D1504" t="str">
        <f>VLOOKUP(B1504, Products!$A$2:$C$100, 2, FALSE)</f>
        <v>Ritchey Timberwolf Frameset - 2016</v>
      </c>
      <c r="E1504">
        <v>1</v>
      </c>
      <c r="F1504">
        <v>299.99</v>
      </c>
      <c r="G1504">
        <v>0.05</v>
      </c>
      <c r="H1504">
        <v>14.999500000000001</v>
      </c>
      <c r="I1504">
        <f>order_items[[#This Row],[list_price]]-order_items[[#This Row],[Discounted_price]]</f>
        <v>284.9905</v>
      </c>
      <c r="J1504">
        <f>VLOOKUP(B1504, Products!$A$2:$E$100, 3, FALSE)</f>
        <v>5</v>
      </c>
      <c r="K1504">
        <f>VLOOKUP(B1504, Products!$A$2:$F$100, 4, FALSE)</f>
        <v>6</v>
      </c>
    </row>
    <row r="1505" spans="1:11" x14ac:dyDescent="0.3">
      <c r="A1505">
        <v>539</v>
      </c>
      <c r="B1505">
        <v>3</v>
      </c>
      <c r="C1505">
        <v>21</v>
      </c>
      <c r="D1505" t="str">
        <f>VLOOKUP(B1505, Products!$A$2:$C$100, 2, FALSE)</f>
        <v>Surly Wednesday Frameset - 2016</v>
      </c>
      <c r="E1505">
        <v>2</v>
      </c>
      <c r="F1505">
        <v>269.99</v>
      </c>
      <c r="G1505">
        <v>7.0000000000000007E-2</v>
      </c>
      <c r="H1505">
        <v>18.899300000000004</v>
      </c>
      <c r="I1505">
        <f>order_items[[#This Row],[list_price]]-order_items[[#This Row],[Discounted_price]]</f>
        <v>251.0907</v>
      </c>
      <c r="J1505">
        <f>VLOOKUP(B1505, Products!$A$2:$E$100, 3, FALSE)</f>
        <v>8</v>
      </c>
      <c r="K1505">
        <f>VLOOKUP(B1505, Products!$A$2:$F$100, 4, FALSE)</f>
        <v>6</v>
      </c>
    </row>
    <row r="1506" spans="1:11" x14ac:dyDescent="0.3">
      <c r="A1506">
        <v>540</v>
      </c>
      <c r="B1506">
        <v>1</v>
      </c>
      <c r="C1506">
        <v>19</v>
      </c>
      <c r="D1506" t="str">
        <f>VLOOKUP(B1506, Products!$A$2:$C$100, 2, FALSE)</f>
        <v>Trek 820 - 2016</v>
      </c>
      <c r="E1506">
        <v>1</v>
      </c>
      <c r="F1506">
        <v>449</v>
      </c>
      <c r="G1506">
        <v>0.1</v>
      </c>
      <c r="H1506">
        <v>44.900000000000006</v>
      </c>
      <c r="I1506">
        <f>order_items[[#This Row],[list_price]]-order_items[[#This Row],[Discounted_price]]</f>
        <v>404.1</v>
      </c>
      <c r="J1506">
        <f>VLOOKUP(B1506, Products!$A$2:$E$100, 3, FALSE)</f>
        <v>9</v>
      </c>
      <c r="K1506">
        <f>VLOOKUP(B1506, Products!$A$2:$F$100, 4, FALSE)</f>
        <v>6</v>
      </c>
    </row>
    <row r="1507" spans="1:11" x14ac:dyDescent="0.3">
      <c r="A1507">
        <v>540</v>
      </c>
      <c r="B1507">
        <v>2</v>
      </c>
      <c r="C1507">
        <v>26</v>
      </c>
      <c r="D1507" t="str">
        <f>VLOOKUP(B1507, Products!$A$2:$C$100, 2, FALSE)</f>
        <v>Ritchey Timberwolf Frameset - 2016</v>
      </c>
      <c r="E1507">
        <v>2</v>
      </c>
      <c r="F1507">
        <v>599.99</v>
      </c>
      <c r="G1507">
        <v>0.1</v>
      </c>
      <c r="H1507">
        <v>59.999000000000002</v>
      </c>
      <c r="I1507">
        <f>order_items[[#This Row],[list_price]]-order_items[[#This Row],[Discounted_price]]</f>
        <v>539.99099999999999</v>
      </c>
      <c r="J1507">
        <f>VLOOKUP(B1507, Products!$A$2:$E$100, 3, FALSE)</f>
        <v>5</v>
      </c>
      <c r="K1507">
        <f>VLOOKUP(B1507, Products!$A$2:$F$100, 4, FALSE)</f>
        <v>6</v>
      </c>
    </row>
    <row r="1508" spans="1:11" x14ac:dyDescent="0.3">
      <c r="A1508">
        <v>540</v>
      </c>
      <c r="B1508">
        <v>3</v>
      </c>
      <c r="C1508">
        <v>23</v>
      </c>
      <c r="D1508" t="str">
        <f>VLOOKUP(B1508, Products!$A$2:$C$100, 2, FALSE)</f>
        <v>Surly Wednesday Frameset - 2016</v>
      </c>
      <c r="E1508">
        <v>2</v>
      </c>
      <c r="F1508">
        <v>299.99</v>
      </c>
      <c r="G1508">
        <v>7.0000000000000007E-2</v>
      </c>
      <c r="H1508">
        <v>20.999300000000002</v>
      </c>
      <c r="I1508">
        <f>order_items[[#This Row],[list_price]]-order_items[[#This Row],[Discounted_price]]</f>
        <v>278.9907</v>
      </c>
      <c r="J1508">
        <f>VLOOKUP(B1508, Products!$A$2:$E$100, 3, FALSE)</f>
        <v>8</v>
      </c>
      <c r="K1508">
        <f>VLOOKUP(B1508, Products!$A$2:$F$100, 4, FALSE)</f>
        <v>6</v>
      </c>
    </row>
    <row r="1509" spans="1:11" x14ac:dyDescent="0.3">
      <c r="A1509">
        <v>541</v>
      </c>
      <c r="B1509">
        <v>1</v>
      </c>
      <c r="C1509">
        <v>22</v>
      </c>
      <c r="D1509" t="str">
        <f>VLOOKUP(B1509, Products!$A$2:$C$100, 2, FALSE)</f>
        <v>Trek 820 - 2016</v>
      </c>
      <c r="E1509">
        <v>2</v>
      </c>
      <c r="F1509">
        <v>269.99</v>
      </c>
      <c r="G1509">
        <v>0.05</v>
      </c>
      <c r="H1509">
        <v>13.499500000000001</v>
      </c>
      <c r="I1509">
        <f>order_items[[#This Row],[list_price]]-order_items[[#This Row],[Discounted_price]]</f>
        <v>256.4905</v>
      </c>
      <c r="J1509">
        <f>VLOOKUP(B1509, Products!$A$2:$E$100, 3, FALSE)</f>
        <v>9</v>
      </c>
      <c r="K1509">
        <f>VLOOKUP(B1509, Products!$A$2:$F$100, 4, FALSE)</f>
        <v>6</v>
      </c>
    </row>
    <row r="1510" spans="1:11" x14ac:dyDescent="0.3">
      <c r="A1510">
        <v>542</v>
      </c>
      <c r="B1510">
        <v>1</v>
      </c>
      <c r="C1510">
        <v>16</v>
      </c>
      <c r="D1510" t="str">
        <f>VLOOKUP(B1510, Products!$A$2:$C$100, 2, FALSE)</f>
        <v>Trek 820 - 2016</v>
      </c>
      <c r="E1510">
        <v>2</v>
      </c>
      <c r="F1510">
        <v>599.99</v>
      </c>
      <c r="G1510">
        <v>0.2</v>
      </c>
      <c r="H1510">
        <v>119.998</v>
      </c>
      <c r="I1510">
        <f>order_items[[#This Row],[list_price]]-order_items[[#This Row],[Discounted_price]]</f>
        <v>479.99200000000002</v>
      </c>
      <c r="J1510">
        <f>VLOOKUP(B1510, Products!$A$2:$E$100, 3, FALSE)</f>
        <v>9</v>
      </c>
      <c r="K1510">
        <f>VLOOKUP(B1510, Products!$A$2:$F$100, 4, FALSE)</f>
        <v>6</v>
      </c>
    </row>
    <row r="1511" spans="1:11" x14ac:dyDescent="0.3">
      <c r="A1511">
        <v>542</v>
      </c>
      <c r="B1511">
        <v>2</v>
      </c>
      <c r="C1511">
        <v>9</v>
      </c>
      <c r="D1511" t="str">
        <f>VLOOKUP(B1511, Products!$A$2:$C$100, 2, FALSE)</f>
        <v>Ritchey Timberwolf Frameset - 2016</v>
      </c>
      <c r="E1511">
        <v>1</v>
      </c>
      <c r="F1511">
        <v>2999.99</v>
      </c>
      <c r="G1511">
        <v>0.1</v>
      </c>
      <c r="H1511">
        <v>299.99899999999997</v>
      </c>
      <c r="I1511">
        <f>order_items[[#This Row],[list_price]]-order_items[[#This Row],[Discounted_price]]</f>
        <v>2699.991</v>
      </c>
      <c r="J1511">
        <f>VLOOKUP(B1511, Products!$A$2:$E$100, 3, FALSE)</f>
        <v>5</v>
      </c>
      <c r="K1511">
        <f>VLOOKUP(B1511, Products!$A$2:$F$100, 4, FALSE)</f>
        <v>6</v>
      </c>
    </row>
    <row r="1512" spans="1:11" x14ac:dyDescent="0.3">
      <c r="A1512">
        <v>542</v>
      </c>
      <c r="B1512">
        <v>3</v>
      </c>
      <c r="C1512">
        <v>20</v>
      </c>
      <c r="D1512" t="str">
        <f>VLOOKUP(B1512, Products!$A$2:$C$100, 2, FALSE)</f>
        <v>Surly Wednesday Frameset - 2016</v>
      </c>
      <c r="E1512">
        <v>1</v>
      </c>
      <c r="F1512">
        <v>599.99</v>
      </c>
      <c r="G1512">
        <v>0.1</v>
      </c>
      <c r="H1512">
        <v>59.999000000000002</v>
      </c>
      <c r="I1512">
        <f>order_items[[#This Row],[list_price]]-order_items[[#This Row],[Discounted_price]]</f>
        <v>539.99099999999999</v>
      </c>
      <c r="J1512">
        <f>VLOOKUP(B1512, Products!$A$2:$E$100, 3, FALSE)</f>
        <v>8</v>
      </c>
      <c r="K1512">
        <f>VLOOKUP(B1512, Products!$A$2:$F$100, 4, FALSE)</f>
        <v>6</v>
      </c>
    </row>
    <row r="1513" spans="1:11" x14ac:dyDescent="0.3">
      <c r="A1513">
        <v>542</v>
      </c>
      <c r="B1513">
        <v>4</v>
      </c>
      <c r="C1513">
        <v>19</v>
      </c>
      <c r="D1513" t="str">
        <f>VLOOKUP(B1513, Products!$A$2:$C$100, 2, FALSE)</f>
        <v>Trek Fuel EX 8 29 - 2016</v>
      </c>
      <c r="E1513">
        <v>2</v>
      </c>
      <c r="F1513">
        <v>449</v>
      </c>
      <c r="G1513">
        <v>0.2</v>
      </c>
      <c r="H1513">
        <v>89.800000000000011</v>
      </c>
      <c r="I1513">
        <f>order_items[[#This Row],[list_price]]-order_items[[#This Row],[Discounted_price]]</f>
        <v>359.2</v>
      </c>
      <c r="J1513">
        <f>VLOOKUP(B1513, Products!$A$2:$E$100, 3, FALSE)</f>
        <v>9</v>
      </c>
      <c r="K1513">
        <f>VLOOKUP(B1513, Products!$A$2:$F$100, 4, FALSE)</f>
        <v>6</v>
      </c>
    </row>
    <row r="1514" spans="1:11" x14ac:dyDescent="0.3">
      <c r="A1514">
        <v>543</v>
      </c>
      <c r="B1514">
        <v>1</v>
      </c>
      <c r="C1514">
        <v>25</v>
      </c>
      <c r="D1514" t="str">
        <f>VLOOKUP(B1514, Products!$A$2:$C$100, 2, FALSE)</f>
        <v>Trek 820 - 2016</v>
      </c>
      <c r="E1514">
        <v>1</v>
      </c>
      <c r="F1514">
        <v>499.99</v>
      </c>
      <c r="G1514">
        <v>0.2</v>
      </c>
      <c r="H1514">
        <v>99.998000000000005</v>
      </c>
      <c r="I1514">
        <f>order_items[[#This Row],[list_price]]-order_items[[#This Row],[Discounted_price]]</f>
        <v>399.99200000000002</v>
      </c>
      <c r="J1514">
        <f>VLOOKUP(B1514, Products!$A$2:$E$100, 3, FALSE)</f>
        <v>9</v>
      </c>
      <c r="K1514">
        <f>VLOOKUP(B1514, Products!$A$2:$F$100, 4, FALSE)</f>
        <v>6</v>
      </c>
    </row>
    <row r="1515" spans="1:11" x14ac:dyDescent="0.3">
      <c r="A1515">
        <v>543</v>
      </c>
      <c r="B1515">
        <v>2</v>
      </c>
      <c r="C1515">
        <v>18</v>
      </c>
      <c r="D1515" t="str">
        <f>VLOOKUP(B1515, Products!$A$2:$C$100, 2, FALSE)</f>
        <v>Ritchey Timberwolf Frameset - 2016</v>
      </c>
      <c r="E1515">
        <v>1</v>
      </c>
      <c r="F1515">
        <v>449</v>
      </c>
      <c r="G1515">
        <v>0.2</v>
      </c>
      <c r="H1515">
        <v>89.800000000000011</v>
      </c>
      <c r="I1515">
        <f>order_items[[#This Row],[list_price]]-order_items[[#This Row],[Discounted_price]]</f>
        <v>359.2</v>
      </c>
      <c r="J1515">
        <f>VLOOKUP(B1515, Products!$A$2:$E$100, 3, FALSE)</f>
        <v>5</v>
      </c>
      <c r="K1515">
        <f>VLOOKUP(B1515, Products!$A$2:$F$100, 4, FALSE)</f>
        <v>6</v>
      </c>
    </row>
    <row r="1516" spans="1:11" x14ac:dyDescent="0.3">
      <c r="A1516">
        <v>543</v>
      </c>
      <c r="B1516">
        <v>3</v>
      </c>
      <c r="C1516">
        <v>26</v>
      </c>
      <c r="D1516" t="str">
        <f>VLOOKUP(B1516, Products!$A$2:$C$100, 2, FALSE)</f>
        <v>Surly Wednesday Frameset - 2016</v>
      </c>
      <c r="E1516">
        <v>2</v>
      </c>
      <c r="F1516">
        <v>599.99</v>
      </c>
      <c r="G1516">
        <v>0.05</v>
      </c>
      <c r="H1516">
        <v>29.999500000000001</v>
      </c>
      <c r="I1516">
        <f>order_items[[#This Row],[list_price]]-order_items[[#This Row],[Discounted_price]]</f>
        <v>569.9905</v>
      </c>
      <c r="J1516">
        <f>VLOOKUP(B1516, Products!$A$2:$E$100, 3, FALSE)</f>
        <v>8</v>
      </c>
      <c r="K1516">
        <f>VLOOKUP(B1516, Products!$A$2:$F$100, 4, FALSE)</f>
        <v>6</v>
      </c>
    </row>
    <row r="1517" spans="1:11" x14ac:dyDescent="0.3">
      <c r="A1517">
        <v>544</v>
      </c>
      <c r="B1517">
        <v>1</v>
      </c>
      <c r="C1517">
        <v>12</v>
      </c>
      <c r="D1517" t="str">
        <f>VLOOKUP(B1517, Products!$A$2:$C$100, 2, FALSE)</f>
        <v>Trek 820 - 2016</v>
      </c>
      <c r="E1517">
        <v>1</v>
      </c>
      <c r="F1517">
        <v>549.99</v>
      </c>
      <c r="G1517">
        <v>0.05</v>
      </c>
      <c r="H1517">
        <v>27.499500000000001</v>
      </c>
      <c r="I1517">
        <f>order_items[[#This Row],[list_price]]-order_items[[#This Row],[Discounted_price]]</f>
        <v>522.4905</v>
      </c>
      <c r="J1517">
        <f>VLOOKUP(B1517, Products!$A$2:$E$100, 3, FALSE)</f>
        <v>9</v>
      </c>
      <c r="K1517">
        <f>VLOOKUP(B1517, Products!$A$2:$F$100, 4, FALSE)</f>
        <v>6</v>
      </c>
    </row>
    <row r="1518" spans="1:11" x14ac:dyDescent="0.3">
      <c r="A1518">
        <v>544</v>
      </c>
      <c r="B1518">
        <v>2</v>
      </c>
      <c r="C1518">
        <v>17</v>
      </c>
      <c r="D1518" t="str">
        <f>VLOOKUP(B1518, Products!$A$2:$C$100, 2, FALSE)</f>
        <v>Ritchey Timberwolf Frameset - 2016</v>
      </c>
      <c r="E1518">
        <v>1</v>
      </c>
      <c r="F1518">
        <v>429</v>
      </c>
      <c r="G1518">
        <v>0.1</v>
      </c>
      <c r="H1518">
        <v>42.900000000000006</v>
      </c>
      <c r="I1518">
        <f>order_items[[#This Row],[list_price]]-order_items[[#This Row],[Discounted_price]]</f>
        <v>386.1</v>
      </c>
      <c r="J1518">
        <f>VLOOKUP(B1518, Products!$A$2:$E$100, 3, FALSE)</f>
        <v>5</v>
      </c>
      <c r="K1518">
        <f>VLOOKUP(B1518, Products!$A$2:$F$100, 4, FALSE)</f>
        <v>6</v>
      </c>
    </row>
    <row r="1519" spans="1:11" x14ac:dyDescent="0.3">
      <c r="A1519">
        <v>544</v>
      </c>
      <c r="B1519">
        <v>3</v>
      </c>
      <c r="C1519">
        <v>21</v>
      </c>
      <c r="D1519" t="str">
        <f>VLOOKUP(B1519, Products!$A$2:$C$100, 2, FALSE)</f>
        <v>Surly Wednesday Frameset - 2016</v>
      </c>
      <c r="E1519">
        <v>1</v>
      </c>
      <c r="F1519">
        <v>269.99</v>
      </c>
      <c r="G1519">
        <v>0.05</v>
      </c>
      <c r="H1519">
        <v>13.499500000000001</v>
      </c>
      <c r="I1519">
        <f>order_items[[#This Row],[list_price]]-order_items[[#This Row],[Discounted_price]]</f>
        <v>256.4905</v>
      </c>
      <c r="J1519">
        <f>VLOOKUP(B1519, Products!$A$2:$E$100, 3, FALSE)</f>
        <v>8</v>
      </c>
      <c r="K1519">
        <f>VLOOKUP(B1519, Products!$A$2:$F$100, 4, FALSE)</f>
        <v>6</v>
      </c>
    </row>
    <row r="1520" spans="1:11" x14ac:dyDescent="0.3">
      <c r="A1520">
        <v>545</v>
      </c>
      <c r="B1520">
        <v>1</v>
      </c>
      <c r="C1520">
        <v>25</v>
      </c>
      <c r="D1520" t="str">
        <f>VLOOKUP(B1520, Products!$A$2:$C$100, 2, FALSE)</f>
        <v>Trek 820 - 2016</v>
      </c>
      <c r="E1520">
        <v>2</v>
      </c>
      <c r="F1520">
        <v>499.99</v>
      </c>
      <c r="G1520">
        <v>0.2</v>
      </c>
      <c r="H1520">
        <v>99.998000000000005</v>
      </c>
      <c r="I1520">
        <f>order_items[[#This Row],[list_price]]-order_items[[#This Row],[Discounted_price]]</f>
        <v>399.99200000000002</v>
      </c>
      <c r="J1520">
        <f>VLOOKUP(B1520, Products!$A$2:$E$100, 3, FALSE)</f>
        <v>9</v>
      </c>
      <c r="K1520">
        <f>VLOOKUP(B1520, Products!$A$2:$F$100, 4, FALSE)</f>
        <v>6</v>
      </c>
    </row>
    <row r="1521" spans="1:11" x14ac:dyDescent="0.3">
      <c r="A1521">
        <v>545</v>
      </c>
      <c r="B1521">
        <v>2</v>
      </c>
      <c r="C1521">
        <v>6</v>
      </c>
      <c r="D1521" t="str">
        <f>VLOOKUP(B1521, Products!$A$2:$C$100, 2, FALSE)</f>
        <v>Ritchey Timberwolf Frameset - 2016</v>
      </c>
      <c r="E1521">
        <v>1</v>
      </c>
      <c r="F1521">
        <v>469.99</v>
      </c>
      <c r="G1521">
        <v>7.0000000000000007E-2</v>
      </c>
      <c r="H1521">
        <v>32.899300000000004</v>
      </c>
      <c r="I1521">
        <f>order_items[[#This Row],[list_price]]-order_items[[#This Row],[Discounted_price]]</f>
        <v>437.09070000000003</v>
      </c>
      <c r="J1521">
        <f>VLOOKUP(B1521, Products!$A$2:$E$100, 3, FALSE)</f>
        <v>5</v>
      </c>
      <c r="K1521">
        <f>VLOOKUP(B1521, Products!$A$2:$F$100, 4, FALSE)</f>
        <v>6</v>
      </c>
    </row>
    <row r="1522" spans="1:11" x14ac:dyDescent="0.3">
      <c r="A1522">
        <v>545</v>
      </c>
      <c r="B1522">
        <v>3</v>
      </c>
      <c r="C1522">
        <v>24</v>
      </c>
      <c r="D1522" t="str">
        <f>VLOOKUP(B1522, Products!$A$2:$C$100, 2, FALSE)</f>
        <v>Surly Wednesday Frameset - 2016</v>
      </c>
      <c r="E1522">
        <v>1</v>
      </c>
      <c r="F1522">
        <v>549.99</v>
      </c>
      <c r="G1522">
        <v>0.2</v>
      </c>
      <c r="H1522">
        <v>109.998</v>
      </c>
      <c r="I1522">
        <f>order_items[[#This Row],[list_price]]-order_items[[#This Row],[Discounted_price]]</f>
        <v>439.99200000000002</v>
      </c>
      <c r="J1522">
        <f>VLOOKUP(B1522, Products!$A$2:$E$100, 3, FALSE)</f>
        <v>8</v>
      </c>
      <c r="K1522">
        <f>VLOOKUP(B1522, Products!$A$2:$F$100, 4, FALSE)</f>
        <v>6</v>
      </c>
    </row>
    <row r="1523" spans="1:11" x14ac:dyDescent="0.3">
      <c r="A1523">
        <v>545</v>
      </c>
      <c r="B1523">
        <v>4</v>
      </c>
      <c r="C1523">
        <v>20</v>
      </c>
      <c r="D1523" t="str">
        <f>VLOOKUP(B1523, Products!$A$2:$C$100, 2, FALSE)</f>
        <v>Trek Fuel EX 8 29 - 2016</v>
      </c>
      <c r="E1523">
        <v>2</v>
      </c>
      <c r="F1523">
        <v>599.99</v>
      </c>
      <c r="G1523">
        <v>7.0000000000000007E-2</v>
      </c>
      <c r="H1523">
        <v>41.999300000000005</v>
      </c>
      <c r="I1523">
        <f>order_items[[#This Row],[list_price]]-order_items[[#This Row],[Discounted_price]]</f>
        <v>557.99070000000006</v>
      </c>
      <c r="J1523">
        <f>VLOOKUP(B1523, Products!$A$2:$E$100, 3, FALSE)</f>
        <v>9</v>
      </c>
      <c r="K1523">
        <f>VLOOKUP(B1523, Products!$A$2:$F$100, 4, FALSE)</f>
        <v>6</v>
      </c>
    </row>
    <row r="1524" spans="1:11" x14ac:dyDescent="0.3">
      <c r="A1524">
        <v>546</v>
      </c>
      <c r="B1524">
        <v>1</v>
      </c>
      <c r="C1524">
        <v>17</v>
      </c>
      <c r="D1524" t="str">
        <f>VLOOKUP(B1524, Products!$A$2:$C$100, 2, FALSE)</f>
        <v>Trek 820 - 2016</v>
      </c>
      <c r="E1524">
        <v>2</v>
      </c>
      <c r="F1524">
        <v>429</v>
      </c>
      <c r="G1524">
        <v>0.05</v>
      </c>
      <c r="H1524">
        <v>21.450000000000003</v>
      </c>
      <c r="I1524">
        <f>order_items[[#This Row],[list_price]]-order_items[[#This Row],[Discounted_price]]</f>
        <v>407.55</v>
      </c>
      <c r="J1524">
        <f>VLOOKUP(B1524, Products!$A$2:$E$100, 3, FALSE)</f>
        <v>9</v>
      </c>
      <c r="K1524">
        <f>VLOOKUP(B1524, Products!$A$2:$F$100, 4, FALSE)</f>
        <v>6</v>
      </c>
    </row>
    <row r="1525" spans="1:11" x14ac:dyDescent="0.3">
      <c r="A1525">
        <v>546</v>
      </c>
      <c r="B1525">
        <v>2</v>
      </c>
      <c r="C1525">
        <v>8</v>
      </c>
      <c r="D1525" t="str">
        <f>VLOOKUP(B1525, Products!$A$2:$C$100, 2, FALSE)</f>
        <v>Ritchey Timberwolf Frameset - 2016</v>
      </c>
      <c r="E1525">
        <v>1</v>
      </c>
      <c r="F1525">
        <v>1799.99</v>
      </c>
      <c r="G1525">
        <v>0.1</v>
      </c>
      <c r="H1525">
        <v>179.99900000000002</v>
      </c>
      <c r="I1525">
        <f>order_items[[#This Row],[list_price]]-order_items[[#This Row],[Discounted_price]]</f>
        <v>1619.991</v>
      </c>
      <c r="J1525">
        <f>VLOOKUP(B1525, Products!$A$2:$E$100, 3, FALSE)</f>
        <v>5</v>
      </c>
      <c r="K1525">
        <f>VLOOKUP(B1525, Products!$A$2:$F$100, 4, FALSE)</f>
        <v>6</v>
      </c>
    </row>
    <row r="1526" spans="1:11" x14ac:dyDescent="0.3">
      <c r="A1526">
        <v>546</v>
      </c>
      <c r="B1526">
        <v>3</v>
      </c>
      <c r="C1526">
        <v>18</v>
      </c>
      <c r="D1526" t="str">
        <f>VLOOKUP(B1526, Products!$A$2:$C$100, 2, FALSE)</f>
        <v>Surly Wednesday Frameset - 2016</v>
      </c>
      <c r="E1526">
        <v>2</v>
      </c>
      <c r="F1526">
        <v>449</v>
      </c>
      <c r="G1526">
        <v>7.0000000000000007E-2</v>
      </c>
      <c r="H1526">
        <v>31.430000000000003</v>
      </c>
      <c r="I1526">
        <f>order_items[[#This Row],[list_price]]-order_items[[#This Row],[Discounted_price]]</f>
        <v>417.57</v>
      </c>
      <c r="J1526">
        <f>VLOOKUP(B1526, Products!$A$2:$E$100, 3, FALSE)</f>
        <v>8</v>
      </c>
      <c r="K1526">
        <f>VLOOKUP(B1526, Products!$A$2:$F$100, 4, FALSE)</f>
        <v>6</v>
      </c>
    </row>
    <row r="1527" spans="1:11" x14ac:dyDescent="0.3">
      <c r="A1527">
        <v>547</v>
      </c>
      <c r="B1527">
        <v>1</v>
      </c>
      <c r="C1527">
        <v>11</v>
      </c>
      <c r="D1527" t="str">
        <f>VLOOKUP(B1527, Products!$A$2:$C$100, 2, FALSE)</f>
        <v>Trek 820 - 2016</v>
      </c>
      <c r="E1527">
        <v>2</v>
      </c>
      <c r="F1527">
        <v>1680.99</v>
      </c>
      <c r="G1527">
        <v>0.05</v>
      </c>
      <c r="H1527">
        <v>84.049500000000009</v>
      </c>
      <c r="I1527">
        <f>order_items[[#This Row],[list_price]]-order_items[[#This Row],[Discounted_price]]</f>
        <v>1596.9404999999999</v>
      </c>
      <c r="J1527">
        <f>VLOOKUP(B1527, Products!$A$2:$E$100, 3, FALSE)</f>
        <v>9</v>
      </c>
      <c r="K1527">
        <f>VLOOKUP(B1527, Products!$A$2:$F$100, 4, FALSE)</f>
        <v>6</v>
      </c>
    </row>
    <row r="1528" spans="1:11" x14ac:dyDescent="0.3">
      <c r="A1528">
        <v>547</v>
      </c>
      <c r="B1528">
        <v>2</v>
      </c>
      <c r="C1528">
        <v>9</v>
      </c>
      <c r="D1528" t="str">
        <f>VLOOKUP(B1528, Products!$A$2:$C$100, 2, FALSE)</f>
        <v>Ritchey Timberwolf Frameset - 2016</v>
      </c>
      <c r="E1528">
        <v>1</v>
      </c>
      <c r="F1528">
        <v>2999.99</v>
      </c>
      <c r="G1528">
        <v>0.2</v>
      </c>
      <c r="H1528">
        <v>599.99799999999993</v>
      </c>
      <c r="I1528">
        <f>order_items[[#This Row],[list_price]]-order_items[[#This Row],[Discounted_price]]</f>
        <v>2399.9919999999997</v>
      </c>
      <c r="J1528">
        <f>VLOOKUP(B1528, Products!$A$2:$E$100, 3, FALSE)</f>
        <v>5</v>
      </c>
      <c r="K1528">
        <f>VLOOKUP(B1528, Products!$A$2:$F$100, 4, FALSE)</f>
        <v>6</v>
      </c>
    </row>
    <row r="1529" spans="1:11" x14ac:dyDescent="0.3">
      <c r="A1529">
        <v>547</v>
      </c>
      <c r="B1529">
        <v>3</v>
      </c>
      <c r="C1529">
        <v>5</v>
      </c>
      <c r="D1529" t="str">
        <f>VLOOKUP(B1529, Products!$A$2:$C$100, 2, FALSE)</f>
        <v>Surly Wednesday Frameset - 2016</v>
      </c>
      <c r="E1529">
        <v>1</v>
      </c>
      <c r="F1529">
        <v>1320.99</v>
      </c>
      <c r="G1529">
        <v>0.1</v>
      </c>
      <c r="H1529">
        <v>132.09900000000002</v>
      </c>
      <c r="I1529">
        <f>order_items[[#This Row],[list_price]]-order_items[[#This Row],[Discounted_price]]</f>
        <v>1188.8910000000001</v>
      </c>
      <c r="J1529">
        <f>VLOOKUP(B1529, Products!$A$2:$E$100, 3, FALSE)</f>
        <v>8</v>
      </c>
      <c r="K1529">
        <f>VLOOKUP(B1529, Products!$A$2:$F$100, 4, FALSE)</f>
        <v>6</v>
      </c>
    </row>
    <row r="1530" spans="1:11" x14ac:dyDescent="0.3">
      <c r="A1530">
        <v>548</v>
      </c>
      <c r="B1530">
        <v>1</v>
      </c>
      <c r="C1530">
        <v>8</v>
      </c>
      <c r="D1530" t="str">
        <f>VLOOKUP(B1530, Products!$A$2:$C$100, 2, FALSE)</f>
        <v>Trek 820 - 2016</v>
      </c>
      <c r="E1530">
        <v>1</v>
      </c>
      <c r="F1530">
        <v>1799.99</v>
      </c>
      <c r="G1530">
        <v>0.1</v>
      </c>
      <c r="H1530">
        <v>179.99900000000002</v>
      </c>
      <c r="I1530">
        <f>order_items[[#This Row],[list_price]]-order_items[[#This Row],[Discounted_price]]</f>
        <v>1619.991</v>
      </c>
      <c r="J1530">
        <f>VLOOKUP(B1530, Products!$A$2:$E$100, 3, FALSE)</f>
        <v>9</v>
      </c>
      <c r="K1530">
        <f>VLOOKUP(B1530, Products!$A$2:$F$100, 4, FALSE)</f>
        <v>6</v>
      </c>
    </row>
    <row r="1531" spans="1:11" x14ac:dyDescent="0.3">
      <c r="A1531">
        <v>548</v>
      </c>
      <c r="B1531">
        <v>2</v>
      </c>
      <c r="C1531">
        <v>11</v>
      </c>
      <c r="D1531" t="str">
        <f>VLOOKUP(B1531, Products!$A$2:$C$100, 2, FALSE)</f>
        <v>Ritchey Timberwolf Frameset - 2016</v>
      </c>
      <c r="E1531">
        <v>2</v>
      </c>
      <c r="F1531">
        <v>1680.99</v>
      </c>
      <c r="G1531">
        <v>7.0000000000000007E-2</v>
      </c>
      <c r="H1531">
        <v>117.66930000000001</v>
      </c>
      <c r="I1531">
        <f>order_items[[#This Row],[list_price]]-order_items[[#This Row],[Discounted_price]]</f>
        <v>1563.3207</v>
      </c>
      <c r="J1531">
        <f>VLOOKUP(B1531, Products!$A$2:$E$100, 3, FALSE)</f>
        <v>5</v>
      </c>
      <c r="K1531">
        <f>VLOOKUP(B1531, Products!$A$2:$F$100, 4, FALSE)</f>
        <v>6</v>
      </c>
    </row>
    <row r="1532" spans="1:11" x14ac:dyDescent="0.3">
      <c r="A1532">
        <v>549</v>
      </c>
      <c r="B1532">
        <v>1</v>
      </c>
      <c r="C1532">
        <v>15</v>
      </c>
      <c r="D1532" t="str">
        <f>VLOOKUP(B1532, Products!$A$2:$C$100, 2, FALSE)</f>
        <v>Trek 820 - 2016</v>
      </c>
      <c r="E1532">
        <v>1</v>
      </c>
      <c r="F1532">
        <v>529.99</v>
      </c>
      <c r="G1532">
        <v>7.0000000000000007E-2</v>
      </c>
      <c r="H1532">
        <v>37.099300000000007</v>
      </c>
      <c r="I1532">
        <f>order_items[[#This Row],[list_price]]-order_items[[#This Row],[Discounted_price]]</f>
        <v>492.89069999999998</v>
      </c>
      <c r="J1532">
        <f>VLOOKUP(B1532, Products!$A$2:$E$100, 3, FALSE)</f>
        <v>9</v>
      </c>
      <c r="K1532">
        <f>VLOOKUP(B1532, Products!$A$2:$F$100, 4, FALSE)</f>
        <v>6</v>
      </c>
    </row>
    <row r="1533" spans="1:11" x14ac:dyDescent="0.3">
      <c r="A1533">
        <v>549</v>
      </c>
      <c r="B1533">
        <v>2</v>
      </c>
      <c r="C1533">
        <v>16</v>
      </c>
      <c r="D1533" t="str">
        <f>VLOOKUP(B1533, Products!$A$2:$C$100, 2, FALSE)</f>
        <v>Ritchey Timberwolf Frameset - 2016</v>
      </c>
      <c r="E1533">
        <v>1</v>
      </c>
      <c r="F1533">
        <v>599.99</v>
      </c>
      <c r="G1533">
        <v>0.05</v>
      </c>
      <c r="H1533">
        <v>29.999500000000001</v>
      </c>
      <c r="I1533">
        <f>order_items[[#This Row],[list_price]]-order_items[[#This Row],[Discounted_price]]</f>
        <v>569.9905</v>
      </c>
      <c r="J1533">
        <f>VLOOKUP(B1533, Products!$A$2:$E$100, 3, FALSE)</f>
        <v>5</v>
      </c>
      <c r="K1533">
        <f>VLOOKUP(B1533, Products!$A$2:$F$100, 4, FALSE)</f>
        <v>6</v>
      </c>
    </row>
    <row r="1534" spans="1:11" x14ac:dyDescent="0.3">
      <c r="A1534">
        <v>549</v>
      </c>
      <c r="B1534">
        <v>3</v>
      </c>
      <c r="C1534">
        <v>3</v>
      </c>
      <c r="D1534" t="str">
        <f>VLOOKUP(B1534, Products!$A$2:$C$100, 2, FALSE)</f>
        <v>Surly Wednesday Frameset - 2016</v>
      </c>
      <c r="E1534">
        <v>1</v>
      </c>
      <c r="F1534">
        <v>999.99</v>
      </c>
      <c r="G1534">
        <v>7.0000000000000007E-2</v>
      </c>
      <c r="H1534">
        <v>69.999300000000005</v>
      </c>
      <c r="I1534">
        <f>order_items[[#This Row],[list_price]]-order_items[[#This Row],[Discounted_price]]</f>
        <v>929.99070000000006</v>
      </c>
      <c r="J1534">
        <f>VLOOKUP(B1534, Products!$A$2:$E$100, 3, FALSE)</f>
        <v>8</v>
      </c>
      <c r="K1534">
        <f>VLOOKUP(B1534, Products!$A$2:$F$100, 4, FALSE)</f>
        <v>6</v>
      </c>
    </row>
    <row r="1535" spans="1:11" x14ac:dyDescent="0.3">
      <c r="A1535">
        <v>549</v>
      </c>
      <c r="B1535">
        <v>4</v>
      </c>
      <c r="C1535">
        <v>7</v>
      </c>
      <c r="D1535" t="str">
        <f>VLOOKUP(B1535, Products!$A$2:$C$100, 2, FALSE)</f>
        <v>Trek Fuel EX 8 29 - 2016</v>
      </c>
      <c r="E1535">
        <v>1</v>
      </c>
      <c r="F1535">
        <v>3999.99</v>
      </c>
      <c r="G1535">
        <v>0.05</v>
      </c>
      <c r="H1535">
        <v>199.99950000000001</v>
      </c>
      <c r="I1535">
        <f>order_items[[#This Row],[list_price]]-order_items[[#This Row],[Discounted_price]]</f>
        <v>3799.9904999999999</v>
      </c>
      <c r="J1535">
        <f>VLOOKUP(B1535, Products!$A$2:$E$100, 3, FALSE)</f>
        <v>9</v>
      </c>
      <c r="K1535">
        <f>VLOOKUP(B1535, Products!$A$2:$F$100, 4, FALSE)</f>
        <v>6</v>
      </c>
    </row>
    <row r="1536" spans="1:11" x14ac:dyDescent="0.3">
      <c r="A1536">
        <v>549</v>
      </c>
      <c r="B1536">
        <v>5</v>
      </c>
      <c r="C1536">
        <v>13</v>
      </c>
      <c r="D1536" t="str">
        <f>VLOOKUP(B1536, Products!$A$2:$C$100, 2, FALSE)</f>
        <v>Heller Shagamaw Frame - 2016</v>
      </c>
      <c r="E1536">
        <v>2</v>
      </c>
      <c r="F1536">
        <v>269.99</v>
      </c>
      <c r="G1536">
        <v>0.1</v>
      </c>
      <c r="H1536">
        <v>26.999000000000002</v>
      </c>
      <c r="I1536">
        <f>order_items[[#This Row],[list_price]]-order_items[[#This Row],[Discounted_price]]</f>
        <v>242.99100000000001</v>
      </c>
      <c r="J1536">
        <f>VLOOKUP(B1536, Products!$A$2:$E$100, 3, FALSE)</f>
        <v>3</v>
      </c>
      <c r="K1536">
        <f>VLOOKUP(B1536, Products!$A$2:$F$100, 4, FALSE)</f>
        <v>6</v>
      </c>
    </row>
    <row r="1537" spans="1:11" x14ac:dyDescent="0.3">
      <c r="A1537">
        <v>550</v>
      </c>
      <c r="B1537">
        <v>1</v>
      </c>
      <c r="C1537">
        <v>4</v>
      </c>
      <c r="D1537" t="str">
        <f>VLOOKUP(B1537, Products!$A$2:$C$100, 2, FALSE)</f>
        <v>Trek 820 - 2016</v>
      </c>
      <c r="E1537">
        <v>1</v>
      </c>
      <c r="F1537">
        <v>2899.99</v>
      </c>
      <c r="G1537">
        <v>0.05</v>
      </c>
      <c r="H1537">
        <v>144.99949999999998</v>
      </c>
      <c r="I1537">
        <f>order_items[[#This Row],[list_price]]-order_items[[#This Row],[Discounted_price]]</f>
        <v>2754.9904999999999</v>
      </c>
      <c r="J1537">
        <f>VLOOKUP(B1537, Products!$A$2:$E$100, 3, FALSE)</f>
        <v>9</v>
      </c>
      <c r="K1537">
        <f>VLOOKUP(B1537, Products!$A$2:$F$100, 4, FALSE)</f>
        <v>6</v>
      </c>
    </row>
    <row r="1538" spans="1:11" x14ac:dyDescent="0.3">
      <c r="A1538">
        <v>551</v>
      </c>
      <c r="B1538">
        <v>1</v>
      </c>
      <c r="C1538">
        <v>16</v>
      </c>
      <c r="D1538" t="str">
        <f>VLOOKUP(B1538, Products!$A$2:$C$100, 2, FALSE)</f>
        <v>Trek 820 - 2016</v>
      </c>
      <c r="E1538">
        <v>1</v>
      </c>
      <c r="F1538">
        <v>599.99</v>
      </c>
      <c r="G1538">
        <v>0.05</v>
      </c>
      <c r="H1538">
        <v>29.999500000000001</v>
      </c>
      <c r="I1538">
        <f>order_items[[#This Row],[list_price]]-order_items[[#This Row],[Discounted_price]]</f>
        <v>569.9905</v>
      </c>
      <c r="J1538">
        <f>VLOOKUP(B1538, Products!$A$2:$E$100, 3, FALSE)</f>
        <v>9</v>
      </c>
      <c r="K1538">
        <f>VLOOKUP(B1538, Products!$A$2:$F$100, 4, FALSE)</f>
        <v>6</v>
      </c>
    </row>
    <row r="1539" spans="1:11" x14ac:dyDescent="0.3">
      <c r="A1539">
        <v>551</v>
      </c>
      <c r="B1539">
        <v>2</v>
      </c>
      <c r="C1539">
        <v>26</v>
      </c>
      <c r="D1539" t="str">
        <f>VLOOKUP(B1539, Products!$A$2:$C$100, 2, FALSE)</f>
        <v>Ritchey Timberwolf Frameset - 2016</v>
      </c>
      <c r="E1539">
        <v>1</v>
      </c>
      <c r="F1539">
        <v>599.99</v>
      </c>
      <c r="G1539">
        <v>7.0000000000000007E-2</v>
      </c>
      <c r="H1539">
        <v>41.999300000000005</v>
      </c>
      <c r="I1539">
        <f>order_items[[#This Row],[list_price]]-order_items[[#This Row],[Discounted_price]]</f>
        <v>557.99070000000006</v>
      </c>
      <c r="J1539">
        <f>VLOOKUP(B1539, Products!$A$2:$E$100, 3, FALSE)</f>
        <v>5</v>
      </c>
      <c r="K1539">
        <f>VLOOKUP(B1539, Products!$A$2:$F$100, 4, FALSE)</f>
        <v>6</v>
      </c>
    </row>
    <row r="1540" spans="1:11" x14ac:dyDescent="0.3">
      <c r="A1540">
        <v>551</v>
      </c>
      <c r="B1540">
        <v>3</v>
      </c>
      <c r="C1540">
        <v>11</v>
      </c>
      <c r="D1540" t="str">
        <f>VLOOKUP(B1540, Products!$A$2:$C$100, 2, FALSE)</f>
        <v>Surly Wednesday Frameset - 2016</v>
      </c>
      <c r="E1540">
        <v>2</v>
      </c>
      <c r="F1540">
        <v>1680.99</v>
      </c>
      <c r="G1540">
        <v>0.2</v>
      </c>
      <c r="H1540">
        <v>336.19800000000004</v>
      </c>
      <c r="I1540">
        <f>order_items[[#This Row],[list_price]]-order_items[[#This Row],[Discounted_price]]</f>
        <v>1344.7919999999999</v>
      </c>
      <c r="J1540">
        <f>VLOOKUP(B1540, Products!$A$2:$E$100, 3, FALSE)</f>
        <v>8</v>
      </c>
      <c r="K1540">
        <f>VLOOKUP(B1540, Products!$A$2:$F$100, 4, FALSE)</f>
        <v>6</v>
      </c>
    </row>
    <row r="1541" spans="1:11" x14ac:dyDescent="0.3">
      <c r="A1541">
        <v>551</v>
      </c>
      <c r="B1541">
        <v>4</v>
      </c>
      <c r="C1541">
        <v>15</v>
      </c>
      <c r="D1541" t="str">
        <f>VLOOKUP(B1541, Products!$A$2:$C$100, 2, FALSE)</f>
        <v>Trek Fuel EX 8 29 - 2016</v>
      </c>
      <c r="E1541">
        <v>2</v>
      </c>
      <c r="F1541">
        <v>529.99</v>
      </c>
      <c r="G1541">
        <v>0.2</v>
      </c>
      <c r="H1541">
        <v>105.998</v>
      </c>
      <c r="I1541">
        <f>order_items[[#This Row],[list_price]]-order_items[[#This Row],[Discounted_price]]</f>
        <v>423.99200000000002</v>
      </c>
      <c r="J1541">
        <f>VLOOKUP(B1541, Products!$A$2:$E$100, 3, FALSE)</f>
        <v>9</v>
      </c>
      <c r="K1541">
        <f>VLOOKUP(B1541, Products!$A$2:$F$100, 4, FALSE)</f>
        <v>6</v>
      </c>
    </row>
    <row r="1542" spans="1:11" x14ac:dyDescent="0.3">
      <c r="A1542">
        <v>552</v>
      </c>
      <c r="B1542">
        <v>1</v>
      </c>
      <c r="C1542">
        <v>23</v>
      </c>
      <c r="D1542" t="str">
        <f>VLOOKUP(B1542, Products!$A$2:$C$100, 2, FALSE)</f>
        <v>Trek 820 - 2016</v>
      </c>
      <c r="E1542">
        <v>1</v>
      </c>
      <c r="F1542">
        <v>299.99</v>
      </c>
      <c r="G1542">
        <v>0.2</v>
      </c>
      <c r="H1542">
        <v>59.998000000000005</v>
      </c>
      <c r="I1542">
        <f>order_items[[#This Row],[list_price]]-order_items[[#This Row],[Discounted_price]]</f>
        <v>239.99200000000002</v>
      </c>
      <c r="J1542">
        <f>VLOOKUP(B1542, Products!$A$2:$E$100, 3, FALSE)</f>
        <v>9</v>
      </c>
      <c r="K1542">
        <f>VLOOKUP(B1542, Products!$A$2:$F$100, 4, FALSE)</f>
        <v>6</v>
      </c>
    </row>
    <row r="1543" spans="1:11" x14ac:dyDescent="0.3">
      <c r="A1543">
        <v>552</v>
      </c>
      <c r="B1543">
        <v>2</v>
      </c>
      <c r="C1543">
        <v>2</v>
      </c>
      <c r="D1543" t="str">
        <f>VLOOKUP(B1543, Products!$A$2:$C$100, 2, FALSE)</f>
        <v>Ritchey Timberwolf Frameset - 2016</v>
      </c>
      <c r="E1543">
        <v>1</v>
      </c>
      <c r="F1543">
        <v>749.99</v>
      </c>
      <c r="G1543">
        <v>0.2</v>
      </c>
      <c r="H1543">
        <v>149.99800000000002</v>
      </c>
      <c r="I1543">
        <f>order_items[[#This Row],[list_price]]-order_items[[#This Row],[Discounted_price]]</f>
        <v>599.99199999999996</v>
      </c>
      <c r="J1543">
        <f>VLOOKUP(B1543, Products!$A$2:$E$100, 3, FALSE)</f>
        <v>5</v>
      </c>
      <c r="K1543">
        <f>VLOOKUP(B1543, Products!$A$2:$F$100, 4, FALSE)</f>
        <v>6</v>
      </c>
    </row>
    <row r="1544" spans="1:11" x14ac:dyDescent="0.3">
      <c r="A1544">
        <v>552</v>
      </c>
      <c r="B1544">
        <v>3</v>
      </c>
      <c r="C1544">
        <v>24</v>
      </c>
      <c r="D1544" t="str">
        <f>VLOOKUP(B1544, Products!$A$2:$C$100, 2, FALSE)</f>
        <v>Surly Wednesday Frameset - 2016</v>
      </c>
      <c r="E1544">
        <v>1</v>
      </c>
      <c r="F1544">
        <v>549.99</v>
      </c>
      <c r="G1544">
        <v>0.2</v>
      </c>
      <c r="H1544">
        <v>109.998</v>
      </c>
      <c r="I1544">
        <f>order_items[[#This Row],[list_price]]-order_items[[#This Row],[Discounted_price]]</f>
        <v>439.99200000000002</v>
      </c>
      <c r="J1544">
        <f>VLOOKUP(B1544, Products!$A$2:$E$100, 3, FALSE)</f>
        <v>8</v>
      </c>
      <c r="K1544">
        <f>VLOOKUP(B1544, Products!$A$2:$F$100, 4, FALSE)</f>
        <v>6</v>
      </c>
    </row>
    <row r="1545" spans="1:11" x14ac:dyDescent="0.3">
      <c r="A1545">
        <v>552</v>
      </c>
      <c r="B1545">
        <v>4</v>
      </c>
      <c r="C1545">
        <v>18</v>
      </c>
      <c r="D1545" t="str">
        <f>VLOOKUP(B1545, Products!$A$2:$C$100, 2, FALSE)</f>
        <v>Trek Fuel EX 8 29 - 2016</v>
      </c>
      <c r="E1545">
        <v>1</v>
      </c>
      <c r="F1545">
        <v>449</v>
      </c>
      <c r="G1545">
        <v>0.1</v>
      </c>
      <c r="H1545">
        <v>44.900000000000006</v>
      </c>
      <c r="I1545">
        <f>order_items[[#This Row],[list_price]]-order_items[[#This Row],[Discounted_price]]</f>
        <v>404.1</v>
      </c>
      <c r="J1545">
        <f>VLOOKUP(B1545, Products!$A$2:$E$100, 3, FALSE)</f>
        <v>9</v>
      </c>
      <c r="K1545">
        <f>VLOOKUP(B1545, Products!$A$2:$F$100, 4, FALSE)</f>
        <v>6</v>
      </c>
    </row>
    <row r="1546" spans="1:11" x14ac:dyDescent="0.3">
      <c r="A1546">
        <v>552</v>
      </c>
      <c r="B1546">
        <v>5</v>
      </c>
      <c r="C1546">
        <v>19</v>
      </c>
      <c r="D1546" t="str">
        <f>VLOOKUP(B1546, Products!$A$2:$C$100, 2, FALSE)</f>
        <v>Heller Shagamaw Frame - 2016</v>
      </c>
      <c r="E1546">
        <v>2</v>
      </c>
      <c r="F1546">
        <v>449</v>
      </c>
      <c r="G1546">
        <v>0.2</v>
      </c>
      <c r="H1546">
        <v>89.800000000000011</v>
      </c>
      <c r="I1546">
        <f>order_items[[#This Row],[list_price]]-order_items[[#This Row],[Discounted_price]]</f>
        <v>359.2</v>
      </c>
      <c r="J1546">
        <f>VLOOKUP(B1546, Products!$A$2:$E$100, 3, FALSE)</f>
        <v>3</v>
      </c>
      <c r="K1546">
        <f>VLOOKUP(B1546, Products!$A$2:$F$100, 4, FALSE)</f>
        <v>6</v>
      </c>
    </row>
    <row r="1547" spans="1:11" x14ac:dyDescent="0.3">
      <c r="A1547">
        <v>553</v>
      </c>
      <c r="B1547">
        <v>1</v>
      </c>
      <c r="C1547">
        <v>24</v>
      </c>
      <c r="D1547" t="str">
        <f>VLOOKUP(B1547, Products!$A$2:$C$100, 2, FALSE)</f>
        <v>Trek 820 - 2016</v>
      </c>
      <c r="E1547">
        <v>1</v>
      </c>
      <c r="F1547">
        <v>549.99</v>
      </c>
      <c r="G1547">
        <v>0.1</v>
      </c>
      <c r="H1547">
        <v>54.999000000000002</v>
      </c>
      <c r="I1547">
        <f>order_items[[#This Row],[list_price]]-order_items[[#This Row],[Discounted_price]]</f>
        <v>494.99099999999999</v>
      </c>
      <c r="J1547">
        <f>VLOOKUP(B1547, Products!$A$2:$E$100, 3, FALSE)</f>
        <v>9</v>
      </c>
      <c r="K1547">
        <f>VLOOKUP(B1547, Products!$A$2:$F$100, 4, FALSE)</f>
        <v>6</v>
      </c>
    </row>
    <row r="1548" spans="1:11" x14ac:dyDescent="0.3">
      <c r="A1548">
        <v>553</v>
      </c>
      <c r="B1548">
        <v>2</v>
      </c>
      <c r="C1548">
        <v>18</v>
      </c>
      <c r="D1548" t="str">
        <f>VLOOKUP(B1548, Products!$A$2:$C$100, 2, FALSE)</f>
        <v>Ritchey Timberwolf Frameset - 2016</v>
      </c>
      <c r="E1548">
        <v>2</v>
      </c>
      <c r="F1548">
        <v>449</v>
      </c>
      <c r="G1548">
        <v>7.0000000000000007E-2</v>
      </c>
      <c r="H1548">
        <v>31.430000000000003</v>
      </c>
      <c r="I1548">
        <f>order_items[[#This Row],[list_price]]-order_items[[#This Row],[Discounted_price]]</f>
        <v>417.57</v>
      </c>
      <c r="J1548">
        <f>VLOOKUP(B1548, Products!$A$2:$E$100, 3, FALSE)</f>
        <v>5</v>
      </c>
      <c r="K1548">
        <f>VLOOKUP(B1548, Products!$A$2:$F$100, 4, FALSE)</f>
        <v>6</v>
      </c>
    </row>
    <row r="1549" spans="1:11" x14ac:dyDescent="0.3">
      <c r="A1549">
        <v>553</v>
      </c>
      <c r="B1549">
        <v>3</v>
      </c>
      <c r="C1549">
        <v>12</v>
      </c>
      <c r="D1549" t="str">
        <f>VLOOKUP(B1549, Products!$A$2:$C$100, 2, FALSE)</f>
        <v>Surly Wednesday Frameset - 2016</v>
      </c>
      <c r="E1549">
        <v>1</v>
      </c>
      <c r="F1549">
        <v>549.99</v>
      </c>
      <c r="G1549">
        <v>7.0000000000000007E-2</v>
      </c>
      <c r="H1549">
        <v>38.499300000000005</v>
      </c>
      <c r="I1549">
        <f>order_items[[#This Row],[list_price]]-order_items[[#This Row],[Discounted_price]]</f>
        <v>511.4907</v>
      </c>
      <c r="J1549">
        <f>VLOOKUP(B1549, Products!$A$2:$E$100, 3, FALSE)</f>
        <v>8</v>
      </c>
      <c r="K1549">
        <f>VLOOKUP(B1549, Products!$A$2:$F$100, 4, FALSE)</f>
        <v>6</v>
      </c>
    </row>
    <row r="1550" spans="1:11" x14ac:dyDescent="0.3">
      <c r="A1550">
        <v>554</v>
      </c>
      <c r="B1550">
        <v>1</v>
      </c>
      <c r="C1550">
        <v>3</v>
      </c>
      <c r="D1550" t="str">
        <f>VLOOKUP(B1550, Products!$A$2:$C$100, 2, FALSE)</f>
        <v>Trek 820 - 2016</v>
      </c>
      <c r="E1550">
        <v>2</v>
      </c>
      <c r="F1550">
        <v>999.99</v>
      </c>
      <c r="G1550">
        <v>7.0000000000000007E-2</v>
      </c>
      <c r="H1550">
        <v>69.999300000000005</v>
      </c>
      <c r="I1550">
        <f>order_items[[#This Row],[list_price]]-order_items[[#This Row],[Discounted_price]]</f>
        <v>929.99070000000006</v>
      </c>
      <c r="J1550">
        <f>VLOOKUP(B1550, Products!$A$2:$E$100, 3, FALSE)</f>
        <v>9</v>
      </c>
      <c r="K1550">
        <f>VLOOKUP(B1550, Products!$A$2:$F$100, 4, FALSE)</f>
        <v>6</v>
      </c>
    </row>
    <row r="1551" spans="1:11" x14ac:dyDescent="0.3">
      <c r="A1551">
        <v>554</v>
      </c>
      <c r="B1551">
        <v>2</v>
      </c>
      <c r="C1551">
        <v>22</v>
      </c>
      <c r="D1551" t="str">
        <f>VLOOKUP(B1551, Products!$A$2:$C$100, 2, FALSE)</f>
        <v>Ritchey Timberwolf Frameset - 2016</v>
      </c>
      <c r="E1551">
        <v>1</v>
      </c>
      <c r="F1551">
        <v>269.99</v>
      </c>
      <c r="G1551">
        <v>0.05</v>
      </c>
      <c r="H1551">
        <v>13.499500000000001</v>
      </c>
      <c r="I1551">
        <f>order_items[[#This Row],[list_price]]-order_items[[#This Row],[Discounted_price]]</f>
        <v>256.4905</v>
      </c>
      <c r="J1551">
        <f>VLOOKUP(B1551, Products!$A$2:$E$100, 3, FALSE)</f>
        <v>5</v>
      </c>
      <c r="K1551">
        <f>VLOOKUP(B1551, Products!$A$2:$F$100, 4, FALSE)</f>
        <v>6</v>
      </c>
    </row>
    <row r="1552" spans="1:11" x14ac:dyDescent="0.3">
      <c r="A1552">
        <v>554</v>
      </c>
      <c r="B1552">
        <v>3</v>
      </c>
      <c r="C1552">
        <v>4</v>
      </c>
      <c r="D1552" t="str">
        <f>VLOOKUP(B1552, Products!$A$2:$C$100, 2, FALSE)</f>
        <v>Surly Wednesday Frameset - 2016</v>
      </c>
      <c r="E1552">
        <v>2</v>
      </c>
      <c r="F1552">
        <v>2899.99</v>
      </c>
      <c r="G1552">
        <v>0.2</v>
      </c>
      <c r="H1552">
        <v>579.99799999999993</v>
      </c>
      <c r="I1552">
        <f>order_items[[#This Row],[list_price]]-order_items[[#This Row],[Discounted_price]]</f>
        <v>2319.9919999999997</v>
      </c>
      <c r="J1552">
        <f>VLOOKUP(B1552, Products!$A$2:$E$100, 3, FALSE)</f>
        <v>8</v>
      </c>
      <c r="K1552">
        <f>VLOOKUP(B1552, Products!$A$2:$F$100, 4, FALSE)</f>
        <v>6</v>
      </c>
    </row>
    <row r="1553" spans="1:11" x14ac:dyDescent="0.3">
      <c r="A1553">
        <v>555</v>
      </c>
      <c r="B1553">
        <v>1</v>
      </c>
      <c r="C1553">
        <v>8</v>
      </c>
      <c r="D1553" t="str">
        <f>VLOOKUP(B1553, Products!$A$2:$C$100, 2, FALSE)</f>
        <v>Trek 820 - 2016</v>
      </c>
      <c r="E1553">
        <v>1</v>
      </c>
      <c r="F1553">
        <v>1799.99</v>
      </c>
      <c r="G1553">
        <v>0.2</v>
      </c>
      <c r="H1553">
        <v>359.99800000000005</v>
      </c>
      <c r="I1553">
        <f>order_items[[#This Row],[list_price]]-order_items[[#This Row],[Discounted_price]]</f>
        <v>1439.992</v>
      </c>
      <c r="J1553">
        <f>VLOOKUP(B1553, Products!$A$2:$E$100, 3, FALSE)</f>
        <v>9</v>
      </c>
      <c r="K1553">
        <f>VLOOKUP(B1553, Products!$A$2:$F$100, 4, FALSE)</f>
        <v>6</v>
      </c>
    </row>
    <row r="1554" spans="1:11" x14ac:dyDescent="0.3">
      <c r="A1554">
        <v>555</v>
      </c>
      <c r="B1554">
        <v>2</v>
      </c>
      <c r="C1554">
        <v>7</v>
      </c>
      <c r="D1554" t="str">
        <f>VLOOKUP(B1554, Products!$A$2:$C$100, 2, FALSE)</f>
        <v>Ritchey Timberwolf Frameset - 2016</v>
      </c>
      <c r="E1554">
        <v>1</v>
      </c>
      <c r="F1554">
        <v>3999.99</v>
      </c>
      <c r="G1554">
        <v>0.1</v>
      </c>
      <c r="H1554">
        <v>399.99900000000002</v>
      </c>
      <c r="I1554">
        <f>order_items[[#This Row],[list_price]]-order_items[[#This Row],[Discounted_price]]</f>
        <v>3599.991</v>
      </c>
      <c r="J1554">
        <f>VLOOKUP(B1554, Products!$A$2:$E$100, 3, FALSE)</f>
        <v>5</v>
      </c>
      <c r="K1554">
        <f>VLOOKUP(B1554, Products!$A$2:$F$100, 4, FALSE)</f>
        <v>6</v>
      </c>
    </row>
    <row r="1555" spans="1:11" x14ac:dyDescent="0.3">
      <c r="A1555">
        <v>555</v>
      </c>
      <c r="B1555">
        <v>3</v>
      </c>
      <c r="C1555">
        <v>20</v>
      </c>
      <c r="D1555" t="str">
        <f>VLOOKUP(B1555, Products!$A$2:$C$100, 2, FALSE)</f>
        <v>Surly Wednesday Frameset - 2016</v>
      </c>
      <c r="E1555">
        <v>2</v>
      </c>
      <c r="F1555">
        <v>599.99</v>
      </c>
      <c r="G1555">
        <v>7.0000000000000007E-2</v>
      </c>
      <c r="H1555">
        <v>41.999300000000005</v>
      </c>
      <c r="I1555">
        <f>order_items[[#This Row],[list_price]]-order_items[[#This Row],[Discounted_price]]</f>
        <v>557.99070000000006</v>
      </c>
      <c r="J1555">
        <f>VLOOKUP(B1555, Products!$A$2:$E$100, 3, FALSE)</f>
        <v>8</v>
      </c>
      <c r="K1555">
        <f>VLOOKUP(B1555, Products!$A$2:$F$100, 4, FALSE)</f>
        <v>6</v>
      </c>
    </row>
    <row r="1556" spans="1:11" x14ac:dyDescent="0.3">
      <c r="A1556">
        <v>556</v>
      </c>
      <c r="B1556">
        <v>1</v>
      </c>
      <c r="C1556">
        <v>16</v>
      </c>
      <c r="D1556" t="str">
        <f>VLOOKUP(B1556, Products!$A$2:$C$100, 2, FALSE)</f>
        <v>Trek 820 - 2016</v>
      </c>
      <c r="E1556">
        <v>1</v>
      </c>
      <c r="F1556">
        <v>599.99</v>
      </c>
      <c r="G1556">
        <v>0.1</v>
      </c>
      <c r="H1556">
        <v>59.999000000000002</v>
      </c>
      <c r="I1556">
        <f>order_items[[#This Row],[list_price]]-order_items[[#This Row],[Discounted_price]]</f>
        <v>539.99099999999999</v>
      </c>
      <c r="J1556">
        <f>VLOOKUP(B1556, Products!$A$2:$E$100, 3, FALSE)</f>
        <v>9</v>
      </c>
      <c r="K1556">
        <f>VLOOKUP(B1556, Products!$A$2:$F$100, 4, FALSE)</f>
        <v>6</v>
      </c>
    </row>
    <row r="1557" spans="1:11" x14ac:dyDescent="0.3">
      <c r="A1557">
        <v>556</v>
      </c>
      <c r="B1557">
        <v>2</v>
      </c>
      <c r="C1557">
        <v>4</v>
      </c>
      <c r="D1557" t="str">
        <f>VLOOKUP(B1557, Products!$A$2:$C$100, 2, FALSE)</f>
        <v>Ritchey Timberwolf Frameset - 2016</v>
      </c>
      <c r="E1557">
        <v>2</v>
      </c>
      <c r="F1557">
        <v>2899.99</v>
      </c>
      <c r="G1557">
        <v>0.2</v>
      </c>
      <c r="H1557">
        <v>579.99799999999993</v>
      </c>
      <c r="I1557">
        <f>order_items[[#This Row],[list_price]]-order_items[[#This Row],[Discounted_price]]</f>
        <v>2319.9919999999997</v>
      </c>
      <c r="J1557">
        <f>VLOOKUP(B1557, Products!$A$2:$E$100, 3, FALSE)</f>
        <v>5</v>
      </c>
      <c r="K1557">
        <f>VLOOKUP(B1557, Products!$A$2:$F$100, 4, FALSE)</f>
        <v>6</v>
      </c>
    </row>
    <row r="1558" spans="1:11" x14ac:dyDescent="0.3">
      <c r="A1558">
        <v>557</v>
      </c>
      <c r="B1558">
        <v>1</v>
      </c>
      <c r="C1558">
        <v>9</v>
      </c>
      <c r="D1558" t="str">
        <f>VLOOKUP(B1558, Products!$A$2:$C$100, 2, FALSE)</f>
        <v>Trek 820 - 2016</v>
      </c>
      <c r="E1558">
        <v>2</v>
      </c>
      <c r="F1558">
        <v>2999.99</v>
      </c>
      <c r="G1558">
        <v>0.1</v>
      </c>
      <c r="H1558">
        <v>299.99899999999997</v>
      </c>
      <c r="I1558">
        <f>order_items[[#This Row],[list_price]]-order_items[[#This Row],[Discounted_price]]</f>
        <v>2699.991</v>
      </c>
      <c r="J1558">
        <f>VLOOKUP(B1558, Products!$A$2:$E$100, 3, FALSE)</f>
        <v>9</v>
      </c>
      <c r="K1558">
        <f>VLOOKUP(B1558, Products!$A$2:$F$100, 4, FALSE)</f>
        <v>6</v>
      </c>
    </row>
    <row r="1559" spans="1:11" x14ac:dyDescent="0.3">
      <c r="A1559">
        <v>557</v>
      </c>
      <c r="B1559">
        <v>2</v>
      </c>
      <c r="C1559">
        <v>10</v>
      </c>
      <c r="D1559" t="str">
        <f>VLOOKUP(B1559, Products!$A$2:$C$100, 2, FALSE)</f>
        <v>Ritchey Timberwolf Frameset - 2016</v>
      </c>
      <c r="E1559">
        <v>1</v>
      </c>
      <c r="F1559">
        <v>1549</v>
      </c>
      <c r="G1559">
        <v>0.1</v>
      </c>
      <c r="H1559">
        <v>154.9</v>
      </c>
      <c r="I1559">
        <f>order_items[[#This Row],[list_price]]-order_items[[#This Row],[Discounted_price]]</f>
        <v>1394.1</v>
      </c>
      <c r="J1559">
        <f>VLOOKUP(B1559, Products!$A$2:$E$100, 3, FALSE)</f>
        <v>5</v>
      </c>
      <c r="K1559">
        <f>VLOOKUP(B1559, Products!$A$2:$F$100, 4, FALSE)</f>
        <v>6</v>
      </c>
    </row>
    <row r="1560" spans="1:11" x14ac:dyDescent="0.3">
      <c r="A1560">
        <v>558</v>
      </c>
      <c r="B1560">
        <v>1</v>
      </c>
      <c r="C1560">
        <v>7</v>
      </c>
      <c r="D1560" t="str">
        <f>VLOOKUP(B1560, Products!$A$2:$C$100, 2, FALSE)</f>
        <v>Trek 820 - 2016</v>
      </c>
      <c r="E1560">
        <v>1</v>
      </c>
      <c r="F1560">
        <v>3999.99</v>
      </c>
      <c r="G1560">
        <v>7.0000000000000007E-2</v>
      </c>
      <c r="H1560">
        <v>279.99930000000001</v>
      </c>
      <c r="I1560">
        <f>order_items[[#This Row],[list_price]]-order_items[[#This Row],[Discounted_price]]</f>
        <v>3719.9906999999998</v>
      </c>
      <c r="J1560">
        <f>VLOOKUP(B1560, Products!$A$2:$E$100, 3, FALSE)</f>
        <v>9</v>
      </c>
      <c r="K1560">
        <f>VLOOKUP(B1560, Products!$A$2:$F$100, 4, FALSE)</f>
        <v>6</v>
      </c>
    </row>
    <row r="1561" spans="1:11" x14ac:dyDescent="0.3">
      <c r="A1561">
        <v>558</v>
      </c>
      <c r="B1561">
        <v>2</v>
      </c>
      <c r="C1561">
        <v>16</v>
      </c>
      <c r="D1561" t="str">
        <f>VLOOKUP(B1561, Products!$A$2:$C$100, 2, FALSE)</f>
        <v>Ritchey Timberwolf Frameset - 2016</v>
      </c>
      <c r="E1561">
        <v>1</v>
      </c>
      <c r="F1561">
        <v>599.99</v>
      </c>
      <c r="G1561">
        <v>7.0000000000000007E-2</v>
      </c>
      <c r="H1561">
        <v>41.999300000000005</v>
      </c>
      <c r="I1561">
        <f>order_items[[#This Row],[list_price]]-order_items[[#This Row],[Discounted_price]]</f>
        <v>557.99070000000006</v>
      </c>
      <c r="J1561">
        <f>VLOOKUP(B1561, Products!$A$2:$E$100, 3, FALSE)</f>
        <v>5</v>
      </c>
      <c r="K1561">
        <f>VLOOKUP(B1561, Products!$A$2:$F$100, 4, FALSE)</f>
        <v>6</v>
      </c>
    </row>
    <row r="1562" spans="1:11" x14ac:dyDescent="0.3">
      <c r="A1562">
        <v>558</v>
      </c>
      <c r="B1562">
        <v>3</v>
      </c>
      <c r="C1562">
        <v>9</v>
      </c>
      <c r="D1562" t="str">
        <f>VLOOKUP(B1562, Products!$A$2:$C$100, 2, FALSE)</f>
        <v>Surly Wednesday Frameset - 2016</v>
      </c>
      <c r="E1562">
        <v>1</v>
      </c>
      <c r="F1562">
        <v>2999.99</v>
      </c>
      <c r="G1562">
        <v>0.1</v>
      </c>
      <c r="H1562">
        <v>299.99899999999997</v>
      </c>
      <c r="I1562">
        <f>order_items[[#This Row],[list_price]]-order_items[[#This Row],[Discounted_price]]</f>
        <v>2699.991</v>
      </c>
      <c r="J1562">
        <f>VLOOKUP(B1562, Products!$A$2:$E$100, 3, FALSE)</f>
        <v>8</v>
      </c>
      <c r="K1562">
        <f>VLOOKUP(B1562, Products!$A$2:$F$100, 4, FALSE)</f>
        <v>6</v>
      </c>
    </row>
    <row r="1563" spans="1:11" x14ac:dyDescent="0.3">
      <c r="A1563">
        <v>558</v>
      </c>
      <c r="B1563">
        <v>4</v>
      </c>
      <c r="C1563">
        <v>21</v>
      </c>
      <c r="D1563" t="str">
        <f>VLOOKUP(B1563, Products!$A$2:$C$100, 2, FALSE)</f>
        <v>Trek Fuel EX 8 29 - 2016</v>
      </c>
      <c r="E1563">
        <v>2</v>
      </c>
      <c r="F1563">
        <v>269.99</v>
      </c>
      <c r="G1563">
        <v>0.05</v>
      </c>
      <c r="H1563">
        <v>13.499500000000001</v>
      </c>
      <c r="I1563">
        <f>order_items[[#This Row],[list_price]]-order_items[[#This Row],[Discounted_price]]</f>
        <v>256.4905</v>
      </c>
      <c r="J1563">
        <f>VLOOKUP(B1563, Products!$A$2:$E$100, 3, FALSE)</f>
        <v>9</v>
      </c>
      <c r="K1563">
        <f>VLOOKUP(B1563, Products!$A$2:$F$100, 4, FALSE)</f>
        <v>6</v>
      </c>
    </row>
    <row r="1564" spans="1:11" x14ac:dyDescent="0.3">
      <c r="A1564">
        <v>558</v>
      </c>
      <c r="B1564">
        <v>5</v>
      </c>
      <c r="C1564">
        <v>10</v>
      </c>
      <c r="D1564" t="str">
        <f>VLOOKUP(B1564, Products!$A$2:$C$100, 2, FALSE)</f>
        <v>Heller Shagamaw Frame - 2016</v>
      </c>
      <c r="E1564">
        <v>2</v>
      </c>
      <c r="F1564">
        <v>1549</v>
      </c>
      <c r="G1564">
        <v>7.0000000000000007E-2</v>
      </c>
      <c r="H1564">
        <v>108.43</v>
      </c>
      <c r="I1564">
        <f>order_items[[#This Row],[list_price]]-order_items[[#This Row],[Discounted_price]]</f>
        <v>1440.57</v>
      </c>
      <c r="J1564">
        <f>VLOOKUP(B1564, Products!$A$2:$E$100, 3, FALSE)</f>
        <v>3</v>
      </c>
      <c r="K1564">
        <f>VLOOKUP(B1564, Products!$A$2:$F$100, 4, FALSE)</f>
        <v>6</v>
      </c>
    </row>
    <row r="1565" spans="1:11" x14ac:dyDescent="0.3">
      <c r="A1565">
        <v>559</v>
      </c>
      <c r="B1565">
        <v>1</v>
      </c>
      <c r="C1565">
        <v>15</v>
      </c>
      <c r="D1565" t="str">
        <f>VLOOKUP(B1565, Products!$A$2:$C$100, 2, FALSE)</f>
        <v>Trek 820 - 2016</v>
      </c>
      <c r="E1565">
        <v>2</v>
      </c>
      <c r="F1565">
        <v>529.99</v>
      </c>
      <c r="G1565">
        <v>0.1</v>
      </c>
      <c r="H1565">
        <v>52.999000000000002</v>
      </c>
      <c r="I1565">
        <f>order_items[[#This Row],[list_price]]-order_items[[#This Row],[Discounted_price]]</f>
        <v>476.99099999999999</v>
      </c>
      <c r="J1565">
        <f>VLOOKUP(B1565, Products!$A$2:$E$100, 3, FALSE)</f>
        <v>9</v>
      </c>
      <c r="K1565">
        <f>VLOOKUP(B1565, Products!$A$2:$F$100, 4, FALSE)</f>
        <v>6</v>
      </c>
    </row>
    <row r="1566" spans="1:11" x14ac:dyDescent="0.3">
      <c r="A1566">
        <v>559</v>
      </c>
      <c r="B1566">
        <v>2</v>
      </c>
      <c r="C1566">
        <v>6</v>
      </c>
      <c r="D1566" t="str">
        <f>VLOOKUP(B1566, Products!$A$2:$C$100, 2, FALSE)</f>
        <v>Ritchey Timberwolf Frameset - 2016</v>
      </c>
      <c r="E1566">
        <v>1</v>
      </c>
      <c r="F1566">
        <v>469.99</v>
      </c>
      <c r="G1566">
        <v>0.1</v>
      </c>
      <c r="H1566">
        <v>46.999000000000002</v>
      </c>
      <c r="I1566">
        <f>order_items[[#This Row],[list_price]]-order_items[[#This Row],[Discounted_price]]</f>
        <v>422.99099999999999</v>
      </c>
      <c r="J1566">
        <f>VLOOKUP(B1566, Products!$A$2:$E$100, 3, FALSE)</f>
        <v>5</v>
      </c>
      <c r="K1566">
        <f>VLOOKUP(B1566, Products!$A$2:$F$100, 4, FALSE)</f>
        <v>6</v>
      </c>
    </row>
    <row r="1567" spans="1:11" x14ac:dyDescent="0.3">
      <c r="A1567">
        <v>559</v>
      </c>
      <c r="B1567">
        <v>3</v>
      </c>
      <c r="C1567">
        <v>7</v>
      </c>
      <c r="D1567" t="str">
        <f>VLOOKUP(B1567, Products!$A$2:$C$100, 2, FALSE)</f>
        <v>Surly Wednesday Frameset - 2016</v>
      </c>
      <c r="E1567">
        <v>2</v>
      </c>
      <c r="F1567">
        <v>3999.99</v>
      </c>
      <c r="G1567">
        <v>7.0000000000000007E-2</v>
      </c>
      <c r="H1567">
        <v>279.99930000000001</v>
      </c>
      <c r="I1567">
        <f>order_items[[#This Row],[list_price]]-order_items[[#This Row],[Discounted_price]]</f>
        <v>3719.9906999999998</v>
      </c>
      <c r="J1567">
        <f>VLOOKUP(B1567, Products!$A$2:$E$100, 3, FALSE)</f>
        <v>8</v>
      </c>
      <c r="K1567">
        <f>VLOOKUP(B1567, Products!$A$2:$F$100, 4, FALSE)</f>
        <v>6</v>
      </c>
    </row>
    <row r="1568" spans="1:11" x14ac:dyDescent="0.3">
      <c r="A1568">
        <v>560</v>
      </c>
      <c r="B1568">
        <v>1</v>
      </c>
      <c r="C1568">
        <v>16</v>
      </c>
      <c r="D1568" t="str">
        <f>VLOOKUP(B1568, Products!$A$2:$C$100, 2, FALSE)</f>
        <v>Trek 820 - 2016</v>
      </c>
      <c r="E1568">
        <v>1</v>
      </c>
      <c r="F1568">
        <v>599.99</v>
      </c>
      <c r="G1568">
        <v>0.05</v>
      </c>
      <c r="H1568">
        <v>29.999500000000001</v>
      </c>
      <c r="I1568">
        <f>order_items[[#This Row],[list_price]]-order_items[[#This Row],[Discounted_price]]</f>
        <v>569.9905</v>
      </c>
      <c r="J1568">
        <f>VLOOKUP(B1568, Products!$A$2:$E$100, 3, FALSE)</f>
        <v>9</v>
      </c>
      <c r="K1568">
        <f>VLOOKUP(B1568, Products!$A$2:$F$100, 4, FALSE)</f>
        <v>6</v>
      </c>
    </row>
    <row r="1569" spans="1:11" x14ac:dyDescent="0.3">
      <c r="A1569">
        <v>560</v>
      </c>
      <c r="B1569">
        <v>2</v>
      </c>
      <c r="C1569">
        <v>26</v>
      </c>
      <c r="D1569" t="str">
        <f>VLOOKUP(B1569, Products!$A$2:$C$100, 2, FALSE)</f>
        <v>Ritchey Timberwolf Frameset - 2016</v>
      </c>
      <c r="E1569">
        <v>2</v>
      </c>
      <c r="F1569">
        <v>599.99</v>
      </c>
      <c r="G1569">
        <v>0.1</v>
      </c>
      <c r="H1569">
        <v>59.999000000000002</v>
      </c>
      <c r="I1569">
        <f>order_items[[#This Row],[list_price]]-order_items[[#This Row],[Discounted_price]]</f>
        <v>539.99099999999999</v>
      </c>
      <c r="J1569">
        <f>VLOOKUP(B1569, Products!$A$2:$E$100, 3, FALSE)</f>
        <v>5</v>
      </c>
      <c r="K1569">
        <f>VLOOKUP(B1569, Products!$A$2:$F$100, 4, FALSE)</f>
        <v>6</v>
      </c>
    </row>
    <row r="1570" spans="1:11" x14ac:dyDescent="0.3">
      <c r="A1570">
        <v>561</v>
      </c>
      <c r="B1570">
        <v>1</v>
      </c>
      <c r="C1570">
        <v>15</v>
      </c>
      <c r="D1570" t="str">
        <f>VLOOKUP(B1570, Products!$A$2:$C$100, 2, FALSE)</f>
        <v>Trek 820 - 2016</v>
      </c>
      <c r="E1570">
        <v>2</v>
      </c>
      <c r="F1570">
        <v>529.99</v>
      </c>
      <c r="G1570">
        <v>0.05</v>
      </c>
      <c r="H1570">
        <v>26.499500000000001</v>
      </c>
      <c r="I1570">
        <f>order_items[[#This Row],[list_price]]-order_items[[#This Row],[Discounted_price]]</f>
        <v>503.4905</v>
      </c>
      <c r="J1570">
        <f>VLOOKUP(B1570, Products!$A$2:$E$100, 3, FALSE)</f>
        <v>9</v>
      </c>
      <c r="K1570">
        <f>VLOOKUP(B1570, Products!$A$2:$F$100, 4, FALSE)</f>
        <v>6</v>
      </c>
    </row>
    <row r="1571" spans="1:11" x14ac:dyDescent="0.3">
      <c r="A1571">
        <v>561</v>
      </c>
      <c r="B1571">
        <v>2</v>
      </c>
      <c r="C1571">
        <v>18</v>
      </c>
      <c r="D1571" t="str">
        <f>VLOOKUP(B1571, Products!$A$2:$C$100, 2, FALSE)</f>
        <v>Ritchey Timberwolf Frameset - 2016</v>
      </c>
      <c r="E1571">
        <v>1</v>
      </c>
      <c r="F1571">
        <v>449</v>
      </c>
      <c r="G1571">
        <v>0.05</v>
      </c>
      <c r="H1571">
        <v>22.450000000000003</v>
      </c>
      <c r="I1571">
        <f>order_items[[#This Row],[list_price]]-order_items[[#This Row],[Discounted_price]]</f>
        <v>426.55</v>
      </c>
      <c r="J1571">
        <f>VLOOKUP(B1571, Products!$A$2:$E$100, 3, FALSE)</f>
        <v>5</v>
      </c>
      <c r="K1571">
        <f>VLOOKUP(B1571, Products!$A$2:$F$100, 4, FALSE)</f>
        <v>6</v>
      </c>
    </row>
    <row r="1572" spans="1:11" x14ac:dyDescent="0.3">
      <c r="A1572">
        <v>561</v>
      </c>
      <c r="B1572">
        <v>3</v>
      </c>
      <c r="C1572">
        <v>5</v>
      </c>
      <c r="D1572" t="str">
        <f>VLOOKUP(B1572, Products!$A$2:$C$100, 2, FALSE)</f>
        <v>Surly Wednesday Frameset - 2016</v>
      </c>
      <c r="E1572">
        <v>1</v>
      </c>
      <c r="F1572">
        <v>1320.99</v>
      </c>
      <c r="G1572">
        <v>0.05</v>
      </c>
      <c r="H1572">
        <v>66.049500000000009</v>
      </c>
      <c r="I1572">
        <f>order_items[[#This Row],[list_price]]-order_items[[#This Row],[Discounted_price]]</f>
        <v>1254.9404999999999</v>
      </c>
      <c r="J1572">
        <f>VLOOKUP(B1572, Products!$A$2:$E$100, 3, FALSE)</f>
        <v>8</v>
      </c>
      <c r="K1572">
        <f>VLOOKUP(B1572, Products!$A$2:$F$100, 4, FALSE)</f>
        <v>6</v>
      </c>
    </row>
    <row r="1573" spans="1:11" x14ac:dyDescent="0.3">
      <c r="A1573">
        <v>561</v>
      </c>
      <c r="B1573">
        <v>4</v>
      </c>
      <c r="C1573">
        <v>17</v>
      </c>
      <c r="D1573" t="str">
        <f>VLOOKUP(B1573, Products!$A$2:$C$100, 2, FALSE)</f>
        <v>Trek Fuel EX 8 29 - 2016</v>
      </c>
      <c r="E1573">
        <v>2</v>
      </c>
      <c r="F1573">
        <v>429</v>
      </c>
      <c r="G1573">
        <v>7.0000000000000007E-2</v>
      </c>
      <c r="H1573">
        <v>30.03</v>
      </c>
      <c r="I1573">
        <f>order_items[[#This Row],[list_price]]-order_items[[#This Row],[Discounted_price]]</f>
        <v>398.97</v>
      </c>
      <c r="J1573">
        <f>VLOOKUP(B1573, Products!$A$2:$E$100, 3, FALSE)</f>
        <v>9</v>
      </c>
      <c r="K1573">
        <f>VLOOKUP(B1573, Products!$A$2:$F$100, 4, FALSE)</f>
        <v>6</v>
      </c>
    </row>
    <row r="1574" spans="1:11" x14ac:dyDescent="0.3">
      <c r="A1574">
        <v>562</v>
      </c>
      <c r="B1574">
        <v>1</v>
      </c>
      <c r="C1574">
        <v>25</v>
      </c>
      <c r="D1574" t="str">
        <f>VLOOKUP(B1574, Products!$A$2:$C$100, 2, FALSE)</f>
        <v>Trek 820 - 2016</v>
      </c>
      <c r="E1574">
        <v>2</v>
      </c>
      <c r="F1574">
        <v>499.99</v>
      </c>
      <c r="G1574">
        <v>7.0000000000000007E-2</v>
      </c>
      <c r="H1574">
        <v>34.999300000000005</v>
      </c>
      <c r="I1574">
        <f>order_items[[#This Row],[list_price]]-order_items[[#This Row],[Discounted_price]]</f>
        <v>464.9907</v>
      </c>
      <c r="J1574">
        <f>VLOOKUP(B1574, Products!$A$2:$E$100, 3, FALSE)</f>
        <v>9</v>
      </c>
      <c r="K1574">
        <f>VLOOKUP(B1574, Products!$A$2:$F$100, 4, FALSE)</f>
        <v>6</v>
      </c>
    </row>
    <row r="1575" spans="1:11" x14ac:dyDescent="0.3">
      <c r="A1575">
        <v>562</v>
      </c>
      <c r="B1575">
        <v>2</v>
      </c>
      <c r="C1575">
        <v>26</v>
      </c>
      <c r="D1575" t="str">
        <f>VLOOKUP(B1575, Products!$A$2:$C$100, 2, FALSE)</f>
        <v>Ritchey Timberwolf Frameset - 2016</v>
      </c>
      <c r="E1575">
        <v>1</v>
      </c>
      <c r="F1575">
        <v>599.99</v>
      </c>
      <c r="G1575">
        <v>0.05</v>
      </c>
      <c r="H1575">
        <v>29.999500000000001</v>
      </c>
      <c r="I1575">
        <f>order_items[[#This Row],[list_price]]-order_items[[#This Row],[Discounted_price]]</f>
        <v>569.9905</v>
      </c>
      <c r="J1575">
        <f>VLOOKUP(B1575, Products!$A$2:$E$100, 3, FALSE)</f>
        <v>5</v>
      </c>
      <c r="K1575">
        <f>VLOOKUP(B1575, Products!$A$2:$F$100, 4, FALSE)</f>
        <v>6</v>
      </c>
    </row>
    <row r="1576" spans="1:11" x14ac:dyDescent="0.3">
      <c r="A1576">
        <v>563</v>
      </c>
      <c r="B1576">
        <v>1</v>
      </c>
      <c r="C1576">
        <v>6</v>
      </c>
      <c r="D1576" t="str">
        <f>VLOOKUP(B1576, Products!$A$2:$C$100, 2, FALSE)</f>
        <v>Trek 820 - 2016</v>
      </c>
      <c r="E1576">
        <v>2</v>
      </c>
      <c r="F1576">
        <v>469.99</v>
      </c>
      <c r="G1576">
        <v>0.1</v>
      </c>
      <c r="H1576">
        <v>46.999000000000002</v>
      </c>
      <c r="I1576">
        <f>order_items[[#This Row],[list_price]]-order_items[[#This Row],[Discounted_price]]</f>
        <v>422.99099999999999</v>
      </c>
      <c r="J1576">
        <f>VLOOKUP(B1576, Products!$A$2:$E$100, 3, FALSE)</f>
        <v>9</v>
      </c>
      <c r="K1576">
        <f>VLOOKUP(B1576, Products!$A$2:$F$100, 4, FALSE)</f>
        <v>6</v>
      </c>
    </row>
    <row r="1577" spans="1:11" x14ac:dyDescent="0.3">
      <c r="A1577">
        <v>563</v>
      </c>
      <c r="B1577">
        <v>2</v>
      </c>
      <c r="C1577">
        <v>19</v>
      </c>
      <c r="D1577" t="str">
        <f>VLOOKUP(B1577, Products!$A$2:$C$100, 2, FALSE)</f>
        <v>Ritchey Timberwolf Frameset - 2016</v>
      </c>
      <c r="E1577">
        <v>1</v>
      </c>
      <c r="F1577">
        <v>449</v>
      </c>
      <c r="G1577">
        <v>0.05</v>
      </c>
      <c r="H1577">
        <v>22.450000000000003</v>
      </c>
      <c r="I1577">
        <f>order_items[[#This Row],[list_price]]-order_items[[#This Row],[Discounted_price]]</f>
        <v>426.55</v>
      </c>
      <c r="J1577">
        <f>VLOOKUP(B1577, Products!$A$2:$E$100, 3, FALSE)</f>
        <v>5</v>
      </c>
      <c r="K1577">
        <f>VLOOKUP(B1577, Products!$A$2:$F$100, 4, FALSE)</f>
        <v>6</v>
      </c>
    </row>
    <row r="1578" spans="1:11" x14ac:dyDescent="0.3">
      <c r="A1578">
        <v>563</v>
      </c>
      <c r="B1578">
        <v>3</v>
      </c>
      <c r="C1578">
        <v>13</v>
      </c>
      <c r="D1578" t="str">
        <f>VLOOKUP(B1578, Products!$A$2:$C$100, 2, FALSE)</f>
        <v>Surly Wednesday Frameset - 2016</v>
      </c>
      <c r="E1578">
        <v>2</v>
      </c>
      <c r="F1578">
        <v>269.99</v>
      </c>
      <c r="G1578">
        <v>0.1</v>
      </c>
      <c r="H1578">
        <v>26.999000000000002</v>
      </c>
      <c r="I1578">
        <f>order_items[[#This Row],[list_price]]-order_items[[#This Row],[Discounted_price]]</f>
        <v>242.99100000000001</v>
      </c>
      <c r="J1578">
        <f>VLOOKUP(B1578, Products!$A$2:$E$100, 3, FALSE)</f>
        <v>8</v>
      </c>
      <c r="K1578">
        <f>VLOOKUP(B1578, Products!$A$2:$F$100, 4, FALSE)</f>
        <v>6</v>
      </c>
    </row>
    <row r="1579" spans="1:11" x14ac:dyDescent="0.3">
      <c r="A1579">
        <v>564</v>
      </c>
      <c r="B1579">
        <v>1</v>
      </c>
      <c r="C1579">
        <v>4</v>
      </c>
      <c r="D1579" t="str">
        <f>VLOOKUP(B1579, Products!$A$2:$C$100, 2, FALSE)</f>
        <v>Trek 820 - 2016</v>
      </c>
      <c r="E1579">
        <v>1</v>
      </c>
      <c r="F1579">
        <v>2899.99</v>
      </c>
      <c r="G1579">
        <v>0.2</v>
      </c>
      <c r="H1579">
        <v>579.99799999999993</v>
      </c>
      <c r="I1579">
        <f>order_items[[#This Row],[list_price]]-order_items[[#This Row],[Discounted_price]]</f>
        <v>2319.9919999999997</v>
      </c>
      <c r="J1579">
        <f>VLOOKUP(B1579, Products!$A$2:$E$100, 3, FALSE)</f>
        <v>9</v>
      </c>
      <c r="K1579">
        <f>VLOOKUP(B1579, Products!$A$2:$F$100, 4, FALSE)</f>
        <v>6</v>
      </c>
    </row>
    <row r="1580" spans="1:11" x14ac:dyDescent="0.3">
      <c r="A1580">
        <v>564</v>
      </c>
      <c r="B1580">
        <v>2</v>
      </c>
      <c r="C1580">
        <v>15</v>
      </c>
      <c r="D1580" t="str">
        <f>VLOOKUP(B1580, Products!$A$2:$C$100, 2, FALSE)</f>
        <v>Ritchey Timberwolf Frameset - 2016</v>
      </c>
      <c r="E1580">
        <v>1</v>
      </c>
      <c r="F1580">
        <v>529.99</v>
      </c>
      <c r="G1580">
        <v>0.2</v>
      </c>
      <c r="H1580">
        <v>105.998</v>
      </c>
      <c r="I1580">
        <f>order_items[[#This Row],[list_price]]-order_items[[#This Row],[Discounted_price]]</f>
        <v>423.99200000000002</v>
      </c>
      <c r="J1580">
        <f>VLOOKUP(B1580, Products!$A$2:$E$100, 3, FALSE)</f>
        <v>5</v>
      </c>
      <c r="K1580">
        <f>VLOOKUP(B1580, Products!$A$2:$F$100, 4, FALSE)</f>
        <v>6</v>
      </c>
    </row>
    <row r="1581" spans="1:11" x14ac:dyDescent="0.3">
      <c r="A1581">
        <v>565</v>
      </c>
      <c r="B1581">
        <v>1</v>
      </c>
      <c r="C1581">
        <v>18</v>
      </c>
      <c r="D1581" t="str">
        <f>VLOOKUP(B1581, Products!$A$2:$C$100, 2, FALSE)</f>
        <v>Trek 820 - 2016</v>
      </c>
      <c r="E1581">
        <v>1</v>
      </c>
      <c r="F1581">
        <v>449</v>
      </c>
      <c r="G1581">
        <v>0.2</v>
      </c>
      <c r="H1581">
        <v>89.800000000000011</v>
      </c>
      <c r="I1581">
        <f>order_items[[#This Row],[list_price]]-order_items[[#This Row],[Discounted_price]]</f>
        <v>359.2</v>
      </c>
      <c r="J1581">
        <f>VLOOKUP(B1581, Products!$A$2:$E$100, 3, FALSE)</f>
        <v>9</v>
      </c>
      <c r="K1581">
        <f>VLOOKUP(B1581, Products!$A$2:$F$100, 4, FALSE)</f>
        <v>6</v>
      </c>
    </row>
    <row r="1582" spans="1:11" x14ac:dyDescent="0.3">
      <c r="A1582">
        <v>565</v>
      </c>
      <c r="B1582">
        <v>2</v>
      </c>
      <c r="C1582">
        <v>25</v>
      </c>
      <c r="D1582" t="str">
        <f>VLOOKUP(B1582, Products!$A$2:$C$100, 2, FALSE)</f>
        <v>Ritchey Timberwolf Frameset - 2016</v>
      </c>
      <c r="E1582">
        <v>2</v>
      </c>
      <c r="F1582">
        <v>499.99</v>
      </c>
      <c r="G1582">
        <v>0.1</v>
      </c>
      <c r="H1582">
        <v>49.999000000000002</v>
      </c>
      <c r="I1582">
        <f>order_items[[#This Row],[list_price]]-order_items[[#This Row],[Discounted_price]]</f>
        <v>449.99099999999999</v>
      </c>
      <c r="J1582">
        <f>VLOOKUP(B1582, Products!$A$2:$E$100, 3, FALSE)</f>
        <v>5</v>
      </c>
      <c r="K1582">
        <f>VLOOKUP(B1582, Products!$A$2:$F$100, 4, FALSE)</f>
        <v>6</v>
      </c>
    </row>
    <row r="1583" spans="1:11" x14ac:dyDescent="0.3">
      <c r="A1583">
        <v>565</v>
      </c>
      <c r="B1583">
        <v>3</v>
      </c>
      <c r="C1583">
        <v>9</v>
      </c>
      <c r="D1583" t="str">
        <f>VLOOKUP(B1583, Products!$A$2:$C$100, 2, FALSE)</f>
        <v>Surly Wednesday Frameset - 2016</v>
      </c>
      <c r="E1583">
        <v>1</v>
      </c>
      <c r="F1583">
        <v>2999.99</v>
      </c>
      <c r="G1583">
        <v>0.05</v>
      </c>
      <c r="H1583">
        <v>149.99949999999998</v>
      </c>
      <c r="I1583">
        <f>order_items[[#This Row],[list_price]]-order_items[[#This Row],[Discounted_price]]</f>
        <v>2849.9904999999999</v>
      </c>
      <c r="J1583">
        <f>VLOOKUP(B1583, Products!$A$2:$E$100, 3, FALSE)</f>
        <v>8</v>
      </c>
      <c r="K1583">
        <f>VLOOKUP(B1583, Products!$A$2:$F$100, 4, FALSE)</f>
        <v>6</v>
      </c>
    </row>
    <row r="1584" spans="1:11" x14ac:dyDescent="0.3">
      <c r="A1584">
        <v>565</v>
      </c>
      <c r="B1584">
        <v>4</v>
      </c>
      <c r="C1584">
        <v>17</v>
      </c>
      <c r="D1584" t="str">
        <f>VLOOKUP(B1584, Products!$A$2:$C$100, 2, FALSE)</f>
        <v>Trek Fuel EX 8 29 - 2016</v>
      </c>
      <c r="E1584">
        <v>1</v>
      </c>
      <c r="F1584">
        <v>429</v>
      </c>
      <c r="G1584">
        <v>0.1</v>
      </c>
      <c r="H1584">
        <v>42.900000000000006</v>
      </c>
      <c r="I1584">
        <f>order_items[[#This Row],[list_price]]-order_items[[#This Row],[Discounted_price]]</f>
        <v>386.1</v>
      </c>
      <c r="J1584">
        <f>VLOOKUP(B1584, Products!$A$2:$E$100, 3, FALSE)</f>
        <v>9</v>
      </c>
      <c r="K1584">
        <f>VLOOKUP(B1584, Products!$A$2:$F$100, 4, FALSE)</f>
        <v>6</v>
      </c>
    </row>
    <row r="1585" spans="1:11" x14ac:dyDescent="0.3">
      <c r="A1585">
        <v>566</v>
      </c>
      <c r="B1585">
        <v>1</v>
      </c>
      <c r="C1585">
        <v>24</v>
      </c>
      <c r="D1585" t="str">
        <f>VLOOKUP(B1585, Products!$A$2:$C$100, 2, FALSE)</f>
        <v>Trek 820 - 2016</v>
      </c>
      <c r="E1585">
        <v>2</v>
      </c>
      <c r="F1585">
        <v>549.99</v>
      </c>
      <c r="G1585">
        <v>7.0000000000000007E-2</v>
      </c>
      <c r="H1585">
        <v>38.499300000000005</v>
      </c>
      <c r="I1585">
        <f>order_items[[#This Row],[list_price]]-order_items[[#This Row],[Discounted_price]]</f>
        <v>511.4907</v>
      </c>
      <c r="J1585">
        <f>VLOOKUP(B1585, Products!$A$2:$E$100, 3, FALSE)</f>
        <v>9</v>
      </c>
      <c r="K1585">
        <f>VLOOKUP(B1585, Products!$A$2:$F$100, 4, FALSE)</f>
        <v>6</v>
      </c>
    </row>
    <row r="1586" spans="1:11" x14ac:dyDescent="0.3">
      <c r="A1586">
        <v>566</v>
      </c>
      <c r="B1586">
        <v>2</v>
      </c>
      <c r="C1586">
        <v>7</v>
      </c>
      <c r="D1586" t="str">
        <f>VLOOKUP(B1586, Products!$A$2:$C$100, 2, FALSE)</f>
        <v>Ritchey Timberwolf Frameset - 2016</v>
      </c>
      <c r="E1586">
        <v>2</v>
      </c>
      <c r="F1586">
        <v>3999.99</v>
      </c>
      <c r="G1586">
        <v>0.2</v>
      </c>
      <c r="H1586">
        <v>799.99800000000005</v>
      </c>
      <c r="I1586">
        <f>order_items[[#This Row],[list_price]]-order_items[[#This Row],[Discounted_price]]</f>
        <v>3199.9919999999997</v>
      </c>
      <c r="J1586">
        <f>VLOOKUP(B1586, Products!$A$2:$E$100, 3, FALSE)</f>
        <v>5</v>
      </c>
      <c r="K1586">
        <f>VLOOKUP(B1586, Products!$A$2:$F$100, 4, FALSE)</f>
        <v>6</v>
      </c>
    </row>
    <row r="1587" spans="1:11" x14ac:dyDescent="0.3">
      <c r="A1587">
        <v>566</v>
      </c>
      <c r="B1587">
        <v>3</v>
      </c>
      <c r="C1587">
        <v>8</v>
      </c>
      <c r="D1587" t="str">
        <f>VLOOKUP(B1587, Products!$A$2:$C$100, 2, FALSE)</f>
        <v>Surly Wednesday Frameset - 2016</v>
      </c>
      <c r="E1587">
        <v>1</v>
      </c>
      <c r="F1587">
        <v>1799.99</v>
      </c>
      <c r="G1587">
        <v>0.1</v>
      </c>
      <c r="H1587">
        <v>179.99900000000002</v>
      </c>
      <c r="I1587">
        <f>order_items[[#This Row],[list_price]]-order_items[[#This Row],[Discounted_price]]</f>
        <v>1619.991</v>
      </c>
      <c r="J1587">
        <f>VLOOKUP(B1587, Products!$A$2:$E$100, 3, FALSE)</f>
        <v>8</v>
      </c>
      <c r="K1587">
        <f>VLOOKUP(B1587, Products!$A$2:$F$100, 4, FALSE)</f>
        <v>6</v>
      </c>
    </row>
    <row r="1588" spans="1:11" x14ac:dyDescent="0.3">
      <c r="A1588">
        <v>566</v>
      </c>
      <c r="B1588">
        <v>4</v>
      </c>
      <c r="C1588">
        <v>21</v>
      </c>
      <c r="D1588" t="str">
        <f>VLOOKUP(B1588, Products!$A$2:$C$100, 2, FALSE)</f>
        <v>Trek Fuel EX 8 29 - 2016</v>
      </c>
      <c r="E1588">
        <v>2</v>
      </c>
      <c r="F1588">
        <v>269.99</v>
      </c>
      <c r="G1588">
        <v>0.2</v>
      </c>
      <c r="H1588">
        <v>53.998000000000005</v>
      </c>
      <c r="I1588">
        <f>order_items[[#This Row],[list_price]]-order_items[[#This Row],[Discounted_price]]</f>
        <v>215.99200000000002</v>
      </c>
      <c r="J1588">
        <f>VLOOKUP(B1588, Products!$A$2:$E$100, 3, FALSE)</f>
        <v>9</v>
      </c>
      <c r="K1588">
        <f>VLOOKUP(B1588, Products!$A$2:$F$100, 4, FALSE)</f>
        <v>6</v>
      </c>
    </row>
    <row r="1589" spans="1:11" x14ac:dyDescent="0.3">
      <c r="A1589">
        <v>567</v>
      </c>
      <c r="B1589">
        <v>1</v>
      </c>
      <c r="C1589">
        <v>9</v>
      </c>
      <c r="D1589" t="str">
        <f>VLOOKUP(B1589, Products!$A$2:$C$100, 2, FALSE)</f>
        <v>Trek 820 - 2016</v>
      </c>
      <c r="E1589">
        <v>1</v>
      </c>
      <c r="F1589">
        <v>2999.99</v>
      </c>
      <c r="G1589">
        <v>0.2</v>
      </c>
      <c r="H1589">
        <v>599.99799999999993</v>
      </c>
      <c r="I1589">
        <f>order_items[[#This Row],[list_price]]-order_items[[#This Row],[Discounted_price]]</f>
        <v>2399.9919999999997</v>
      </c>
      <c r="J1589">
        <f>VLOOKUP(B1589, Products!$A$2:$E$100, 3, FALSE)</f>
        <v>9</v>
      </c>
      <c r="K1589">
        <f>VLOOKUP(B1589, Products!$A$2:$F$100, 4, FALSE)</f>
        <v>6</v>
      </c>
    </row>
    <row r="1590" spans="1:11" x14ac:dyDescent="0.3">
      <c r="A1590">
        <v>567</v>
      </c>
      <c r="B1590">
        <v>2</v>
      </c>
      <c r="C1590">
        <v>5</v>
      </c>
      <c r="D1590" t="str">
        <f>VLOOKUP(B1590, Products!$A$2:$C$100, 2, FALSE)</f>
        <v>Ritchey Timberwolf Frameset - 2016</v>
      </c>
      <c r="E1590">
        <v>1</v>
      </c>
      <c r="F1590">
        <v>1320.99</v>
      </c>
      <c r="G1590">
        <v>7.0000000000000007E-2</v>
      </c>
      <c r="H1590">
        <v>92.469300000000004</v>
      </c>
      <c r="I1590">
        <f>order_items[[#This Row],[list_price]]-order_items[[#This Row],[Discounted_price]]</f>
        <v>1228.5207</v>
      </c>
      <c r="J1590">
        <f>VLOOKUP(B1590, Products!$A$2:$E$100, 3, FALSE)</f>
        <v>5</v>
      </c>
      <c r="K1590">
        <f>VLOOKUP(B1590, Products!$A$2:$F$100, 4, FALSE)</f>
        <v>6</v>
      </c>
    </row>
    <row r="1591" spans="1:11" x14ac:dyDescent="0.3">
      <c r="A1591">
        <v>568</v>
      </c>
      <c r="B1591">
        <v>1</v>
      </c>
      <c r="C1591">
        <v>5</v>
      </c>
      <c r="D1591" t="str">
        <f>VLOOKUP(B1591, Products!$A$2:$C$100, 2, FALSE)</f>
        <v>Trek 820 - 2016</v>
      </c>
      <c r="E1591">
        <v>1</v>
      </c>
      <c r="F1591">
        <v>1320.99</v>
      </c>
      <c r="G1591">
        <v>0.05</v>
      </c>
      <c r="H1591">
        <v>66.049500000000009</v>
      </c>
      <c r="I1591">
        <f>order_items[[#This Row],[list_price]]-order_items[[#This Row],[Discounted_price]]</f>
        <v>1254.9404999999999</v>
      </c>
      <c r="J1591">
        <f>VLOOKUP(B1591, Products!$A$2:$E$100, 3, FALSE)</f>
        <v>9</v>
      </c>
      <c r="K1591">
        <f>VLOOKUP(B1591, Products!$A$2:$F$100, 4, FALSE)</f>
        <v>6</v>
      </c>
    </row>
    <row r="1592" spans="1:11" x14ac:dyDescent="0.3">
      <c r="A1592">
        <v>568</v>
      </c>
      <c r="B1592">
        <v>2</v>
      </c>
      <c r="C1592">
        <v>10</v>
      </c>
      <c r="D1592" t="str">
        <f>VLOOKUP(B1592, Products!$A$2:$C$100, 2, FALSE)</f>
        <v>Ritchey Timberwolf Frameset - 2016</v>
      </c>
      <c r="E1592">
        <v>1</v>
      </c>
      <c r="F1592">
        <v>1549</v>
      </c>
      <c r="G1592">
        <v>0.05</v>
      </c>
      <c r="H1592">
        <v>77.45</v>
      </c>
      <c r="I1592">
        <f>order_items[[#This Row],[list_price]]-order_items[[#This Row],[Discounted_price]]</f>
        <v>1471.55</v>
      </c>
      <c r="J1592">
        <f>VLOOKUP(B1592, Products!$A$2:$E$100, 3, FALSE)</f>
        <v>5</v>
      </c>
      <c r="K1592">
        <f>VLOOKUP(B1592, Products!$A$2:$F$100, 4, FALSE)</f>
        <v>6</v>
      </c>
    </row>
    <row r="1593" spans="1:11" x14ac:dyDescent="0.3">
      <c r="A1593">
        <v>569</v>
      </c>
      <c r="B1593">
        <v>1</v>
      </c>
      <c r="C1593">
        <v>16</v>
      </c>
      <c r="D1593" t="str">
        <f>VLOOKUP(B1593, Products!$A$2:$C$100, 2, FALSE)</f>
        <v>Trek 820 - 2016</v>
      </c>
      <c r="E1593">
        <v>1</v>
      </c>
      <c r="F1593">
        <v>599.99</v>
      </c>
      <c r="G1593">
        <v>0.05</v>
      </c>
      <c r="H1593">
        <v>29.999500000000001</v>
      </c>
      <c r="I1593">
        <f>order_items[[#This Row],[list_price]]-order_items[[#This Row],[Discounted_price]]</f>
        <v>569.9905</v>
      </c>
      <c r="J1593">
        <f>VLOOKUP(B1593, Products!$A$2:$E$100, 3, FALSE)</f>
        <v>9</v>
      </c>
      <c r="K1593">
        <f>VLOOKUP(B1593, Products!$A$2:$F$100, 4, FALSE)</f>
        <v>6</v>
      </c>
    </row>
    <row r="1594" spans="1:11" x14ac:dyDescent="0.3">
      <c r="A1594">
        <v>569</v>
      </c>
      <c r="B1594">
        <v>2</v>
      </c>
      <c r="C1594">
        <v>24</v>
      </c>
      <c r="D1594" t="str">
        <f>VLOOKUP(B1594, Products!$A$2:$C$100, 2, FALSE)</f>
        <v>Ritchey Timberwolf Frameset - 2016</v>
      </c>
      <c r="E1594">
        <v>2</v>
      </c>
      <c r="F1594">
        <v>549.99</v>
      </c>
      <c r="G1594">
        <v>0.1</v>
      </c>
      <c r="H1594">
        <v>54.999000000000002</v>
      </c>
      <c r="I1594">
        <f>order_items[[#This Row],[list_price]]-order_items[[#This Row],[Discounted_price]]</f>
        <v>494.99099999999999</v>
      </c>
      <c r="J1594">
        <f>VLOOKUP(B1594, Products!$A$2:$E$100, 3, FALSE)</f>
        <v>5</v>
      </c>
      <c r="K1594">
        <f>VLOOKUP(B1594, Products!$A$2:$F$100, 4, FALSE)</f>
        <v>6</v>
      </c>
    </row>
    <row r="1595" spans="1:11" x14ac:dyDescent="0.3">
      <c r="A1595">
        <v>570</v>
      </c>
      <c r="B1595">
        <v>1</v>
      </c>
      <c r="C1595">
        <v>18</v>
      </c>
      <c r="D1595" t="str">
        <f>VLOOKUP(B1595, Products!$A$2:$C$100, 2, FALSE)</f>
        <v>Trek 820 - 2016</v>
      </c>
      <c r="E1595">
        <v>1</v>
      </c>
      <c r="F1595">
        <v>449</v>
      </c>
      <c r="G1595">
        <v>7.0000000000000007E-2</v>
      </c>
      <c r="H1595">
        <v>31.430000000000003</v>
      </c>
      <c r="I1595">
        <f>order_items[[#This Row],[list_price]]-order_items[[#This Row],[Discounted_price]]</f>
        <v>417.57</v>
      </c>
      <c r="J1595">
        <f>VLOOKUP(B1595, Products!$A$2:$E$100, 3, FALSE)</f>
        <v>9</v>
      </c>
      <c r="K1595">
        <f>VLOOKUP(B1595, Products!$A$2:$F$100, 4, FALSE)</f>
        <v>6</v>
      </c>
    </row>
    <row r="1596" spans="1:11" x14ac:dyDescent="0.3">
      <c r="A1596">
        <v>570</v>
      </c>
      <c r="B1596">
        <v>2</v>
      </c>
      <c r="C1596">
        <v>24</v>
      </c>
      <c r="D1596" t="str">
        <f>VLOOKUP(B1596, Products!$A$2:$C$100, 2, FALSE)</f>
        <v>Ritchey Timberwolf Frameset - 2016</v>
      </c>
      <c r="E1596">
        <v>2</v>
      </c>
      <c r="F1596">
        <v>549.99</v>
      </c>
      <c r="G1596">
        <v>0.1</v>
      </c>
      <c r="H1596">
        <v>54.999000000000002</v>
      </c>
      <c r="I1596">
        <f>order_items[[#This Row],[list_price]]-order_items[[#This Row],[Discounted_price]]</f>
        <v>494.99099999999999</v>
      </c>
      <c r="J1596">
        <f>VLOOKUP(B1596, Products!$A$2:$E$100, 3, FALSE)</f>
        <v>5</v>
      </c>
      <c r="K1596">
        <f>VLOOKUP(B1596, Products!$A$2:$F$100, 4, FALSE)</f>
        <v>6</v>
      </c>
    </row>
    <row r="1597" spans="1:11" x14ac:dyDescent="0.3">
      <c r="A1597">
        <v>570</v>
      </c>
      <c r="B1597">
        <v>3</v>
      </c>
      <c r="C1597">
        <v>3</v>
      </c>
      <c r="D1597" t="str">
        <f>VLOOKUP(B1597, Products!$A$2:$C$100, 2, FALSE)</f>
        <v>Surly Wednesday Frameset - 2016</v>
      </c>
      <c r="E1597">
        <v>2</v>
      </c>
      <c r="F1597">
        <v>999.99</v>
      </c>
      <c r="G1597">
        <v>0.2</v>
      </c>
      <c r="H1597">
        <v>199.99800000000002</v>
      </c>
      <c r="I1597">
        <f>order_items[[#This Row],[list_price]]-order_items[[#This Row],[Discounted_price]]</f>
        <v>799.99199999999996</v>
      </c>
      <c r="J1597">
        <f>VLOOKUP(B1597, Products!$A$2:$E$100, 3, FALSE)</f>
        <v>8</v>
      </c>
      <c r="K1597">
        <f>VLOOKUP(B1597, Products!$A$2:$F$100, 4, FALSE)</f>
        <v>6</v>
      </c>
    </row>
    <row r="1598" spans="1:11" x14ac:dyDescent="0.3">
      <c r="A1598">
        <v>570</v>
      </c>
      <c r="B1598">
        <v>4</v>
      </c>
      <c r="C1598">
        <v>11</v>
      </c>
      <c r="D1598" t="str">
        <f>VLOOKUP(B1598, Products!$A$2:$C$100, 2, FALSE)</f>
        <v>Trek Fuel EX 8 29 - 2016</v>
      </c>
      <c r="E1598">
        <v>1</v>
      </c>
      <c r="F1598">
        <v>1680.99</v>
      </c>
      <c r="G1598">
        <v>0.1</v>
      </c>
      <c r="H1598">
        <v>168.09900000000002</v>
      </c>
      <c r="I1598">
        <f>order_items[[#This Row],[list_price]]-order_items[[#This Row],[Discounted_price]]</f>
        <v>1512.8910000000001</v>
      </c>
      <c r="J1598">
        <f>VLOOKUP(B1598, Products!$A$2:$E$100, 3, FALSE)</f>
        <v>9</v>
      </c>
      <c r="K1598">
        <f>VLOOKUP(B1598, Products!$A$2:$F$100, 4, FALSE)</f>
        <v>6</v>
      </c>
    </row>
    <row r="1599" spans="1:11" x14ac:dyDescent="0.3">
      <c r="A1599">
        <v>570</v>
      </c>
      <c r="B1599">
        <v>5</v>
      </c>
      <c r="C1599">
        <v>16</v>
      </c>
      <c r="D1599" t="str">
        <f>VLOOKUP(B1599, Products!$A$2:$C$100, 2, FALSE)</f>
        <v>Heller Shagamaw Frame - 2016</v>
      </c>
      <c r="E1599">
        <v>1</v>
      </c>
      <c r="F1599">
        <v>599.99</v>
      </c>
      <c r="G1599">
        <v>0.05</v>
      </c>
      <c r="H1599">
        <v>29.999500000000001</v>
      </c>
      <c r="I1599">
        <f>order_items[[#This Row],[list_price]]-order_items[[#This Row],[Discounted_price]]</f>
        <v>569.9905</v>
      </c>
      <c r="J1599">
        <f>VLOOKUP(B1599, Products!$A$2:$E$100, 3, FALSE)</f>
        <v>3</v>
      </c>
      <c r="K1599">
        <f>VLOOKUP(B1599, Products!$A$2:$F$100, 4, FALSE)</f>
        <v>6</v>
      </c>
    </row>
    <row r="1600" spans="1:11" x14ac:dyDescent="0.3">
      <c r="A1600">
        <v>571</v>
      </c>
      <c r="B1600">
        <v>1</v>
      </c>
      <c r="C1600">
        <v>4</v>
      </c>
      <c r="D1600" t="str">
        <f>VLOOKUP(B1600, Products!$A$2:$C$100, 2, FALSE)</f>
        <v>Trek 820 - 2016</v>
      </c>
      <c r="E1600">
        <v>1</v>
      </c>
      <c r="F1600">
        <v>2899.99</v>
      </c>
      <c r="G1600">
        <v>0.05</v>
      </c>
      <c r="H1600">
        <v>144.99949999999998</v>
      </c>
      <c r="I1600">
        <f>order_items[[#This Row],[list_price]]-order_items[[#This Row],[Discounted_price]]</f>
        <v>2754.9904999999999</v>
      </c>
      <c r="J1600">
        <f>VLOOKUP(B1600, Products!$A$2:$E$100, 3, FALSE)</f>
        <v>9</v>
      </c>
      <c r="K1600">
        <f>VLOOKUP(B1600, Products!$A$2:$F$100, 4, FALSE)</f>
        <v>6</v>
      </c>
    </row>
    <row r="1601" spans="1:11" x14ac:dyDescent="0.3">
      <c r="A1601">
        <v>571</v>
      </c>
      <c r="B1601">
        <v>2</v>
      </c>
      <c r="C1601">
        <v>9</v>
      </c>
      <c r="D1601" t="str">
        <f>VLOOKUP(B1601, Products!$A$2:$C$100, 2, FALSE)</f>
        <v>Ritchey Timberwolf Frameset - 2016</v>
      </c>
      <c r="E1601">
        <v>1</v>
      </c>
      <c r="F1601">
        <v>2999.99</v>
      </c>
      <c r="G1601">
        <v>0.1</v>
      </c>
      <c r="H1601">
        <v>299.99899999999997</v>
      </c>
      <c r="I1601">
        <f>order_items[[#This Row],[list_price]]-order_items[[#This Row],[Discounted_price]]</f>
        <v>2699.991</v>
      </c>
      <c r="J1601">
        <f>VLOOKUP(B1601, Products!$A$2:$E$100, 3, FALSE)</f>
        <v>5</v>
      </c>
      <c r="K1601">
        <f>VLOOKUP(B1601, Products!$A$2:$F$100, 4, FALSE)</f>
        <v>6</v>
      </c>
    </row>
    <row r="1602" spans="1:11" x14ac:dyDescent="0.3">
      <c r="A1602">
        <v>572</v>
      </c>
      <c r="B1602">
        <v>1</v>
      </c>
      <c r="C1602">
        <v>3</v>
      </c>
      <c r="D1602" t="str">
        <f>VLOOKUP(B1602, Products!$A$2:$C$100, 2, FALSE)</f>
        <v>Trek 820 - 2016</v>
      </c>
      <c r="E1602">
        <v>1</v>
      </c>
      <c r="F1602">
        <v>999.99</v>
      </c>
      <c r="G1602">
        <v>0.05</v>
      </c>
      <c r="H1602">
        <v>49.999500000000005</v>
      </c>
      <c r="I1602">
        <f>order_items[[#This Row],[list_price]]-order_items[[#This Row],[Discounted_price]]</f>
        <v>949.9905</v>
      </c>
      <c r="J1602">
        <f>VLOOKUP(B1602, Products!$A$2:$E$100, 3, FALSE)</f>
        <v>9</v>
      </c>
      <c r="K1602">
        <f>VLOOKUP(B1602, Products!$A$2:$F$100, 4, FALSE)</f>
        <v>6</v>
      </c>
    </row>
    <row r="1603" spans="1:11" x14ac:dyDescent="0.3">
      <c r="A1603">
        <v>572</v>
      </c>
      <c r="B1603">
        <v>2</v>
      </c>
      <c r="C1603">
        <v>13</v>
      </c>
      <c r="D1603" t="str">
        <f>VLOOKUP(B1603, Products!$A$2:$C$100, 2, FALSE)</f>
        <v>Ritchey Timberwolf Frameset - 2016</v>
      </c>
      <c r="E1603">
        <v>2</v>
      </c>
      <c r="F1603">
        <v>269.99</v>
      </c>
      <c r="G1603">
        <v>0.1</v>
      </c>
      <c r="H1603">
        <v>26.999000000000002</v>
      </c>
      <c r="I1603">
        <f>order_items[[#This Row],[list_price]]-order_items[[#This Row],[Discounted_price]]</f>
        <v>242.99100000000001</v>
      </c>
      <c r="J1603">
        <f>VLOOKUP(B1603, Products!$A$2:$E$100, 3, FALSE)</f>
        <v>5</v>
      </c>
      <c r="K1603">
        <f>VLOOKUP(B1603, Products!$A$2:$F$100, 4, FALSE)</f>
        <v>6</v>
      </c>
    </row>
    <row r="1604" spans="1:11" x14ac:dyDescent="0.3">
      <c r="A1604">
        <v>572</v>
      </c>
      <c r="B1604">
        <v>3</v>
      </c>
      <c r="C1604">
        <v>11</v>
      </c>
      <c r="D1604" t="str">
        <f>VLOOKUP(B1604, Products!$A$2:$C$100, 2, FALSE)</f>
        <v>Surly Wednesday Frameset - 2016</v>
      </c>
      <c r="E1604">
        <v>2</v>
      </c>
      <c r="F1604">
        <v>1680.99</v>
      </c>
      <c r="G1604">
        <v>0.2</v>
      </c>
      <c r="H1604">
        <v>336.19800000000004</v>
      </c>
      <c r="I1604">
        <f>order_items[[#This Row],[list_price]]-order_items[[#This Row],[Discounted_price]]</f>
        <v>1344.7919999999999</v>
      </c>
      <c r="J1604">
        <f>VLOOKUP(B1604, Products!$A$2:$E$100, 3, FALSE)</f>
        <v>8</v>
      </c>
      <c r="K1604">
        <f>VLOOKUP(B1604, Products!$A$2:$F$100, 4, FALSE)</f>
        <v>6</v>
      </c>
    </row>
    <row r="1605" spans="1:11" x14ac:dyDescent="0.3">
      <c r="A1605">
        <v>573</v>
      </c>
      <c r="B1605">
        <v>1</v>
      </c>
      <c r="C1605">
        <v>2</v>
      </c>
      <c r="D1605" t="str">
        <f>VLOOKUP(B1605, Products!$A$2:$C$100, 2, FALSE)</f>
        <v>Trek 820 - 2016</v>
      </c>
      <c r="E1605">
        <v>1</v>
      </c>
      <c r="F1605">
        <v>749.99</v>
      </c>
      <c r="G1605">
        <v>0.2</v>
      </c>
      <c r="H1605">
        <v>149.99800000000002</v>
      </c>
      <c r="I1605">
        <f>order_items[[#This Row],[list_price]]-order_items[[#This Row],[Discounted_price]]</f>
        <v>599.99199999999996</v>
      </c>
      <c r="J1605">
        <f>VLOOKUP(B1605, Products!$A$2:$E$100, 3, FALSE)</f>
        <v>9</v>
      </c>
      <c r="K1605">
        <f>VLOOKUP(B1605, Products!$A$2:$F$100, 4, FALSE)</f>
        <v>6</v>
      </c>
    </row>
    <row r="1606" spans="1:11" x14ac:dyDescent="0.3">
      <c r="A1606">
        <v>574</v>
      </c>
      <c r="B1606">
        <v>1</v>
      </c>
      <c r="C1606">
        <v>26</v>
      </c>
      <c r="D1606" t="str">
        <f>VLOOKUP(B1606, Products!$A$2:$C$100, 2, FALSE)</f>
        <v>Trek 820 - 2016</v>
      </c>
      <c r="E1606">
        <v>1</v>
      </c>
      <c r="F1606">
        <v>599.99</v>
      </c>
      <c r="G1606">
        <v>0.05</v>
      </c>
      <c r="H1606">
        <v>29.999500000000001</v>
      </c>
      <c r="I1606">
        <f>order_items[[#This Row],[list_price]]-order_items[[#This Row],[Discounted_price]]</f>
        <v>569.9905</v>
      </c>
      <c r="J1606">
        <f>VLOOKUP(B1606, Products!$A$2:$E$100, 3, FALSE)</f>
        <v>9</v>
      </c>
      <c r="K1606">
        <f>VLOOKUP(B1606, Products!$A$2:$F$100, 4, FALSE)</f>
        <v>6</v>
      </c>
    </row>
    <row r="1607" spans="1:11" x14ac:dyDescent="0.3">
      <c r="A1607">
        <v>574</v>
      </c>
      <c r="B1607">
        <v>2</v>
      </c>
      <c r="C1607">
        <v>13</v>
      </c>
      <c r="D1607" t="str">
        <f>VLOOKUP(B1607, Products!$A$2:$C$100, 2, FALSE)</f>
        <v>Ritchey Timberwolf Frameset - 2016</v>
      </c>
      <c r="E1607">
        <v>2</v>
      </c>
      <c r="F1607">
        <v>269.99</v>
      </c>
      <c r="G1607">
        <v>0.1</v>
      </c>
      <c r="H1607">
        <v>26.999000000000002</v>
      </c>
      <c r="I1607">
        <f>order_items[[#This Row],[list_price]]-order_items[[#This Row],[Discounted_price]]</f>
        <v>242.99100000000001</v>
      </c>
      <c r="J1607">
        <f>VLOOKUP(B1607, Products!$A$2:$E$100, 3, FALSE)</f>
        <v>5</v>
      </c>
      <c r="K1607">
        <f>VLOOKUP(B1607, Products!$A$2:$F$100, 4, FALSE)</f>
        <v>6</v>
      </c>
    </row>
    <row r="1608" spans="1:11" x14ac:dyDescent="0.3">
      <c r="A1608">
        <v>574</v>
      </c>
      <c r="B1608">
        <v>3</v>
      </c>
      <c r="C1608">
        <v>12</v>
      </c>
      <c r="D1608" t="str">
        <f>VLOOKUP(B1608, Products!$A$2:$C$100, 2, FALSE)</f>
        <v>Surly Wednesday Frameset - 2016</v>
      </c>
      <c r="E1608">
        <v>2</v>
      </c>
      <c r="F1608">
        <v>549.99</v>
      </c>
      <c r="G1608">
        <v>0.1</v>
      </c>
      <c r="H1608">
        <v>54.999000000000002</v>
      </c>
      <c r="I1608">
        <f>order_items[[#This Row],[list_price]]-order_items[[#This Row],[Discounted_price]]</f>
        <v>494.99099999999999</v>
      </c>
      <c r="J1608">
        <f>VLOOKUP(B1608, Products!$A$2:$E$100, 3, FALSE)</f>
        <v>8</v>
      </c>
      <c r="K1608">
        <f>VLOOKUP(B1608, Products!$A$2:$F$100, 4, FALSE)</f>
        <v>6</v>
      </c>
    </row>
    <row r="1609" spans="1:11" x14ac:dyDescent="0.3">
      <c r="A1609">
        <v>574</v>
      </c>
      <c r="B1609">
        <v>4</v>
      </c>
      <c r="C1609">
        <v>23</v>
      </c>
      <c r="D1609" t="str">
        <f>VLOOKUP(B1609, Products!$A$2:$C$100, 2, FALSE)</f>
        <v>Trek Fuel EX 8 29 - 2016</v>
      </c>
      <c r="E1609">
        <v>2</v>
      </c>
      <c r="F1609">
        <v>299.99</v>
      </c>
      <c r="G1609">
        <v>0.1</v>
      </c>
      <c r="H1609">
        <v>29.999000000000002</v>
      </c>
      <c r="I1609">
        <f>order_items[[#This Row],[list_price]]-order_items[[#This Row],[Discounted_price]]</f>
        <v>269.99099999999999</v>
      </c>
      <c r="J1609">
        <f>VLOOKUP(B1609, Products!$A$2:$E$100, 3, FALSE)</f>
        <v>9</v>
      </c>
      <c r="K1609">
        <f>VLOOKUP(B1609, Products!$A$2:$F$100, 4, FALSE)</f>
        <v>6</v>
      </c>
    </row>
    <row r="1610" spans="1:11" x14ac:dyDescent="0.3">
      <c r="A1610">
        <v>574</v>
      </c>
      <c r="B1610">
        <v>5</v>
      </c>
      <c r="C1610">
        <v>11</v>
      </c>
      <c r="D1610" t="str">
        <f>VLOOKUP(B1610, Products!$A$2:$C$100, 2, FALSE)</f>
        <v>Heller Shagamaw Frame - 2016</v>
      </c>
      <c r="E1610">
        <v>2</v>
      </c>
      <c r="F1610">
        <v>1680.99</v>
      </c>
      <c r="G1610">
        <v>0.05</v>
      </c>
      <c r="H1610">
        <v>84.049500000000009</v>
      </c>
      <c r="I1610">
        <f>order_items[[#This Row],[list_price]]-order_items[[#This Row],[Discounted_price]]</f>
        <v>1596.9404999999999</v>
      </c>
      <c r="J1610">
        <f>VLOOKUP(B1610, Products!$A$2:$E$100, 3, FALSE)</f>
        <v>3</v>
      </c>
      <c r="K1610">
        <f>VLOOKUP(B1610, Products!$A$2:$F$100, 4, FALSE)</f>
        <v>6</v>
      </c>
    </row>
    <row r="1611" spans="1:11" x14ac:dyDescent="0.3">
      <c r="A1611">
        <v>575</v>
      </c>
      <c r="B1611">
        <v>1</v>
      </c>
      <c r="C1611">
        <v>4</v>
      </c>
      <c r="D1611" t="str">
        <f>VLOOKUP(B1611, Products!$A$2:$C$100, 2, FALSE)</f>
        <v>Trek 820 - 2016</v>
      </c>
      <c r="E1611">
        <v>2</v>
      </c>
      <c r="F1611">
        <v>2899.99</v>
      </c>
      <c r="G1611">
        <v>7.0000000000000007E-2</v>
      </c>
      <c r="H1611">
        <v>202.99930000000001</v>
      </c>
      <c r="I1611">
        <f>order_items[[#This Row],[list_price]]-order_items[[#This Row],[Discounted_price]]</f>
        <v>2696.9906999999998</v>
      </c>
      <c r="J1611">
        <f>VLOOKUP(B1611, Products!$A$2:$E$100, 3, FALSE)</f>
        <v>9</v>
      </c>
      <c r="K1611">
        <f>VLOOKUP(B1611, Products!$A$2:$F$100, 4, FALSE)</f>
        <v>6</v>
      </c>
    </row>
    <row r="1612" spans="1:11" x14ac:dyDescent="0.3">
      <c r="A1612">
        <v>575</v>
      </c>
      <c r="B1612">
        <v>2</v>
      </c>
      <c r="C1612">
        <v>12</v>
      </c>
      <c r="D1612" t="str">
        <f>VLOOKUP(B1612, Products!$A$2:$C$100, 2, FALSE)</f>
        <v>Ritchey Timberwolf Frameset - 2016</v>
      </c>
      <c r="E1612">
        <v>1</v>
      </c>
      <c r="F1612">
        <v>549.99</v>
      </c>
      <c r="G1612">
        <v>0.2</v>
      </c>
      <c r="H1612">
        <v>109.998</v>
      </c>
      <c r="I1612">
        <f>order_items[[#This Row],[list_price]]-order_items[[#This Row],[Discounted_price]]</f>
        <v>439.99200000000002</v>
      </c>
      <c r="J1612">
        <f>VLOOKUP(B1612, Products!$A$2:$E$100, 3, FALSE)</f>
        <v>5</v>
      </c>
      <c r="K1612">
        <f>VLOOKUP(B1612, Products!$A$2:$F$100, 4, FALSE)</f>
        <v>6</v>
      </c>
    </row>
    <row r="1613" spans="1:11" x14ac:dyDescent="0.3">
      <c r="A1613">
        <v>576</v>
      </c>
      <c r="B1613">
        <v>1</v>
      </c>
      <c r="C1613">
        <v>9</v>
      </c>
      <c r="D1613" t="str">
        <f>VLOOKUP(B1613, Products!$A$2:$C$100, 2, FALSE)</f>
        <v>Trek 820 - 2016</v>
      </c>
      <c r="E1613">
        <v>1</v>
      </c>
      <c r="F1613">
        <v>2999.99</v>
      </c>
      <c r="G1613">
        <v>0.1</v>
      </c>
      <c r="H1613">
        <v>299.99899999999997</v>
      </c>
      <c r="I1613">
        <f>order_items[[#This Row],[list_price]]-order_items[[#This Row],[Discounted_price]]</f>
        <v>2699.991</v>
      </c>
      <c r="J1613">
        <f>VLOOKUP(B1613, Products!$A$2:$E$100, 3, FALSE)</f>
        <v>9</v>
      </c>
      <c r="K1613">
        <f>VLOOKUP(B1613, Products!$A$2:$F$100, 4, FALSE)</f>
        <v>6</v>
      </c>
    </row>
    <row r="1614" spans="1:11" x14ac:dyDescent="0.3">
      <c r="A1614">
        <v>577</v>
      </c>
      <c r="B1614">
        <v>1</v>
      </c>
      <c r="C1614">
        <v>3</v>
      </c>
      <c r="D1614" t="str">
        <f>VLOOKUP(B1614, Products!$A$2:$C$100, 2, FALSE)</f>
        <v>Trek 820 - 2016</v>
      </c>
      <c r="E1614">
        <v>2</v>
      </c>
      <c r="F1614">
        <v>999.99</v>
      </c>
      <c r="G1614">
        <v>0.2</v>
      </c>
      <c r="H1614">
        <v>199.99800000000002</v>
      </c>
      <c r="I1614">
        <f>order_items[[#This Row],[list_price]]-order_items[[#This Row],[Discounted_price]]</f>
        <v>799.99199999999996</v>
      </c>
      <c r="J1614">
        <f>VLOOKUP(B1614, Products!$A$2:$E$100, 3, FALSE)</f>
        <v>9</v>
      </c>
      <c r="K1614">
        <f>VLOOKUP(B1614, Products!$A$2:$F$100, 4, FALSE)</f>
        <v>6</v>
      </c>
    </row>
    <row r="1615" spans="1:11" x14ac:dyDescent="0.3">
      <c r="A1615">
        <v>578</v>
      </c>
      <c r="B1615">
        <v>1</v>
      </c>
      <c r="C1615">
        <v>21</v>
      </c>
      <c r="D1615" t="str">
        <f>VLOOKUP(B1615, Products!$A$2:$C$100, 2, FALSE)</f>
        <v>Trek 820 - 2016</v>
      </c>
      <c r="E1615">
        <v>1</v>
      </c>
      <c r="F1615">
        <v>269.99</v>
      </c>
      <c r="G1615">
        <v>7.0000000000000007E-2</v>
      </c>
      <c r="H1615">
        <v>18.899300000000004</v>
      </c>
      <c r="I1615">
        <f>order_items[[#This Row],[list_price]]-order_items[[#This Row],[Discounted_price]]</f>
        <v>251.0907</v>
      </c>
      <c r="J1615">
        <f>VLOOKUP(B1615, Products!$A$2:$E$100, 3, FALSE)</f>
        <v>9</v>
      </c>
      <c r="K1615">
        <f>VLOOKUP(B1615, Products!$A$2:$F$100, 4, FALSE)</f>
        <v>6</v>
      </c>
    </row>
    <row r="1616" spans="1:11" x14ac:dyDescent="0.3">
      <c r="A1616">
        <v>578</v>
      </c>
      <c r="B1616">
        <v>2</v>
      </c>
      <c r="C1616">
        <v>25</v>
      </c>
      <c r="D1616" t="str">
        <f>VLOOKUP(B1616, Products!$A$2:$C$100, 2, FALSE)</f>
        <v>Ritchey Timberwolf Frameset - 2016</v>
      </c>
      <c r="E1616">
        <v>2</v>
      </c>
      <c r="F1616">
        <v>499.99</v>
      </c>
      <c r="G1616">
        <v>0.2</v>
      </c>
      <c r="H1616">
        <v>99.998000000000005</v>
      </c>
      <c r="I1616">
        <f>order_items[[#This Row],[list_price]]-order_items[[#This Row],[Discounted_price]]</f>
        <v>399.99200000000002</v>
      </c>
      <c r="J1616">
        <f>VLOOKUP(B1616, Products!$A$2:$E$100, 3, FALSE)</f>
        <v>5</v>
      </c>
      <c r="K1616">
        <f>VLOOKUP(B1616, Products!$A$2:$F$100, 4, FALSE)</f>
        <v>6</v>
      </c>
    </row>
    <row r="1617" spans="1:11" x14ac:dyDescent="0.3">
      <c r="A1617">
        <v>578</v>
      </c>
      <c r="B1617">
        <v>3</v>
      </c>
      <c r="C1617">
        <v>18</v>
      </c>
      <c r="D1617" t="str">
        <f>VLOOKUP(B1617, Products!$A$2:$C$100, 2, FALSE)</f>
        <v>Surly Wednesday Frameset - 2016</v>
      </c>
      <c r="E1617">
        <v>2</v>
      </c>
      <c r="F1617">
        <v>449</v>
      </c>
      <c r="G1617">
        <v>0.05</v>
      </c>
      <c r="H1617">
        <v>22.450000000000003</v>
      </c>
      <c r="I1617">
        <f>order_items[[#This Row],[list_price]]-order_items[[#This Row],[Discounted_price]]</f>
        <v>426.55</v>
      </c>
      <c r="J1617">
        <f>VLOOKUP(B1617, Products!$A$2:$E$100, 3, FALSE)</f>
        <v>8</v>
      </c>
      <c r="K1617">
        <f>VLOOKUP(B1617, Products!$A$2:$F$100, 4, FALSE)</f>
        <v>6</v>
      </c>
    </row>
    <row r="1618" spans="1:11" x14ac:dyDescent="0.3">
      <c r="A1618">
        <v>578</v>
      </c>
      <c r="B1618">
        <v>4</v>
      </c>
      <c r="C1618">
        <v>8</v>
      </c>
      <c r="D1618" t="str">
        <f>VLOOKUP(B1618, Products!$A$2:$C$100, 2, FALSE)</f>
        <v>Trek Fuel EX 8 29 - 2016</v>
      </c>
      <c r="E1618">
        <v>2</v>
      </c>
      <c r="F1618">
        <v>1799.99</v>
      </c>
      <c r="G1618">
        <v>0.2</v>
      </c>
      <c r="H1618">
        <v>359.99800000000005</v>
      </c>
      <c r="I1618">
        <f>order_items[[#This Row],[list_price]]-order_items[[#This Row],[Discounted_price]]</f>
        <v>1439.992</v>
      </c>
      <c r="J1618">
        <f>VLOOKUP(B1618, Products!$A$2:$E$100, 3, FALSE)</f>
        <v>9</v>
      </c>
      <c r="K1618">
        <f>VLOOKUP(B1618, Products!$A$2:$F$100, 4, FALSE)</f>
        <v>6</v>
      </c>
    </row>
    <row r="1619" spans="1:11" x14ac:dyDescent="0.3">
      <c r="A1619">
        <v>579</v>
      </c>
      <c r="B1619">
        <v>1</v>
      </c>
      <c r="C1619">
        <v>7</v>
      </c>
      <c r="D1619" t="str">
        <f>VLOOKUP(B1619, Products!$A$2:$C$100, 2, FALSE)</f>
        <v>Trek 820 - 2016</v>
      </c>
      <c r="E1619">
        <v>2</v>
      </c>
      <c r="F1619">
        <v>3999.99</v>
      </c>
      <c r="G1619">
        <v>0.05</v>
      </c>
      <c r="H1619">
        <v>199.99950000000001</v>
      </c>
      <c r="I1619">
        <f>order_items[[#This Row],[list_price]]-order_items[[#This Row],[Discounted_price]]</f>
        <v>3799.9904999999999</v>
      </c>
      <c r="J1619">
        <f>VLOOKUP(B1619, Products!$A$2:$E$100, 3, FALSE)</f>
        <v>9</v>
      </c>
      <c r="K1619">
        <f>VLOOKUP(B1619, Products!$A$2:$F$100, 4, FALSE)</f>
        <v>6</v>
      </c>
    </row>
    <row r="1620" spans="1:11" x14ac:dyDescent="0.3">
      <c r="A1620">
        <v>579</v>
      </c>
      <c r="B1620">
        <v>2</v>
      </c>
      <c r="C1620">
        <v>6</v>
      </c>
      <c r="D1620" t="str">
        <f>VLOOKUP(B1620, Products!$A$2:$C$100, 2, FALSE)</f>
        <v>Ritchey Timberwolf Frameset - 2016</v>
      </c>
      <c r="E1620">
        <v>1</v>
      </c>
      <c r="F1620">
        <v>469.99</v>
      </c>
      <c r="G1620">
        <v>0.2</v>
      </c>
      <c r="H1620">
        <v>93.998000000000005</v>
      </c>
      <c r="I1620">
        <f>order_items[[#This Row],[list_price]]-order_items[[#This Row],[Discounted_price]]</f>
        <v>375.99200000000002</v>
      </c>
      <c r="J1620">
        <f>VLOOKUP(B1620, Products!$A$2:$E$100, 3, FALSE)</f>
        <v>5</v>
      </c>
      <c r="K1620">
        <f>VLOOKUP(B1620, Products!$A$2:$F$100, 4, FALSE)</f>
        <v>6</v>
      </c>
    </row>
    <row r="1621" spans="1:11" x14ac:dyDescent="0.3">
      <c r="A1621">
        <v>580</v>
      </c>
      <c r="B1621">
        <v>1</v>
      </c>
      <c r="C1621">
        <v>16</v>
      </c>
      <c r="D1621" t="str">
        <f>VLOOKUP(B1621, Products!$A$2:$C$100, 2, FALSE)</f>
        <v>Trek 820 - 2016</v>
      </c>
      <c r="E1621">
        <v>2</v>
      </c>
      <c r="F1621">
        <v>599.99</v>
      </c>
      <c r="G1621">
        <v>0.2</v>
      </c>
      <c r="H1621">
        <v>119.998</v>
      </c>
      <c r="I1621">
        <f>order_items[[#This Row],[list_price]]-order_items[[#This Row],[Discounted_price]]</f>
        <v>479.99200000000002</v>
      </c>
      <c r="J1621">
        <f>VLOOKUP(B1621, Products!$A$2:$E$100, 3, FALSE)</f>
        <v>9</v>
      </c>
      <c r="K1621">
        <f>VLOOKUP(B1621, Products!$A$2:$F$100, 4, FALSE)</f>
        <v>6</v>
      </c>
    </row>
    <row r="1622" spans="1:11" x14ac:dyDescent="0.3">
      <c r="A1622">
        <v>580</v>
      </c>
      <c r="B1622">
        <v>2</v>
      </c>
      <c r="C1622">
        <v>15</v>
      </c>
      <c r="D1622" t="str">
        <f>VLOOKUP(B1622, Products!$A$2:$C$100, 2, FALSE)</f>
        <v>Ritchey Timberwolf Frameset - 2016</v>
      </c>
      <c r="E1622">
        <v>1</v>
      </c>
      <c r="F1622">
        <v>529.99</v>
      </c>
      <c r="G1622">
        <v>7.0000000000000007E-2</v>
      </c>
      <c r="H1622">
        <v>37.099300000000007</v>
      </c>
      <c r="I1622">
        <f>order_items[[#This Row],[list_price]]-order_items[[#This Row],[Discounted_price]]</f>
        <v>492.89069999999998</v>
      </c>
      <c r="J1622">
        <f>VLOOKUP(B1622, Products!$A$2:$E$100, 3, FALSE)</f>
        <v>5</v>
      </c>
      <c r="K1622">
        <f>VLOOKUP(B1622, Products!$A$2:$F$100, 4, FALSE)</f>
        <v>6</v>
      </c>
    </row>
    <row r="1623" spans="1:11" x14ac:dyDescent="0.3">
      <c r="A1623">
        <v>580</v>
      </c>
      <c r="B1623">
        <v>3</v>
      </c>
      <c r="C1623">
        <v>21</v>
      </c>
      <c r="D1623" t="str">
        <f>VLOOKUP(B1623, Products!$A$2:$C$100, 2, FALSE)</f>
        <v>Surly Wednesday Frameset - 2016</v>
      </c>
      <c r="E1623">
        <v>2</v>
      </c>
      <c r="F1623">
        <v>269.99</v>
      </c>
      <c r="G1623">
        <v>0.2</v>
      </c>
      <c r="H1623">
        <v>53.998000000000005</v>
      </c>
      <c r="I1623">
        <f>order_items[[#This Row],[list_price]]-order_items[[#This Row],[Discounted_price]]</f>
        <v>215.99200000000002</v>
      </c>
      <c r="J1623">
        <f>VLOOKUP(B1623, Products!$A$2:$E$100, 3, FALSE)</f>
        <v>8</v>
      </c>
      <c r="K1623">
        <f>VLOOKUP(B1623, Products!$A$2:$F$100, 4, FALSE)</f>
        <v>6</v>
      </c>
    </row>
    <row r="1624" spans="1:11" x14ac:dyDescent="0.3">
      <c r="A1624">
        <v>580</v>
      </c>
      <c r="B1624">
        <v>4</v>
      </c>
      <c r="C1624">
        <v>9</v>
      </c>
      <c r="D1624" t="str">
        <f>VLOOKUP(B1624, Products!$A$2:$C$100, 2, FALSE)</f>
        <v>Trek Fuel EX 8 29 - 2016</v>
      </c>
      <c r="E1624">
        <v>2</v>
      </c>
      <c r="F1624">
        <v>2999.99</v>
      </c>
      <c r="G1624">
        <v>7.0000000000000007E-2</v>
      </c>
      <c r="H1624">
        <v>209.99930000000001</v>
      </c>
      <c r="I1624">
        <f>order_items[[#This Row],[list_price]]-order_items[[#This Row],[Discounted_price]]</f>
        <v>2789.9906999999998</v>
      </c>
      <c r="J1624">
        <f>VLOOKUP(B1624, Products!$A$2:$E$100, 3, FALSE)</f>
        <v>9</v>
      </c>
      <c r="K1624">
        <f>VLOOKUP(B1624, Products!$A$2:$F$100, 4, FALSE)</f>
        <v>6</v>
      </c>
    </row>
    <row r="1625" spans="1:11" x14ac:dyDescent="0.3">
      <c r="A1625">
        <v>580</v>
      </c>
      <c r="B1625">
        <v>5</v>
      </c>
      <c r="C1625">
        <v>19</v>
      </c>
      <c r="D1625" t="str">
        <f>VLOOKUP(B1625, Products!$A$2:$C$100, 2, FALSE)</f>
        <v>Heller Shagamaw Frame - 2016</v>
      </c>
      <c r="E1625">
        <v>1</v>
      </c>
      <c r="F1625">
        <v>449</v>
      </c>
      <c r="G1625">
        <v>0.2</v>
      </c>
      <c r="H1625">
        <v>89.800000000000011</v>
      </c>
      <c r="I1625">
        <f>order_items[[#This Row],[list_price]]-order_items[[#This Row],[Discounted_price]]</f>
        <v>359.2</v>
      </c>
      <c r="J1625">
        <f>VLOOKUP(B1625, Products!$A$2:$E$100, 3, FALSE)</f>
        <v>3</v>
      </c>
      <c r="K1625">
        <f>VLOOKUP(B1625, Products!$A$2:$F$100, 4, FALSE)</f>
        <v>6</v>
      </c>
    </row>
    <row r="1626" spans="1:11" x14ac:dyDescent="0.3">
      <c r="A1626">
        <v>581</v>
      </c>
      <c r="B1626">
        <v>1</v>
      </c>
      <c r="C1626">
        <v>8</v>
      </c>
      <c r="D1626" t="str">
        <f>VLOOKUP(B1626, Products!$A$2:$C$100, 2, FALSE)</f>
        <v>Trek 820 - 2016</v>
      </c>
      <c r="E1626">
        <v>2</v>
      </c>
      <c r="F1626">
        <v>1799.99</v>
      </c>
      <c r="G1626">
        <v>7.0000000000000007E-2</v>
      </c>
      <c r="H1626">
        <v>125.99930000000002</v>
      </c>
      <c r="I1626">
        <f>order_items[[#This Row],[list_price]]-order_items[[#This Row],[Discounted_price]]</f>
        <v>1673.9907000000001</v>
      </c>
      <c r="J1626">
        <f>VLOOKUP(B1626, Products!$A$2:$E$100, 3, FALSE)</f>
        <v>9</v>
      </c>
      <c r="K1626">
        <f>VLOOKUP(B1626, Products!$A$2:$F$100, 4, FALSE)</f>
        <v>6</v>
      </c>
    </row>
    <row r="1627" spans="1:11" x14ac:dyDescent="0.3">
      <c r="A1627">
        <v>582</v>
      </c>
      <c r="B1627">
        <v>1</v>
      </c>
      <c r="C1627">
        <v>10</v>
      </c>
      <c r="D1627" t="str">
        <f>VLOOKUP(B1627, Products!$A$2:$C$100, 2, FALSE)</f>
        <v>Trek 820 - 2016</v>
      </c>
      <c r="E1627">
        <v>2</v>
      </c>
      <c r="F1627">
        <v>1549</v>
      </c>
      <c r="G1627">
        <v>0.2</v>
      </c>
      <c r="H1627">
        <v>309.8</v>
      </c>
      <c r="I1627">
        <f>order_items[[#This Row],[list_price]]-order_items[[#This Row],[Discounted_price]]</f>
        <v>1239.2</v>
      </c>
      <c r="J1627">
        <f>VLOOKUP(B1627, Products!$A$2:$E$100, 3, FALSE)</f>
        <v>9</v>
      </c>
      <c r="K1627">
        <f>VLOOKUP(B1627, Products!$A$2:$F$100, 4, FALSE)</f>
        <v>6</v>
      </c>
    </row>
    <row r="1628" spans="1:11" x14ac:dyDescent="0.3">
      <c r="A1628">
        <v>582</v>
      </c>
      <c r="B1628">
        <v>2</v>
      </c>
      <c r="C1628">
        <v>17</v>
      </c>
      <c r="D1628" t="str">
        <f>VLOOKUP(B1628, Products!$A$2:$C$100, 2, FALSE)</f>
        <v>Ritchey Timberwolf Frameset - 2016</v>
      </c>
      <c r="E1628">
        <v>2</v>
      </c>
      <c r="F1628">
        <v>429</v>
      </c>
      <c r="G1628">
        <v>7.0000000000000007E-2</v>
      </c>
      <c r="H1628">
        <v>30.03</v>
      </c>
      <c r="I1628">
        <f>order_items[[#This Row],[list_price]]-order_items[[#This Row],[Discounted_price]]</f>
        <v>398.97</v>
      </c>
      <c r="J1628">
        <f>VLOOKUP(B1628, Products!$A$2:$E$100, 3, FALSE)</f>
        <v>5</v>
      </c>
      <c r="K1628">
        <f>VLOOKUP(B1628, Products!$A$2:$F$100, 4, FALSE)</f>
        <v>6</v>
      </c>
    </row>
    <row r="1629" spans="1:11" x14ac:dyDescent="0.3">
      <c r="A1629">
        <v>583</v>
      </c>
      <c r="B1629">
        <v>1</v>
      </c>
      <c r="C1629">
        <v>15</v>
      </c>
      <c r="D1629" t="str">
        <f>VLOOKUP(B1629, Products!$A$2:$C$100, 2, FALSE)</f>
        <v>Trek 820 - 2016</v>
      </c>
      <c r="E1629">
        <v>2</v>
      </c>
      <c r="F1629">
        <v>529.99</v>
      </c>
      <c r="G1629">
        <v>0.2</v>
      </c>
      <c r="H1629">
        <v>105.998</v>
      </c>
      <c r="I1629">
        <f>order_items[[#This Row],[list_price]]-order_items[[#This Row],[Discounted_price]]</f>
        <v>423.99200000000002</v>
      </c>
      <c r="J1629">
        <f>VLOOKUP(B1629, Products!$A$2:$E$100, 3, FALSE)</f>
        <v>9</v>
      </c>
      <c r="K1629">
        <f>VLOOKUP(B1629, Products!$A$2:$F$100, 4, FALSE)</f>
        <v>6</v>
      </c>
    </row>
    <row r="1630" spans="1:11" x14ac:dyDescent="0.3">
      <c r="A1630">
        <v>584</v>
      </c>
      <c r="B1630">
        <v>1</v>
      </c>
      <c r="C1630">
        <v>19</v>
      </c>
      <c r="D1630" t="str">
        <f>VLOOKUP(B1630, Products!$A$2:$C$100, 2, FALSE)</f>
        <v>Trek 820 - 2016</v>
      </c>
      <c r="E1630">
        <v>1</v>
      </c>
      <c r="F1630">
        <v>449</v>
      </c>
      <c r="G1630">
        <v>7.0000000000000007E-2</v>
      </c>
      <c r="H1630">
        <v>31.430000000000003</v>
      </c>
      <c r="I1630">
        <f>order_items[[#This Row],[list_price]]-order_items[[#This Row],[Discounted_price]]</f>
        <v>417.57</v>
      </c>
      <c r="J1630">
        <f>VLOOKUP(B1630, Products!$A$2:$E$100, 3, FALSE)</f>
        <v>9</v>
      </c>
      <c r="K1630">
        <f>VLOOKUP(B1630, Products!$A$2:$F$100, 4, FALSE)</f>
        <v>6</v>
      </c>
    </row>
    <row r="1631" spans="1:11" x14ac:dyDescent="0.3">
      <c r="A1631">
        <v>584</v>
      </c>
      <c r="B1631">
        <v>2</v>
      </c>
      <c r="C1631">
        <v>23</v>
      </c>
      <c r="D1631" t="str">
        <f>VLOOKUP(B1631, Products!$A$2:$C$100, 2, FALSE)</f>
        <v>Ritchey Timberwolf Frameset - 2016</v>
      </c>
      <c r="E1631">
        <v>1</v>
      </c>
      <c r="F1631">
        <v>299.99</v>
      </c>
      <c r="G1631">
        <v>7.0000000000000007E-2</v>
      </c>
      <c r="H1631">
        <v>20.999300000000002</v>
      </c>
      <c r="I1631">
        <f>order_items[[#This Row],[list_price]]-order_items[[#This Row],[Discounted_price]]</f>
        <v>278.9907</v>
      </c>
      <c r="J1631">
        <f>VLOOKUP(B1631, Products!$A$2:$E$100, 3, FALSE)</f>
        <v>5</v>
      </c>
      <c r="K1631">
        <f>VLOOKUP(B1631, Products!$A$2:$F$100, 4, FALSE)</f>
        <v>6</v>
      </c>
    </row>
    <row r="1632" spans="1:11" x14ac:dyDescent="0.3">
      <c r="A1632">
        <v>584</v>
      </c>
      <c r="B1632">
        <v>3</v>
      </c>
      <c r="C1632">
        <v>15</v>
      </c>
      <c r="D1632" t="str">
        <f>VLOOKUP(B1632, Products!$A$2:$C$100, 2, FALSE)</f>
        <v>Surly Wednesday Frameset - 2016</v>
      </c>
      <c r="E1632">
        <v>1</v>
      </c>
      <c r="F1632">
        <v>529.99</v>
      </c>
      <c r="G1632">
        <v>0.1</v>
      </c>
      <c r="H1632">
        <v>52.999000000000002</v>
      </c>
      <c r="I1632">
        <f>order_items[[#This Row],[list_price]]-order_items[[#This Row],[Discounted_price]]</f>
        <v>476.99099999999999</v>
      </c>
      <c r="J1632">
        <f>VLOOKUP(B1632, Products!$A$2:$E$100, 3, FALSE)</f>
        <v>8</v>
      </c>
      <c r="K1632">
        <f>VLOOKUP(B1632, Products!$A$2:$F$100, 4, FALSE)</f>
        <v>6</v>
      </c>
    </row>
    <row r="1633" spans="1:11" x14ac:dyDescent="0.3">
      <c r="A1633">
        <v>584</v>
      </c>
      <c r="B1633">
        <v>4</v>
      </c>
      <c r="C1633">
        <v>22</v>
      </c>
      <c r="D1633" t="str">
        <f>VLOOKUP(B1633, Products!$A$2:$C$100, 2, FALSE)</f>
        <v>Trek Fuel EX 8 29 - 2016</v>
      </c>
      <c r="E1633">
        <v>1</v>
      </c>
      <c r="F1633">
        <v>269.99</v>
      </c>
      <c r="G1633">
        <v>0.05</v>
      </c>
      <c r="H1633">
        <v>13.499500000000001</v>
      </c>
      <c r="I1633">
        <f>order_items[[#This Row],[list_price]]-order_items[[#This Row],[Discounted_price]]</f>
        <v>256.4905</v>
      </c>
      <c r="J1633">
        <f>VLOOKUP(B1633, Products!$A$2:$E$100, 3, FALSE)</f>
        <v>9</v>
      </c>
      <c r="K1633">
        <f>VLOOKUP(B1633, Products!$A$2:$F$100, 4, FALSE)</f>
        <v>6</v>
      </c>
    </row>
    <row r="1634" spans="1:11" x14ac:dyDescent="0.3">
      <c r="A1634">
        <v>584</v>
      </c>
      <c r="B1634">
        <v>5</v>
      </c>
      <c r="C1634">
        <v>8</v>
      </c>
      <c r="D1634" t="str">
        <f>VLOOKUP(B1634, Products!$A$2:$C$100, 2, FALSE)</f>
        <v>Heller Shagamaw Frame - 2016</v>
      </c>
      <c r="E1634">
        <v>2</v>
      </c>
      <c r="F1634">
        <v>1799.99</v>
      </c>
      <c r="G1634">
        <v>7.0000000000000007E-2</v>
      </c>
      <c r="H1634">
        <v>125.99930000000002</v>
      </c>
      <c r="I1634">
        <f>order_items[[#This Row],[list_price]]-order_items[[#This Row],[Discounted_price]]</f>
        <v>1673.9907000000001</v>
      </c>
      <c r="J1634">
        <f>VLOOKUP(B1634, Products!$A$2:$E$100, 3, FALSE)</f>
        <v>3</v>
      </c>
      <c r="K1634">
        <f>VLOOKUP(B1634, Products!$A$2:$F$100, 4, FALSE)</f>
        <v>6</v>
      </c>
    </row>
    <row r="1635" spans="1:11" x14ac:dyDescent="0.3">
      <c r="A1635">
        <v>585</v>
      </c>
      <c r="B1635">
        <v>1</v>
      </c>
      <c r="C1635">
        <v>10</v>
      </c>
      <c r="D1635" t="str">
        <f>VLOOKUP(B1635, Products!$A$2:$C$100, 2, FALSE)</f>
        <v>Trek 820 - 2016</v>
      </c>
      <c r="E1635">
        <v>1</v>
      </c>
      <c r="F1635">
        <v>1549</v>
      </c>
      <c r="G1635">
        <v>0.2</v>
      </c>
      <c r="H1635">
        <v>309.8</v>
      </c>
      <c r="I1635">
        <f>order_items[[#This Row],[list_price]]-order_items[[#This Row],[Discounted_price]]</f>
        <v>1239.2</v>
      </c>
      <c r="J1635">
        <f>VLOOKUP(B1635, Products!$A$2:$E$100, 3, FALSE)</f>
        <v>9</v>
      </c>
      <c r="K1635">
        <f>VLOOKUP(B1635, Products!$A$2:$F$100, 4, FALSE)</f>
        <v>6</v>
      </c>
    </row>
    <row r="1636" spans="1:11" x14ac:dyDescent="0.3">
      <c r="A1636">
        <v>585</v>
      </c>
      <c r="B1636">
        <v>2</v>
      </c>
      <c r="C1636">
        <v>18</v>
      </c>
      <c r="D1636" t="str">
        <f>VLOOKUP(B1636, Products!$A$2:$C$100, 2, FALSE)</f>
        <v>Ritchey Timberwolf Frameset - 2016</v>
      </c>
      <c r="E1636">
        <v>2</v>
      </c>
      <c r="F1636">
        <v>449</v>
      </c>
      <c r="G1636">
        <v>0.2</v>
      </c>
      <c r="H1636">
        <v>89.800000000000011</v>
      </c>
      <c r="I1636">
        <f>order_items[[#This Row],[list_price]]-order_items[[#This Row],[Discounted_price]]</f>
        <v>359.2</v>
      </c>
      <c r="J1636">
        <f>VLOOKUP(B1636, Products!$A$2:$E$100, 3, FALSE)</f>
        <v>5</v>
      </c>
      <c r="K1636">
        <f>VLOOKUP(B1636, Products!$A$2:$F$100, 4, FALSE)</f>
        <v>6</v>
      </c>
    </row>
    <row r="1637" spans="1:11" x14ac:dyDescent="0.3">
      <c r="A1637">
        <v>585</v>
      </c>
      <c r="B1637">
        <v>3</v>
      </c>
      <c r="C1637">
        <v>15</v>
      </c>
      <c r="D1637" t="str">
        <f>VLOOKUP(B1637, Products!$A$2:$C$100, 2, FALSE)</f>
        <v>Surly Wednesday Frameset - 2016</v>
      </c>
      <c r="E1637">
        <v>1</v>
      </c>
      <c r="F1637">
        <v>529.99</v>
      </c>
      <c r="G1637">
        <v>0.05</v>
      </c>
      <c r="H1637">
        <v>26.499500000000001</v>
      </c>
      <c r="I1637">
        <f>order_items[[#This Row],[list_price]]-order_items[[#This Row],[Discounted_price]]</f>
        <v>503.4905</v>
      </c>
      <c r="J1637">
        <f>VLOOKUP(B1637, Products!$A$2:$E$100, 3, FALSE)</f>
        <v>8</v>
      </c>
      <c r="K1637">
        <f>VLOOKUP(B1637, Products!$A$2:$F$100, 4, FALSE)</f>
        <v>6</v>
      </c>
    </row>
    <row r="1638" spans="1:11" x14ac:dyDescent="0.3">
      <c r="A1638">
        <v>585</v>
      </c>
      <c r="B1638">
        <v>4</v>
      </c>
      <c r="C1638">
        <v>12</v>
      </c>
      <c r="D1638" t="str">
        <f>VLOOKUP(B1638, Products!$A$2:$C$100, 2, FALSE)</f>
        <v>Trek Fuel EX 8 29 - 2016</v>
      </c>
      <c r="E1638">
        <v>2</v>
      </c>
      <c r="F1638">
        <v>549.99</v>
      </c>
      <c r="G1638">
        <v>7.0000000000000007E-2</v>
      </c>
      <c r="H1638">
        <v>38.499300000000005</v>
      </c>
      <c r="I1638">
        <f>order_items[[#This Row],[list_price]]-order_items[[#This Row],[Discounted_price]]</f>
        <v>511.4907</v>
      </c>
      <c r="J1638">
        <f>VLOOKUP(B1638, Products!$A$2:$E$100, 3, FALSE)</f>
        <v>9</v>
      </c>
      <c r="K1638">
        <f>VLOOKUP(B1638, Products!$A$2:$F$100, 4, FALSE)</f>
        <v>6</v>
      </c>
    </row>
    <row r="1639" spans="1:11" x14ac:dyDescent="0.3">
      <c r="A1639">
        <v>586</v>
      </c>
      <c r="B1639">
        <v>1</v>
      </c>
      <c r="C1639">
        <v>11</v>
      </c>
      <c r="D1639" t="str">
        <f>VLOOKUP(B1639, Products!$A$2:$C$100, 2, FALSE)</f>
        <v>Trek 820 - 2016</v>
      </c>
      <c r="E1639">
        <v>2</v>
      </c>
      <c r="F1639">
        <v>1680.99</v>
      </c>
      <c r="G1639">
        <v>0.1</v>
      </c>
      <c r="H1639">
        <v>168.09900000000002</v>
      </c>
      <c r="I1639">
        <f>order_items[[#This Row],[list_price]]-order_items[[#This Row],[Discounted_price]]</f>
        <v>1512.8910000000001</v>
      </c>
      <c r="J1639">
        <f>VLOOKUP(B1639, Products!$A$2:$E$100, 3, FALSE)</f>
        <v>9</v>
      </c>
      <c r="K1639">
        <f>VLOOKUP(B1639, Products!$A$2:$F$100, 4, FALSE)</f>
        <v>6</v>
      </c>
    </row>
    <row r="1640" spans="1:11" x14ac:dyDescent="0.3">
      <c r="A1640">
        <v>586</v>
      </c>
      <c r="B1640">
        <v>2</v>
      </c>
      <c r="C1640">
        <v>23</v>
      </c>
      <c r="D1640" t="str">
        <f>VLOOKUP(B1640, Products!$A$2:$C$100, 2, FALSE)</f>
        <v>Ritchey Timberwolf Frameset - 2016</v>
      </c>
      <c r="E1640">
        <v>2</v>
      </c>
      <c r="F1640">
        <v>299.99</v>
      </c>
      <c r="G1640">
        <v>0.2</v>
      </c>
      <c r="H1640">
        <v>59.998000000000005</v>
      </c>
      <c r="I1640">
        <f>order_items[[#This Row],[list_price]]-order_items[[#This Row],[Discounted_price]]</f>
        <v>239.99200000000002</v>
      </c>
      <c r="J1640">
        <f>VLOOKUP(B1640, Products!$A$2:$E$100, 3, FALSE)</f>
        <v>5</v>
      </c>
      <c r="K1640">
        <f>VLOOKUP(B1640, Products!$A$2:$F$100, 4, FALSE)</f>
        <v>6</v>
      </c>
    </row>
    <row r="1641" spans="1:11" x14ac:dyDescent="0.3">
      <c r="A1641">
        <v>587</v>
      </c>
      <c r="B1641">
        <v>1</v>
      </c>
      <c r="C1641">
        <v>24</v>
      </c>
      <c r="D1641" t="str">
        <f>VLOOKUP(B1641, Products!$A$2:$C$100, 2, FALSE)</f>
        <v>Trek 820 - 2016</v>
      </c>
      <c r="E1641">
        <v>1</v>
      </c>
      <c r="F1641">
        <v>549.99</v>
      </c>
      <c r="G1641">
        <v>0.05</v>
      </c>
      <c r="H1641">
        <v>27.499500000000001</v>
      </c>
      <c r="I1641">
        <f>order_items[[#This Row],[list_price]]-order_items[[#This Row],[Discounted_price]]</f>
        <v>522.4905</v>
      </c>
      <c r="J1641">
        <f>VLOOKUP(B1641, Products!$A$2:$E$100, 3, FALSE)</f>
        <v>9</v>
      </c>
      <c r="K1641">
        <f>VLOOKUP(B1641, Products!$A$2:$F$100, 4, FALSE)</f>
        <v>6</v>
      </c>
    </row>
    <row r="1642" spans="1:11" x14ac:dyDescent="0.3">
      <c r="A1642">
        <v>587</v>
      </c>
      <c r="B1642">
        <v>2</v>
      </c>
      <c r="C1642">
        <v>23</v>
      </c>
      <c r="D1642" t="str">
        <f>VLOOKUP(B1642, Products!$A$2:$C$100, 2, FALSE)</f>
        <v>Ritchey Timberwolf Frameset - 2016</v>
      </c>
      <c r="E1642">
        <v>1</v>
      </c>
      <c r="F1642">
        <v>299.99</v>
      </c>
      <c r="G1642">
        <v>0.05</v>
      </c>
      <c r="H1642">
        <v>14.999500000000001</v>
      </c>
      <c r="I1642">
        <f>order_items[[#This Row],[list_price]]-order_items[[#This Row],[Discounted_price]]</f>
        <v>284.9905</v>
      </c>
      <c r="J1642">
        <f>VLOOKUP(B1642, Products!$A$2:$E$100, 3, FALSE)</f>
        <v>5</v>
      </c>
      <c r="K1642">
        <f>VLOOKUP(B1642, Products!$A$2:$F$100, 4, FALSE)</f>
        <v>6</v>
      </c>
    </row>
    <row r="1643" spans="1:11" x14ac:dyDescent="0.3">
      <c r="A1643">
        <v>587</v>
      </c>
      <c r="B1643">
        <v>3</v>
      </c>
      <c r="C1643">
        <v>18</v>
      </c>
      <c r="D1643" t="str">
        <f>VLOOKUP(B1643, Products!$A$2:$C$100, 2, FALSE)</f>
        <v>Surly Wednesday Frameset - 2016</v>
      </c>
      <c r="E1643">
        <v>1</v>
      </c>
      <c r="F1643">
        <v>449</v>
      </c>
      <c r="G1643">
        <v>0.05</v>
      </c>
      <c r="H1643">
        <v>22.450000000000003</v>
      </c>
      <c r="I1643">
        <f>order_items[[#This Row],[list_price]]-order_items[[#This Row],[Discounted_price]]</f>
        <v>426.55</v>
      </c>
      <c r="J1643">
        <f>VLOOKUP(B1643, Products!$A$2:$E$100, 3, FALSE)</f>
        <v>8</v>
      </c>
      <c r="K1643">
        <f>VLOOKUP(B1643, Products!$A$2:$F$100, 4, FALSE)</f>
        <v>6</v>
      </c>
    </row>
    <row r="1644" spans="1:11" x14ac:dyDescent="0.3">
      <c r="A1644">
        <v>587</v>
      </c>
      <c r="B1644">
        <v>4</v>
      </c>
      <c r="C1644">
        <v>21</v>
      </c>
      <c r="D1644" t="str">
        <f>VLOOKUP(B1644, Products!$A$2:$C$100, 2, FALSE)</f>
        <v>Trek Fuel EX 8 29 - 2016</v>
      </c>
      <c r="E1644">
        <v>1</v>
      </c>
      <c r="F1644">
        <v>269.99</v>
      </c>
      <c r="G1644">
        <v>0.2</v>
      </c>
      <c r="H1644">
        <v>53.998000000000005</v>
      </c>
      <c r="I1644">
        <f>order_items[[#This Row],[list_price]]-order_items[[#This Row],[Discounted_price]]</f>
        <v>215.99200000000002</v>
      </c>
      <c r="J1644">
        <f>VLOOKUP(B1644, Products!$A$2:$E$100, 3, FALSE)</f>
        <v>9</v>
      </c>
      <c r="K1644">
        <f>VLOOKUP(B1644, Products!$A$2:$F$100, 4, FALSE)</f>
        <v>6</v>
      </c>
    </row>
    <row r="1645" spans="1:11" x14ac:dyDescent="0.3">
      <c r="A1645">
        <v>588</v>
      </c>
      <c r="B1645">
        <v>1</v>
      </c>
      <c r="C1645">
        <v>10</v>
      </c>
      <c r="D1645" t="str">
        <f>VLOOKUP(B1645, Products!$A$2:$C$100, 2, FALSE)</f>
        <v>Trek 820 - 2016</v>
      </c>
      <c r="E1645">
        <v>2</v>
      </c>
      <c r="F1645">
        <v>1549</v>
      </c>
      <c r="G1645">
        <v>7.0000000000000007E-2</v>
      </c>
      <c r="H1645">
        <v>108.43</v>
      </c>
      <c r="I1645">
        <f>order_items[[#This Row],[list_price]]-order_items[[#This Row],[Discounted_price]]</f>
        <v>1440.57</v>
      </c>
      <c r="J1645">
        <f>VLOOKUP(B1645, Products!$A$2:$E$100, 3, FALSE)</f>
        <v>9</v>
      </c>
      <c r="K1645">
        <f>VLOOKUP(B1645, Products!$A$2:$F$100, 4, FALSE)</f>
        <v>6</v>
      </c>
    </row>
    <row r="1646" spans="1:11" x14ac:dyDescent="0.3">
      <c r="A1646">
        <v>588</v>
      </c>
      <c r="B1646">
        <v>2</v>
      </c>
      <c r="C1646">
        <v>23</v>
      </c>
      <c r="D1646" t="str">
        <f>VLOOKUP(B1646, Products!$A$2:$C$100, 2, FALSE)</f>
        <v>Ritchey Timberwolf Frameset - 2016</v>
      </c>
      <c r="E1646">
        <v>1</v>
      </c>
      <c r="F1646">
        <v>299.99</v>
      </c>
      <c r="G1646">
        <v>0.2</v>
      </c>
      <c r="H1646">
        <v>59.998000000000005</v>
      </c>
      <c r="I1646">
        <f>order_items[[#This Row],[list_price]]-order_items[[#This Row],[Discounted_price]]</f>
        <v>239.99200000000002</v>
      </c>
      <c r="J1646">
        <f>VLOOKUP(B1646, Products!$A$2:$E$100, 3, FALSE)</f>
        <v>5</v>
      </c>
      <c r="K1646">
        <f>VLOOKUP(B1646, Products!$A$2:$F$100, 4, FALSE)</f>
        <v>6</v>
      </c>
    </row>
    <row r="1647" spans="1:11" x14ac:dyDescent="0.3">
      <c r="A1647">
        <v>589</v>
      </c>
      <c r="B1647">
        <v>1</v>
      </c>
      <c r="C1647">
        <v>15</v>
      </c>
      <c r="D1647" t="str">
        <f>VLOOKUP(B1647, Products!$A$2:$C$100, 2, FALSE)</f>
        <v>Trek 820 - 2016</v>
      </c>
      <c r="E1647">
        <v>2</v>
      </c>
      <c r="F1647">
        <v>529.99</v>
      </c>
      <c r="G1647">
        <v>0.05</v>
      </c>
      <c r="H1647">
        <v>26.499500000000001</v>
      </c>
      <c r="I1647">
        <f>order_items[[#This Row],[list_price]]-order_items[[#This Row],[Discounted_price]]</f>
        <v>503.4905</v>
      </c>
      <c r="J1647">
        <f>VLOOKUP(B1647, Products!$A$2:$E$100, 3, FALSE)</f>
        <v>9</v>
      </c>
      <c r="K1647">
        <f>VLOOKUP(B1647, Products!$A$2:$F$100, 4, FALSE)</f>
        <v>6</v>
      </c>
    </row>
    <row r="1648" spans="1:11" x14ac:dyDescent="0.3">
      <c r="A1648">
        <v>590</v>
      </c>
      <c r="B1648">
        <v>1</v>
      </c>
      <c r="C1648">
        <v>2</v>
      </c>
      <c r="D1648" t="str">
        <f>VLOOKUP(B1648, Products!$A$2:$C$100, 2, FALSE)</f>
        <v>Trek 820 - 2016</v>
      </c>
      <c r="E1648">
        <v>2</v>
      </c>
      <c r="F1648">
        <v>749.99</v>
      </c>
      <c r="G1648">
        <v>0.1</v>
      </c>
      <c r="H1648">
        <v>74.999000000000009</v>
      </c>
      <c r="I1648">
        <f>order_items[[#This Row],[list_price]]-order_items[[#This Row],[Discounted_price]]</f>
        <v>674.99099999999999</v>
      </c>
      <c r="J1648">
        <f>VLOOKUP(B1648, Products!$A$2:$E$100, 3, FALSE)</f>
        <v>9</v>
      </c>
      <c r="K1648">
        <f>VLOOKUP(B1648, Products!$A$2:$F$100, 4, FALSE)</f>
        <v>6</v>
      </c>
    </row>
    <row r="1649" spans="1:11" x14ac:dyDescent="0.3">
      <c r="A1649">
        <v>590</v>
      </c>
      <c r="B1649">
        <v>2</v>
      </c>
      <c r="C1649">
        <v>20</v>
      </c>
      <c r="D1649" t="str">
        <f>VLOOKUP(B1649, Products!$A$2:$C$100, 2, FALSE)</f>
        <v>Ritchey Timberwolf Frameset - 2016</v>
      </c>
      <c r="E1649">
        <v>1</v>
      </c>
      <c r="F1649">
        <v>599.99</v>
      </c>
      <c r="G1649">
        <v>7.0000000000000007E-2</v>
      </c>
      <c r="H1649">
        <v>41.999300000000005</v>
      </c>
      <c r="I1649">
        <f>order_items[[#This Row],[list_price]]-order_items[[#This Row],[Discounted_price]]</f>
        <v>557.99070000000006</v>
      </c>
      <c r="J1649">
        <f>VLOOKUP(B1649, Products!$A$2:$E$100, 3, FALSE)</f>
        <v>5</v>
      </c>
      <c r="K1649">
        <f>VLOOKUP(B1649, Products!$A$2:$F$100, 4, FALSE)</f>
        <v>6</v>
      </c>
    </row>
    <row r="1650" spans="1:11" x14ac:dyDescent="0.3">
      <c r="A1650">
        <v>590</v>
      </c>
      <c r="B1650">
        <v>3</v>
      </c>
      <c r="C1650">
        <v>8</v>
      </c>
      <c r="D1650" t="str">
        <f>VLOOKUP(B1650, Products!$A$2:$C$100, 2, FALSE)</f>
        <v>Surly Wednesday Frameset - 2016</v>
      </c>
      <c r="E1650">
        <v>2</v>
      </c>
      <c r="F1650">
        <v>1799.99</v>
      </c>
      <c r="G1650">
        <v>0.05</v>
      </c>
      <c r="H1650">
        <v>89.999500000000012</v>
      </c>
      <c r="I1650">
        <f>order_items[[#This Row],[list_price]]-order_items[[#This Row],[Discounted_price]]</f>
        <v>1709.9904999999999</v>
      </c>
      <c r="J1650">
        <f>VLOOKUP(B1650, Products!$A$2:$E$100, 3, FALSE)</f>
        <v>8</v>
      </c>
      <c r="K1650">
        <f>VLOOKUP(B1650, Products!$A$2:$F$100, 4, FALSE)</f>
        <v>6</v>
      </c>
    </row>
    <row r="1651" spans="1:11" x14ac:dyDescent="0.3">
      <c r="A1651">
        <v>590</v>
      </c>
      <c r="B1651">
        <v>4</v>
      </c>
      <c r="C1651">
        <v>5</v>
      </c>
      <c r="D1651" t="str">
        <f>VLOOKUP(B1651, Products!$A$2:$C$100, 2, FALSE)</f>
        <v>Trek Fuel EX 8 29 - 2016</v>
      </c>
      <c r="E1651">
        <v>2</v>
      </c>
      <c r="F1651">
        <v>1320.99</v>
      </c>
      <c r="G1651">
        <v>0.1</v>
      </c>
      <c r="H1651">
        <v>132.09900000000002</v>
      </c>
      <c r="I1651">
        <f>order_items[[#This Row],[list_price]]-order_items[[#This Row],[Discounted_price]]</f>
        <v>1188.8910000000001</v>
      </c>
      <c r="J1651">
        <f>VLOOKUP(B1651, Products!$A$2:$E$100, 3, FALSE)</f>
        <v>9</v>
      </c>
      <c r="K1651">
        <f>VLOOKUP(B1651, Products!$A$2:$F$100, 4, FALSE)</f>
        <v>6</v>
      </c>
    </row>
    <row r="1652" spans="1:11" x14ac:dyDescent="0.3">
      <c r="A1652">
        <v>590</v>
      </c>
      <c r="B1652">
        <v>5</v>
      </c>
      <c r="C1652">
        <v>24</v>
      </c>
      <c r="D1652" t="str">
        <f>VLOOKUP(B1652, Products!$A$2:$C$100, 2, FALSE)</f>
        <v>Heller Shagamaw Frame - 2016</v>
      </c>
      <c r="E1652">
        <v>1</v>
      </c>
      <c r="F1652">
        <v>549.99</v>
      </c>
      <c r="G1652">
        <v>0.1</v>
      </c>
      <c r="H1652">
        <v>54.999000000000002</v>
      </c>
      <c r="I1652">
        <f>order_items[[#This Row],[list_price]]-order_items[[#This Row],[Discounted_price]]</f>
        <v>494.99099999999999</v>
      </c>
      <c r="J1652">
        <f>VLOOKUP(B1652, Products!$A$2:$E$100, 3, FALSE)</f>
        <v>3</v>
      </c>
      <c r="K1652">
        <f>VLOOKUP(B1652, Products!$A$2:$F$100, 4, FALSE)</f>
        <v>6</v>
      </c>
    </row>
    <row r="1653" spans="1:11" x14ac:dyDescent="0.3">
      <c r="A1653">
        <v>591</v>
      </c>
      <c r="B1653">
        <v>1</v>
      </c>
      <c r="C1653">
        <v>16</v>
      </c>
      <c r="D1653" t="str">
        <f>VLOOKUP(B1653, Products!$A$2:$C$100, 2, FALSE)</f>
        <v>Trek 820 - 2016</v>
      </c>
      <c r="E1653">
        <v>2</v>
      </c>
      <c r="F1653">
        <v>599.99</v>
      </c>
      <c r="G1653">
        <v>0.05</v>
      </c>
      <c r="H1653">
        <v>29.999500000000001</v>
      </c>
      <c r="I1653">
        <f>order_items[[#This Row],[list_price]]-order_items[[#This Row],[Discounted_price]]</f>
        <v>569.9905</v>
      </c>
      <c r="J1653">
        <f>VLOOKUP(B1653, Products!$A$2:$E$100, 3, FALSE)</f>
        <v>9</v>
      </c>
      <c r="K1653">
        <f>VLOOKUP(B1653, Products!$A$2:$F$100, 4, FALSE)</f>
        <v>6</v>
      </c>
    </row>
    <row r="1654" spans="1:11" x14ac:dyDescent="0.3">
      <c r="A1654">
        <v>591</v>
      </c>
      <c r="B1654">
        <v>2</v>
      </c>
      <c r="C1654">
        <v>25</v>
      </c>
      <c r="D1654" t="str">
        <f>VLOOKUP(B1654, Products!$A$2:$C$100, 2, FALSE)</f>
        <v>Ritchey Timberwolf Frameset - 2016</v>
      </c>
      <c r="E1654">
        <v>2</v>
      </c>
      <c r="F1654">
        <v>499.99</v>
      </c>
      <c r="G1654">
        <v>0.05</v>
      </c>
      <c r="H1654">
        <v>24.999500000000001</v>
      </c>
      <c r="I1654">
        <f>order_items[[#This Row],[list_price]]-order_items[[#This Row],[Discounted_price]]</f>
        <v>474.9905</v>
      </c>
      <c r="J1654">
        <f>VLOOKUP(B1654, Products!$A$2:$E$100, 3, FALSE)</f>
        <v>5</v>
      </c>
      <c r="K1654">
        <f>VLOOKUP(B1654, Products!$A$2:$F$100, 4, FALSE)</f>
        <v>6</v>
      </c>
    </row>
    <row r="1655" spans="1:11" x14ac:dyDescent="0.3">
      <c r="A1655">
        <v>591</v>
      </c>
      <c r="B1655">
        <v>3</v>
      </c>
      <c r="C1655">
        <v>2</v>
      </c>
      <c r="D1655" t="str">
        <f>VLOOKUP(B1655, Products!$A$2:$C$100, 2, FALSE)</f>
        <v>Surly Wednesday Frameset - 2016</v>
      </c>
      <c r="E1655">
        <v>2</v>
      </c>
      <c r="F1655">
        <v>749.99</v>
      </c>
      <c r="G1655">
        <v>0.1</v>
      </c>
      <c r="H1655">
        <v>74.999000000000009</v>
      </c>
      <c r="I1655">
        <f>order_items[[#This Row],[list_price]]-order_items[[#This Row],[Discounted_price]]</f>
        <v>674.99099999999999</v>
      </c>
      <c r="J1655">
        <f>VLOOKUP(B1655, Products!$A$2:$E$100, 3, FALSE)</f>
        <v>8</v>
      </c>
      <c r="K1655">
        <f>VLOOKUP(B1655, Products!$A$2:$F$100, 4, FALSE)</f>
        <v>6</v>
      </c>
    </row>
    <row r="1656" spans="1:11" x14ac:dyDescent="0.3">
      <c r="A1656">
        <v>592</v>
      </c>
      <c r="B1656">
        <v>1</v>
      </c>
      <c r="C1656">
        <v>21</v>
      </c>
      <c r="D1656" t="str">
        <f>VLOOKUP(B1656, Products!$A$2:$C$100, 2, FALSE)</f>
        <v>Trek 820 - 2016</v>
      </c>
      <c r="E1656">
        <v>2</v>
      </c>
      <c r="F1656">
        <v>269.99</v>
      </c>
      <c r="G1656">
        <v>0.1</v>
      </c>
      <c r="H1656">
        <v>26.999000000000002</v>
      </c>
      <c r="I1656">
        <f>order_items[[#This Row],[list_price]]-order_items[[#This Row],[Discounted_price]]</f>
        <v>242.99100000000001</v>
      </c>
      <c r="J1656">
        <f>VLOOKUP(B1656, Products!$A$2:$E$100, 3, FALSE)</f>
        <v>9</v>
      </c>
      <c r="K1656">
        <f>VLOOKUP(B1656, Products!$A$2:$F$100, 4, FALSE)</f>
        <v>6</v>
      </c>
    </row>
    <row r="1657" spans="1:11" x14ac:dyDescent="0.3">
      <c r="A1657">
        <v>592</v>
      </c>
      <c r="B1657">
        <v>2</v>
      </c>
      <c r="C1657">
        <v>16</v>
      </c>
      <c r="D1657" t="str">
        <f>VLOOKUP(B1657, Products!$A$2:$C$100, 2, FALSE)</f>
        <v>Ritchey Timberwolf Frameset - 2016</v>
      </c>
      <c r="E1657">
        <v>1</v>
      </c>
      <c r="F1657">
        <v>599.99</v>
      </c>
      <c r="G1657">
        <v>0.05</v>
      </c>
      <c r="H1657">
        <v>29.999500000000001</v>
      </c>
      <c r="I1657">
        <f>order_items[[#This Row],[list_price]]-order_items[[#This Row],[Discounted_price]]</f>
        <v>569.9905</v>
      </c>
      <c r="J1657">
        <f>VLOOKUP(B1657, Products!$A$2:$E$100, 3, FALSE)</f>
        <v>5</v>
      </c>
      <c r="K1657">
        <f>VLOOKUP(B1657, Products!$A$2:$F$100, 4, FALSE)</f>
        <v>6</v>
      </c>
    </row>
    <row r="1658" spans="1:11" x14ac:dyDescent="0.3">
      <c r="A1658">
        <v>592</v>
      </c>
      <c r="B1658">
        <v>3</v>
      </c>
      <c r="C1658">
        <v>18</v>
      </c>
      <c r="D1658" t="str">
        <f>VLOOKUP(B1658, Products!$A$2:$C$100, 2, FALSE)</f>
        <v>Surly Wednesday Frameset - 2016</v>
      </c>
      <c r="E1658">
        <v>2</v>
      </c>
      <c r="F1658">
        <v>449</v>
      </c>
      <c r="G1658">
        <v>7.0000000000000007E-2</v>
      </c>
      <c r="H1658">
        <v>31.430000000000003</v>
      </c>
      <c r="I1658">
        <f>order_items[[#This Row],[list_price]]-order_items[[#This Row],[Discounted_price]]</f>
        <v>417.57</v>
      </c>
      <c r="J1658">
        <f>VLOOKUP(B1658, Products!$A$2:$E$100, 3, FALSE)</f>
        <v>8</v>
      </c>
      <c r="K1658">
        <f>VLOOKUP(B1658, Products!$A$2:$F$100, 4, FALSE)</f>
        <v>6</v>
      </c>
    </row>
    <row r="1659" spans="1:11" x14ac:dyDescent="0.3">
      <c r="A1659">
        <v>593</v>
      </c>
      <c r="B1659">
        <v>1</v>
      </c>
      <c r="C1659">
        <v>3</v>
      </c>
      <c r="D1659" t="str">
        <f>VLOOKUP(B1659, Products!$A$2:$C$100, 2, FALSE)</f>
        <v>Trek 820 - 2016</v>
      </c>
      <c r="E1659">
        <v>2</v>
      </c>
      <c r="F1659">
        <v>999.99</v>
      </c>
      <c r="G1659">
        <v>0.1</v>
      </c>
      <c r="H1659">
        <v>99.999000000000009</v>
      </c>
      <c r="I1659">
        <f>order_items[[#This Row],[list_price]]-order_items[[#This Row],[Discounted_price]]</f>
        <v>899.99099999999999</v>
      </c>
      <c r="J1659">
        <f>VLOOKUP(B1659, Products!$A$2:$E$100, 3, FALSE)</f>
        <v>9</v>
      </c>
      <c r="K1659">
        <f>VLOOKUP(B1659, Products!$A$2:$F$100, 4, FALSE)</f>
        <v>6</v>
      </c>
    </row>
    <row r="1660" spans="1:11" x14ac:dyDescent="0.3">
      <c r="A1660">
        <v>593</v>
      </c>
      <c r="B1660">
        <v>2</v>
      </c>
      <c r="C1660">
        <v>25</v>
      </c>
      <c r="D1660" t="str">
        <f>VLOOKUP(B1660, Products!$A$2:$C$100, 2, FALSE)</f>
        <v>Ritchey Timberwolf Frameset - 2016</v>
      </c>
      <c r="E1660">
        <v>1</v>
      </c>
      <c r="F1660">
        <v>499.99</v>
      </c>
      <c r="G1660">
        <v>7.0000000000000007E-2</v>
      </c>
      <c r="H1660">
        <v>34.999300000000005</v>
      </c>
      <c r="I1660">
        <f>order_items[[#This Row],[list_price]]-order_items[[#This Row],[Discounted_price]]</f>
        <v>464.9907</v>
      </c>
      <c r="J1660">
        <f>VLOOKUP(B1660, Products!$A$2:$E$100, 3, FALSE)</f>
        <v>5</v>
      </c>
      <c r="K1660">
        <f>VLOOKUP(B1660, Products!$A$2:$F$100, 4, FALSE)</f>
        <v>6</v>
      </c>
    </row>
    <row r="1661" spans="1:11" x14ac:dyDescent="0.3">
      <c r="A1661">
        <v>594</v>
      </c>
      <c r="B1661">
        <v>1</v>
      </c>
      <c r="C1661">
        <v>26</v>
      </c>
      <c r="D1661" t="str">
        <f>VLOOKUP(B1661, Products!$A$2:$C$100, 2, FALSE)</f>
        <v>Trek 820 - 2016</v>
      </c>
      <c r="E1661">
        <v>1</v>
      </c>
      <c r="F1661">
        <v>599.99</v>
      </c>
      <c r="G1661">
        <v>0.1</v>
      </c>
      <c r="H1661">
        <v>59.999000000000002</v>
      </c>
      <c r="I1661">
        <f>order_items[[#This Row],[list_price]]-order_items[[#This Row],[Discounted_price]]</f>
        <v>539.99099999999999</v>
      </c>
      <c r="J1661">
        <f>VLOOKUP(B1661, Products!$A$2:$E$100, 3, FALSE)</f>
        <v>9</v>
      </c>
      <c r="K1661">
        <f>VLOOKUP(B1661, Products!$A$2:$F$100, 4, FALSE)</f>
        <v>6</v>
      </c>
    </row>
    <row r="1662" spans="1:11" x14ac:dyDescent="0.3">
      <c r="A1662">
        <v>594</v>
      </c>
      <c r="B1662">
        <v>2</v>
      </c>
      <c r="C1662">
        <v>21</v>
      </c>
      <c r="D1662" t="str">
        <f>VLOOKUP(B1662, Products!$A$2:$C$100, 2, FALSE)</f>
        <v>Ritchey Timberwolf Frameset - 2016</v>
      </c>
      <c r="E1662">
        <v>2</v>
      </c>
      <c r="F1662">
        <v>269.99</v>
      </c>
      <c r="G1662">
        <v>0.05</v>
      </c>
      <c r="H1662">
        <v>13.499500000000001</v>
      </c>
      <c r="I1662">
        <f>order_items[[#This Row],[list_price]]-order_items[[#This Row],[Discounted_price]]</f>
        <v>256.4905</v>
      </c>
      <c r="J1662">
        <f>VLOOKUP(B1662, Products!$A$2:$E$100, 3, FALSE)</f>
        <v>5</v>
      </c>
      <c r="K1662">
        <f>VLOOKUP(B1662, Products!$A$2:$F$100, 4, FALSE)</f>
        <v>6</v>
      </c>
    </row>
    <row r="1663" spans="1:11" x14ac:dyDescent="0.3">
      <c r="A1663">
        <v>595</v>
      </c>
      <c r="B1663">
        <v>1</v>
      </c>
      <c r="C1663">
        <v>4</v>
      </c>
      <c r="D1663" t="str">
        <f>VLOOKUP(B1663, Products!$A$2:$C$100, 2, FALSE)</f>
        <v>Trek 820 - 2016</v>
      </c>
      <c r="E1663">
        <v>1</v>
      </c>
      <c r="F1663">
        <v>2899.99</v>
      </c>
      <c r="G1663">
        <v>7.0000000000000007E-2</v>
      </c>
      <c r="H1663">
        <v>202.99930000000001</v>
      </c>
      <c r="I1663">
        <f>order_items[[#This Row],[list_price]]-order_items[[#This Row],[Discounted_price]]</f>
        <v>2696.9906999999998</v>
      </c>
      <c r="J1663">
        <f>VLOOKUP(B1663, Products!$A$2:$E$100, 3, FALSE)</f>
        <v>9</v>
      </c>
      <c r="K1663">
        <f>VLOOKUP(B1663, Products!$A$2:$F$100, 4, FALSE)</f>
        <v>6</v>
      </c>
    </row>
    <row r="1664" spans="1:11" x14ac:dyDescent="0.3">
      <c r="A1664">
        <v>595</v>
      </c>
      <c r="B1664">
        <v>2</v>
      </c>
      <c r="C1664">
        <v>19</v>
      </c>
      <c r="D1664" t="str">
        <f>VLOOKUP(B1664, Products!$A$2:$C$100, 2, FALSE)</f>
        <v>Ritchey Timberwolf Frameset - 2016</v>
      </c>
      <c r="E1664">
        <v>2</v>
      </c>
      <c r="F1664">
        <v>449</v>
      </c>
      <c r="G1664">
        <v>7.0000000000000007E-2</v>
      </c>
      <c r="H1664">
        <v>31.430000000000003</v>
      </c>
      <c r="I1664">
        <f>order_items[[#This Row],[list_price]]-order_items[[#This Row],[Discounted_price]]</f>
        <v>417.57</v>
      </c>
      <c r="J1664">
        <f>VLOOKUP(B1664, Products!$A$2:$E$100, 3, FALSE)</f>
        <v>5</v>
      </c>
      <c r="K1664">
        <f>VLOOKUP(B1664, Products!$A$2:$F$100, 4, FALSE)</f>
        <v>6</v>
      </c>
    </row>
    <row r="1665" spans="1:11" x14ac:dyDescent="0.3">
      <c r="A1665">
        <v>595</v>
      </c>
      <c r="B1665">
        <v>3</v>
      </c>
      <c r="C1665">
        <v>3</v>
      </c>
      <c r="D1665" t="str">
        <f>VLOOKUP(B1665, Products!$A$2:$C$100, 2, FALSE)</f>
        <v>Surly Wednesday Frameset - 2016</v>
      </c>
      <c r="E1665">
        <v>1</v>
      </c>
      <c r="F1665">
        <v>999.99</v>
      </c>
      <c r="G1665">
        <v>7.0000000000000007E-2</v>
      </c>
      <c r="H1665">
        <v>69.999300000000005</v>
      </c>
      <c r="I1665">
        <f>order_items[[#This Row],[list_price]]-order_items[[#This Row],[Discounted_price]]</f>
        <v>929.99070000000006</v>
      </c>
      <c r="J1665">
        <f>VLOOKUP(B1665, Products!$A$2:$E$100, 3, FALSE)</f>
        <v>8</v>
      </c>
      <c r="K1665">
        <f>VLOOKUP(B1665, Products!$A$2:$F$100, 4, FALSE)</f>
        <v>6</v>
      </c>
    </row>
    <row r="1666" spans="1:11" x14ac:dyDescent="0.3">
      <c r="A1666">
        <v>595</v>
      </c>
      <c r="B1666">
        <v>4</v>
      </c>
      <c r="C1666">
        <v>10</v>
      </c>
      <c r="D1666" t="str">
        <f>VLOOKUP(B1666, Products!$A$2:$C$100, 2, FALSE)</f>
        <v>Trek Fuel EX 8 29 - 2016</v>
      </c>
      <c r="E1666">
        <v>1</v>
      </c>
      <c r="F1666">
        <v>1549</v>
      </c>
      <c r="G1666">
        <v>7.0000000000000007E-2</v>
      </c>
      <c r="H1666">
        <v>108.43</v>
      </c>
      <c r="I1666">
        <f>order_items[[#This Row],[list_price]]-order_items[[#This Row],[Discounted_price]]</f>
        <v>1440.57</v>
      </c>
      <c r="J1666">
        <f>VLOOKUP(B1666, Products!$A$2:$E$100, 3, FALSE)</f>
        <v>9</v>
      </c>
      <c r="K1666">
        <f>VLOOKUP(B1666, Products!$A$2:$F$100, 4, FALSE)</f>
        <v>6</v>
      </c>
    </row>
    <row r="1667" spans="1:11" x14ac:dyDescent="0.3">
      <c r="A1667">
        <v>595</v>
      </c>
      <c r="B1667">
        <v>5</v>
      </c>
      <c r="C1667">
        <v>26</v>
      </c>
      <c r="D1667" t="str">
        <f>VLOOKUP(B1667, Products!$A$2:$C$100, 2, FALSE)</f>
        <v>Heller Shagamaw Frame - 2016</v>
      </c>
      <c r="E1667">
        <v>2</v>
      </c>
      <c r="F1667">
        <v>599.99</v>
      </c>
      <c r="G1667">
        <v>0.05</v>
      </c>
      <c r="H1667">
        <v>29.999500000000001</v>
      </c>
      <c r="I1667">
        <f>order_items[[#This Row],[list_price]]-order_items[[#This Row],[Discounted_price]]</f>
        <v>569.9905</v>
      </c>
      <c r="J1667">
        <f>VLOOKUP(B1667, Products!$A$2:$E$100, 3, FALSE)</f>
        <v>3</v>
      </c>
      <c r="K1667">
        <f>VLOOKUP(B1667, Products!$A$2:$F$100, 4, FALSE)</f>
        <v>6</v>
      </c>
    </row>
    <row r="1668" spans="1:11" x14ac:dyDescent="0.3">
      <c r="A1668">
        <v>596</v>
      </c>
      <c r="B1668">
        <v>1</v>
      </c>
      <c r="C1668">
        <v>5</v>
      </c>
      <c r="D1668" t="str">
        <f>VLOOKUP(B1668, Products!$A$2:$C$100, 2, FALSE)</f>
        <v>Trek 820 - 2016</v>
      </c>
      <c r="E1668">
        <v>1</v>
      </c>
      <c r="F1668">
        <v>1320.99</v>
      </c>
      <c r="G1668">
        <v>0.05</v>
      </c>
      <c r="H1668">
        <v>66.049500000000009</v>
      </c>
      <c r="I1668">
        <f>order_items[[#This Row],[list_price]]-order_items[[#This Row],[Discounted_price]]</f>
        <v>1254.9404999999999</v>
      </c>
      <c r="J1668">
        <f>VLOOKUP(B1668, Products!$A$2:$E$100, 3, FALSE)</f>
        <v>9</v>
      </c>
      <c r="K1668">
        <f>VLOOKUP(B1668, Products!$A$2:$F$100, 4, FALSE)</f>
        <v>6</v>
      </c>
    </row>
    <row r="1669" spans="1:11" x14ac:dyDescent="0.3">
      <c r="A1669">
        <v>596</v>
      </c>
      <c r="B1669">
        <v>2</v>
      </c>
      <c r="C1669">
        <v>23</v>
      </c>
      <c r="D1669" t="str">
        <f>VLOOKUP(B1669, Products!$A$2:$C$100, 2, FALSE)</f>
        <v>Ritchey Timberwolf Frameset - 2016</v>
      </c>
      <c r="E1669">
        <v>2</v>
      </c>
      <c r="F1669">
        <v>299.99</v>
      </c>
      <c r="G1669">
        <v>0.1</v>
      </c>
      <c r="H1669">
        <v>29.999000000000002</v>
      </c>
      <c r="I1669">
        <f>order_items[[#This Row],[list_price]]-order_items[[#This Row],[Discounted_price]]</f>
        <v>269.99099999999999</v>
      </c>
      <c r="J1669">
        <f>VLOOKUP(B1669, Products!$A$2:$E$100, 3, FALSE)</f>
        <v>5</v>
      </c>
      <c r="K1669">
        <f>VLOOKUP(B1669, Products!$A$2:$F$100, 4, FALSE)</f>
        <v>6</v>
      </c>
    </row>
    <row r="1670" spans="1:11" x14ac:dyDescent="0.3">
      <c r="A1670">
        <v>596</v>
      </c>
      <c r="B1670">
        <v>3</v>
      </c>
      <c r="C1670">
        <v>9</v>
      </c>
      <c r="D1670" t="str">
        <f>VLOOKUP(B1670, Products!$A$2:$C$100, 2, FALSE)</f>
        <v>Surly Wednesday Frameset - 2016</v>
      </c>
      <c r="E1670">
        <v>1</v>
      </c>
      <c r="F1670">
        <v>2999.99</v>
      </c>
      <c r="G1670">
        <v>0.05</v>
      </c>
      <c r="H1670">
        <v>149.99949999999998</v>
      </c>
      <c r="I1670">
        <f>order_items[[#This Row],[list_price]]-order_items[[#This Row],[Discounted_price]]</f>
        <v>2849.9904999999999</v>
      </c>
      <c r="J1670">
        <f>VLOOKUP(B1670, Products!$A$2:$E$100, 3, FALSE)</f>
        <v>8</v>
      </c>
      <c r="K1670">
        <f>VLOOKUP(B1670, Products!$A$2:$F$100, 4, FALSE)</f>
        <v>6</v>
      </c>
    </row>
    <row r="1671" spans="1:11" x14ac:dyDescent="0.3">
      <c r="A1671">
        <v>597</v>
      </c>
      <c r="B1671">
        <v>1</v>
      </c>
      <c r="C1671">
        <v>17</v>
      </c>
      <c r="D1671" t="str">
        <f>VLOOKUP(B1671, Products!$A$2:$C$100, 2, FALSE)</f>
        <v>Trek 820 - 2016</v>
      </c>
      <c r="E1671">
        <v>2</v>
      </c>
      <c r="F1671">
        <v>429</v>
      </c>
      <c r="G1671">
        <v>0.2</v>
      </c>
      <c r="H1671">
        <v>85.800000000000011</v>
      </c>
      <c r="I1671">
        <f>order_items[[#This Row],[list_price]]-order_items[[#This Row],[Discounted_price]]</f>
        <v>343.2</v>
      </c>
      <c r="J1671">
        <f>VLOOKUP(B1671, Products!$A$2:$E$100, 3, FALSE)</f>
        <v>9</v>
      </c>
      <c r="K1671">
        <f>VLOOKUP(B1671, Products!$A$2:$F$100, 4, FALSE)</f>
        <v>6</v>
      </c>
    </row>
    <row r="1672" spans="1:11" x14ac:dyDescent="0.3">
      <c r="A1672">
        <v>597</v>
      </c>
      <c r="B1672">
        <v>2</v>
      </c>
      <c r="C1672">
        <v>8</v>
      </c>
      <c r="D1672" t="str">
        <f>VLOOKUP(B1672, Products!$A$2:$C$100, 2, FALSE)</f>
        <v>Ritchey Timberwolf Frameset - 2016</v>
      </c>
      <c r="E1672">
        <v>1</v>
      </c>
      <c r="F1672">
        <v>1799.99</v>
      </c>
      <c r="G1672">
        <v>7.0000000000000007E-2</v>
      </c>
      <c r="H1672">
        <v>125.99930000000002</v>
      </c>
      <c r="I1672">
        <f>order_items[[#This Row],[list_price]]-order_items[[#This Row],[Discounted_price]]</f>
        <v>1673.9907000000001</v>
      </c>
      <c r="J1672">
        <f>VLOOKUP(B1672, Products!$A$2:$E$100, 3, FALSE)</f>
        <v>5</v>
      </c>
      <c r="K1672">
        <f>VLOOKUP(B1672, Products!$A$2:$F$100, 4, FALSE)</f>
        <v>6</v>
      </c>
    </row>
    <row r="1673" spans="1:11" x14ac:dyDescent="0.3">
      <c r="A1673">
        <v>598</v>
      </c>
      <c r="B1673">
        <v>1</v>
      </c>
      <c r="C1673">
        <v>4</v>
      </c>
      <c r="D1673" t="str">
        <f>VLOOKUP(B1673, Products!$A$2:$C$100, 2, FALSE)</f>
        <v>Trek 820 - 2016</v>
      </c>
      <c r="E1673">
        <v>2</v>
      </c>
      <c r="F1673">
        <v>2899.99</v>
      </c>
      <c r="G1673">
        <v>0.05</v>
      </c>
      <c r="H1673">
        <v>144.99949999999998</v>
      </c>
      <c r="I1673">
        <f>order_items[[#This Row],[list_price]]-order_items[[#This Row],[Discounted_price]]</f>
        <v>2754.9904999999999</v>
      </c>
      <c r="J1673">
        <f>VLOOKUP(B1673, Products!$A$2:$E$100, 3, FALSE)</f>
        <v>9</v>
      </c>
      <c r="K1673">
        <f>VLOOKUP(B1673, Products!$A$2:$F$100, 4, FALSE)</f>
        <v>6</v>
      </c>
    </row>
    <row r="1674" spans="1:11" x14ac:dyDescent="0.3">
      <c r="A1674">
        <v>598</v>
      </c>
      <c r="B1674">
        <v>2</v>
      </c>
      <c r="C1674">
        <v>16</v>
      </c>
      <c r="D1674" t="str">
        <f>VLOOKUP(B1674, Products!$A$2:$C$100, 2, FALSE)</f>
        <v>Ritchey Timberwolf Frameset - 2016</v>
      </c>
      <c r="E1674">
        <v>2</v>
      </c>
      <c r="F1674">
        <v>599.99</v>
      </c>
      <c r="G1674">
        <v>7.0000000000000007E-2</v>
      </c>
      <c r="H1674">
        <v>41.999300000000005</v>
      </c>
      <c r="I1674">
        <f>order_items[[#This Row],[list_price]]-order_items[[#This Row],[Discounted_price]]</f>
        <v>557.99070000000006</v>
      </c>
      <c r="J1674">
        <f>VLOOKUP(B1674, Products!$A$2:$E$100, 3, FALSE)</f>
        <v>5</v>
      </c>
      <c r="K1674">
        <f>VLOOKUP(B1674, Products!$A$2:$F$100, 4, FALSE)</f>
        <v>6</v>
      </c>
    </row>
    <row r="1675" spans="1:11" x14ac:dyDescent="0.3">
      <c r="A1675">
        <v>598</v>
      </c>
      <c r="B1675">
        <v>3</v>
      </c>
      <c r="C1675">
        <v>14</v>
      </c>
      <c r="D1675" t="str">
        <f>VLOOKUP(B1675, Products!$A$2:$C$100, 2, FALSE)</f>
        <v>Surly Wednesday Frameset - 2016</v>
      </c>
      <c r="E1675">
        <v>1</v>
      </c>
      <c r="F1675">
        <v>269.99</v>
      </c>
      <c r="G1675">
        <v>0.1</v>
      </c>
      <c r="H1675">
        <v>26.999000000000002</v>
      </c>
      <c r="I1675">
        <f>order_items[[#This Row],[list_price]]-order_items[[#This Row],[Discounted_price]]</f>
        <v>242.99100000000001</v>
      </c>
      <c r="J1675">
        <f>VLOOKUP(B1675, Products!$A$2:$E$100, 3, FALSE)</f>
        <v>8</v>
      </c>
      <c r="K1675">
        <f>VLOOKUP(B1675, Products!$A$2:$F$100, 4, FALSE)</f>
        <v>6</v>
      </c>
    </row>
    <row r="1676" spans="1:11" x14ac:dyDescent="0.3">
      <c r="A1676">
        <v>599</v>
      </c>
      <c r="B1676">
        <v>1</v>
      </c>
      <c r="C1676">
        <v>9</v>
      </c>
      <c r="D1676" t="str">
        <f>VLOOKUP(B1676, Products!$A$2:$C$100, 2, FALSE)</f>
        <v>Trek 820 - 2016</v>
      </c>
      <c r="E1676">
        <v>2</v>
      </c>
      <c r="F1676">
        <v>2999.99</v>
      </c>
      <c r="G1676">
        <v>0.05</v>
      </c>
      <c r="H1676">
        <v>149.99949999999998</v>
      </c>
      <c r="I1676">
        <f>order_items[[#This Row],[list_price]]-order_items[[#This Row],[Discounted_price]]</f>
        <v>2849.9904999999999</v>
      </c>
      <c r="J1676">
        <f>VLOOKUP(B1676, Products!$A$2:$E$100, 3, FALSE)</f>
        <v>9</v>
      </c>
      <c r="K1676">
        <f>VLOOKUP(B1676, Products!$A$2:$F$100, 4, FALSE)</f>
        <v>6</v>
      </c>
    </row>
    <row r="1677" spans="1:11" x14ac:dyDescent="0.3">
      <c r="A1677">
        <v>599</v>
      </c>
      <c r="B1677">
        <v>2</v>
      </c>
      <c r="C1677">
        <v>22</v>
      </c>
      <c r="D1677" t="str">
        <f>VLOOKUP(B1677, Products!$A$2:$C$100, 2, FALSE)</f>
        <v>Ritchey Timberwolf Frameset - 2016</v>
      </c>
      <c r="E1677">
        <v>2</v>
      </c>
      <c r="F1677">
        <v>269.99</v>
      </c>
      <c r="G1677">
        <v>0.2</v>
      </c>
      <c r="H1677">
        <v>53.998000000000005</v>
      </c>
      <c r="I1677">
        <f>order_items[[#This Row],[list_price]]-order_items[[#This Row],[Discounted_price]]</f>
        <v>215.99200000000002</v>
      </c>
      <c r="J1677">
        <f>VLOOKUP(B1677, Products!$A$2:$E$100, 3, FALSE)</f>
        <v>5</v>
      </c>
      <c r="K1677">
        <f>VLOOKUP(B1677, Products!$A$2:$F$100, 4, FALSE)</f>
        <v>6</v>
      </c>
    </row>
    <row r="1678" spans="1:11" x14ac:dyDescent="0.3">
      <c r="A1678">
        <v>599</v>
      </c>
      <c r="B1678">
        <v>3</v>
      </c>
      <c r="C1678">
        <v>23</v>
      </c>
      <c r="D1678" t="str">
        <f>VLOOKUP(B1678, Products!$A$2:$C$100, 2, FALSE)</f>
        <v>Surly Wednesday Frameset - 2016</v>
      </c>
      <c r="E1678">
        <v>1</v>
      </c>
      <c r="F1678">
        <v>299.99</v>
      </c>
      <c r="G1678">
        <v>7.0000000000000007E-2</v>
      </c>
      <c r="H1678">
        <v>20.999300000000002</v>
      </c>
      <c r="I1678">
        <f>order_items[[#This Row],[list_price]]-order_items[[#This Row],[Discounted_price]]</f>
        <v>278.9907</v>
      </c>
      <c r="J1678">
        <f>VLOOKUP(B1678, Products!$A$2:$E$100, 3, FALSE)</f>
        <v>8</v>
      </c>
      <c r="K1678">
        <f>VLOOKUP(B1678, Products!$A$2:$F$100, 4, FALSE)</f>
        <v>6</v>
      </c>
    </row>
    <row r="1679" spans="1:11" x14ac:dyDescent="0.3">
      <c r="A1679">
        <v>599</v>
      </c>
      <c r="B1679">
        <v>4</v>
      </c>
      <c r="C1679">
        <v>10</v>
      </c>
      <c r="D1679" t="str">
        <f>VLOOKUP(B1679, Products!$A$2:$C$100, 2, FALSE)</f>
        <v>Trek Fuel EX 8 29 - 2016</v>
      </c>
      <c r="E1679">
        <v>2</v>
      </c>
      <c r="F1679">
        <v>1549</v>
      </c>
      <c r="G1679">
        <v>0.1</v>
      </c>
      <c r="H1679">
        <v>154.9</v>
      </c>
      <c r="I1679">
        <f>order_items[[#This Row],[list_price]]-order_items[[#This Row],[Discounted_price]]</f>
        <v>1394.1</v>
      </c>
      <c r="J1679">
        <f>VLOOKUP(B1679, Products!$A$2:$E$100, 3, FALSE)</f>
        <v>9</v>
      </c>
      <c r="K1679">
        <f>VLOOKUP(B1679, Products!$A$2:$F$100, 4, FALSE)</f>
        <v>6</v>
      </c>
    </row>
    <row r="1680" spans="1:11" x14ac:dyDescent="0.3">
      <c r="A1680">
        <v>600</v>
      </c>
      <c r="B1680">
        <v>1</v>
      </c>
      <c r="C1680">
        <v>26</v>
      </c>
      <c r="D1680" t="str">
        <f>VLOOKUP(B1680, Products!$A$2:$C$100, 2, FALSE)</f>
        <v>Trek 820 - 2016</v>
      </c>
      <c r="E1680">
        <v>2</v>
      </c>
      <c r="F1680">
        <v>599.99</v>
      </c>
      <c r="G1680">
        <v>7.0000000000000007E-2</v>
      </c>
      <c r="H1680">
        <v>41.999300000000005</v>
      </c>
      <c r="I1680">
        <f>order_items[[#This Row],[list_price]]-order_items[[#This Row],[Discounted_price]]</f>
        <v>557.99070000000006</v>
      </c>
      <c r="J1680">
        <f>VLOOKUP(B1680, Products!$A$2:$E$100, 3, FALSE)</f>
        <v>9</v>
      </c>
      <c r="K1680">
        <f>VLOOKUP(B1680, Products!$A$2:$F$100, 4, FALSE)</f>
        <v>6</v>
      </c>
    </row>
    <row r="1681" spans="1:11" x14ac:dyDescent="0.3">
      <c r="A1681">
        <v>600</v>
      </c>
      <c r="B1681">
        <v>2</v>
      </c>
      <c r="C1681">
        <v>4</v>
      </c>
      <c r="D1681" t="str">
        <f>VLOOKUP(B1681, Products!$A$2:$C$100, 2, FALSE)</f>
        <v>Ritchey Timberwolf Frameset - 2016</v>
      </c>
      <c r="E1681">
        <v>1</v>
      </c>
      <c r="F1681">
        <v>2899.99</v>
      </c>
      <c r="G1681">
        <v>0.2</v>
      </c>
      <c r="H1681">
        <v>579.99799999999993</v>
      </c>
      <c r="I1681">
        <f>order_items[[#This Row],[list_price]]-order_items[[#This Row],[Discounted_price]]</f>
        <v>2319.9919999999997</v>
      </c>
      <c r="J1681">
        <f>VLOOKUP(B1681, Products!$A$2:$E$100, 3, FALSE)</f>
        <v>5</v>
      </c>
      <c r="K1681">
        <f>VLOOKUP(B1681, Products!$A$2:$F$100, 4, FALSE)</f>
        <v>6</v>
      </c>
    </row>
    <row r="1682" spans="1:11" x14ac:dyDescent="0.3">
      <c r="A1682">
        <v>600</v>
      </c>
      <c r="B1682">
        <v>3</v>
      </c>
      <c r="C1682">
        <v>18</v>
      </c>
      <c r="D1682" t="str">
        <f>VLOOKUP(B1682, Products!$A$2:$C$100, 2, FALSE)</f>
        <v>Surly Wednesday Frameset - 2016</v>
      </c>
      <c r="E1682">
        <v>2</v>
      </c>
      <c r="F1682">
        <v>449</v>
      </c>
      <c r="G1682">
        <v>7.0000000000000007E-2</v>
      </c>
      <c r="H1682">
        <v>31.430000000000003</v>
      </c>
      <c r="I1682">
        <f>order_items[[#This Row],[list_price]]-order_items[[#This Row],[Discounted_price]]</f>
        <v>417.57</v>
      </c>
      <c r="J1682">
        <f>VLOOKUP(B1682, Products!$A$2:$E$100, 3, FALSE)</f>
        <v>8</v>
      </c>
      <c r="K1682">
        <f>VLOOKUP(B1682, Products!$A$2:$F$100, 4, FALSE)</f>
        <v>6</v>
      </c>
    </row>
    <row r="1683" spans="1:11" x14ac:dyDescent="0.3">
      <c r="A1683">
        <v>601</v>
      </c>
      <c r="B1683">
        <v>1</v>
      </c>
      <c r="C1683">
        <v>12</v>
      </c>
      <c r="D1683" t="str">
        <f>VLOOKUP(B1683, Products!$A$2:$C$100, 2, FALSE)</f>
        <v>Trek 820 - 2016</v>
      </c>
      <c r="E1683">
        <v>2</v>
      </c>
      <c r="F1683">
        <v>549.99</v>
      </c>
      <c r="G1683">
        <v>0.2</v>
      </c>
      <c r="H1683">
        <v>109.998</v>
      </c>
      <c r="I1683">
        <f>order_items[[#This Row],[list_price]]-order_items[[#This Row],[Discounted_price]]</f>
        <v>439.99200000000002</v>
      </c>
      <c r="J1683">
        <f>VLOOKUP(B1683, Products!$A$2:$E$100, 3, FALSE)</f>
        <v>9</v>
      </c>
      <c r="K1683">
        <f>VLOOKUP(B1683, Products!$A$2:$F$100, 4, FALSE)</f>
        <v>6</v>
      </c>
    </row>
    <row r="1684" spans="1:11" x14ac:dyDescent="0.3">
      <c r="A1684">
        <v>602</v>
      </c>
      <c r="B1684">
        <v>1</v>
      </c>
      <c r="C1684">
        <v>15</v>
      </c>
      <c r="D1684" t="str">
        <f>VLOOKUP(B1684, Products!$A$2:$C$100, 2, FALSE)</f>
        <v>Trek 820 - 2016</v>
      </c>
      <c r="E1684">
        <v>2</v>
      </c>
      <c r="F1684">
        <v>529.99</v>
      </c>
      <c r="G1684">
        <v>0.05</v>
      </c>
      <c r="H1684">
        <v>26.499500000000001</v>
      </c>
      <c r="I1684">
        <f>order_items[[#This Row],[list_price]]-order_items[[#This Row],[Discounted_price]]</f>
        <v>503.4905</v>
      </c>
      <c r="J1684">
        <f>VLOOKUP(B1684, Products!$A$2:$E$100, 3, FALSE)</f>
        <v>9</v>
      </c>
      <c r="K1684">
        <f>VLOOKUP(B1684, Products!$A$2:$F$100, 4, FALSE)</f>
        <v>6</v>
      </c>
    </row>
    <row r="1685" spans="1:11" x14ac:dyDescent="0.3">
      <c r="A1685">
        <v>602</v>
      </c>
      <c r="B1685">
        <v>2</v>
      </c>
      <c r="C1685">
        <v>5</v>
      </c>
      <c r="D1685" t="str">
        <f>VLOOKUP(B1685, Products!$A$2:$C$100, 2, FALSE)</f>
        <v>Ritchey Timberwolf Frameset - 2016</v>
      </c>
      <c r="E1685">
        <v>2</v>
      </c>
      <c r="F1685">
        <v>1320.99</v>
      </c>
      <c r="G1685">
        <v>7.0000000000000007E-2</v>
      </c>
      <c r="H1685">
        <v>92.469300000000004</v>
      </c>
      <c r="I1685">
        <f>order_items[[#This Row],[list_price]]-order_items[[#This Row],[Discounted_price]]</f>
        <v>1228.5207</v>
      </c>
      <c r="J1685">
        <f>VLOOKUP(B1685, Products!$A$2:$E$100, 3, FALSE)</f>
        <v>5</v>
      </c>
      <c r="K1685">
        <f>VLOOKUP(B1685, Products!$A$2:$F$100, 4, FALSE)</f>
        <v>6</v>
      </c>
    </row>
    <row r="1686" spans="1:11" x14ac:dyDescent="0.3">
      <c r="A1686">
        <v>603</v>
      </c>
      <c r="B1686">
        <v>1</v>
      </c>
      <c r="C1686">
        <v>12</v>
      </c>
      <c r="D1686" t="str">
        <f>VLOOKUP(B1686, Products!$A$2:$C$100, 2, FALSE)</f>
        <v>Trek 820 - 2016</v>
      </c>
      <c r="E1686">
        <v>1</v>
      </c>
      <c r="F1686">
        <v>549.99</v>
      </c>
      <c r="G1686">
        <v>7.0000000000000007E-2</v>
      </c>
      <c r="H1686">
        <v>38.499300000000005</v>
      </c>
      <c r="I1686">
        <f>order_items[[#This Row],[list_price]]-order_items[[#This Row],[Discounted_price]]</f>
        <v>511.4907</v>
      </c>
      <c r="J1686">
        <f>VLOOKUP(B1686, Products!$A$2:$E$100, 3, FALSE)</f>
        <v>9</v>
      </c>
      <c r="K1686">
        <f>VLOOKUP(B1686, Products!$A$2:$F$100, 4, FALSE)</f>
        <v>6</v>
      </c>
    </row>
    <row r="1687" spans="1:11" x14ac:dyDescent="0.3">
      <c r="A1687">
        <v>603</v>
      </c>
      <c r="B1687">
        <v>2</v>
      </c>
      <c r="C1687">
        <v>4</v>
      </c>
      <c r="D1687" t="str">
        <f>VLOOKUP(B1687, Products!$A$2:$C$100, 2, FALSE)</f>
        <v>Ritchey Timberwolf Frameset - 2016</v>
      </c>
      <c r="E1687">
        <v>1</v>
      </c>
      <c r="F1687">
        <v>2899.99</v>
      </c>
      <c r="G1687">
        <v>0.1</v>
      </c>
      <c r="H1687">
        <v>289.99899999999997</v>
      </c>
      <c r="I1687">
        <f>order_items[[#This Row],[list_price]]-order_items[[#This Row],[Discounted_price]]</f>
        <v>2609.991</v>
      </c>
      <c r="J1687">
        <f>VLOOKUP(B1687, Products!$A$2:$E$100, 3, FALSE)</f>
        <v>5</v>
      </c>
      <c r="K1687">
        <f>VLOOKUP(B1687, Products!$A$2:$F$100, 4, FALSE)</f>
        <v>6</v>
      </c>
    </row>
    <row r="1688" spans="1:11" x14ac:dyDescent="0.3">
      <c r="A1688">
        <v>604</v>
      </c>
      <c r="B1688">
        <v>1</v>
      </c>
      <c r="C1688">
        <v>10</v>
      </c>
      <c r="D1688" t="str">
        <f>VLOOKUP(B1688, Products!$A$2:$C$100, 2, FALSE)</f>
        <v>Trek 820 - 2016</v>
      </c>
      <c r="E1688">
        <v>2</v>
      </c>
      <c r="F1688">
        <v>1549</v>
      </c>
      <c r="G1688">
        <v>7.0000000000000007E-2</v>
      </c>
      <c r="H1688">
        <v>108.43</v>
      </c>
      <c r="I1688">
        <f>order_items[[#This Row],[list_price]]-order_items[[#This Row],[Discounted_price]]</f>
        <v>1440.57</v>
      </c>
      <c r="J1688">
        <f>VLOOKUP(B1688, Products!$A$2:$E$100, 3, FALSE)</f>
        <v>9</v>
      </c>
      <c r="K1688">
        <f>VLOOKUP(B1688, Products!$A$2:$F$100, 4, FALSE)</f>
        <v>6</v>
      </c>
    </row>
    <row r="1689" spans="1:11" x14ac:dyDescent="0.3">
      <c r="A1689">
        <v>604</v>
      </c>
      <c r="B1689">
        <v>2</v>
      </c>
      <c r="C1689">
        <v>9</v>
      </c>
      <c r="D1689" t="str">
        <f>VLOOKUP(B1689, Products!$A$2:$C$100, 2, FALSE)</f>
        <v>Ritchey Timberwolf Frameset - 2016</v>
      </c>
      <c r="E1689">
        <v>2</v>
      </c>
      <c r="F1689">
        <v>2999.99</v>
      </c>
      <c r="G1689">
        <v>0.2</v>
      </c>
      <c r="H1689">
        <v>599.99799999999993</v>
      </c>
      <c r="I1689">
        <f>order_items[[#This Row],[list_price]]-order_items[[#This Row],[Discounted_price]]</f>
        <v>2399.9919999999997</v>
      </c>
      <c r="J1689">
        <f>VLOOKUP(B1689, Products!$A$2:$E$100, 3, FALSE)</f>
        <v>5</v>
      </c>
      <c r="K1689">
        <f>VLOOKUP(B1689, Products!$A$2:$F$100, 4, FALSE)</f>
        <v>6</v>
      </c>
    </row>
    <row r="1690" spans="1:11" x14ac:dyDescent="0.3">
      <c r="A1690">
        <v>605</v>
      </c>
      <c r="B1690">
        <v>1</v>
      </c>
      <c r="C1690">
        <v>19</v>
      </c>
      <c r="D1690" t="str">
        <f>VLOOKUP(B1690, Products!$A$2:$C$100, 2, FALSE)</f>
        <v>Trek 820 - 2016</v>
      </c>
      <c r="E1690">
        <v>1</v>
      </c>
      <c r="F1690">
        <v>449</v>
      </c>
      <c r="G1690">
        <v>7.0000000000000007E-2</v>
      </c>
      <c r="H1690">
        <v>31.430000000000003</v>
      </c>
      <c r="I1690">
        <f>order_items[[#This Row],[list_price]]-order_items[[#This Row],[Discounted_price]]</f>
        <v>417.57</v>
      </c>
      <c r="J1690">
        <f>VLOOKUP(B1690, Products!$A$2:$E$100, 3, FALSE)</f>
        <v>9</v>
      </c>
      <c r="K1690">
        <f>VLOOKUP(B1690, Products!$A$2:$F$100, 4, FALSE)</f>
        <v>6</v>
      </c>
    </row>
    <row r="1691" spans="1:11" x14ac:dyDescent="0.3">
      <c r="A1691">
        <v>605</v>
      </c>
      <c r="B1691">
        <v>2</v>
      </c>
      <c r="C1691">
        <v>25</v>
      </c>
      <c r="D1691" t="str">
        <f>VLOOKUP(B1691, Products!$A$2:$C$100, 2, FALSE)</f>
        <v>Ritchey Timberwolf Frameset - 2016</v>
      </c>
      <c r="E1691">
        <v>2</v>
      </c>
      <c r="F1691">
        <v>499.99</v>
      </c>
      <c r="G1691">
        <v>0.05</v>
      </c>
      <c r="H1691">
        <v>24.999500000000001</v>
      </c>
      <c r="I1691">
        <f>order_items[[#This Row],[list_price]]-order_items[[#This Row],[Discounted_price]]</f>
        <v>474.9905</v>
      </c>
      <c r="J1691">
        <f>VLOOKUP(B1691, Products!$A$2:$E$100, 3, FALSE)</f>
        <v>5</v>
      </c>
      <c r="K1691">
        <f>VLOOKUP(B1691, Products!$A$2:$F$100, 4, FALSE)</f>
        <v>6</v>
      </c>
    </row>
    <row r="1692" spans="1:11" x14ac:dyDescent="0.3">
      <c r="A1692">
        <v>605</v>
      </c>
      <c r="B1692">
        <v>3</v>
      </c>
      <c r="C1692">
        <v>13</v>
      </c>
      <c r="D1692" t="str">
        <f>VLOOKUP(B1692, Products!$A$2:$C$100, 2, FALSE)</f>
        <v>Surly Wednesday Frameset - 2016</v>
      </c>
      <c r="E1692">
        <v>2</v>
      </c>
      <c r="F1692">
        <v>269.99</v>
      </c>
      <c r="G1692">
        <v>0.2</v>
      </c>
      <c r="H1692">
        <v>53.998000000000005</v>
      </c>
      <c r="I1692">
        <f>order_items[[#This Row],[list_price]]-order_items[[#This Row],[Discounted_price]]</f>
        <v>215.99200000000002</v>
      </c>
      <c r="J1692">
        <f>VLOOKUP(B1692, Products!$A$2:$E$100, 3, FALSE)</f>
        <v>8</v>
      </c>
      <c r="K1692">
        <f>VLOOKUP(B1692, Products!$A$2:$F$100, 4, FALSE)</f>
        <v>6</v>
      </c>
    </row>
    <row r="1693" spans="1:11" x14ac:dyDescent="0.3">
      <c r="A1693">
        <v>605</v>
      </c>
      <c r="B1693">
        <v>4</v>
      </c>
      <c r="C1693">
        <v>11</v>
      </c>
      <c r="D1693" t="str">
        <f>VLOOKUP(B1693, Products!$A$2:$C$100, 2, FALSE)</f>
        <v>Trek Fuel EX 8 29 - 2016</v>
      </c>
      <c r="E1693">
        <v>1</v>
      </c>
      <c r="F1693">
        <v>1680.99</v>
      </c>
      <c r="G1693">
        <v>0.2</v>
      </c>
      <c r="H1693">
        <v>336.19800000000004</v>
      </c>
      <c r="I1693">
        <f>order_items[[#This Row],[list_price]]-order_items[[#This Row],[Discounted_price]]</f>
        <v>1344.7919999999999</v>
      </c>
      <c r="J1693">
        <f>VLOOKUP(B1693, Products!$A$2:$E$100, 3, FALSE)</f>
        <v>9</v>
      </c>
      <c r="K1693">
        <f>VLOOKUP(B1693, Products!$A$2:$F$100, 4, FALSE)</f>
        <v>6</v>
      </c>
    </row>
    <row r="1694" spans="1:11" x14ac:dyDescent="0.3">
      <c r="A1694">
        <v>606</v>
      </c>
      <c r="B1694">
        <v>1</v>
      </c>
      <c r="C1694">
        <v>6</v>
      </c>
      <c r="D1694" t="str">
        <f>VLOOKUP(B1694, Products!$A$2:$C$100, 2, FALSE)</f>
        <v>Trek 820 - 2016</v>
      </c>
      <c r="E1694">
        <v>2</v>
      </c>
      <c r="F1694">
        <v>469.99</v>
      </c>
      <c r="G1694">
        <v>0.2</v>
      </c>
      <c r="H1694">
        <v>93.998000000000005</v>
      </c>
      <c r="I1694">
        <f>order_items[[#This Row],[list_price]]-order_items[[#This Row],[Discounted_price]]</f>
        <v>375.99200000000002</v>
      </c>
      <c r="J1694">
        <f>VLOOKUP(B1694, Products!$A$2:$E$100, 3, FALSE)</f>
        <v>9</v>
      </c>
      <c r="K1694">
        <f>VLOOKUP(B1694, Products!$A$2:$F$100, 4, FALSE)</f>
        <v>6</v>
      </c>
    </row>
    <row r="1695" spans="1:11" x14ac:dyDescent="0.3">
      <c r="A1695">
        <v>606</v>
      </c>
      <c r="B1695">
        <v>2</v>
      </c>
      <c r="C1695">
        <v>18</v>
      </c>
      <c r="D1695" t="str">
        <f>VLOOKUP(B1695, Products!$A$2:$C$100, 2, FALSE)</f>
        <v>Ritchey Timberwolf Frameset - 2016</v>
      </c>
      <c r="E1695">
        <v>2</v>
      </c>
      <c r="F1695">
        <v>449</v>
      </c>
      <c r="G1695">
        <v>0.05</v>
      </c>
      <c r="H1695">
        <v>22.450000000000003</v>
      </c>
      <c r="I1695">
        <f>order_items[[#This Row],[list_price]]-order_items[[#This Row],[Discounted_price]]</f>
        <v>426.55</v>
      </c>
      <c r="J1695">
        <f>VLOOKUP(B1695, Products!$A$2:$E$100, 3, FALSE)</f>
        <v>5</v>
      </c>
      <c r="K1695">
        <f>VLOOKUP(B1695, Products!$A$2:$F$100, 4, FALSE)</f>
        <v>6</v>
      </c>
    </row>
    <row r="1696" spans="1:11" x14ac:dyDescent="0.3">
      <c r="A1696">
        <v>607</v>
      </c>
      <c r="B1696">
        <v>1</v>
      </c>
      <c r="C1696">
        <v>11</v>
      </c>
      <c r="D1696" t="str">
        <f>VLOOKUP(B1696, Products!$A$2:$C$100, 2, FALSE)</f>
        <v>Trek 820 - 2016</v>
      </c>
      <c r="E1696">
        <v>2</v>
      </c>
      <c r="F1696">
        <v>1680.99</v>
      </c>
      <c r="G1696">
        <v>0.2</v>
      </c>
      <c r="H1696">
        <v>336.19800000000004</v>
      </c>
      <c r="I1696">
        <f>order_items[[#This Row],[list_price]]-order_items[[#This Row],[Discounted_price]]</f>
        <v>1344.7919999999999</v>
      </c>
      <c r="J1696">
        <f>VLOOKUP(B1696, Products!$A$2:$E$100, 3, FALSE)</f>
        <v>9</v>
      </c>
      <c r="K1696">
        <f>VLOOKUP(B1696, Products!$A$2:$F$100, 4, FALSE)</f>
        <v>6</v>
      </c>
    </row>
    <row r="1697" spans="1:11" x14ac:dyDescent="0.3">
      <c r="A1697">
        <v>607</v>
      </c>
      <c r="B1697">
        <v>2</v>
      </c>
      <c r="C1697">
        <v>26</v>
      </c>
      <c r="D1697" t="str">
        <f>VLOOKUP(B1697, Products!$A$2:$C$100, 2, FALSE)</f>
        <v>Ritchey Timberwolf Frameset - 2016</v>
      </c>
      <c r="E1697">
        <v>2</v>
      </c>
      <c r="F1697">
        <v>599.99</v>
      </c>
      <c r="G1697">
        <v>0.2</v>
      </c>
      <c r="H1697">
        <v>119.998</v>
      </c>
      <c r="I1697">
        <f>order_items[[#This Row],[list_price]]-order_items[[#This Row],[Discounted_price]]</f>
        <v>479.99200000000002</v>
      </c>
      <c r="J1697">
        <f>VLOOKUP(B1697, Products!$A$2:$E$100, 3, FALSE)</f>
        <v>5</v>
      </c>
      <c r="K1697">
        <f>VLOOKUP(B1697, Products!$A$2:$F$100, 4, FALSE)</f>
        <v>6</v>
      </c>
    </row>
    <row r="1698" spans="1:11" x14ac:dyDescent="0.3">
      <c r="A1698">
        <v>607</v>
      </c>
      <c r="B1698">
        <v>3</v>
      </c>
      <c r="C1698">
        <v>14</v>
      </c>
      <c r="D1698" t="str">
        <f>VLOOKUP(B1698, Products!$A$2:$C$100, 2, FALSE)</f>
        <v>Surly Wednesday Frameset - 2016</v>
      </c>
      <c r="E1698">
        <v>1</v>
      </c>
      <c r="F1698">
        <v>269.99</v>
      </c>
      <c r="G1698">
        <v>7.0000000000000007E-2</v>
      </c>
      <c r="H1698">
        <v>18.899300000000004</v>
      </c>
      <c r="I1698">
        <f>order_items[[#This Row],[list_price]]-order_items[[#This Row],[Discounted_price]]</f>
        <v>251.0907</v>
      </c>
      <c r="J1698">
        <f>VLOOKUP(B1698, Products!$A$2:$E$100, 3, FALSE)</f>
        <v>8</v>
      </c>
      <c r="K1698">
        <f>VLOOKUP(B1698, Products!$A$2:$F$100, 4, FALSE)</f>
        <v>6</v>
      </c>
    </row>
    <row r="1699" spans="1:11" x14ac:dyDescent="0.3">
      <c r="A1699">
        <v>608</v>
      </c>
      <c r="B1699">
        <v>1</v>
      </c>
      <c r="C1699">
        <v>4</v>
      </c>
      <c r="D1699" t="str">
        <f>VLOOKUP(B1699, Products!$A$2:$C$100, 2, FALSE)</f>
        <v>Trek 820 - 2016</v>
      </c>
      <c r="E1699">
        <v>2</v>
      </c>
      <c r="F1699">
        <v>2899.99</v>
      </c>
      <c r="G1699">
        <v>0.2</v>
      </c>
      <c r="H1699">
        <v>579.99799999999993</v>
      </c>
      <c r="I1699">
        <f>order_items[[#This Row],[list_price]]-order_items[[#This Row],[Discounted_price]]</f>
        <v>2319.9919999999997</v>
      </c>
      <c r="J1699">
        <f>VLOOKUP(B1699, Products!$A$2:$E$100, 3, FALSE)</f>
        <v>9</v>
      </c>
      <c r="K1699">
        <f>VLOOKUP(B1699, Products!$A$2:$F$100, 4, FALSE)</f>
        <v>6</v>
      </c>
    </row>
    <row r="1700" spans="1:11" x14ac:dyDescent="0.3">
      <c r="A1700">
        <v>608</v>
      </c>
      <c r="B1700">
        <v>2</v>
      </c>
      <c r="C1700">
        <v>7</v>
      </c>
      <c r="D1700" t="str">
        <f>VLOOKUP(B1700, Products!$A$2:$C$100, 2, FALSE)</f>
        <v>Ritchey Timberwolf Frameset - 2016</v>
      </c>
      <c r="E1700">
        <v>2</v>
      </c>
      <c r="F1700">
        <v>3999.99</v>
      </c>
      <c r="G1700">
        <v>0.1</v>
      </c>
      <c r="H1700">
        <v>399.99900000000002</v>
      </c>
      <c r="I1700">
        <f>order_items[[#This Row],[list_price]]-order_items[[#This Row],[Discounted_price]]</f>
        <v>3599.991</v>
      </c>
      <c r="J1700">
        <f>VLOOKUP(B1700, Products!$A$2:$E$100, 3, FALSE)</f>
        <v>5</v>
      </c>
      <c r="K1700">
        <f>VLOOKUP(B1700, Products!$A$2:$F$100, 4, FALSE)</f>
        <v>6</v>
      </c>
    </row>
    <row r="1701" spans="1:11" x14ac:dyDescent="0.3">
      <c r="A1701">
        <v>608</v>
      </c>
      <c r="B1701">
        <v>3</v>
      </c>
      <c r="C1701">
        <v>24</v>
      </c>
      <c r="D1701" t="str">
        <f>VLOOKUP(B1701, Products!$A$2:$C$100, 2, FALSE)</f>
        <v>Surly Wednesday Frameset - 2016</v>
      </c>
      <c r="E1701">
        <v>1</v>
      </c>
      <c r="F1701">
        <v>549.99</v>
      </c>
      <c r="G1701">
        <v>0.1</v>
      </c>
      <c r="H1701">
        <v>54.999000000000002</v>
      </c>
      <c r="I1701">
        <f>order_items[[#This Row],[list_price]]-order_items[[#This Row],[Discounted_price]]</f>
        <v>494.99099999999999</v>
      </c>
      <c r="J1701">
        <f>VLOOKUP(B1701, Products!$A$2:$E$100, 3, FALSE)</f>
        <v>8</v>
      </c>
      <c r="K1701">
        <f>VLOOKUP(B1701, Products!$A$2:$F$100, 4, FALSE)</f>
        <v>6</v>
      </c>
    </row>
    <row r="1702" spans="1:11" x14ac:dyDescent="0.3">
      <c r="A1702">
        <v>609</v>
      </c>
      <c r="B1702">
        <v>1</v>
      </c>
      <c r="C1702">
        <v>10</v>
      </c>
      <c r="D1702" t="str">
        <f>VLOOKUP(B1702, Products!$A$2:$C$100, 2, FALSE)</f>
        <v>Trek 820 - 2016</v>
      </c>
      <c r="E1702">
        <v>1</v>
      </c>
      <c r="F1702">
        <v>1549</v>
      </c>
      <c r="G1702">
        <v>7.0000000000000007E-2</v>
      </c>
      <c r="H1702">
        <v>108.43</v>
      </c>
      <c r="I1702">
        <f>order_items[[#This Row],[list_price]]-order_items[[#This Row],[Discounted_price]]</f>
        <v>1440.57</v>
      </c>
      <c r="J1702">
        <f>VLOOKUP(B1702, Products!$A$2:$E$100, 3, FALSE)</f>
        <v>9</v>
      </c>
      <c r="K1702">
        <f>VLOOKUP(B1702, Products!$A$2:$F$100, 4, FALSE)</f>
        <v>6</v>
      </c>
    </row>
    <row r="1703" spans="1:11" x14ac:dyDescent="0.3">
      <c r="A1703">
        <v>609</v>
      </c>
      <c r="B1703">
        <v>2</v>
      </c>
      <c r="C1703">
        <v>7</v>
      </c>
      <c r="D1703" t="str">
        <f>VLOOKUP(B1703, Products!$A$2:$C$100, 2, FALSE)</f>
        <v>Ritchey Timberwolf Frameset - 2016</v>
      </c>
      <c r="E1703">
        <v>1</v>
      </c>
      <c r="F1703">
        <v>3999.99</v>
      </c>
      <c r="G1703">
        <v>0.1</v>
      </c>
      <c r="H1703">
        <v>399.99900000000002</v>
      </c>
      <c r="I1703">
        <f>order_items[[#This Row],[list_price]]-order_items[[#This Row],[Discounted_price]]</f>
        <v>3599.991</v>
      </c>
      <c r="J1703">
        <f>VLOOKUP(B1703, Products!$A$2:$E$100, 3, FALSE)</f>
        <v>5</v>
      </c>
      <c r="K1703">
        <f>VLOOKUP(B1703, Products!$A$2:$F$100, 4, FALSE)</f>
        <v>6</v>
      </c>
    </row>
    <row r="1704" spans="1:11" x14ac:dyDescent="0.3">
      <c r="A1704">
        <v>609</v>
      </c>
      <c r="B1704">
        <v>3</v>
      </c>
      <c r="C1704">
        <v>22</v>
      </c>
      <c r="D1704" t="str">
        <f>VLOOKUP(B1704, Products!$A$2:$C$100, 2, FALSE)</f>
        <v>Surly Wednesday Frameset - 2016</v>
      </c>
      <c r="E1704">
        <v>2</v>
      </c>
      <c r="F1704">
        <v>269.99</v>
      </c>
      <c r="G1704">
        <v>0.1</v>
      </c>
      <c r="H1704">
        <v>26.999000000000002</v>
      </c>
      <c r="I1704">
        <f>order_items[[#This Row],[list_price]]-order_items[[#This Row],[Discounted_price]]</f>
        <v>242.99100000000001</v>
      </c>
      <c r="J1704">
        <f>VLOOKUP(B1704, Products!$A$2:$E$100, 3, FALSE)</f>
        <v>8</v>
      </c>
      <c r="K1704">
        <f>VLOOKUP(B1704, Products!$A$2:$F$100, 4, FALSE)</f>
        <v>6</v>
      </c>
    </row>
    <row r="1705" spans="1:11" x14ac:dyDescent="0.3">
      <c r="A1705">
        <v>609</v>
      </c>
      <c r="B1705">
        <v>4</v>
      </c>
      <c r="C1705">
        <v>5</v>
      </c>
      <c r="D1705" t="str">
        <f>VLOOKUP(B1705, Products!$A$2:$C$100, 2, FALSE)</f>
        <v>Trek Fuel EX 8 29 - 2016</v>
      </c>
      <c r="E1705">
        <v>1</v>
      </c>
      <c r="F1705">
        <v>1320.99</v>
      </c>
      <c r="G1705">
        <v>0.1</v>
      </c>
      <c r="H1705">
        <v>132.09900000000002</v>
      </c>
      <c r="I1705">
        <f>order_items[[#This Row],[list_price]]-order_items[[#This Row],[Discounted_price]]</f>
        <v>1188.8910000000001</v>
      </c>
      <c r="J1705">
        <f>VLOOKUP(B1705, Products!$A$2:$E$100, 3, FALSE)</f>
        <v>9</v>
      </c>
      <c r="K1705">
        <f>VLOOKUP(B1705, Products!$A$2:$F$100, 4, FALSE)</f>
        <v>6</v>
      </c>
    </row>
    <row r="1706" spans="1:11" x14ac:dyDescent="0.3">
      <c r="A1706">
        <v>610</v>
      </c>
      <c r="B1706">
        <v>1</v>
      </c>
      <c r="C1706">
        <v>26</v>
      </c>
      <c r="D1706" t="str">
        <f>VLOOKUP(B1706, Products!$A$2:$C$100, 2, FALSE)</f>
        <v>Trek 820 - 2016</v>
      </c>
      <c r="E1706">
        <v>1</v>
      </c>
      <c r="F1706">
        <v>599.99</v>
      </c>
      <c r="G1706">
        <v>0.1</v>
      </c>
      <c r="H1706">
        <v>59.999000000000002</v>
      </c>
      <c r="I1706">
        <f>order_items[[#This Row],[list_price]]-order_items[[#This Row],[Discounted_price]]</f>
        <v>539.99099999999999</v>
      </c>
      <c r="J1706">
        <f>VLOOKUP(B1706, Products!$A$2:$E$100, 3, FALSE)</f>
        <v>9</v>
      </c>
      <c r="K1706">
        <f>VLOOKUP(B1706, Products!$A$2:$F$100, 4, FALSE)</f>
        <v>6</v>
      </c>
    </row>
    <row r="1707" spans="1:11" x14ac:dyDescent="0.3">
      <c r="A1707">
        <v>610</v>
      </c>
      <c r="B1707">
        <v>2</v>
      </c>
      <c r="C1707">
        <v>24</v>
      </c>
      <c r="D1707" t="str">
        <f>VLOOKUP(B1707, Products!$A$2:$C$100, 2, FALSE)</f>
        <v>Ritchey Timberwolf Frameset - 2016</v>
      </c>
      <c r="E1707">
        <v>1</v>
      </c>
      <c r="F1707">
        <v>549.99</v>
      </c>
      <c r="G1707">
        <v>7.0000000000000007E-2</v>
      </c>
      <c r="H1707">
        <v>38.499300000000005</v>
      </c>
      <c r="I1707">
        <f>order_items[[#This Row],[list_price]]-order_items[[#This Row],[Discounted_price]]</f>
        <v>511.4907</v>
      </c>
      <c r="J1707">
        <f>VLOOKUP(B1707, Products!$A$2:$E$100, 3, FALSE)</f>
        <v>5</v>
      </c>
      <c r="K1707">
        <f>VLOOKUP(B1707, Products!$A$2:$F$100, 4, FALSE)</f>
        <v>6</v>
      </c>
    </row>
    <row r="1708" spans="1:11" x14ac:dyDescent="0.3">
      <c r="A1708">
        <v>610</v>
      </c>
      <c r="B1708">
        <v>3</v>
      </c>
      <c r="C1708">
        <v>18</v>
      </c>
      <c r="D1708" t="str">
        <f>VLOOKUP(B1708, Products!$A$2:$C$100, 2, FALSE)</f>
        <v>Surly Wednesday Frameset - 2016</v>
      </c>
      <c r="E1708">
        <v>2</v>
      </c>
      <c r="F1708">
        <v>449</v>
      </c>
      <c r="G1708">
        <v>7.0000000000000007E-2</v>
      </c>
      <c r="H1708">
        <v>31.430000000000003</v>
      </c>
      <c r="I1708">
        <f>order_items[[#This Row],[list_price]]-order_items[[#This Row],[Discounted_price]]</f>
        <v>417.57</v>
      </c>
      <c r="J1708">
        <f>VLOOKUP(B1708, Products!$A$2:$E$100, 3, FALSE)</f>
        <v>8</v>
      </c>
      <c r="K1708">
        <f>VLOOKUP(B1708, Products!$A$2:$F$100, 4, FALSE)</f>
        <v>6</v>
      </c>
    </row>
    <row r="1709" spans="1:11" x14ac:dyDescent="0.3">
      <c r="A1709">
        <v>610</v>
      </c>
      <c r="B1709">
        <v>4</v>
      </c>
      <c r="C1709">
        <v>3</v>
      </c>
      <c r="D1709" t="str">
        <f>VLOOKUP(B1709, Products!$A$2:$C$100, 2, FALSE)</f>
        <v>Trek Fuel EX 8 29 - 2016</v>
      </c>
      <c r="E1709">
        <v>1</v>
      </c>
      <c r="F1709">
        <v>999.99</v>
      </c>
      <c r="G1709">
        <v>7.0000000000000007E-2</v>
      </c>
      <c r="H1709">
        <v>69.999300000000005</v>
      </c>
      <c r="I1709">
        <f>order_items[[#This Row],[list_price]]-order_items[[#This Row],[Discounted_price]]</f>
        <v>929.99070000000006</v>
      </c>
      <c r="J1709">
        <f>VLOOKUP(B1709, Products!$A$2:$E$100, 3, FALSE)</f>
        <v>9</v>
      </c>
      <c r="K1709">
        <f>VLOOKUP(B1709, Products!$A$2:$F$100, 4, FALSE)</f>
        <v>6</v>
      </c>
    </row>
    <row r="1710" spans="1:11" x14ac:dyDescent="0.3">
      <c r="A1710">
        <v>610</v>
      </c>
      <c r="B1710">
        <v>5</v>
      </c>
      <c r="C1710">
        <v>8</v>
      </c>
      <c r="D1710" t="str">
        <f>VLOOKUP(B1710, Products!$A$2:$C$100, 2, FALSE)</f>
        <v>Heller Shagamaw Frame - 2016</v>
      </c>
      <c r="E1710">
        <v>1</v>
      </c>
      <c r="F1710">
        <v>1799.99</v>
      </c>
      <c r="G1710">
        <v>0.1</v>
      </c>
      <c r="H1710">
        <v>179.99900000000002</v>
      </c>
      <c r="I1710">
        <f>order_items[[#This Row],[list_price]]-order_items[[#This Row],[Discounted_price]]</f>
        <v>1619.991</v>
      </c>
      <c r="J1710">
        <f>VLOOKUP(B1710, Products!$A$2:$E$100, 3, FALSE)</f>
        <v>3</v>
      </c>
      <c r="K1710">
        <f>VLOOKUP(B1710, Products!$A$2:$F$100, 4, FALSE)</f>
        <v>6</v>
      </c>
    </row>
    <row r="1711" spans="1:11" x14ac:dyDescent="0.3">
      <c r="A1711">
        <v>611</v>
      </c>
      <c r="B1711">
        <v>1</v>
      </c>
      <c r="C1711">
        <v>16</v>
      </c>
      <c r="D1711" t="str">
        <f>VLOOKUP(B1711, Products!$A$2:$C$100, 2, FALSE)</f>
        <v>Trek 820 - 2016</v>
      </c>
      <c r="E1711">
        <v>2</v>
      </c>
      <c r="F1711">
        <v>599.99</v>
      </c>
      <c r="G1711">
        <v>7.0000000000000007E-2</v>
      </c>
      <c r="H1711">
        <v>41.999300000000005</v>
      </c>
      <c r="I1711">
        <f>order_items[[#This Row],[list_price]]-order_items[[#This Row],[Discounted_price]]</f>
        <v>557.99070000000006</v>
      </c>
      <c r="J1711">
        <f>VLOOKUP(B1711, Products!$A$2:$E$100, 3, FALSE)</f>
        <v>9</v>
      </c>
      <c r="K1711">
        <f>VLOOKUP(B1711, Products!$A$2:$F$100, 4, FALSE)</f>
        <v>6</v>
      </c>
    </row>
    <row r="1712" spans="1:11" x14ac:dyDescent="0.3">
      <c r="A1712">
        <v>612</v>
      </c>
      <c r="B1712">
        <v>1</v>
      </c>
      <c r="C1712">
        <v>13</v>
      </c>
      <c r="D1712" t="str">
        <f>VLOOKUP(B1712, Products!$A$2:$C$100, 2, FALSE)</f>
        <v>Trek 820 - 2016</v>
      </c>
      <c r="E1712">
        <v>1</v>
      </c>
      <c r="F1712">
        <v>269.99</v>
      </c>
      <c r="G1712">
        <v>0.1</v>
      </c>
      <c r="H1712">
        <v>26.999000000000002</v>
      </c>
      <c r="I1712">
        <f>order_items[[#This Row],[list_price]]-order_items[[#This Row],[Discounted_price]]</f>
        <v>242.99100000000001</v>
      </c>
      <c r="J1712">
        <f>VLOOKUP(B1712, Products!$A$2:$E$100, 3, FALSE)</f>
        <v>9</v>
      </c>
      <c r="K1712">
        <f>VLOOKUP(B1712, Products!$A$2:$F$100, 4, FALSE)</f>
        <v>6</v>
      </c>
    </row>
    <row r="1713" spans="1:11" x14ac:dyDescent="0.3">
      <c r="A1713">
        <v>612</v>
      </c>
      <c r="B1713">
        <v>2</v>
      </c>
      <c r="C1713">
        <v>14</v>
      </c>
      <c r="D1713" t="str">
        <f>VLOOKUP(B1713, Products!$A$2:$C$100, 2, FALSE)</f>
        <v>Ritchey Timberwolf Frameset - 2016</v>
      </c>
      <c r="E1713">
        <v>1</v>
      </c>
      <c r="F1713">
        <v>269.99</v>
      </c>
      <c r="G1713">
        <v>0.1</v>
      </c>
      <c r="H1713">
        <v>26.999000000000002</v>
      </c>
      <c r="I1713">
        <f>order_items[[#This Row],[list_price]]-order_items[[#This Row],[Discounted_price]]</f>
        <v>242.99100000000001</v>
      </c>
      <c r="J1713">
        <f>VLOOKUP(B1713, Products!$A$2:$E$100, 3, FALSE)</f>
        <v>5</v>
      </c>
      <c r="K1713">
        <f>VLOOKUP(B1713, Products!$A$2:$F$100, 4, FALSE)</f>
        <v>6</v>
      </c>
    </row>
    <row r="1714" spans="1:11" x14ac:dyDescent="0.3">
      <c r="A1714">
        <v>612</v>
      </c>
      <c r="B1714">
        <v>3</v>
      </c>
      <c r="C1714">
        <v>17</v>
      </c>
      <c r="D1714" t="str">
        <f>VLOOKUP(B1714, Products!$A$2:$C$100, 2, FALSE)</f>
        <v>Surly Wednesday Frameset - 2016</v>
      </c>
      <c r="E1714">
        <v>1</v>
      </c>
      <c r="F1714">
        <v>429</v>
      </c>
      <c r="G1714">
        <v>7.0000000000000007E-2</v>
      </c>
      <c r="H1714">
        <v>30.03</v>
      </c>
      <c r="I1714">
        <f>order_items[[#This Row],[list_price]]-order_items[[#This Row],[Discounted_price]]</f>
        <v>398.97</v>
      </c>
      <c r="J1714">
        <f>VLOOKUP(B1714, Products!$A$2:$E$100, 3, FALSE)</f>
        <v>8</v>
      </c>
      <c r="K1714">
        <f>VLOOKUP(B1714, Products!$A$2:$F$100, 4, FALSE)</f>
        <v>6</v>
      </c>
    </row>
    <row r="1715" spans="1:11" x14ac:dyDescent="0.3">
      <c r="A1715">
        <v>612</v>
      </c>
      <c r="B1715">
        <v>4</v>
      </c>
      <c r="C1715">
        <v>20</v>
      </c>
      <c r="D1715" t="str">
        <f>VLOOKUP(B1715, Products!$A$2:$C$100, 2, FALSE)</f>
        <v>Trek Fuel EX 8 29 - 2016</v>
      </c>
      <c r="E1715">
        <v>1</v>
      </c>
      <c r="F1715">
        <v>599.99</v>
      </c>
      <c r="G1715">
        <v>0.2</v>
      </c>
      <c r="H1715">
        <v>119.998</v>
      </c>
      <c r="I1715">
        <f>order_items[[#This Row],[list_price]]-order_items[[#This Row],[Discounted_price]]</f>
        <v>479.99200000000002</v>
      </c>
      <c r="J1715">
        <f>VLOOKUP(B1715, Products!$A$2:$E$100, 3, FALSE)</f>
        <v>9</v>
      </c>
      <c r="K1715">
        <f>VLOOKUP(B1715, Products!$A$2:$F$100, 4, FALSE)</f>
        <v>6</v>
      </c>
    </row>
    <row r="1716" spans="1:11" x14ac:dyDescent="0.3">
      <c r="A1716">
        <v>613</v>
      </c>
      <c r="B1716">
        <v>1</v>
      </c>
      <c r="C1716">
        <v>9</v>
      </c>
      <c r="D1716" t="str">
        <f>VLOOKUP(B1716, Products!$A$2:$C$100, 2, FALSE)</f>
        <v>Trek 820 - 2016</v>
      </c>
      <c r="E1716">
        <v>2</v>
      </c>
      <c r="F1716">
        <v>2999.99</v>
      </c>
      <c r="G1716">
        <v>0.1</v>
      </c>
      <c r="H1716">
        <v>299.99899999999997</v>
      </c>
      <c r="I1716">
        <f>order_items[[#This Row],[list_price]]-order_items[[#This Row],[Discounted_price]]</f>
        <v>2699.991</v>
      </c>
      <c r="J1716">
        <f>VLOOKUP(B1716, Products!$A$2:$E$100, 3, FALSE)</f>
        <v>9</v>
      </c>
      <c r="K1716">
        <f>VLOOKUP(B1716, Products!$A$2:$F$100, 4, FALSE)</f>
        <v>6</v>
      </c>
    </row>
    <row r="1717" spans="1:11" x14ac:dyDescent="0.3">
      <c r="A1717">
        <v>613</v>
      </c>
      <c r="B1717">
        <v>2</v>
      </c>
      <c r="C1717">
        <v>18</v>
      </c>
      <c r="D1717" t="str">
        <f>VLOOKUP(B1717, Products!$A$2:$C$100, 2, FALSE)</f>
        <v>Ritchey Timberwolf Frameset - 2016</v>
      </c>
      <c r="E1717">
        <v>2</v>
      </c>
      <c r="F1717">
        <v>449</v>
      </c>
      <c r="G1717">
        <v>0.05</v>
      </c>
      <c r="H1717">
        <v>22.450000000000003</v>
      </c>
      <c r="I1717">
        <f>order_items[[#This Row],[list_price]]-order_items[[#This Row],[Discounted_price]]</f>
        <v>426.55</v>
      </c>
      <c r="J1717">
        <f>VLOOKUP(B1717, Products!$A$2:$E$100, 3, FALSE)</f>
        <v>5</v>
      </c>
      <c r="K1717">
        <f>VLOOKUP(B1717, Products!$A$2:$F$100, 4, FALSE)</f>
        <v>6</v>
      </c>
    </row>
    <row r="1718" spans="1:11" x14ac:dyDescent="0.3">
      <c r="A1718">
        <v>613</v>
      </c>
      <c r="B1718">
        <v>3</v>
      </c>
      <c r="C1718">
        <v>12</v>
      </c>
      <c r="D1718" t="str">
        <f>VLOOKUP(B1718, Products!$A$2:$C$100, 2, FALSE)</f>
        <v>Surly Wednesday Frameset - 2016</v>
      </c>
      <c r="E1718">
        <v>1</v>
      </c>
      <c r="F1718">
        <v>549.99</v>
      </c>
      <c r="G1718">
        <v>7.0000000000000007E-2</v>
      </c>
      <c r="H1718">
        <v>38.499300000000005</v>
      </c>
      <c r="I1718">
        <f>order_items[[#This Row],[list_price]]-order_items[[#This Row],[Discounted_price]]</f>
        <v>511.4907</v>
      </c>
      <c r="J1718">
        <f>VLOOKUP(B1718, Products!$A$2:$E$100, 3, FALSE)</f>
        <v>8</v>
      </c>
      <c r="K1718">
        <f>VLOOKUP(B1718, Products!$A$2:$F$100, 4, FALSE)</f>
        <v>6</v>
      </c>
    </row>
    <row r="1719" spans="1:11" x14ac:dyDescent="0.3">
      <c r="A1719">
        <v>614</v>
      </c>
      <c r="B1719">
        <v>1</v>
      </c>
      <c r="C1719">
        <v>18</v>
      </c>
      <c r="D1719" t="str">
        <f>VLOOKUP(B1719, Products!$A$2:$C$100, 2, FALSE)</f>
        <v>Trek 820 - 2016</v>
      </c>
      <c r="E1719">
        <v>1</v>
      </c>
      <c r="F1719">
        <v>449</v>
      </c>
      <c r="G1719">
        <v>0.1</v>
      </c>
      <c r="H1719">
        <v>44.900000000000006</v>
      </c>
      <c r="I1719">
        <f>order_items[[#This Row],[list_price]]-order_items[[#This Row],[Discounted_price]]</f>
        <v>404.1</v>
      </c>
      <c r="J1719">
        <f>VLOOKUP(B1719, Products!$A$2:$E$100, 3, FALSE)</f>
        <v>9</v>
      </c>
      <c r="K1719">
        <f>VLOOKUP(B1719, Products!$A$2:$F$100, 4, FALSE)</f>
        <v>6</v>
      </c>
    </row>
    <row r="1720" spans="1:11" x14ac:dyDescent="0.3">
      <c r="A1720">
        <v>614</v>
      </c>
      <c r="B1720">
        <v>2</v>
      </c>
      <c r="C1720">
        <v>21</v>
      </c>
      <c r="D1720" t="str">
        <f>VLOOKUP(B1720, Products!$A$2:$C$100, 2, FALSE)</f>
        <v>Ritchey Timberwolf Frameset - 2016</v>
      </c>
      <c r="E1720">
        <v>1</v>
      </c>
      <c r="F1720">
        <v>269.99</v>
      </c>
      <c r="G1720">
        <v>0.05</v>
      </c>
      <c r="H1720">
        <v>13.499500000000001</v>
      </c>
      <c r="I1720">
        <f>order_items[[#This Row],[list_price]]-order_items[[#This Row],[Discounted_price]]</f>
        <v>256.4905</v>
      </c>
      <c r="J1720">
        <f>VLOOKUP(B1720, Products!$A$2:$E$100, 3, FALSE)</f>
        <v>5</v>
      </c>
      <c r="K1720">
        <f>VLOOKUP(B1720, Products!$A$2:$F$100, 4, FALSE)</f>
        <v>6</v>
      </c>
    </row>
    <row r="1721" spans="1:11" x14ac:dyDescent="0.3">
      <c r="A1721">
        <v>615</v>
      </c>
      <c r="B1721">
        <v>1</v>
      </c>
      <c r="C1721">
        <v>11</v>
      </c>
      <c r="D1721" t="str">
        <f>VLOOKUP(B1721, Products!$A$2:$C$100, 2, FALSE)</f>
        <v>Trek 820 - 2016</v>
      </c>
      <c r="E1721">
        <v>1</v>
      </c>
      <c r="F1721">
        <v>1680.99</v>
      </c>
      <c r="G1721">
        <v>7.0000000000000007E-2</v>
      </c>
      <c r="H1721">
        <v>117.66930000000001</v>
      </c>
      <c r="I1721">
        <f>order_items[[#This Row],[list_price]]-order_items[[#This Row],[Discounted_price]]</f>
        <v>1563.3207</v>
      </c>
      <c r="J1721">
        <f>VLOOKUP(B1721, Products!$A$2:$E$100, 3, FALSE)</f>
        <v>9</v>
      </c>
      <c r="K1721">
        <f>VLOOKUP(B1721, Products!$A$2:$F$100, 4, FALSE)</f>
        <v>6</v>
      </c>
    </row>
    <row r="1722" spans="1:11" x14ac:dyDescent="0.3">
      <c r="A1722">
        <v>615</v>
      </c>
      <c r="B1722">
        <v>2</v>
      </c>
      <c r="C1722">
        <v>23</v>
      </c>
      <c r="D1722" t="str">
        <f>VLOOKUP(B1722, Products!$A$2:$C$100, 2, FALSE)</f>
        <v>Ritchey Timberwolf Frameset - 2016</v>
      </c>
      <c r="E1722">
        <v>1</v>
      </c>
      <c r="F1722">
        <v>299.99</v>
      </c>
      <c r="G1722">
        <v>0.05</v>
      </c>
      <c r="H1722">
        <v>14.999500000000001</v>
      </c>
      <c r="I1722">
        <f>order_items[[#This Row],[list_price]]-order_items[[#This Row],[Discounted_price]]</f>
        <v>284.9905</v>
      </c>
      <c r="J1722">
        <f>VLOOKUP(B1722, Products!$A$2:$E$100, 3, FALSE)</f>
        <v>5</v>
      </c>
      <c r="K1722">
        <f>VLOOKUP(B1722, Products!$A$2:$F$100, 4, FALSE)</f>
        <v>6</v>
      </c>
    </row>
    <row r="1723" spans="1:11" x14ac:dyDescent="0.3">
      <c r="A1723">
        <v>615</v>
      </c>
      <c r="B1723">
        <v>3</v>
      </c>
      <c r="C1723">
        <v>6</v>
      </c>
      <c r="D1723" t="str">
        <f>VLOOKUP(B1723, Products!$A$2:$C$100, 2, FALSE)</f>
        <v>Surly Wednesday Frameset - 2016</v>
      </c>
      <c r="E1723">
        <v>2</v>
      </c>
      <c r="F1723">
        <v>469.99</v>
      </c>
      <c r="G1723">
        <v>0.1</v>
      </c>
      <c r="H1723">
        <v>46.999000000000002</v>
      </c>
      <c r="I1723">
        <f>order_items[[#This Row],[list_price]]-order_items[[#This Row],[Discounted_price]]</f>
        <v>422.99099999999999</v>
      </c>
      <c r="J1723">
        <f>VLOOKUP(B1723, Products!$A$2:$E$100, 3, FALSE)</f>
        <v>8</v>
      </c>
      <c r="K1723">
        <f>VLOOKUP(B1723, Products!$A$2:$F$100, 4, FALSE)</f>
        <v>6</v>
      </c>
    </row>
    <row r="1724" spans="1:11" x14ac:dyDescent="0.3">
      <c r="A1724">
        <v>615</v>
      </c>
      <c r="B1724">
        <v>4</v>
      </c>
      <c r="C1724">
        <v>19</v>
      </c>
      <c r="D1724" t="str">
        <f>VLOOKUP(B1724, Products!$A$2:$C$100, 2, FALSE)</f>
        <v>Trek Fuel EX 8 29 - 2016</v>
      </c>
      <c r="E1724">
        <v>2</v>
      </c>
      <c r="F1724">
        <v>449</v>
      </c>
      <c r="G1724">
        <v>0.1</v>
      </c>
      <c r="H1724">
        <v>44.900000000000006</v>
      </c>
      <c r="I1724">
        <f>order_items[[#This Row],[list_price]]-order_items[[#This Row],[Discounted_price]]</f>
        <v>404.1</v>
      </c>
      <c r="J1724">
        <f>VLOOKUP(B1724, Products!$A$2:$E$100, 3, FALSE)</f>
        <v>9</v>
      </c>
      <c r="K1724">
        <f>VLOOKUP(B1724, Products!$A$2:$F$100, 4, FALSE)</f>
        <v>6</v>
      </c>
    </row>
    <row r="1725" spans="1:11" x14ac:dyDescent="0.3">
      <c r="A1725">
        <v>616</v>
      </c>
      <c r="B1725">
        <v>1</v>
      </c>
      <c r="C1725">
        <v>24</v>
      </c>
      <c r="D1725" t="str">
        <f>VLOOKUP(B1725, Products!$A$2:$C$100, 2, FALSE)</f>
        <v>Trek 820 - 2016</v>
      </c>
      <c r="E1725">
        <v>1</v>
      </c>
      <c r="F1725">
        <v>549.99</v>
      </c>
      <c r="G1725">
        <v>0.2</v>
      </c>
      <c r="H1725">
        <v>109.998</v>
      </c>
      <c r="I1725">
        <f>order_items[[#This Row],[list_price]]-order_items[[#This Row],[Discounted_price]]</f>
        <v>439.99200000000002</v>
      </c>
      <c r="J1725">
        <f>VLOOKUP(B1725, Products!$A$2:$E$100, 3, FALSE)</f>
        <v>9</v>
      </c>
      <c r="K1725">
        <f>VLOOKUP(B1725, Products!$A$2:$F$100, 4, FALSE)</f>
        <v>6</v>
      </c>
    </row>
    <row r="1726" spans="1:11" x14ac:dyDescent="0.3">
      <c r="A1726">
        <v>616</v>
      </c>
      <c r="B1726">
        <v>2</v>
      </c>
      <c r="C1726">
        <v>16</v>
      </c>
      <c r="D1726" t="str">
        <f>VLOOKUP(B1726, Products!$A$2:$C$100, 2, FALSE)</f>
        <v>Ritchey Timberwolf Frameset - 2016</v>
      </c>
      <c r="E1726">
        <v>2</v>
      </c>
      <c r="F1726">
        <v>599.99</v>
      </c>
      <c r="G1726">
        <v>0.2</v>
      </c>
      <c r="H1726">
        <v>119.998</v>
      </c>
      <c r="I1726">
        <f>order_items[[#This Row],[list_price]]-order_items[[#This Row],[Discounted_price]]</f>
        <v>479.99200000000002</v>
      </c>
      <c r="J1726">
        <f>VLOOKUP(B1726, Products!$A$2:$E$100, 3, FALSE)</f>
        <v>5</v>
      </c>
      <c r="K1726">
        <f>VLOOKUP(B1726, Products!$A$2:$F$100, 4, FALSE)</f>
        <v>6</v>
      </c>
    </row>
    <row r="1727" spans="1:11" x14ac:dyDescent="0.3">
      <c r="A1727">
        <v>617</v>
      </c>
      <c r="B1727">
        <v>1</v>
      </c>
      <c r="C1727">
        <v>15</v>
      </c>
      <c r="D1727" t="str">
        <f>VLOOKUP(B1727, Products!$A$2:$C$100, 2, FALSE)</f>
        <v>Trek 820 - 2016</v>
      </c>
      <c r="E1727">
        <v>2</v>
      </c>
      <c r="F1727">
        <v>529.99</v>
      </c>
      <c r="G1727">
        <v>0.2</v>
      </c>
      <c r="H1727">
        <v>105.998</v>
      </c>
      <c r="I1727">
        <f>order_items[[#This Row],[list_price]]-order_items[[#This Row],[Discounted_price]]</f>
        <v>423.99200000000002</v>
      </c>
      <c r="J1727">
        <f>VLOOKUP(B1727, Products!$A$2:$E$100, 3, FALSE)</f>
        <v>9</v>
      </c>
      <c r="K1727">
        <f>VLOOKUP(B1727, Products!$A$2:$F$100, 4, FALSE)</f>
        <v>6</v>
      </c>
    </row>
    <row r="1728" spans="1:11" x14ac:dyDescent="0.3">
      <c r="A1728">
        <v>617</v>
      </c>
      <c r="B1728">
        <v>2</v>
      </c>
      <c r="C1728">
        <v>11</v>
      </c>
      <c r="D1728" t="str">
        <f>VLOOKUP(B1728, Products!$A$2:$C$100, 2, FALSE)</f>
        <v>Ritchey Timberwolf Frameset - 2016</v>
      </c>
      <c r="E1728">
        <v>2</v>
      </c>
      <c r="F1728">
        <v>1680.99</v>
      </c>
      <c r="G1728">
        <v>7.0000000000000007E-2</v>
      </c>
      <c r="H1728">
        <v>117.66930000000001</v>
      </c>
      <c r="I1728">
        <f>order_items[[#This Row],[list_price]]-order_items[[#This Row],[Discounted_price]]</f>
        <v>1563.3207</v>
      </c>
      <c r="J1728">
        <f>VLOOKUP(B1728, Products!$A$2:$E$100, 3, FALSE)</f>
        <v>5</v>
      </c>
      <c r="K1728">
        <f>VLOOKUP(B1728, Products!$A$2:$F$100, 4, FALSE)</f>
        <v>6</v>
      </c>
    </row>
    <row r="1729" spans="1:11" x14ac:dyDescent="0.3">
      <c r="A1729">
        <v>618</v>
      </c>
      <c r="B1729">
        <v>1</v>
      </c>
      <c r="C1729">
        <v>17</v>
      </c>
      <c r="D1729" t="str">
        <f>VLOOKUP(B1729, Products!$A$2:$C$100, 2, FALSE)</f>
        <v>Trek 820 - 2016</v>
      </c>
      <c r="E1729">
        <v>2</v>
      </c>
      <c r="F1729">
        <v>429</v>
      </c>
      <c r="G1729">
        <v>0.1</v>
      </c>
      <c r="H1729">
        <v>42.900000000000006</v>
      </c>
      <c r="I1729">
        <f>order_items[[#This Row],[list_price]]-order_items[[#This Row],[Discounted_price]]</f>
        <v>386.1</v>
      </c>
      <c r="J1729">
        <f>VLOOKUP(B1729, Products!$A$2:$E$100, 3, FALSE)</f>
        <v>9</v>
      </c>
      <c r="K1729">
        <f>VLOOKUP(B1729, Products!$A$2:$F$100, 4, FALSE)</f>
        <v>6</v>
      </c>
    </row>
    <row r="1730" spans="1:11" x14ac:dyDescent="0.3">
      <c r="A1730">
        <v>618</v>
      </c>
      <c r="B1730">
        <v>2</v>
      </c>
      <c r="C1730">
        <v>11</v>
      </c>
      <c r="D1730" t="str">
        <f>VLOOKUP(B1730, Products!$A$2:$C$100, 2, FALSE)</f>
        <v>Ritchey Timberwolf Frameset - 2016</v>
      </c>
      <c r="E1730">
        <v>1</v>
      </c>
      <c r="F1730">
        <v>1680.99</v>
      </c>
      <c r="G1730">
        <v>7.0000000000000007E-2</v>
      </c>
      <c r="H1730">
        <v>117.66930000000001</v>
      </c>
      <c r="I1730">
        <f>order_items[[#This Row],[list_price]]-order_items[[#This Row],[Discounted_price]]</f>
        <v>1563.3207</v>
      </c>
      <c r="J1730">
        <f>VLOOKUP(B1730, Products!$A$2:$E$100, 3, FALSE)</f>
        <v>5</v>
      </c>
      <c r="K1730">
        <f>VLOOKUP(B1730, Products!$A$2:$F$100, 4, FALSE)</f>
        <v>6</v>
      </c>
    </row>
    <row r="1731" spans="1:11" x14ac:dyDescent="0.3">
      <c r="A1731">
        <v>619</v>
      </c>
      <c r="B1731">
        <v>1</v>
      </c>
      <c r="C1731">
        <v>25</v>
      </c>
      <c r="D1731" t="str">
        <f>VLOOKUP(B1731, Products!$A$2:$C$100, 2, FALSE)</f>
        <v>Trek 820 - 2016</v>
      </c>
      <c r="E1731">
        <v>1</v>
      </c>
      <c r="F1731">
        <v>499.99</v>
      </c>
      <c r="G1731">
        <v>7.0000000000000007E-2</v>
      </c>
      <c r="H1731">
        <v>34.999300000000005</v>
      </c>
      <c r="I1731">
        <f>order_items[[#This Row],[list_price]]-order_items[[#This Row],[Discounted_price]]</f>
        <v>464.9907</v>
      </c>
      <c r="J1731">
        <f>VLOOKUP(B1731, Products!$A$2:$E$100, 3, FALSE)</f>
        <v>9</v>
      </c>
      <c r="K1731">
        <f>VLOOKUP(B1731, Products!$A$2:$F$100, 4, FALSE)</f>
        <v>6</v>
      </c>
    </row>
    <row r="1732" spans="1:11" x14ac:dyDescent="0.3">
      <c r="A1732">
        <v>620</v>
      </c>
      <c r="B1732">
        <v>1</v>
      </c>
      <c r="C1732">
        <v>5</v>
      </c>
      <c r="D1732" t="str">
        <f>VLOOKUP(B1732, Products!$A$2:$C$100, 2, FALSE)</f>
        <v>Trek 820 - 2016</v>
      </c>
      <c r="E1732">
        <v>2</v>
      </c>
      <c r="F1732">
        <v>1320.99</v>
      </c>
      <c r="G1732">
        <v>0.2</v>
      </c>
      <c r="H1732">
        <v>264.19800000000004</v>
      </c>
      <c r="I1732">
        <f>order_items[[#This Row],[list_price]]-order_items[[#This Row],[Discounted_price]]</f>
        <v>1056.7919999999999</v>
      </c>
      <c r="J1732">
        <f>VLOOKUP(B1732, Products!$A$2:$E$100, 3, FALSE)</f>
        <v>9</v>
      </c>
      <c r="K1732">
        <f>VLOOKUP(B1732, Products!$A$2:$F$100, 4, FALSE)</f>
        <v>6</v>
      </c>
    </row>
    <row r="1733" spans="1:11" x14ac:dyDescent="0.3">
      <c r="A1733">
        <v>621</v>
      </c>
      <c r="B1733">
        <v>1</v>
      </c>
      <c r="C1733">
        <v>17</v>
      </c>
      <c r="D1733" t="str">
        <f>VLOOKUP(B1733, Products!$A$2:$C$100, 2, FALSE)</f>
        <v>Trek 820 - 2016</v>
      </c>
      <c r="E1733">
        <v>2</v>
      </c>
      <c r="F1733">
        <v>429</v>
      </c>
      <c r="G1733">
        <v>7.0000000000000007E-2</v>
      </c>
      <c r="H1733">
        <v>30.03</v>
      </c>
      <c r="I1733">
        <f>order_items[[#This Row],[list_price]]-order_items[[#This Row],[Discounted_price]]</f>
        <v>398.97</v>
      </c>
      <c r="J1733">
        <f>VLOOKUP(B1733, Products!$A$2:$E$100, 3, FALSE)</f>
        <v>9</v>
      </c>
      <c r="K1733">
        <f>VLOOKUP(B1733, Products!$A$2:$F$100, 4, FALSE)</f>
        <v>6</v>
      </c>
    </row>
    <row r="1734" spans="1:11" x14ac:dyDescent="0.3">
      <c r="A1734">
        <v>622</v>
      </c>
      <c r="B1734">
        <v>1</v>
      </c>
      <c r="C1734">
        <v>9</v>
      </c>
      <c r="D1734" t="str">
        <f>VLOOKUP(B1734, Products!$A$2:$C$100, 2, FALSE)</f>
        <v>Trek 820 - 2016</v>
      </c>
      <c r="E1734">
        <v>2</v>
      </c>
      <c r="F1734">
        <v>2999.99</v>
      </c>
      <c r="G1734">
        <v>7.0000000000000007E-2</v>
      </c>
      <c r="H1734">
        <v>209.99930000000001</v>
      </c>
      <c r="I1734">
        <f>order_items[[#This Row],[list_price]]-order_items[[#This Row],[Discounted_price]]</f>
        <v>2789.9906999999998</v>
      </c>
      <c r="J1734">
        <f>VLOOKUP(B1734, Products!$A$2:$E$100, 3, FALSE)</f>
        <v>9</v>
      </c>
      <c r="K1734">
        <f>VLOOKUP(B1734, Products!$A$2:$F$100, 4, FALSE)</f>
        <v>6</v>
      </c>
    </row>
    <row r="1735" spans="1:11" x14ac:dyDescent="0.3">
      <c r="A1735">
        <v>622</v>
      </c>
      <c r="B1735">
        <v>2</v>
      </c>
      <c r="C1735">
        <v>18</v>
      </c>
      <c r="D1735" t="str">
        <f>VLOOKUP(B1735, Products!$A$2:$C$100, 2, FALSE)</f>
        <v>Ritchey Timberwolf Frameset - 2016</v>
      </c>
      <c r="E1735">
        <v>1</v>
      </c>
      <c r="F1735">
        <v>449</v>
      </c>
      <c r="G1735">
        <v>0.1</v>
      </c>
      <c r="H1735">
        <v>44.900000000000006</v>
      </c>
      <c r="I1735">
        <f>order_items[[#This Row],[list_price]]-order_items[[#This Row],[Discounted_price]]</f>
        <v>404.1</v>
      </c>
      <c r="J1735">
        <f>VLOOKUP(B1735, Products!$A$2:$E$100, 3, FALSE)</f>
        <v>5</v>
      </c>
      <c r="K1735">
        <f>VLOOKUP(B1735, Products!$A$2:$F$100, 4, FALSE)</f>
        <v>6</v>
      </c>
    </row>
    <row r="1736" spans="1:11" x14ac:dyDescent="0.3">
      <c r="A1736">
        <v>622</v>
      </c>
      <c r="B1736">
        <v>3</v>
      </c>
      <c r="C1736">
        <v>10</v>
      </c>
      <c r="D1736" t="str">
        <f>VLOOKUP(B1736, Products!$A$2:$C$100, 2, FALSE)</f>
        <v>Surly Wednesday Frameset - 2016</v>
      </c>
      <c r="E1736">
        <v>1</v>
      </c>
      <c r="F1736">
        <v>1549</v>
      </c>
      <c r="G1736">
        <v>0.2</v>
      </c>
      <c r="H1736">
        <v>309.8</v>
      </c>
      <c r="I1736">
        <f>order_items[[#This Row],[list_price]]-order_items[[#This Row],[Discounted_price]]</f>
        <v>1239.2</v>
      </c>
      <c r="J1736">
        <f>VLOOKUP(B1736, Products!$A$2:$E$100, 3, FALSE)</f>
        <v>8</v>
      </c>
      <c r="K1736">
        <f>VLOOKUP(B1736, Products!$A$2:$F$100, 4, FALSE)</f>
        <v>6</v>
      </c>
    </row>
    <row r="1737" spans="1:11" x14ac:dyDescent="0.3">
      <c r="A1737">
        <v>622</v>
      </c>
      <c r="B1737">
        <v>4</v>
      </c>
      <c r="C1737">
        <v>25</v>
      </c>
      <c r="D1737" t="str">
        <f>VLOOKUP(B1737, Products!$A$2:$C$100, 2, FALSE)</f>
        <v>Trek Fuel EX 8 29 - 2016</v>
      </c>
      <c r="E1737">
        <v>1</v>
      </c>
      <c r="F1737">
        <v>499.99</v>
      </c>
      <c r="G1737">
        <v>7.0000000000000007E-2</v>
      </c>
      <c r="H1737">
        <v>34.999300000000005</v>
      </c>
      <c r="I1737">
        <f>order_items[[#This Row],[list_price]]-order_items[[#This Row],[Discounted_price]]</f>
        <v>464.9907</v>
      </c>
      <c r="J1737">
        <f>VLOOKUP(B1737, Products!$A$2:$E$100, 3, FALSE)</f>
        <v>9</v>
      </c>
      <c r="K1737">
        <f>VLOOKUP(B1737, Products!$A$2:$F$100, 4, FALSE)</f>
        <v>6</v>
      </c>
    </row>
    <row r="1738" spans="1:11" x14ac:dyDescent="0.3">
      <c r="A1738">
        <v>623</v>
      </c>
      <c r="B1738">
        <v>1</v>
      </c>
      <c r="C1738">
        <v>8</v>
      </c>
      <c r="D1738" t="str">
        <f>VLOOKUP(B1738, Products!$A$2:$C$100, 2, FALSE)</f>
        <v>Trek 820 - 2016</v>
      </c>
      <c r="E1738">
        <v>1</v>
      </c>
      <c r="F1738">
        <v>1799.99</v>
      </c>
      <c r="G1738">
        <v>7.0000000000000007E-2</v>
      </c>
      <c r="H1738">
        <v>125.99930000000002</v>
      </c>
      <c r="I1738">
        <f>order_items[[#This Row],[list_price]]-order_items[[#This Row],[Discounted_price]]</f>
        <v>1673.9907000000001</v>
      </c>
      <c r="J1738">
        <f>VLOOKUP(B1738, Products!$A$2:$E$100, 3, FALSE)</f>
        <v>9</v>
      </c>
      <c r="K1738">
        <f>VLOOKUP(B1738, Products!$A$2:$F$100, 4, FALSE)</f>
        <v>6</v>
      </c>
    </row>
    <row r="1739" spans="1:11" x14ac:dyDescent="0.3">
      <c r="A1739">
        <v>624</v>
      </c>
      <c r="B1739">
        <v>1</v>
      </c>
      <c r="C1739">
        <v>21</v>
      </c>
      <c r="D1739" t="str">
        <f>VLOOKUP(B1739, Products!$A$2:$C$100, 2, FALSE)</f>
        <v>Trek 820 - 2016</v>
      </c>
      <c r="E1739">
        <v>2</v>
      </c>
      <c r="F1739">
        <v>269.99</v>
      </c>
      <c r="G1739">
        <v>0.05</v>
      </c>
      <c r="H1739">
        <v>13.499500000000001</v>
      </c>
      <c r="I1739">
        <f>order_items[[#This Row],[list_price]]-order_items[[#This Row],[Discounted_price]]</f>
        <v>256.4905</v>
      </c>
      <c r="J1739">
        <f>VLOOKUP(B1739, Products!$A$2:$E$100, 3, FALSE)</f>
        <v>9</v>
      </c>
      <c r="K1739">
        <f>VLOOKUP(B1739, Products!$A$2:$F$100, 4, FALSE)</f>
        <v>6</v>
      </c>
    </row>
    <row r="1740" spans="1:11" x14ac:dyDescent="0.3">
      <c r="A1740">
        <v>624</v>
      </c>
      <c r="B1740">
        <v>2</v>
      </c>
      <c r="C1740">
        <v>16</v>
      </c>
      <c r="D1740" t="str">
        <f>VLOOKUP(B1740, Products!$A$2:$C$100, 2, FALSE)</f>
        <v>Ritchey Timberwolf Frameset - 2016</v>
      </c>
      <c r="E1740">
        <v>1</v>
      </c>
      <c r="F1740">
        <v>599.99</v>
      </c>
      <c r="G1740">
        <v>7.0000000000000007E-2</v>
      </c>
      <c r="H1740">
        <v>41.999300000000005</v>
      </c>
      <c r="I1740">
        <f>order_items[[#This Row],[list_price]]-order_items[[#This Row],[Discounted_price]]</f>
        <v>557.99070000000006</v>
      </c>
      <c r="J1740">
        <f>VLOOKUP(B1740, Products!$A$2:$E$100, 3, FALSE)</f>
        <v>5</v>
      </c>
      <c r="K1740">
        <f>VLOOKUP(B1740, Products!$A$2:$F$100, 4, FALSE)</f>
        <v>6</v>
      </c>
    </row>
    <row r="1741" spans="1:11" x14ac:dyDescent="0.3">
      <c r="A1741">
        <v>624</v>
      </c>
      <c r="B1741">
        <v>3</v>
      </c>
      <c r="C1741">
        <v>22</v>
      </c>
      <c r="D1741" t="str">
        <f>VLOOKUP(B1741, Products!$A$2:$C$100, 2, FALSE)</f>
        <v>Surly Wednesday Frameset - 2016</v>
      </c>
      <c r="E1741">
        <v>1</v>
      </c>
      <c r="F1741">
        <v>269.99</v>
      </c>
      <c r="G1741">
        <v>7.0000000000000007E-2</v>
      </c>
      <c r="H1741">
        <v>18.899300000000004</v>
      </c>
      <c r="I1741">
        <f>order_items[[#This Row],[list_price]]-order_items[[#This Row],[Discounted_price]]</f>
        <v>251.0907</v>
      </c>
      <c r="J1741">
        <f>VLOOKUP(B1741, Products!$A$2:$E$100, 3, FALSE)</f>
        <v>8</v>
      </c>
      <c r="K1741">
        <f>VLOOKUP(B1741, Products!$A$2:$F$100, 4, FALSE)</f>
        <v>6</v>
      </c>
    </row>
    <row r="1742" spans="1:11" x14ac:dyDescent="0.3">
      <c r="A1742">
        <v>624</v>
      </c>
      <c r="B1742">
        <v>4</v>
      </c>
      <c r="C1742">
        <v>14</v>
      </c>
      <c r="D1742" t="str">
        <f>VLOOKUP(B1742, Products!$A$2:$C$100, 2, FALSE)</f>
        <v>Trek Fuel EX 8 29 - 2016</v>
      </c>
      <c r="E1742">
        <v>2</v>
      </c>
      <c r="F1742">
        <v>269.99</v>
      </c>
      <c r="G1742">
        <v>0.2</v>
      </c>
      <c r="H1742">
        <v>53.998000000000005</v>
      </c>
      <c r="I1742">
        <f>order_items[[#This Row],[list_price]]-order_items[[#This Row],[Discounted_price]]</f>
        <v>215.99200000000002</v>
      </c>
      <c r="J1742">
        <f>VLOOKUP(B1742, Products!$A$2:$E$100, 3, FALSE)</f>
        <v>9</v>
      </c>
      <c r="K1742">
        <f>VLOOKUP(B1742, Products!$A$2:$F$100, 4, FALSE)</f>
        <v>6</v>
      </c>
    </row>
    <row r="1743" spans="1:11" x14ac:dyDescent="0.3">
      <c r="A1743">
        <v>625</v>
      </c>
      <c r="B1743">
        <v>1</v>
      </c>
      <c r="C1743">
        <v>17</v>
      </c>
      <c r="D1743" t="str">
        <f>VLOOKUP(B1743, Products!$A$2:$C$100, 2, FALSE)</f>
        <v>Trek 820 - 2016</v>
      </c>
      <c r="E1743">
        <v>1</v>
      </c>
      <c r="F1743">
        <v>429</v>
      </c>
      <c r="G1743">
        <v>7.0000000000000007E-2</v>
      </c>
      <c r="H1743">
        <v>30.03</v>
      </c>
      <c r="I1743">
        <f>order_items[[#This Row],[list_price]]-order_items[[#This Row],[Discounted_price]]</f>
        <v>398.97</v>
      </c>
      <c r="J1743">
        <f>VLOOKUP(B1743, Products!$A$2:$E$100, 3, FALSE)</f>
        <v>9</v>
      </c>
      <c r="K1743">
        <f>VLOOKUP(B1743, Products!$A$2:$F$100, 4, FALSE)</f>
        <v>6</v>
      </c>
    </row>
    <row r="1744" spans="1:11" x14ac:dyDescent="0.3">
      <c r="A1744">
        <v>625</v>
      </c>
      <c r="B1744">
        <v>2</v>
      </c>
      <c r="C1744">
        <v>11</v>
      </c>
      <c r="D1744" t="str">
        <f>VLOOKUP(B1744, Products!$A$2:$C$100, 2, FALSE)</f>
        <v>Ritchey Timberwolf Frameset - 2016</v>
      </c>
      <c r="E1744">
        <v>2</v>
      </c>
      <c r="F1744">
        <v>1680.99</v>
      </c>
      <c r="G1744">
        <v>0.2</v>
      </c>
      <c r="H1744">
        <v>336.19800000000004</v>
      </c>
      <c r="I1744">
        <f>order_items[[#This Row],[list_price]]-order_items[[#This Row],[Discounted_price]]</f>
        <v>1344.7919999999999</v>
      </c>
      <c r="J1744">
        <f>VLOOKUP(B1744, Products!$A$2:$E$100, 3, FALSE)</f>
        <v>5</v>
      </c>
      <c r="K1744">
        <f>VLOOKUP(B1744, Products!$A$2:$F$100, 4, FALSE)</f>
        <v>6</v>
      </c>
    </row>
    <row r="1745" spans="1:11" x14ac:dyDescent="0.3">
      <c r="A1745">
        <v>625</v>
      </c>
      <c r="B1745">
        <v>3</v>
      </c>
      <c r="C1745">
        <v>26</v>
      </c>
      <c r="D1745" t="str">
        <f>VLOOKUP(B1745, Products!$A$2:$C$100, 2, FALSE)</f>
        <v>Surly Wednesday Frameset - 2016</v>
      </c>
      <c r="E1745">
        <v>1</v>
      </c>
      <c r="F1745">
        <v>599.99</v>
      </c>
      <c r="G1745">
        <v>7.0000000000000007E-2</v>
      </c>
      <c r="H1745">
        <v>41.999300000000005</v>
      </c>
      <c r="I1745">
        <f>order_items[[#This Row],[list_price]]-order_items[[#This Row],[Discounted_price]]</f>
        <v>557.99070000000006</v>
      </c>
      <c r="J1745">
        <f>VLOOKUP(B1745, Products!$A$2:$E$100, 3, FALSE)</f>
        <v>8</v>
      </c>
      <c r="K1745">
        <f>VLOOKUP(B1745, Products!$A$2:$F$100, 4, FALSE)</f>
        <v>6</v>
      </c>
    </row>
    <row r="1746" spans="1:11" x14ac:dyDescent="0.3">
      <c r="A1746">
        <v>625</v>
      </c>
      <c r="B1746">
        <v>4</v>
      </c>
      <c r="C1746">
        <v>23</v>
      </c>
      <c r="D1746" t="str">
        <f>VLOOKUP(B1746, Products!$A$2:$C$100, 2, FALSE)</f>
        <v>Trek Fuel EX 8 29 - 2016</v>
      </c>
      <c r="E1746">
        <v>2</v>
      </c>
      <c r="F1746">
        <v>299.99</v>
      </c>
      <c r="G1746">
        <v>0.1</v>
      </c>
      <c r="H1746">
        <v>29.999000000000002</v>
      </c>
      <c r="I1746">
        <f>order_items[[#This Row],[list_price]]-order_items[[#This Row],[Discounted_price]]</f>
        <v>269.99099999999999</v>
      </c>
      <c r="J1746">
        <f>VLOOKUP(B1746, Products!$A$2:$E$100, 3, FALSE)</f>
        <v>9</v>
      </c>
      <c r="K1746">
        <f>VLOOKUP(B1746, Products!$A$2:$F$100, 4, FALSE)</f>
        <v>6</v>
      </c>
    </row>
    <row r="1747" spans="1:11" x14ac:dyDescent="0.3">
      <c r="A1747">
        <v>626</v>
      </c>
      <c r="B1747">
        <v>1</v>
      </c>
      <c r="C1747">
        <v>15</v>
      </c>
      <c r="D1747" t="str">
        <f>VLOOKUP(B1747, Products!$A$2:$C$100, 2, FALSE)</f>
        <v>Trek 820 - 2016</v>
      </c>
      <c r="E1747">
        <v>1</v>
      </c>
      <c r="F1747">
        <v>529.99</v>
      </c>
      <c r="G1747">
        <v>0.2</v>
      </c>
      <c r="H1747">
        <v>105.998</v>
      </c>
      <c r="I1747">
        <f>order_items[[#This Row],[list_price]]-order_items[[#This Row],[Discounted_price]]</f>
        <v>423.99200000000002</v>
      </c>
      <c r="J1747">
        <f>VLOOKUP(B1747, Products!$A$2:$E$100, 3, FALSE)</f>
        <v>9</v>
      </c>
      <c r="K1747">
        <f>VLOOKUP(B1747, Products!$A$2:$F$100, 4, FALSE)</f>
        <v>6</v>
      </c>
    </row>
    <row r="1748" spans="1:11" x14ac:dyDescent="0.3">
      <c r="A1748">
        <v>627</v>
      </c>
      <c r="B1748">
        <v>1</v>
      </c>
      <c r="C1748">
        <v>19</v>
      </c>
      <c r="D1748" t="str">
        <f>VLOOKUP(B1748, Products!$A$2:$C$100, 2, FALSE)</f>
        <v>Trek 820 - 2016</v>
      </c>
      <c r="E1748">
        <v>1</v>
      </c>
      <c r="F1748">
        <v>449</v>
      </c>
      <c r="G1748">
        <v>7.0000000000000007E-2</v>
      </c>
      <c r="H1748">
        <v>31.430000000000003</v>
      </c>
      <c r="I1748">
        <f>order_items[[#This Row],[list_price]]-order_items[[#This Row],[Discounted_price]]</f>
        <v>417.57</v>
      </c>
      <c r="J1748">
        <f>VLOOKUP(B1748, Products!$A$2:$E$100, 3, FALSE)</f>
        <v>9</v>
      </c>
      <c r="K1748">
        <f>VLOOKUP(B1748, Products!$A$2:$F$100, 4, FALSE)</f>
        <v>6</v>
      </c>
    </row>
    <row r="1749" spans="1:11" x14ac:dyDescent="0.3">
      <c r="A1749">
        <v>627</v>
      </c>
      <c r="B1749">
        <v>2</v>
      </c>
      <c r="C1749">
        <v>9</v>
      </c>
      <c r="D1749" t="str">
        <f>VLOOKUP(B1749, Products!$A$2:$C$100, 2, FALSE)</f>
        <v>Ritchey Timberwolf Frameset - 2016</v>
      </c>
      <c r="E1749">
        <v>2</v>
      </c>
      <c r="F1749">
        <v>2999.99</v>
      </c>
      <c r="G1749">
        <v>0.2</v>
      </c>
      <c r="H1749">
        <v>599.99799999999993</v>
      </c>
      <c r="I1749">
        <f>order_items[[#This Row],[list_price]]-order_items[[#This Row],[Discounted_price]]</f>
        <v>2399.9919999999997</v>
      </c>
      <c r="J1749">
        <f>VLOOKUP(B1749, Products!$A$2:$E$100, 3, FALSE)</f>
        <v>5</v>
      </c>
      <c r="K1749">
        <f>VLOOKUP(B1749, Products!$A$2:$F$100, 4, FALSE)</f>
        <v>6</v>
      </c>
    </row>
    <row r="1750" spans="1:11" x14ac:dyDescent="0.3">
      <c r="A1750">
        <v>627</v>
      </c>
      <c r="B1750">
        <v>3</v>
      </c>
      <c r="C1750">
        <v>26</v>
      </c>
      <c r="D1750" t="str">
        <f>VLOOKUP(B1750, Products!$A$2:$C$100, 2, FALSE)</f>
        <v>Surly Wednesday Frameset - 2016</v>
      </c>
      <c r="E1750">
        <v>1</v>
      </c>
      <c r="F1750">
        <v>599.99</v>
      </c>
      <c r="G1750">
        <v>7.0000000000000007E-2</v>
      </c>
      <c r="H1750">
        <v>41.999300000000005</v>
      </c>
      <c r="I1750">
        <f>order_items[[#This Row],[list_price]]-order_items[[#This Row],[Discounted_price]]</f>
        <v>557.99070000000006</v>
      </c>
      <c r="J1750">
        <f>VLOOKUP(B1750, Products!$A$2:$E$100, 3, FALSE)</f>
        <v>8</v>
      </c>
      <c r="K1750">
        <f>VLOOKUP(B1750, Products!$A$2:$F$100, 4, FALSE)</f>
        <v>6</v>
      </c>
    </row>
    <row r="1751" spans="1:11" x14ac:dyDescent="0.3">
      <c r="A1751">
        <v>628</v>
      </c>
      <c r="B1751">
        <v>1</v>
      </c>
      <c r="C1751">
        <v>15</v>
      </c>
      <c r="D1751" t="str">
        <f>VLOOKUP(B1751, Products!$A$2:$C$100, 2, FALSE)</f>
        <v>Trek 820 - 2016</v>
      </c>
      <c r="E1751">
        <v>2</v>
      </c>
      <c r="F1751">
        <v>529.99</v>
      </c>
      <c r="G1751">
        <v>0.1</v>
      </c>
      <c r="H1751">
        <v>52.999000000000002</v>
      </c>
      <c r="I1751">
        <f>order_items[[#This Row],[list_price]]-order_items[[#This Row],[Discounted_price]]</f>
        <v>476.99099999999999</v>
      </c>
      <c r="J1751">
        <f>VLOOKUP(B1751, Products!$A$2:$E$100, 3, FALSE)</f>
        <v>9</v>
      </c>
      <c r="K1751">
        <f>VLOOKUP(B1751, Products!$A$2:$F$100, 4, FALSE)</f>
        <v>6</v>
      </c>
    </row>
    <row r="1752" spans="1:11" x14ac:dyDescent="0.3">
      <c r="A1752">
        <v>629</v>
      </c>
      <c r="B1752">
        <v>1</v>
      </c>
      <c r="C1752">
        <v>19</v>
      </c>
      <c r="D1752" t="str">
        <f>VLOOKUP(B1752, Products!$A$2:$C$100, 2, FALSE)</f>
        <v>Trek 820 - 2016</v>
      </c>
      <c r="E1752">
        <v>1</v>
      </c>
      <c r="F1752">
        <v>449</v>
      </c>
      <c r="G1752">
        <v>0.05</v>
      </c>
      <c r="H1752">
        <v>22.450000000000003</v>
      </c>
      <c r="I1752">
        <f>order_items[[#This Row],[list_price]]-order_items[[#This Row],[Discounted_price]]</f>
        <v>426.55</v>
      </c>
      <c r="J1752">
        <f>VLOOKUP(B1752, Products!$A$2:$E$100, 3, FALSE)</f>
        <v>9</v>
      </c>
      <c r="K1752">
        <f>VLOOKUP(B1752, Products!$A$2:$F$100, 4, FALSE)</f>
        <v>6</v>
      </c>
    </row>
    <row r="1753" spans="1:11" x14ac:dyDescent="0.3">
      <c r="A1753">
        <v>629</v>
      </c>
      <c r="B1753">
        <v>2</v>
      </c>
      <c r="C1753">
        <v>5</v>
      </c>
      <c r="D1753" t="str">
        <f>VLOOKUP(B1753, Products!$A$2:$C$100, 2, FALSE)</f>
        <v>Ritchey Timberwolf Frameset - 2016</v>
      </c>
      <c r="E1753">
        <v>2</v>
      </c>
      <c r="F1753">
        <v>1320.99</v>
      </c>
      <c r="G1753">
        <v>0.05</v>
      </c>
      <c r="H1753">
        <v>66.049500000000009</v>
      </c>
      <c r="I1753">
        <f>order_items[[#This Row],[list_price]]-order_items[[#This Row],[Discounted_price]]</f>
        <v>1254.9404999999999</v>
      </c>
      <c r="J1753">
        <f>VLOOKUP(B1753, Products!$A$2:$E$100, 3, FALSE)</f>
        <v>5</v>
      </c>
      <c r="K1753">
        <f>VLOOKUP(B1753, Products!$A$2:$F$100, 4, FALSE)</f>
        <v>6</v>
      </c>
    </row>
    <row r="1754" spans="1:11" x14ac:dyDescent="0.3">
      <c r="A1754">
        <v>629</v>
      </c>
      <c r="B1754">
        <v>3</v>
      </c>
      <c r="C1754">
        <v>23</v>
      </c>
      <c r="D1754" t="str">
        <f>VLOOKUP(B1754, Products!$A$2:$C$100, 2, FALSE)</f>
        <v>Surly Wednesday Frameset - 2016</v>
      </c>
      <c r="E1754">
        <v>2</v>
      </c>
      <c r="F1754">
        <v>299.99</v>
      </c>
      <c r="G1754">
        <v>0.1</v>
      </c>
      <c r="H1754">
        <v>29.999000000000002</v>
      </c>
      <c r="I1754">
        <f>order_items[[#This Row],[list_price]]-order_items[[#This Row],[Discounted_price]]</f>
        <v>269.99099999999999</v>
      </c>
      <c r="J1754">
        <f>VLOOKUP(B1754, Products!$A$2:$E$100, 3, FALSE)</f>
        <v>8</v>
      </c>
      <c r="K1754">
        <f>VLOOKUP(B1754, Products!$A$2:$F$100, 4, FALSE)</f>
        <v>6</v>
      </c>
    </row>
    <row r="1755" spans="1:11" x14ac:dyDescent="0.3">
      <c r="A1755">
        <v>629</v>
      </c>
      <c r="B1755">
        <v>4</v>
      </c>
      <c r="C1755">
        <v>14</v>
      </c>
      <c r="D1755" t="str">
        <f>VLOOKUP(B1755, Products!$A$2:$C$100, 2, FALSE)</f>
        <v>Trek Fuel EX 8 29 - 2016</v>
      </c>
      <c r="E1755">
        <v>2</v>
      </c>
      <c r="F1755">
        <v>269.99</v>
      </c>
      <c r="G1755">
        <v>0.05</v>
      </c>
      <c r="H1755">
        <v>13.499500000000001</v>
      </c>
      <c r="I1755">
        <f>order_items[[#This Row],[list_price]]-order_items[[#This Row],[Discounted_price]]</f>
        <v>256.4905</v>
      </c>
      <c r="J1755">
        <f>VLOOKUP(B1755, Products!$A$2:$E$100, 3, FALSE)</f>
        <v>9</v>
      </c>
      <c r="K1755">
        <f>VLOOKUP(B1755, Products!$A$2:$F$100, 4, FALSE)</f>
        <v>6</v>
      </c>
    </row>
    <row r="1756" spans="1:11" x14ac:dyDescent="0.3">
      <c r="A1756">
        <v>629</v>
      </c>
      <c r="B1756">
        <v>5</v>
      </c>
      <c r="C1756">
        <v>6</v>
      </c>
      <c r="D1756" t="str">
        <f>VLOOKUP(B1756, Products!$A$2:$C$100, 2, FALSE)</f>
        <v>Heller Shagamaw Frame - 2016</v>
      </c>
      <c r="E1756">
        <v>2</v>
      </c>
      <c r="F1756">
        <v>469.99</v>
      </c>
      <c r="G1756">
        <v>0.1</v>
      </c>
      <c r="H1756">
        <v>46.999000000000002</v>
      </c>
      <c r="I1756">
        <f>order_items[[#This Row],[list_price]]-order_items[[#This Row],[Discounted_price]]</f>
        <v>422.99099999999999</v>
      </c>
      <c r="J1756">
        <f>VLOOKUP(B1756, Products!$A$2:$E$100, 3, FALSE)</f>
        <v>3</v>
      </c>
      <c r="K1756">
        <f>VLOOKUP(B1756, Products!$A$2:$F$100, 4, FALSE)</f>
        <v>6</v>
      </c>
    </row>
    <row r="1757" spans="1:11" x14ac:dyDescent="0.3">
      <c r="A1757">
        <v>630</v>
      </c>
      <c r="B1757">
        <v>1</v>
      </c>
      <c r="C1757">
        <v>5</v>
      </c>
      <c r="D1757" t="str">
        <f>VLOOKUP(B1757, Products!$A$2:$C$100, 2, FALSE)</f>
        <v>Trek 820 - 2016</v>
      </c>
      <c r="E1757">
        <v>1</v>
      </c>
      <c r="F1757">
        <v>1320.99</v>
      </c>
      <c r="G1757">
        <v>0.05</v>
      </c>
      <c r="H1757">
        <v>66.049500000000009</v>
      </c>
      <c r="I1757">
        <f>order_items[[#This Row],[list_price]]-order_items[[#This Row],[Discounted_price]]</f>
        <v>1254.9404999999999</v>
      </c>
      <c r="J1757">
        <f>VLOOKUP(B1757, Products!$A$2:$E$100, 3, FALSE)</f>
        <v>9</v>
      </c>
      <c r="K1757">
        <f>VLOOKUP(B1757, Products!$A$2:$F$100, 4, FALSE)</f>
        <v>6</v>
      </c>
    </row>
    <row r="1758" spans="1:11" x14ac:dyDescent="0.3">
      <c r="A1758">
        <v>630</v>
      </c>
      <c r="B1758">
        <v>2</v>
      </c>
      <c r="C1758">
        <v>25</v>
      </c>
      <c r="D1758" t="str">
        <f>VLOOKUP(B1758, Products!$A$2:$C$100, 2, FALSE)</f>
        <v>Ritchey Timberwolf Frameset - 2016</v>
      </c>
      <c r="E1758">
        <v>1</v>
      </c>
      <c r="F1758">
        <v>499.99</v>
      </c>
      <c r="G1758">
        <v>0.1</v>
      </c>
      <c r="H1758">
        <v>49.999000000000002</v>
      </c>
      <c r="I1758">
        <f>order_items[[#This Row],[list_price]]-order_items[[#This Row],[Discounted_price]]</f>
        <v>449.99099999999999</v>
      </c>
      <c r="J1758">
        <f>VLOOKUP(B1758, Products!$A$2:$E$100, 3, FALSE)</f>
        <v>5</v>
      </c>
      <c r="K1758">
        <f>VLOOKUP(B1758, Products!$A$2:$F$100, 4, FALSE)</f>
        <v>6</v>
      </c>
    </row>
    <row r="1759" spans="1:11" x14ac:dyDescent="0.3">
      <c r="A1759">
        <v>630</v>
      </c>
      <c r="B1759">
        <v>3</v>
      </c>
      <c r="C1759">
        <v>18</v>
      </c>
      <c r="D1759" t="str">
        <f>VLOOKUP(B1759, Products!$A$2:$C$100, 2, FALSE)</f>
        <v>Surly Wednesday Frameset - 2016</v>
      </c>
      <c r="E1759">
        <v>2</v>
      </c>
      <c r="F1759">
        <v>449</v>
      </c>
      <c r="G1759">
        <v>0.1</v>
      </c>
      <c r="H1759">
        <v>44.900000000000006</v>
      </c>
      <c r="I1759">
        <f>order_items[[#This Row],[list_price]]-order_items[[#This Row],[Discounted_price]]</f>
        <v>404.1</v>
      </c>
      <c r="J1759">
        <f>VLOOKUP(B1759, Products!$A$2:$E$100, 3, FALSE)</f>
        <v>8</v>
      </c>
      <c r="K1759">
        <f>VLOOKUP(B1759, Products!$A$2:$F$100, 4, FALSE)</f>
        <v>6</v>
      </c>
    </row>
    <row r="1760" spans="1:11" x14ac:dyDescent="0.3">
      <c r="A1760">
        <v>630</v>
      </c>
      <c r="B1760">
        <v>4</v>
      </c>
      <c r="C1760">
        <v>21</v>
      </c>
      <c r="D1760" t="str">
        <f>VLOOKUP(B1760, Products!$A$2:$C$100, 2, FALSE)</f>
        <v>Trek Fuel EX 8 29 - 2016</v>
      </c>
      <c r="E1760">
        <v>2</v>
      </c>
      <c r="F1760">
        <v>269.99</v>
      </c>
      <c r="G1760">
        <v>7.0000000000000007E-2</v>
      </c>
      <c r="H1760">
        <v>18.899300000000004</v>
      </c>
      <c r="I1760">
        <f>order_items[[#This Row],[list_price]]-order_items[[#This Row],[Discounted_price]]</f>
        <v>251.0907</v>
      </c>
      <c r="J1760">
        <f>VLOOKUP(B1760, Products!$A$2:$E$100, 3, FALSE)</f>
        <v>9</v>
      </c>
      <c r="K1760">
        <f>VLOOKUP(B1760, Products!$A$2:$F$100, 4, FALSE)</f>
        <v>6</v>
      </c>
    </row>
    <row r="1761" spans="1:11" x14ac:dyDescent="0.3">
      <c r="A1761">
        <v>631</v>
      </c>
      <c r="B1761">
        <v>1</v>
      </c>
      <c r="C1761">
        <v>24</v>
      </c>
      <c r="D1761" t="str">
        <f>VLOOKUP(B1761, Products!$A$2:$C$100, 2, FALSE)</f>
        <v>Trek 820 - 2016</v>
      </c>
      <c r="E1761">
        <v>2</v>
      </c>
      <c r="F1761">
        <v>549.99</v>
      </c>
      <c r="G1761">
        <v>7.0000000000000007E-2</v>
      </c>
      <c r="H1761">
        <v>38.499300000000005</v>
      </c>
      <c r="I1761">
        <f>order_items[[#This Row],[list_price]]-order_items[[#This Row],[Discounted_price]]</f>
        <v>511.4907</v>
      </c>
      <c r="J1761">
        <f>VLOOKUP(B1761, Products!$A$2:$E$100, 3, FALSE)</f>
        <v>9</v>
      </c>
      <c r="K1761">
        <f>VLOOKUP(B1761, Products!$A$2:$F$100, 4, FALSE)</f>
        <v>6</v>
      </c>
    </row>
    <row r="1762" spans="1:11" x14ac:dyDescent="0.3">
      <c r="A1762">
        <v>631</v>
      </c>
      <c r="B1762">
        <v>2</v>
      </c>
      <c r="C1762">
        <v>15</v>
      </c>
      <c r="D1762" t="str">
        <f>VLOOKUP(B1762, Products!$A$2:$C$100, 2, FALSE)</f>
        <v>Ritchey Timberwolf Frameset - 2016</v>
      </c>
      <c r="E1762">
        <v>2</v>
      </c>
      <c r="F1762">
        <v>529.99</v>
      </c>
      <c r="G1762">
        <v>7.0000000000000007E-2</v>
      </c>
      <c r="H1762">
        <v>37.099300000000007</v>
      </c>
      <c r="I1762">
        <f>order_items[[#This Row],[list_price]]-order_items[[#This Row],[Discounted_price]]</f>
        <v>492.89069999999998</v>
      </c>
      <c r="J1762">
        <f>VLOOKUP(B1762, Products!$A$2:$E$100, 3, FALSE)</f>
        <v>5</v>
      </c>
      <c r="K1762">
        <f>VLOOKUP(B1762, Products!$A$2:$F$100, 4, FALSE)</f>
        <v>6</v>
      </c>
    </row>
    <row r="1763" spans="1:11" x14ac:dyDescent="0.3">
      <c r="A1763">
        <v>632</v>
      </c>
      <c r="B1763">
        <v>1</v>
      </c>
      <c r="C1763">
        <v>25</v>
      </c>
      <c r="D1763" t="str">
        <f>VLOOKUP(B1763, Products!$A$2:$C$100, 2, FALSE)</f>
        <v>Trek 820 - 2016</v>
      </c>
      <c r="E1763">
        <v>1</v>
      </c>
      <c r="F1763">
        <v>499.99</v>
      </c>
      <c r="G1763">
        <v>0.2</v>
      </c>
      <c r="H1763">
        <v>99.998000000000005</v>
      </c>
      <c r="I1763">
        <f>order_items[[#This Row],[list_price]]-order_items[[#This Row],[Discounted_price]]</f>
        <v>399.99200000000002</v>
      </c>
      <c r="J1763">
        <f>VLOOKUP(B1763, Products!$A$2:$E$100, 3, FALSE)</f>
        <v>9</v>
      </c>
      <c r="K1763">
        <f>VLOOKUP(B1763, Products!$A$2:$F$100, 4, FALSE)</f>
        <v>6</v>
      </c>
    </row>
    <row r="1764" spans="1:11" x14ac:dyDescent="0.3">
      <c r="A1764">
        <v>632</v>
      </c>
      <c r="B1764">
        <v>2</v>
      </c>
      <c r="C1764">
        <v>11</v>
      </c>
      <c r="D1764" t="str">
        <f>VLOOKUP(B1764, Products!$A$2:$C$100, 2, FALSE)</f>
        <v>Ritchey Timberwolf Frameset - 2016</v>
      </c>
      <c r="E1764">
        <v>2</v>
      </c>
      <c r="F1764">
        <v>1680.99</v>
      </c>
      <c r="G1764">
        <v>0.1</v>
      </c>
      <c r="H1764">
        <v>168.09900000000002</v>
      </c>
      <c r="I1764">
        <f>order_items[[#This Row],[list_price]]-order_items[[#This Row],[Discounted_price]]</f>
        <v>1512.8910000000001</v>
      </c>
      <c r="J1764">
        <f>VLOOKUP(B1764, Products!$A$2:$E$100, 3, FALSE)</f>
        <v>5</v>
      </c>
      <c r="K1764">
        <f>VLOOKUP(B1764, Products!$A$2:$F$100, 4, FALSE)</f>
        <v>6</v>
      </c>
    </row>
    <row r="1765" spans="1:11" x14ac:dyDescent="0.3">
      <c r="A1765">
        <v>632</v>
      </c>
      <c r="B1765">
        <v>3</v>
      </c>
      <c r="C1765">
        <v>15</v>
      </c>
      <c r="D1765" t="str">
        <f>VLOOKUP(B1765, Products!$A$2:$C$100, 2, FALSE)</f>
        <v>Surly Wednesday Frameset - 2016</v>
      </c>
      <c r="E1765">
        <v>1</v>
      </c>
      <c r="F1765">
        <v>529.99</v>
      </c>
      <c r="G1765">
        <v>7.0000000000000007E-2</v>
      </c>
      <c r="H1765">
        <v>37.099300000000007</v>
      </c>
      <c r="I1765">
        <f>order_items[[#This Row],[list_price]]-order_items[[#This Row],[Discounted_price]]</f>
        <v>492.89069999999998</v>
      </c>
      <c r="J1765">
        <f>VLOOKUP(B1765, Products!$A$2:$E$100, 3, FALSE)</f>
        <v>8</v>
      </c>
      <c r="K1765">
        <f>VLOOKUP(B1765, Products!$A$2:$F$100, 4, FALSE)</f>
        <v>6</v>
      </c>
    </row>
    <row r="1766" spans="1:11" x14ac:dyDescent="0.3">
      <c r="A1766">
        <v>632</v>
      </c>
      <c r="B1766">
        <v>4</v>
      </c>
      <c r="C1766">
        <v>6</v>
      </c>
      <c r="D1766" t="str">
        <f>VLOOKUP(B1766, Products!$A$2:$C$100, 2, FALSE)</f>
        <v>Trek Fuel EX 8 29 - 2016</v>
      </c>
      <c r="E1766">
        <v>1</v>
      </c>
      <c r="F1766">
        <v>469.99</v>
      </c>
      <c r="G1766">
        <v>0.05</v>
      </c>
      <c r="H1766">
        <v>23.499500000000001</v>
      </c>
      <c r="I1766">
        <f>order_items[[#This Row],[list_price]]-order_items[[#This Row],[Discounted_price]]</f>
        <v>446.4905</v>
      </c>
      <c r="J1766">
        <f>VLOOKUP(B1766, Products!$A$2:$E$100, 3, FALSE)</f>
        <v>9</v>
      </c>
      <c r="K1766">
        <f>VLOOKUP(B1766, Products!$A$2:$F$100, 4, FALSE)</f>
        <v>6</v>
      </c>
    </row>
    <row r="1767" spans="1:11" x14ac:dyDescent="0.3">
      <c r="A1767">
        <v>632</v>
      </c>
      <c r="B1767">
        <v>5</v>
      </c>
      <c r="C1767">
        <v>22</v>
      </c>
      <c r="D1767" t="str">
        <f>VLOOKUP(B1767, Products!$A$2:$C$100, 2, FALSE)</f>
        <v>Heller Shagamaw Frame - 2016</v>
      </c>
      <c r="E1767">
        <v>2</v>
      </c>
      <c r="F1767">
        <v>269.99</v>
      </c>
      <c r="G1767">
        <v>0.1</v>
      </c>
      <c r="H1767">
        <v>26.999000000000002</v>
      </c>
      <c r="I1767">
        <f>order_items[[#This Row],[list_price]]-order_items[[#This Row],[Discounted_price]]</f>
        <v>242.99100000000001</v>
      </c>
      <c r="J1767">
        <f>VLOOKUP(B1767, Products!$A$2:$E$100, 3, FALSE)</f>
        <v>3</v>
      </c>
      <c r="K1767">
        <f>VLOOKUP(B1767, Products!$A$2:$F$100, 4, FALSE)</f>
        <v>6</v>
      </c>
    </row>
    <row r="1768" spans="1:11" x14ac:dyDescent="0.3">
      <c r="A1768">
        <v>633</v>
      </c>
      <c r="B1768">
        <v>1</v>
      </c>
      <c r="C1768">
        <v>12</v>
      </c>
      <c r="D1768" t="str">
        <f>VLOOKUP(B1768, Products!$A$2:$C$100, 2, FALSE)</f>
        <v>Trek 820 - 2016</v>
      </c>
      <c r="E1768">
        <v>2</v>
      </c>
      <c r="F1768">
        <v>549.99</v>
      </c>
      <c r="G1768">
        <v>0.05</v>
      </c>
      <c r="H1768">
        <v>27.499500000000001</v>
      </c>
      <c r="I1768">
        <f>order_items[[#This Row],[list_price]]-order_items[[#This Row],[Discounted_price]]</f>
        <v>522.4905</v>
      </c>
      <c r="J1768">
        <f>VLOOKUP(B1768, Products!$A$2:$E$100, 3, FALSE)</f>
        <v>9</v>
      </c>
      <c r="K1768">
        <f>VLOOKUP(B1768, Products!$A$2:$F$100, 4, FALSE)</f>
        <v>6</v>
      </c>
    </row>
    <row r="1769" spans="1:11" x14ac:dyDescent="0.3">
      <c r="A1769">
        <v>633</v>
      </c>
      <c r="B1769">
        <v>2</v>
      </c>
      <c r="C1769">
        <v>13</v>
      </c>
      <c r="D1769" t="str">
        <f>VLOOKUP(B1769, Products!$A$2:$C$100, 2, FALSE)</f>
        <v>Ritchey Timberwolf Frameset - 2016</v>
      </c>
      <c r="E1769">
        <v>2</v>
      </c>
      <c r="F1769">
        <v>269.99</v>
      </c>
      <c r="G1769">
        <v>0.2</v>
      </c>
      <c r="H1769">
        <v>53.998000000000005</v>
      </c>
      <c r="I1769">
        <f>order_items[[#This Row],[list_price]]-order_items[[#This Row],[Discounted_price]]</f>
        <v>215.99200000000002</v>
      </c>
      <c r="J1769">
        <f>VLOOKUP(B1769, Products!$A$2:$E$100, 3, FALSE)</f>
        <v>5</v>
      </c>
      <c r="K1769">
        <f>VLOOKUP(B1769, Products!$A$2:$F$100, 4, FALSE)</f>
        <v>6</v>
      </c>
    </row>
    <row r="1770" spans="1:11" x14ac:dyDescent="0.3">
      <c r="A1770">
        <v>633</v>
      </c>
      <c r="B1770">
        <v>3</v>
      </c>
      <c r="C1770">
        <v>5</v>
      </c>
      <c r="D1770" t="str">
        <f>VLOOKUP(B1770, Products!$A$2:$C$100, 2, FALSE)</f>
        <v>Surly Wednesday Frameset - 2016</v>
      </c>
      <c r="E1770">
        <v>2</v>
      </c>
      <c r="F1770">
        <v>1320.99</v>
      </c>
      <c r="G1770">
        <v>0.2</v>
      </c>
      <c r="H1770">
        <v>264.19800000000004</v>
      </c>
      <c r="I1770">
        <f>order_items[[#This Row],[list_price]]-order_items[[#This Row],[Discounted_price]]</f>
        <v>1056.7919999999999</v>
      </c>
      <c r="J1770">
        <f>VLOOKUP(B1770, Products!$A$2:$E$100, 3, FALSE)</f>
        <v>8</v>
      </c>
      <c r="K1770">
        <f>VLOOKUP(B1770, Products!$A$2:$F$100, 4, FALSE)</f>
        <v>6</v>
      </c>
    </row>
    <row r="1771" spans="1:11" x14ac:dyDescent="0.3">
      <c r="A1771">
        <v>633</v>
      </c>
      <c r="B1771">
        <v>4</v>
      </c>
      <c r="C1771">
        <v>10</v>
      </c>
      <c r="D1771" t="str">
        <f>VLOOKUP(B1771, Products!$A$2:$C$100, 2, FALSE)</f>
        <v>Trek Fuel EX 8 29 - 2016</v>
      </c>
      <c r="E1771">
        <v>2</v>
      </c>
      <c r="F1771">
        <v>1549</v>
      </c>
      <c r="G1771">
        <v>0.2</v>
      </c>
      <c r="H1771">
        <v>309.8</v>
      </c>
      <c r="I1771">
        <f>order_items[[#This Row],[list_price]]-order_items[[#This Row],[Discounted_price]]</f>
        <v>1239.2</v>
      </c>
      <c r="J1771">
        <f>VLOOKUP(B1771, Products!$A$2:$E$100, 3, FALSE)</f>
        <v>9</v>
      </c>
      <c r="K1771">
        <f>VLOOKUP(B1771, Products!$A$2:$F$100, 4, FALSE)</f>
        <v>6</v>
      </c>
    </row>
    <row r="1772" spans="1:11" x14ac:dyDescent="0.3">
      <c r="A1772">
        <v>634</v>
      </c>
      <c r="B1772">
        <v>1</v>
      </c>
      <c r="C1772">
        <v>4</v>
      </c>
      <c r="D1772" t="str">
        <f>VLOOKUP(B1772, Products!$A$2:$C$100, 2, FALSE)</f>
        <v>Trek 820 - 2016</v>
      </c>
      <c r="E1772">
        <v>2</v>
      </c>
      <c r="F1772">
        <v>2899.99</v>
      </c>
      <c r="G1772">
        <v>0.05</v>
      </c>
      <c r="H1772">
        <v>144.99949999999998</v>
      </c>
      <c r="I1772">
        <f>order_items[[#This Row],[list_price]]-order_items[[#This Row],[Discounted_price]]</f>
        <v>2754.9904999999999</v>
      </c>
      <c r="J1772">
        <f>VLOOKUP(B1772, Products!$A$2:$E$100, 3, FALSE)</f>
        <v>9</v>
      </c>
      <c r="K1772">
        <f>VLOOKUP(B1772, Products!$A$2:$F$100, 4, FALSE)</f>
        <v>6</v>
      </c>
    </row>
    <row r="1773" spans="1:11" x14ac:dyDescent="0.3">
      <c r="A1773">
        <v>634</v>
      </c>
      <c r="B1773">
        <v>2</v>
      </c>
      <c r="C1773">
        <v>12</v>
      </c>
      <c r="D1773" t="str">
        <f>VLOOKUP(B1773, Products!$A$2:$C$100, 2, FALSE)</f>
        <v>Ritchey Timberwolf Frameset - 2016</v>
      </c>
      <c r="E1773">
        <v>1</v>
      </c>
      <c r="F1773">
        <v>549.99</v>
      </c>
      <c r="G1773">
        <v>0.1</v>
      </c>
      <c r="H1773">
        <v>54.999000000000002</v>
      </c>
      <c r="I1773">
        <f>order_items[[#This Row],[list_price]]-order_items[[#This Row],[Discounted_price]]</f>
        <v>494.99099999999999</v>
      </c>
      <c r="J1773">
        <f>VLOOKUP(B1773, Products!$A$2:$E$100, 3, FALSE)</f>
        <v>5</v>
      </c>
      <c r="K1773">
        <f>VLOOKUP(B1773, Products!$A$2:$F$100, 4, FALSE)</f>
        <v>6</v>
      </c>
    </row>
    <row r="1774" spans="1:11" x14ac:dyDescent="0.3">
      <c r="A1774">
        <v>635</v>
      </c>
      <c r="B1774">
        <v>1</v>
      </c>
      <c r="C1774">
        <v>4</v>
      </c>
      <c r="D1774" t="str">
        <f>VLOOKUP(B1774, Products!$A$2:$C$100, 2, FALSE)</f>
        <v>Trek 820 - 2016</v>
      </c>
      <c r="E1774">
        <v>1</v>
      </c>
      <c r="F1774">
        <v>2899.99</v>
      </c>
      <c r="G1774">
        <v>0.05</v>
      </c>
      <c r="H1774">
        <v>144.99949999999998</v>
      </c>
      <c r="I1774">
        <f>order_items[[#This Row],[list_price]]-order_items[[#This Row],[Discounted_price]]</f>
        <v>2754.9904999999999</v>
      </c>
      <c r="J1774">
        <f>VLOOKUP(B1774, Products!$A$2:$E$100, 3, FALSE)</f>
        <v>9</v>
      </c>
      <c r="K1774">
        <f>VLOOKUP(B1774, Products!$A$2:$F$100, 4, FALSE)</f>
        <v>6</v>
      </c>
    </row>
    <row r="1775" spans="1:11" x14ac:dyDescent="0.3">
      <c r="A1775">
        <v>636</v>
      </c>
      <c r="B1775">
        <v>1</v>
      </c>
      <c r="C1775">
        <v>85</v>
      </c>
      <c r="D1775" t="str">
        <f>VLOOKUP(B1775, Products!$A$2:$C$100, 2, FALSE)</f>
        <v>Trek 820 - 2016</v>
      </c>
      <c r="E1775">
        <v>2</v>
      </c>
      <c r="F1775">
        <v>329.99</v>
      </c>
      <c r="G1775">
        <v>0.2</v>
      </c>
      <c r="H1775">
        <v>65.998000000000005</v>
      </c>
      <c r="I1775">
        <f>order_items[[#This Row],[list_price]]-order_items[[#This Row],[Discounted_price]]</f>
        <v>263.99200000000002</v>
      </c>
      <c r="J1775">
        <f>VLOOKUP(B1775, Products!$A$2:$E$100, 3, FALSE)</f>
        <v>9</v>
      </c>
      <c r="K1775">
        <f>VLOOKUP(B1775, Products!$A$2:$F$100, 4, FALSE)</f>
        <v>6</v>
      </c>
    </row>
    <row r="1776" spans="1:11" x14ac:dyDescent="0.3">
      <c r="A1776">
        <v>637</v>
      </c>
      <c r="B1776">
        <v>1</v>
      </c>
      <c r="C1776">
        <v>9</v>
      </c>
      <c r="D1776" t="str">
        <f>VLOOKUP(B1776, Products!$A$2:$C$100, 2, FALSE)</f>
        <v>Trek 820 - 2016</v>
      </c>
      <c r="E1776">
        <v>1</v>
      </c>
      <c r="F1776">
        <v>2999.99</v>
      </c>
      <c r="G1776">
        <v>0.1</v>
      </c>
      <c r="H1776">
        <v>299.99899999999997</v>
      </c>
      <c r="I1776">
        <f>order_items[[#This Row],[list_price]]-order_items[[#This Row],[Discounted_price]]</f>
        <v>2699.991</v>
      </c>
      <c r="J1776">
        <f>VLOOKUP(B1776, Products!$A$2:$E$100, 3, FALSE)</f>
        <v>9</v>
      </c>
      <c r="K1776">
        <f>VLOOKUP(B1776, Products!$A$2:$F$100, 4, FALSE)</f>
        <v>6</v>
      </c>
    </row>
    <row r="1777" spans="1:11" x14ac:dyDescent="0.3">
      <c r="A1777">
        <v>637</v>
      </c>
      <c r="B1777">
        <v>2</v>
      </c>
      <c r="C1777">
        <v>106</v>
      </c>
      <c r="D1777" t="str">
        <f>VLOOKUP(B1777, Products!$A$2:$C$100, 2, FALSE)</f>
        <v>Ritchey Timberwolf Frameset - 2016</v>
      </c>
      <c r="E1777">
        <v>2</v>
      </c>
      <c r="F1777">
        <v>449.99</v>
      </c>
      <c r="G1777">
        <v>0.1</v>
      </c>
      <c r="H1777">
        <v>44.999000000000002</v>
      </c>
      <c r="I1777">
        <f>order_items[[#This Row],[list_price]]-order_items[[#This Row],[Discounted_price]]</f>
        <v>404.99099999999999</v>
      </c>
      <c r="J1777">
        <f>VLOOKUP(B1777, Products!$A$2:$E$100, 3, FALSE)</f>
        <v>5</v>
      </c>
      <c r="K1777">
        <f>VLOOKUP(B1777, Products!$A$2:$F$100, 4, FALSE)</f>
        <v>6</v>
      </c>
    </row>
    <row r="1778" spans="1:11" x14ac:dyDescent="0.3">
      <c r="A1778">
        <v>638</v>
      </c>
      <c r="B1778">
        <v>1</v>
      </c>
      <c r="C1778">
        <v>103</v>
      </c>
      <c r="D1778" t="str">
        <f>VLOOKUP(B1778, Products!$A$2:$C$100, 2, FALSE)</f>
        <v>Trek 820 - 2016</v>
      </c>
      <c r="E1778">
        <v>1</v>
      </c>
      <c r="F1778">
        <v>551.99</v>
      </c>
      <c r="G1778">
        <v>0.05</v>
      </c>
      <c r="H1778">
        <v>27.599500000000003</v>
      </c>
      <c r="I1778">
        <f>order_items[[#This Row],[list_price]]-order_items[[#This Row],[Discounted_price]]</f>
        <v>524.39049999999997</v>
      </c>
      <c r="J1778">
        <f>VLOOKUP(B1778, Products!$A$2:$E$100, 3, FALSE)</f>
        <v>9</v>
      </c>
      <c r="K1778">
        <f>VLOOKUP(B1778, Products!$A$2:$F$100, 4, FALSE)</f>
        <v>6</v>
      </c>
    </row>
    <row r="1779" spans="1:11" x14ac:dyDescent="0.3">
      <c r="A1779">
        <v>638</v>
      </c>
      <c r="B1779">
        <v>2</v>
      </c>
      <c r="C1779">
        <v>56</v>
      </c>
      <c r="D1779" t="str">
        <f>VLOOKUP(B1779, Products!$A$2:$C$100, 2, FALSE)</f>
        <v>Ritchey Timberwolf Frameset - 2016</v>
      </c>
      <c r="E1779">
        <v>1</v>
      </c>
      <c r="F1779">
        <v>5499.99</v>
      </c>
      <c r="G1779">
        <v>0.2</v>
      </c>
      <c r="H1779">
        <v>1099.998</v>
      </c>
      <c r="I1779">
        <f>order_items[[#This Row],[list_price]]-order_items[[#This Row],[Discounted_price]]</f>
        <v>4399.9920000000002</v>
      </c>
      <c r="J1779">
        <f>VLOOKUP(B1779, Products!$A$2:$E$100, 3, FALSE)</f>
        <v>5</v>
      </c>
      <c r="K1779">
        <f>VLOOKUP(B1779, Products!$A$2:$F$100, 4, FALSE)</f>
        <v>6</v>
      </c>
    </row>
    <row r="1780" spans="1:11" x14ac:dyDescent="0.3">
      <c r="A1780">
        <v>638</v>
      </c>
      <c r="B1780">
        <v>3</v>
      </c>
      <c r="C1780">
        <v>53</v>
      </c>
      <c r="D1780" t="str">
        <f>VLOOKUP(B1780, Products!$A$2:$C$100, 2, FALSE)</f>
        <v>Surly Wednesday Frameset - 2016</v>
      </c>
      <c r="E1780">
        <v>2</v>
      </c>
      <c r="F1780">
        <v>749.99</v>
      </c>
      <c r="G1780">
        <v>0.05</v>
      </c>
      <c r="H1780">
        <v>37.499500000000005</v>
      </c>
      <c r="I1780">
        <f>order_items[[#This Row],[list_price]]-order_items[[#This Row],[Discounted_price]]</f>
        <v>712.4905</v>
      </c>
      <c r="J1780">
        <f>VLOOKUP(B1780, Products!$A$2:$E$100, 3, FALSE)</f>
        <v>8</v>
      </c>
      <c r="K1780">
        <f>VLOOKUP(B1780, Products!$A$2:$F$100, 4, FALSE)</f>
        <v>6</v>
      </c>
    </row>
    <row r="1781" spans="1:11" x14ac:dyDescent="0.3">
      <c r="A1781">
        <v>639</v>
      </c>
      <c r="B1781">
        <v>1</v>
      </c>
      <c r="C1781">
        <v>15</v>
      </c>
      <c r="D1781" t="str">
        <f>VLOOKUP(B1781, Products!$A$2:$C$100, 2, FALSE)</f>
        <v>Trek 820 - 2016</v>
      </c>
      <c r="E1781">
        <v>1</v>
      </c>
      <c r="F1781">
        <v>529.99</v>
      </c>
      <c r="G1781">
        <v>7.0000000000000007E-2</v>
      </c>
      <c r="H1781">
        <v>37.099300000000007</v>
      </c>
      <c r="I1781">
        <f>order_items[[#This Row],[list_price]]-order_items[[#This Row],[Discounted_price]]</f>
        <v>492.89069999999998</v>
      </c>
      <c r="J1781">
        <f>VLOOKUP(B1781, Products!$A$2:$E$100, 3, FALSE)</f>
        <v>9</v>
      </c>
      <c r="K1781">
        <f>VLOOKUP(B1781, Products!$A$2:$F$100, 4, FALSE)</f>
        <v>6</v>
      </c>
    </row>
    <row r="1782" spans="1:11" x14ac:dyDescent="0.3">
      <c r="A1782">
        <v>639</v>
      </c>
      <c r="B1782">
        <v>2</v>
      </c>
      <c r="C1782">
        <v>73</v>
      </c>
      <c r="D1782" t="str">
        <f>VLOOKUP(B1782, Products!$A$2:$C$100, 2, FALSE)</f>
        <v>Ritchey Timberwolf Frameset - 2016</v>
      </c>
      <c r="E1782">
        <v>1</v>
      </c>
      <c r="F1782">
        <v>749.99</v>
      </c>
      <c r="G1782">
        <v>0.05</v>
      </c>
      <c r="H1782">
        <v>37.499500000000005</v>
      </c>
      <c r="I1782">
        <f>order_items[[#This Row],[list_price]]-order_items[[#This Row],[Discounted_price]]</f>
        <v>712.4905</v>
      </c>
      <c r="J1782">
        <f>VLOOKUP(B1782, Products!$A$2:$E$100, 3, FALSE)</f>
        <v>5</v>
      </c>
      <c r="K1782">
        <f>VLOOKUP(B1782, Products!$A$2:$F$100, 4, FALSE)</f>
        <v>6</v>
      </c>
    </row>
    <row r="1783" spans="1:11" x14ac:dyDescent="0.3">
      <c r="A1783">
        <v>639</v>
      </c>
      <c r="B1783">
        <v>3</v>
      </c>
      <c r="C1783">
        <v>72</v>
      </c>
      <c r="D1783" t="str">
        <f>VLOOKUP(B1783, Products!$A$2:$C$100, 2, FALSE)</f>
        <v>Surly Wednesday Frameset - 2016</v>
      </c>
      <c r="E1783">
        <v>1</v>
      </c>
      <c r="F1783">
        <v>619.99</v>
      </c>
      <c r="G1783">
        <v>0.05</v>
      </c>
      <c r="H1783">
        <v>30.999500000000001</v>
      </c>
      <c r="I1783">
        <f>order_items[[#This Row],[list_price]]-order_items[[#This Row],[Discounted_price]]</f>
        <v>588.9905</v>
      </c>
      <c r="J1783">
        <f>VLOOKUP(B1783, Products!$A$2:$E$100, 3, FALSE)</f>
        <v>8</v>
      </c>
      <c r="K1783">
        <f>VLOOKUP(B1783, Products!$A$2:$F$100, 4, FALSE)</f>
        <v>6</v>
      </c>
    </row>
    <row r="1784" spans="1:11" x14ac:dyDescent="0.3">
      <c r="A1784">
        <v>639</v>
      </c>
      <c r="B1784">
        <v>4</v>
      </c>
      <c r="C1784">
        <v>61</v>
      </c>
      <c r="D1784" t="str">
        <f>VLOOKUP(B1784, Products!$A$2:$C$100, 2, FALSE)</f>
        <v>Trek Fuel EX 8 29 - 2016</v>
      </c>
      <c r="E1784">
        <v>2</v>
      </c>
      <c r="F1784">
        <v>4999.99</v>
      </c>
      <c r="G1784">
        <v>0.1</v>
      </c>
      <c r="H1784">
        <v>499.99900000000002</v>
      </c>
      <c r="I1784">
        <f>order_items[[#This Row],[list_price]]-order_items[[#This Row],[Discounted_price]]</f>
        <v>4499.991</v>
      </c>
      <c r="J1784">
        <f>VLOOKUP(B1784, Products!$A$2:$E$100, 3, FALSE)</f>
        <v>9</v>
      </c>
      <c r="K1784">
        <f>VLOOKUP(B1784, Products!$A$2:$F$100, 4, FALSE)</f>
        <v>6</v>
      </c>
    </row>
    <row r="1785" spans="1:11" x14ac:dyDescent="0.3">
      <c r="A1785">
        <v>640</v>
      </c>
      <c r="B1785">
        <v>1</v>
      </c>
      <c r="C1785">
        <v>106</v>
      </c>
      <c r="D1785" t="str">
        <f>VLOOKUP(B1785, Products!$A$2:$C$100, 2, FALSE)</f>
        <v>Trek 820 - 2016</v>
      </c>
      <c r="E1785">
        <v>2</v>
      </c>
      <c r="F1785">
        <v>449.99</v>
      </c>
      <c r="G1785">
        <v>0.05</v>
      </c>
      <c r="H1785">
        <v>22.499500000000001</v>
      </c>
      <c r="I1785">
        <f>order_items[[#This Row],[list_price]]-order_items[[#This Row],[Discounted_price]]</f>
        <v>427.4905</v>
      </c>
      <c r="J1785">
        <f>VLOOKUP(B1785, Products!$A$2:$E$100, 3, FALSE)</f>
        <v>9</v>
      </c>
      <c r="K1785">
        <f>VLOOKUP(B1785, Products!$A$2:$F$100, 4, FALSE)</f>
        <v>6</v>
      </c>
    </row>
    <row r="1786" spans="1:11" x14ac:dyDescent="0.3">
      <c r="A1786">
        <v>640</v>
      </c>
      <c r="B1786">
        <v>2</v>
      </c>
      <c r="C1786">
        <v>32</v>
      </c>
      <c r="D1786" t="str">
        <f>VLOOKUP(B1786, Products!$A$2:$C$100, 2, FALSE)</f>
        <v>Ritchey Timberwolf Frameset - 2016</v>
      </c>
      <c r="E1786">
        <v>1</v>
      </c>
      <c r="F1786">
        <v>469.99</v>
      </c>
      <c r="G1786">
        <v>7.0000000000000007E-2</v>
      </c>
      <c r="H1786">
        <v>32.899300000000004</v>
      </c>
      <c r="I1786">
        <f>order_items[[#This Row],[list_price]]-order_items[[#This Row],[Discounted_price]]</f>
        <v>437.09070000000003</v>
      </c>
      <c r="J1786">
        <f>VLOOKUP(B1786, Products!$A$2:$E$100, 3, FALSE)</f>
        <v>5</v>
      </c>
      <c r="K1786">
        <f>VLOOKUP(B1786, Products!$A$2:$F$100, 4, FALSE)</f>
        <v>6</v>
      </c>
    </row>
    <row r="1787" spans="1:11" x14ac:dyDescent="0.3">
      <c r="A1787">
        <v>640</v>
      </c>
      <c r="B1787">
        <v>3</v>
      </c>
      <c r="C1787">
        <v>30</v>
      </c>
      <c r="D1787" t="str">
        <f>VLOOKUP(B1787, Products!$A$2:$C$100, 2, FALSE)</f>
        <v>Surly Wednesday Frameset - 2016</v>
      </c>
      <c r="E1787">
        <v>1</v>
      </c>
      <c r="F1787">
        <v>999.99</v>
      </c>
      <c r="G1787">
        <v>7.0000000000000007E-2</v>
      </c>
      <c r="H1787">
        <v>69.999300000000005</v>
      </c>
      <c r="I1787">
        <f>order_items[[#This Row],[list_price]]-order_items[[#This Row],[Discounted_price]]</f>
        <v>929.99070000000006</v>
      </c>
      <c r="J1787">
        <f>VLOOKUP(B1787, Products!$A$2:$E$100, 3, FALSE)</f>
        <v>8</v>
      </c>
      <c r="K1787">
        <f>VLOOKUP(B1787, Products!$A$2:$F$100, 4, FALSE)</f>
        <v>6</v>
      </c>
    </row>
    <row r="1788" spans="1:11" x14ac:dyDescent="0.3">
      <c r="A1788">
        <v>640</v>
      </c>
      <c r="B1788">
        <v>4</v>
      </c>
      <c r="C1788">
        <v>76</v>
      </c>
      <c r="D1788" t="str">
        <f>VLOOKUP(B1788, Products!$A$2:$C$100, 2, FALSE)</f>
        <v>Trek Fuel EX 8 29 - 2016</v>
      </c>
      <c r="E1788">
        <v>2</v>
      </c>
      <c r="F1788">
        <v>299.99</v>
      </c>
      <c r="G1788">
        <v>7.0000000000000007E-2</v>
      </c>
      <c r="H1788">
        <v>20.999300000000002</v>
      </c>
      <c r="I1788">
        <f>order_items[[#This Row],[list_price]]-order_items[[#This Row],[Discounted_price]]</f>
        <v>278.9907</v>
      </c>
      <c r="J1788">
        <f>VLOOKUP(B1788, Products!$A$2:$E$100, 3, FALSE)</f>
        <v>9</v>
      </c>
      <c r="K1788">
        <f>VLOOKUP(B1788, Products!$A$2:$F$100, 4, FALSE)</f>
        <v>6</v>
      </c>
    </row>
    <row r="1789" spans="1:11" x14ac:dyDescent="0.3">
      <c r="A1789">
        <v>640</v>
      </c>
      <c r="B1789">
        <v>5</v>
      </c>
      <c r="C1789">
        <v>109</v>
      </c>
      <c r="D1789" t="str">
        <f>VLOOKUP(B1789, Products!$A$2:$C$100, 2, FALSE)</f>
        <v>Heller Shagamaw Frame - 2016</v>
      </c>
      <c r="E1789">
        <v>2</v>
      </c>
      <c r="F1789">
        <v>416.99</v>
      </c>
      <c r="G1789">
        <v>0.2</v>
      </c>
      <c r="H1789">
        <v>83.39800000000001</v>
      </c>
      <c r="I1789">
        <f>order_items[[#This Row],[list_price]]-order_items[[#This Row],[Discounted_price]]</f>
        <v>333.59199999999998</v>
      </c>
      <c r="J1789">
        <f>VLOOKUP(B1789, Products!$A$2:$E$100, 3, FALSE)</f>
        <v>3</v>
      </c>
      <c r="K1789">
        <f>VLOOKUP(B1789, Products!$A$2:$F$100, 4, FALSE)</f>
        <v>6</v>
      </c>
    </row>
    <row r="1790" spans="1:11" x14ac:dyDescent="0.3">
      <c r="A1790">
        <v>641</v>
      </c>
      <c r="B1790">
        <v>1</v>
      </c>
      <c r="C1790">
        <v>15</v>
      </c>
      <c r="D1790" t="str">
        <f>VLOOKUP(B1790, Products!$A$2:$C$100, 2, FALSE)</f>
        <v>Trek 820 - 2016</v>
      </c>
      <c r="E1790">
        <v>1</v>
      </c>
      <c r="F1790">
        <v>529.99</v>
      </c>
      <c r="G1790">
        <v>0.05</v>
      </c>
      <c r="H1790">
        <v>26.499500000000001</v>
      </c>
      <c r="I1790">
        <f>order_items[[#This Row],[list_price]]-order_items[[#This Row],[Discounted_price]]</f>
        <v>503.4905</v>
      </c>
      <c r="J1790">
        <f>VLOOKUP(B1790, Products!$A$2:$E$100, 3, FALSE)</f>
        <v>9</v>
      </c>
      <c r="K1790">
        <f>VLOOKUP(B1790, Products!$A$2:$F$100, 4, FALSE)</f>
        <v>6</v>
      </c>
    </row>
    <row r="1791" spans="1:11" x14ac:dyDescent="0.3">
      <c r="A1791">
        <v>641</v>
      </c>
      <c r="B1791">
        <v>2</v>
      </c>
      <c r="C1791">
        <v>62</v>
      </c>
      <c r="D1791" t="str">
        <f>VLOOKUP(B1791, Products!$A$2:$C$100, 2, FALSE)</f>
        <v>Ritchey Timberwolf Frameset - 2016</v>
      </c>
      <c r="E1791">
        <v>1</v>
      </c>
      <c r="F1791">
        <v>3499.99</v>
      </c>
      <c r="G1791">
        <v>0.2</v>
      </c>
      <c r="H1791">
        <v>699.99800000000005</v>
      </c>
      <c r="I1791">
        <f>order_items[[#This Row],[list_price]]-order_items[[#This Row],[Discounted_price]]</f>
        <v>2799.9919999999997</v>
      </c>
      <c r="J1791">
        <f>VLOOKUP(B1791, Products!$A$2:$E$100, 3, FALSE)</f>
        <v>5</v>
      </c>
      <c r="K1791">
        <f>VLOOKUP(B1791, Products!$A$2:$F$100, 4, FALSE)</f>
        <v>6</v>
      </c>
    </row>
    <row r="1792" spans="1:11" x14ac:dyDescent="0.3">
      <c r="A1792">
        <v>641</v>
      </c>
      <c r="B1792">
        <v>3</v>
      </c>
      <c r="C1792">
        <v>64</v>
      </c>
      <c r="D1792" t="str">
        <f>VLOOKUP(B1792, Products!$A$2:$C$100, 2, FALSE)</f>
        <v>Surly Wednesday Frameset - 2016</v>
      </c>
      <c r="E1792">
        <v>1</v>
      </c>
      <c r="F1792">
        <v>489.99</v>
      </c>
      <c r="G1792">
        <v>0.2</v>
      </c>
      <c r="H1792">
        <v>97.998000000000005</v>
      </c>
      <c r="I1792">
        <f>order_items[[#This Row],[list_price]]-order_items[[#This Row],[Discounted_price]]</f>
        <v>391.99200000000002</v>
      </c>
      <c r="J1792">
        <f>VLOOKUP(B1792, Products!$A$2:$E$100, 3, FALSE)</f>
        <v>8</v>
      </c>
      <c r="K1792">
        <f>VLOOKUP(B1792, Products!$A$2:$F$100, 4, FALSE)</f>
        <v>6</v>
      </c>
    </row>
    <row r="1793" spans="1:11" x14ac:dyDescent="0.3">
      <c r="A1793">
        <v>642</v>
      </c>
      <c r="B1793">
        <v>1</v>
      </c>
      <c r="C1793">
        <v>68</v>
      </c>
      <c r="D1793" t="str">
        <f>VLOOKUP(B1793, Products!$A$2:$C$100, 2, FALSE)</f>
        <v>Trek 820 - 2016</v>
      </c>
      <c r="E1793">
        <v>2</v>
      </c>
      <c r="F1793">
        <v>449.99</v>
      </c>
      <c r="G1793">
        <v>7.0000000000000007E-2</v>
      </c>
      <c r="H1793">
        <v>31.499300000000005</v>
      </c>
      <c r="I1793">
        <f>order_items[[#This Row],[list_price]]-order_items[[#This Row],[Discounted_price]]</f>
        <v>418.4907</v>
      </c>
      <c r="J1793">
        <f>VLOOKUP(B1793, Products!$A$2:$E$100, 3, FALSE)</f>
        <v>9</v>
      </c>
      <c r="K1793">
        <f>VLOOKUP(B1793, Products!$A$2:$F$100, 4, FALSE)</f>
        <v>6</v>
      </c>
    </row>
    <row r="1794" spans="1:11" x14ac:dyDescent="0.3">
      <c r="A1794">
        <v>643</v>
      </c>
      <c r="B1794">
        <v>1</v>
      </c>
      <c r="C1794">
        <v>53</v>
      </c>
      <c r="D1794" t="str">
        <f>VLOOKUP(B1794, Products!$A$2:$C$100, 2, FALSE)</f>
        <v>Trek 820 - 2016</v>
      </c>
      <c r="E1794">
        <v>1</v>
      </c>
      <c r="F1794">
        <v>749.99</v>
      </c>
      <c r="G1794">
        <v>0.05</v>
      </c>
      <c r="H1794">
        <v>37.499500000000005</v>
      </c>
      <c r="I1794">
        <f>order_items[[#This Row],[list_price]]-order_items[[#This Row],[Discounted_price]]</f>
        <v>712.4905</v>
      </c>
      <c r="J1794">
        <f>VLOOKUP(B1794, Products!$A$2:$E$100, 3, FALSE)</f>
        <v>9</v>
      </c>
      <c r="K1794">
        <f>VLOOKUP(B1794, Products!$A$2:$F$100, 4, FALSE)</f>
        <v>6</v>
      </c>
    </row>
    <row r="1795" spans="1:11" x14ac:dyDescent="0.3">
      <c r="A1795">
        <v>644</v>
      </c>
      <c r="B1795">
        <v>1</v>
      </c>
      <c r="C1795">
        <v>9</v>
      </c>
      <c r="D1795" t="str">
        <f>VLOOKUP(B1795, Products!$A$2:$C$100, 2, FALSE)</f>
        <v>Trek 820 - 2016</v>
      </c>
      <c r="E1795">
        <v>1</v>
      </c>
      <c r="F1795">
        <v>2999.99</v>
      </c>
      <c r="G1795">
        <v>7.0000000000000007E-2</v>
      </c>
      <c r="H1795">
        <v>209.99930000000001</v>
      </c>
      <c r="I1795">
        <f>order_items[[#This Row],[list_price]]-order_items[[#This Row],[Discounted_price]]</f>
        <v>2789.9906999999998</v>
      </c>
      <c r="J1795">
        <f>VLOOKUP(B1795, Products!$A$2:$E$100, 3, FALSE)</f>
        <v>9</v>
      </c>
      <c r="K1795">
        <f>VLOOKUP(B1795, Products!$A$2:$F$100, 4, FALSE)</f>
        <v>6</v>
      </c>
    </row>
    <row r="1796" spans="1:11" x14ac:dyDescent="0.3">
      <c r="A1796">
        <v>645</v>
      </c>
      <c r="B1796">
        <v>1</v>
      </c>
      <c r="C1796">
        <v>99</v>
      </c>
      <c r="D1796" t="str">
        <f>VLOOKUP(B1796, Products!$A$2:$C$100, 2, FALSE)</f>
        <v>Trek 820 - 2016</v>
      </c>
      <c r="E1796">
        <v>1</v>
      </c>
      <c r="F1796">
        <v>299.99</v>
      </c>
      <c r="G1796">
        <v>7.0000000000000007E-2</v>
      </c>
      <c r="H1796">
        <v>20.999300000000002</v>
      </c>
      <c r="I1796">
        <f>order_items[[#This Row],[list_price]]-order_items[[#This Row],[Discounted_price]]</f>
        <v>278.9907</v>
      </c>
      <c r="J1796">
        <f>VLOOKUP(B1796, Products!$A$2:$E$100, 3, FALSE)</f>
        <v>9</v>
      </c>
      <c r="K1796">
        <f>VLOOKUP(B1796, Products!$A$2:$F$100, 4, FALSE)</f>
        <v>6</v>
      </c>
    </row>
    <row r="1797" spans="1:11" x14ac:dyDescent="0.3">
      <c r="A1797">
        <v>645</v>
      </c>
      <c r="B1797">
        <v>2</v>
      </c>
      <c r="C1797">
        <v>42</v>
      </c>
      <c r="D1797" t="str">
        <f>VLOOKUP(B1797, Products!$A$2:$C$100, 2, FALSE)</f>
        <v>Ritchey Timberwolf Frameset - 2016</v>
      </c>
      <c r="E1797">
        <v>2</v>
      </c>
      <c r="F1797">
        <v>2299.9899999999998</v>
      </c>
      <c r="G1797">
        <v>0.05</v>
      </c>
      <c r="H1797">
        <v>114.9995</v>
      </c>
      <c r="I1797">
        <f>order_items[[#This Row],[list_price]]-order_items[[#This Row],[Discounted_price]]</f>
        <v>2184.9904999999999</v>
      </c>
      <c r="J1797">
        <f>VLOOKUP(B1797, Products!$A$2:$E$100, 3, FALSE)</f>
        <v>5</v>
      </c>
      <c r="K1797">
        <f>VLOOKUP(B1797, Products!$A$2:$F$100, 4, FALSE)</f>
        <v>6</v>
      </c>
    </row>
    <row r="1798" spans="1:11" x14ac:dyDescent="0.3">
      <c r="A1798">
        <v>645</v>
      </c>
      <c r="B1798">
        <v>3</v>
      </c>
      <c r="C1798">
        <v>6</v>
      </c>
      <c r="D1798" t="str">
        <f>VLOOKUP(B1798, Products!$A$2:$C$100, 2, FALSE)</f>
        <v>Surly Wednesday Frameset - 2016</v>
      </c>
      <c r="E1798">
        <v>1</v>
      </c>
      <c r="F1798">
        <v>469.99</v>
      </c>
      <c r="G1798">
        <v>0.05</v>
      </c>
      <c r="H1798">
        <v>23.499500000000001</v>
      </c>
      <c r="I1798">
        <f>order_items[[#This Row],[list_price]]-order_items[[#This Row],[Discounted_price]]</f>
        <v>446.4905</v>
      </c>
      <c r="J1798">
        <f>VLOOKUP(B1798, Products!$A$2:$E$100, 3, FALSE)</f>
        <v>8</v>
      </c>
      <c r="K1798">
        <f>VLOOKUP(B1798, Products!$A$2:$F$100, 4, FALSE)</f>
        <v>6</v>
      </c>
    </row>
    <row r="1799" spans="1:11" x14ac:dyDescent="0.3">
      <c r="A1799">
        <v>645</v>
      </c>
      <c r="B1799">
        <v>4</v>
      </c>
      <c r="C1799">
        <v>47</v>
      </c>
      <c r="D1799" t="str">
        <f>VLOOKUP(B1799, Products!$A$2:$C$100, 2, FALSE)</f>
        <v>Trek Fuel EX 8 29 - 2016</v>
      </c>
      <c r="E1799">
        <v>2</v>
      </c>
      <c r="F1799">
        <v>5299.99</v>
      </c>
      <c r="G1799">
        <v>7.0000000000000007E-2</v>
      </c>
      <c r="H1799">
        <v>370.99930000000001</v>
      </c>
      <c r="I1799">
        <f>order_items[[#This Row],[list_price]]-order_items[[#This Row],[Discounted_price]]</f>
        <v>4928.9906999999994</v>
      </c>
      <c r="J1799">
        <f>VLOOKUP(B1799, Products!$A$2:$E$100, 3, FALSE)</f>
        <v>9</v>
      </c>
      <c r="K1799">
        <f>VLOOKUP(B1799, Products!$A$2:$F$100, 4, FALSE)</f>
        <v>6</v>
      </c>
    </row>
    <row r="1800" spans="1:11" x14ac:dyDescent="0.3">
      <c r="A1800">
        <v>645</v>
      </c>
      <c r="B1800">
        <v>5</v>
      </c>
      <c r="C1800">
        <v>21</v>
      </c>
      <c r="D1800" t="str">
        <f>VLOOKUP(B1800, Products!$A$2:$C$100, 2, FALSE)</f>
        <v>Heller Shagamaw Frame - 2016</v>
      </c>
      <c r="E1800">
        <v>2</v>
      </c>
      <c r="F1800">
        <v>269.99</v>
      </c>
      <c r="G1800">
        <v>7.0000000000000007E-2</v>
      </c>
      <c r="H1800">
        <v>18.899300000000004</v>
      </c>
      <c r="I1800">
        <f>order_items[[#This Row],[list_price]]-order_items[[#This Row],[Discounted_price]]</f>
        <v>251.0907</v>
      </c>
      <c r="J1800">
        <f>VLOOKUP(B1800, Products!$A$2:$E$100, 3, FALSE)</f>
        <v>3</v>
      </c>
      <c r="K1800">
        <f>VLOOKUP(B1800, Products!$A$2:$F$100, 4, FALSE)</f>
        <v>6</v>
      </c>
    </row>
    <row r="1801" spans="1:11" x14ac:dyDescent="0.3">
      <c r="A1801">
        <v>646</v>
      </c>
      <c r="B1801">
        <v>1</v>
      </c>
      <c r="C1801">
        <v>15</v>
      </c>
      <c r="D1801" t="str">
        <f>VLOOKUP(B1801, Products!$A$2:$C$100, 2, FALSE)</f>
        <v>Trek 820 - 2016</v>
      </c>
      <c r="E1801">
        <v>2</v>
      </c>
      <c r="F1801">
        <v>529.99</v>
      </c>
      <c r="G1801">
        <v>0.2</v>
      </c>
      <c r="H1801">
        <v>105.998</v>
      </c>
      <c r="I1801">
        <f>order_items[[#This Row],[list_price]]-order_items[[#This Row],[Discounted_price]]</f>
        <v>423.99200000000002</v>
      </c>
      <c r="J1801">
        <f>VLOOKUP(B1801, Products!$A$2:$E$100, 3, FALSE)</f>
        <v>9</v>
      </c>
      <c r="K1801">
        <f>VLOOKUP(B1801, Products!$A$2:$F$100, 4, FALSE)</f>
        <v>6</v>
      </c>
    </row>
    <row r="1802" spans="1:11" x14ac:dyDescent="0.3">
      <c r="A1802">
        <v>646</v>
      </c>
      <c r="B1802">
        <v>2</v>
      </c>
      <c r="C1802">
        <v>4</v>
      </c>
      <c r="D1802" t="str">
        <f>VLOOKUP(B1802, Products!$A$2:$C$100, 2, FALSE)</f>
        <v>Ritchey Timberwolf Frameset - 2016</v>
      </c>
      <c r="E1802">
        <v>1</v>
      </c>
      <c r="F1802">
        <v>2899.99</v>
      </c>
      <c r="G1802">
        <v>7.0000000000000007E-2</v>
      </c>
      <c r="H1802">
        <v>202.99930000000001</v>
      </c>
      <c r="I1802">
        <f>order_items[[#This Row],[list_price]]-order_items[[#This Row],[Discounted_price]]</f>
        <v>2696.9906999999998</v>
      </c>
      <c r="J1802">
        <f>VLOOKUP(B1802, Products!$A$2:$E$100, 3, FALSE)</f>
        <v>5</v>
      </c>
      <c r="K1802">
        <f>VLOOKUP(B1802, Products!$A$2:$F$100, 4, FALSE)</f>
        <v>6</v>
      </c>
    </row>
    <row r="1803" spans="1:11" x14ac:dyDescent="0.3">
      <c r="A1803">
        <v>646</v>
      </c>
      <c r="B1803">
        <v>3</v>
      </c>
      <c r="C1803">
        <v>95</v>
      </c>
      <c r="D1803" t="str">
        <f>VLOOKUP(B1803, Products!$A$2:$C$100, 2, FALSE)</f>
        <v>Surly Wednesday Frameset - 2016</v>
      </c>
      <c r="E1803">
        <v>1</v>
      </c>
      <c r="F1803">
        <v>299.99</v>
      </c>
      <c r="G1803">
        <v>0.05</v>
      </c>
      <c r="H1803">
        <v>14.999500000000001</v>
      </c>
      <c r="I1803">
        <f>order_items[[#This Row],[list_price]]-order_items[[#This Row],[Discounted_price]]</f>
        <v>284.9905</v>
      </c>
      <c r="J1803">
        <f>VLOOKUP(B1803, Products!$A$2:$E$100, 3, FALSE)</f>
        <v>8</v>
      </c>
      <c r="K1803">
        <f>VLOOKUP(B1803, Products!$A$2:$F$100, 4, FALSE)</f>
        <v>6</v>
      </c>
    </row>
    <row r="1804" spans="1:11" x14ac:dyDescent="0.3">
      <c r="A1804">
        <v>646</v>
      </c>
      <c r="B1804">
        <v>4</v>
      </c>
      <c r="C1804">
        <v>12</v>
      </c>
      <c r="D1804" t="str">
        <f>VLOOKUP(B1804, Products!$A$2:$C$100, 2, FALSE)</f>
        <v>Trek Fuel EX 8 29 - 2016</v>
      </c>
      <c r="E1804">
        <v>1</v>
      </c>
      <c r="F1804">
        <v>549.99</v>
      </c>
      <c r="G1804">
        <v>0.2</v>
      </c>
      <c r="H1804">
        <v>109.998</v>
      </c>
      <c r="I1804">
        <f>order_items[[#This Row],[list_price]]-order_items[[#This Row],[Discounted_price]]</f>
        <v>439.99200000000002</v>
      </c>
      <c r="J1804">
        <f>VLOOKUP(B1804, Products!$A$2:$E$100, 3, FALSE)</f>
        <v>9</v>
      </c>
      <c r="K1804">
        <f>VLOOKUP(B1804, Products!$A$2:$F$100, 4, FALSE)</f>
        <v>6</v>
      </c>
    </row>
    <row r="1805" spans="1:11" x14ac:dyDescent="0.3">
      <c r="A1805">
        <v>647</v>
      </c>
      <c r="B1805">
        <v>1</v>
      </c>
      <c r="C1805">
        <v>25</v>
      </c>
      <c r="D1805" t="str">
        <f>VLOOKUP(B1805, Products!$A$2:$C$100, 2, FALSE)</f>
        <v>Trek 820 - 2016</v>
      </c>
      <c r="E1805">
        <v>2</v>
      </c>
      <c r="F1805">
        <v>499.99</v>
      </c>
      <c r="G1805">
        <v>7.0000000000000007E-2</v>
      </c>
      <c r="H1805">
        <v>34.999300000000005</v>
      </c>
      <c r="I1805">
        <f>order_items[[#This Row],[list_price]]-order_items[[#This Row],[Discounted_price]]</f>
        <v>464.9907</v>
      </c>
      <c r="J1805">
        <f>VLOOKUP(B1805, Products!$A$2:$E$100, 3, FALSE)</f>
        <v>9</v>
      </c>
      <c r="K1805">
        <f>VLOOKUP(B1805, Products!$A$2:$F$100, 4, FALSE)</f>
        <v>6</v>
      </c>
    </row>
    <row r="1806" spans="1:11" x14ac:dyDescent="0.3">
      <c r="A1806">
        <v>647</v>
      </c>
      <c r="B1806">
        <v>2</v>
      </c>
      <c r="C1806">
        <v>13</v>
      </c>
      <c r="D1806" t="str">
        <f>VLOOKUP(B1806, Products!$A$2:$C$100, 2, FALSE)</f>
        <v>Ritchey Timberwolf Frameset - 2016</v>
      </c>
      <c r="E1806">
        <v>1</v>
      </c>
      <c r="F1806">
        <v>269.99</v>
      </c>
      <c r="G1806">
        <v>0.1</v>
      </c>
      <c r="H1806">
        <v>26.999000000000002</v>
      </c>
      <c r="I1806">
        <f>order_items[[#This Row],[list_price]]-order_items[[#This Row],[Discounted_price]]</f>
        <v>242.99100000000001</v>
      </c>
      <c r="J1806">
        <f>VLOOKUP(B1806, Products!$A$2:$E$100, 3, FALSE)</f>
        <v>5</v>
      </c>
      <c r="K1806">
        <f>VLOOKUP(B1806, Products!$A$2:$F$100, 4, FALSE)</f>
        <v>6</v>
      </c>
    </row>
    <row r="1807" spans="1:11" x14ac:dyDescent="0.3">
      <c r="A1807">
        <v>648</v>
      </c>
      <c r="B1807">
        <v>1</v>
      </c>
      <c r="C1807">
        <v>24</v>
      </c>
      <c r="D1807" t="str">
        <f>VLOOKUP(B1807, Products!$A$2:$C$100, 2, FALSE)</f>
        <v>Trek 820 - 2016</v>
      </c>
      <c r="E1807">
        <v>1</v>
      </c>
      <c r="F1807">
        <v>549.99</v>
      </c>
      <c r="G1807">
        <v>7.0000000000000007E-2</v>
      </c>
      <c r="H1807">
        <v>38.499300000000005</v>
      </c>
      <c r="I1807">
        <f>order_items[[#This Row],[list_price]]-order_items[[#This Row],[Discounted_price]]</f>
        <v>511.4907</v>
      </c>
      <c r="J1807">
        <f>VLOOKUP(B1807, Products!$A$2:$E$100, 3, FALSE)</f>
        <v>9</v>
      </c>
      <c r="K1807">
        <f>VLOOKUP(B1807, Products!$A$2:$F$100, 4, FALSE)</f>
        <v>6</v>
      </c>
    </row>
    <row r="1808" spans="1:11" x14ac:dyDescent="0.3">
      <c r="A1808">
        <v>649</v>
      </c>
      <c r="B1808">
        <v>1</v>
      </c>
      <c r="C1808">
        <v>97</v>
      </c>
      <c r="D1808" t="str">
        <f>VLOOKUP(B1808, Products!$A$2:$C$100, 2, FALSE)</f>
        <v>Trek 820 - 2016</v>
      </c>
      <c r="E1808">
        <v>2</v>
      </c>
      <c r="F1808">
        <v>349.99</v>
      </c>
      <c r="G1808">
        <v>0.1</v>
      </c>
      <c r="H1808">
        <v>34.999000000000002</v>
      </c>
      <c r="I1808">
        <f>order_items[[#This Row],[list_price]]-order_items[[#This Row],[Discounted_price]]</f>
        <v>314.99099999999999</v>
      </c>
      <c r="J1808">
        <f>VLOOKUP(B1808, Products!$A$2:$E$100, 3, FALSE)</f>
        <v>9</v>
      </c>
      <c r="K1808">
        <f>VLOOKUP(B1808, Products!$A$2:$F$100, 4, FALSE)</f>
        <v>6</v>
      </c>
    </row>
    <row r="1809" spans="1:11" x14ac:dyDescent="0.3">
      <c r="A1809">
        <v>649</v>
      </c>
      <c r="B1809">
        <v>2</v>
      </c>
      <c r="C1809">
        <v>90</v>
      </c>
      <c r="D1809" t="str">
        <f>VLOOKUP(B1809, Products!$A$2:$C$100, 2, FALSE)</f>
        <v>Ritchey Timberwolf Frameset - 2016</v>
      </c>
      <c r="E1809">
        <v>1</v>
      </c>
      <c r="F1809">
        <v>209.99</v>
      </c>
      <c r="G1809">
        <v>7.0000000000000007E-2</v>
      </c>
      <c r="H1809">
        <v>14.699300000000003</v>
      </c>
      <c r="I1809">
        <f>order_items[[#This Row],[list_price]]-order_items[[#This Row],[Discounted_price]]</f>
        <v>195.29070000000002</v>
      </c>
      <c r="J1809">
        <f>VLOOKUP(B1809, Products!$A$2:$E$100, 3, FALSE)</f>
        <v>5</v>
      </c>
      <c r="K1809">
        <f>VLOOKUP(B1809, Products!$A$2:$F$100, 4, FALSE)</f>
        <v>6</v>
      </c>
    </row>
    <row r="1810" spans="1:11" x14ac:dyDescent="0.3">
      <c r="A1810">
        <v>649</v>
      </c>
      <c r="B1810">
        <v>3</v>
      </c>
      <c r="C1810">
        <v>11</v>
      </c>
      <c r="D1810" t="str">
        <f>VLOOKUP(B1810, Products!$A$2:$C$100, 2, FALSE)</f>
        <v>Surly Wednesday Frameset - 2016</v>
      </c>
      <c r="E1810">
        <v>2</v>
      </c>
      <c r="F1810">
        <v>1680.99</v>
      </c>
      <c r="G1810">
        <v>0.1</v>
      </c>
      <c r="H1810">
        <v>168.09900000000002</v>
      </c>
      <c r="I1810">
        <f>order_items[[#This Row],[list_price]]-order_items[[#This Row],[Discounted_price]]</f>
        <v>1512.8910000000001</v>
      </c>
      <c r="J1810">
        <f>VLOOKUP(B1810, Products!$A$2:$E$100, 3, FALSE)</f>
        <v>8</v>
      </c>
      <c r="K1810">
        <f>VLOOKUP(B1810, Products!$A$2:$F$100, 4, FALSE)</f>
        <v>6</v>
      </c>
    </row>
    <row r="1811" spans="1:11" x14ac:dyDescent="0.3">
      <c r="A1811">
        <v>649</v>
      </c>
      <c r="B1811">
        <v>4</v>
      </c>
      <c r="C1811">
        <v>78</v>
      </c>
      <c r="D1811" t="str">
        <f>VLOOKUP(B1811, Products!$A$2:$C$100, 2, FALSE)</f>
        <v>Trek Fuel EX 8 29 - 2016</v>
      </c>
      <c r="E1811">
        <v>1</v>
      </c>
      <c r="F1811">
        <v>647.99</v>
      </c>
      <c r="G1811">
        <v>0.05</v>
      </c>
      <c r="H1811">
        <v>32.399500000000003</v>
      </c>
      <c r="I1811">
        <f>order_items[[#This Row],[list_price]]-order_items[[#This Row],[Discounted_price]]</f>
        <v>615.59050000000002</v>
      </c>
      <c r="J1811">
        <f>VLOOKUP(B1811, Products!$A$2:$E$100, 3, FALSE)</f>
        <v>9</v>
      </c>
      <c r="K1811">
        <f>VLOOKUP(B1811, Products!$A$2:$F$100, 4, FALSE)</f>
        <v>6</v>
      </c>
    </row>
    <row r="1812" spans="1:11" x14ac:dyDescent="0.3">
      <c r="A1812">
        <v>650</v>
      </c>
      <c r="B1812">
        <v>1</v>
      </c>
      <c r="C1812">
        <v>3</v>
      </c>
      <c r="D1812" t="str">
        <f>VLOOKUP(B1812, Products!$A$2:$C$100, 2, FALSE)</f>
        <v>Trek 820 - 2016</v>
      </c>
      <c r="E1812">
        <v>1</v>
      </c>
      <c r="F1812">
        <v>999.99</v>
      </c>
      <c r="G1812">
        <v>0.2</v>
      </c>
      <c r="H1812">
        <v>199.99800000000002</v>
      </c>
      <c r="I1812">
        <f>order_items[[#This Row],[list_price]]-order_items[[#This Row],[Discounted_price]]</f>
        <v>799.99199999999996</v>
      </c>
      <c r="J1812">
        <f>VLOOKUP(B1812, Products!$A$2:$E$100, 3, FALSE)</f>
        <v>9</v>
      </c>
      <c r="K1812">
        <f>VLOOKUP(B1812, Products!$A$2:$F$100, 4, FALSE)</f>
        <v>6</v>
      </c>
    </row>
    <row r="1813" spans="1:11" x14ac:dyDescent="0.3">
      <c r="A1813">
        <v>651</v>
      </c>
      <c r="B1813">
        <v>1</v>
      </c>
      <c r="C1813">
        <v>79</v>
      </c>
      <c r="D1813" t="str">
        <f>VLOOKUP(B1813, Products!$A$2:$C$100, 2, FALSE)</f>
        <v>Trek 820 - 2016</v>
      </c>
      <c r="E1813">
        <v>1</v>
      </c>
      <c r="F1813">
        <v>402.99</v>
      </c>
      <c r="G1813">
        <v>0.1</v>
      </c>
      <c r="H1813">
        <v>40.299000000000007</v>
      </c>
      <c r="I1813">
        <f>order_items[[#This Row],[list_price]]-order_items[[#This Row],[Discounted_price]]</f>
        <v>362.69100000000003</v>
      </c>
      <c r="J1813">
        <f>VLOOKUP(B1813, Products!$A$2:$E$100, 3, FALSE)</f>
        <v>9</v>
      </c>
      <c r="K1813">
        <f>VLOOKUP(B1813, Products!$A$2:$F$100, 4, FALSE)</f>
        <v>6</v>
      </c>
    </row>
    <row r="1814" spans="1:11" x14ac:dyDescent="0.3">
      <c r="A1814">
        <v>651</v>
      </c>
      <c r="B1814">
        <v>2</v>
      </c>
      <c r="C1814">
        <v>85</v>
      </c>
      <c r="D1814" t="str">
        <f>VLOOKUP(B1814, Products!$A$2:$C$100, 2, FALSE)</f>
        <v>Ritchey Timberwolf Frameset - 2016</v>
      </c>
      <c r="E1814">
        <v>1</v>
      </c>
      <c r="F1814">
        <v>329.99</v>
      </c>
      <c r="G1814">
        <v>0.05</v>
      </c>
      <c r="H1814">
        <v>16.499500000000001</v>
      </c>
      <c r="I1814">
        <f>order_items[[#This Row],[list_price]]-order_items[[#This Row],[Discounted_price]]</f>
        <v>313.4905</v>
      </c>
      <c r="J1814">
        <f>VLOOKUP(B1814, Products!$A$2:$E$100, 3, FALSE)</f>
        <v>5</v>
      </c>
      <c r="K1814">
        <f>VLOOKUP(B1814, Products!$A$2:$F$100, 4, FALSE)</f>
        <v>6</v>
      </c>
    </row>
    <row r="1815" spans="1:11" x14ac:dyDescent="0.3">
      <c r="A1815">
        <v>651</v>
      </c>
      <c r="B1815">
        <v>3</v>
      </c>
      <c r="C1815">
        <v>102</v>
      </c>
      <c r="D1815" t="str">
        <f>VLOOKUP(B1815, Products!$A$2:$C$100, 2, FALSE)</f>
        <v>Surly Wednesday Frameset - 2016</v>
      </c>
      <c r="E1815">
        <v>2</v>
      </c>
      <c r="F1815">
        <v>489.99</v>
      </c>
      <c r="G1815">
        <v>0.05</v>
      </c>
      <c r="H1815">
        <v>24.499500000000001</v>
      </c>
      <c r="I1815">
        <f>order_items[[#This Row],[list_price]]-order_items[[#This Row],[Discounted_price]]</f>
        <v>465.4905</v>
      </c>
      <c r="J1815">
        <f>VLOOKUP(B1815, Products!$A$2:$E$100, 3, FALSE)</f>
        <v>8</v>
      </c>
      <c r="K1815">
        <f>VLOOKUP(B1815, Products!$A$2:$F$100, 4, FALSE)</f>
        <v>6</v>
      </c>
    </row>
    <row r="1816" spans="1:11" x14ac:dyDescent="0.3">
      <c r="A1816">
        <v>651</v>
      </c>
      <c r="B1816">
        <v>4</v>
      </c>
      <c r="C1816">
        <v>94</v>
      </c>
      <c r="D1816" t="str">
        <f>VLOOKUP(B1816, Products!$A$2:$C$100, 2, FALSE)</f>
        <v>Trek Fuel EX 8 29 - 2016</v>
      </c>
      <c r="E1816">
        <v>2</v>
      </c>
      <c r="F1816">
        <v>249.99</v>
      </c>
      <c r="G1816">
        <v>0.05</v>
      </c>
      <c r="H1816">
        <v>12.499500000000001</v>
      </c>
      <c r="I1816">
        <f>order_items[[#This Row],[list_price]]-order_items[[#This Row],[Discounted_price]]</f>
        <v>237.4905</v>
      </c>
      <c r="J1816">
        <f>VLOOKUP(B1816, Products!$A$2:$E$100, 3, FALSE)</f>
        <v>9</v>
      </c>
      <c r="K1816">
        <f>VLOOKUP(B1816, Products!$A$2:$F$100, 4, FALSE)</f>
        <v>6</v>
      </c>
    </row>
    <row r="1817" spans="1:11" x14ac:dyDescent="0.3">
      <c r="A1817">
        <v>652</v>
      </c>
      <c r="B1817">
        <v>1</v>
      </c>
      <c r="C1817">
        <v>102</v>
      </c>
      <c r="D1817" t="str">
        <f>VLOOKUP(B1817, Products!$A$2:$C$100, 2, FALSE)</f>
        <v>Trek 820 - 2016</v>
      </c>
      <c r="E1817">
        <v>1</v>
      </c>
      <c r="F1817">
        <v>489.99</v>
      </c>
      <c r="G1817">
        <v>0.1</v>
      </c>
      <c r="H1817">
        <v>48.999000000000002</v>
      </c>
      <c r="I1817">
        <f>order_items[[#This Row],[list_price]]-order_items[[#This Row],[Discounted_price]]</f>
        <v>440.99099999999999</v>
      </c>
      <c r="J1817">
        <f>VLOOKUP(B1817, Products!$A$2:$E$100, 3, FALSE)</f>
        <v>9</v>
      </c>
      <c r="K1817">
        <f>VLOOKUP(B1817, Products!$A$2:$F$100, 4, FALSE)</f>
        <v>6</v>
      </c>
    </row>
    <row r="1818" spans="1:11" x14ac:dyDescent="0.3">
      <c r="A1818">
        <v>652</v>
      </c>
      <c r="B1818">
        <v>2</v>
      </c>
      <c r="C1818">
        <v>62</v>
      </c>
      <c r="D1818" t="str">
        <f>VLOOKUP(B1818, Products!$A$2:$C$100, 2, FALSE)</f>
        <v>Ritchey Timberwolf Frameset - 2016</v>
      </c>
      <c r="E1818">
        <v>2</v>
      </c>
      <c r="F1818">
        <v>3499.99</v>
      </c>
      <c r="G1818">
        <v>0.2</v>
      </c>
      <c r="H1818">
        <v>699.99800000000005</v>
      </c>
      <c r="I1818">
        <f>order_items[[#This Row],[list_price]]-order_items[[#This Row],[Discounted_price]]</f>
        <v>2799.9919999999997</v>
      </c>
      <c r="J1818">
        <f>VLOOKUP(B1818, Products!$A$2:$E$100, 3, FALSE)</f>
        <v>5</v>
      </c>
      <c r="K1818">
        <f>VLOOKUP(B1818, Products!$A$2:$F$100, 4, FALSE)</f>
        <v>6</v>
      </c>
    </row>
    <row r="1819" spans="1:11" x14ac:dyDescent="0.3">
      <c r="A1819">
        <v>652</v>
      </c>
      <c r="B1819">
        <v>3</v>
      </c>
      <c r="C1819">
        <v>67</v>
      </c>
      <c r="D1819" t="str">
        <f>VLOOKUP(B1819, Products!$A$2:$C$100, 2, FALSE)</f>
        <v>Surly Wednesday Frameset - 2016</v>
      </c>
      <c r="E1819">
        <v>2</v>
      </c>
      <c r="F1819">
        <v>250.99</v>
      </c>
      <c r="G1819">
        <v>0.2</v>
      </c>
      <c r="H1819">
        <v>50.198000000000008</v>
      </c>
      <c r="I1819">
        <f>order_items[[#This Row],[list_price]]-order_items[[#This Row],[Discounted_price]]</f>
        <v>200.792</v>
      </c>
      <c r="J1819">
        <f>VLOOKUP(B1819, Products!$A$2:$E$100, 3, FALSE)</f>
        <v>8</v>
      </c>
      <c r="K1819">
        <f>VLOOKUP(B1819, Products!$A$2:$F$100, 4, FALSE)</f>
        <v>6</v>
      </c>
    </row>
    <row r="1820" spans="1:11" x14ac:dyDescent="0.3">
      <c r="A1820">
        <v>652</v>
      </c>
      <c r="B1820">
        <v>4</v>
      </c>
      <c r="C1820">
        <v>23</v>
      </c>
      <c r="D1820" t="str">
        <f>VLOOKUP(B1820, Products!$A$2:$C$100, 2, FALSE)</f>
        <v>Trek Fuel EX 8 29 - 2016</v>
      </c>
      <c r="E1820">
        <v>1</v>
      </c>
      <c r="F1820">
        <v>299.99</v>
      </c>
      <c r="G1820">
        <v>0.1</v>
      </c>
      <c r="H1820">
        <v>29.999000000000002</v>
      </c>
      <c r="I1820">
        <f>order_items[[#This Row],[list_price]]-order_items[[#This Row],[Discounted_price]]</f>
        <v>269.99099999999999</v>
      </c>
      <c r="J1820">
        <f>VLOOKUP(B1820, Products!$A$2:$E$100, 3, FALSE)</f>
        <v>9</v>
      </c>
      <c r="K1820">
        <f>VLOOKUP(B1820, Products!$A$2:$F$100, 4, FALSE)</f>
        <v>6</v>
      </c>
    </row>
    <row r="1821" spans="1:11" x14ac:dyDescent="0.3">
      <c r="A1821">
        <v>652</v>
      </c>
      <c r="B1821">
        <v>5</v>
      </c>
      <c r="C1821">
        <v>74</v>
      </c>
      <c r="D1821" t="str">
        <f>VLOOKUP(B1821, Products!$A$2:$C$100, 2, FALSE)</f>
        <v>Heller Shagamaw Frame - 2016</v>
      </c>
      <c r="E1821">
        <v>1</v>
      </c>
      <c r="F1821">
        <v>439.99</v>
      </c>
      <c r="G1821">
        <v>0.05</v>
      </c>
      <c r="H1821">
        <v>21.999500000000001</v>
      </c>
      <c r="I1821">
        <f>order_items[[#This Row],[list_price]]-order_items[[#This Row],[Discounted_price]]</f>
        <v>417.9905</v>
      </c>
      <c r="J1821">
        <f>VLOOKUP(B1821, Products!$A$2:$E$100, 3, FALSE)</f>
        <v>3</v>
      </c>
      <c r="K1821">
        <f>VLOOKUP(B1821, Products!$A$2:$F$100, 4, FALSE)</f>
        <v>6</v>
      </c>
    </row>
    <row r="1822" spans="1:11" x14ac:dyDescent="0.3">
      <c r="A1822">
        <v>653</v>
      </c>
      <c r="B1822">
        <v>1</v>
      </c>
      <c r="C1822">
        <v>6</v>
      </c>
      <c r="D1822" t="str">
        <f>VLOOKUP(B1822, Products!$A$2:$C$100, 2, FALSE)</f>
        <v>Trek 820 - 2016</v>
      </c>
      <c r="E1822">
        <v>1</v>
      </c>
      <c r="F1822">
        <v>469.99</v>
      </c>
      <c r="G1822">
        <v>7.0000000000000007E-2</v>
      </c>
      <c r="H1822">
        <v>32.899300000000004</v>
      </c>
      <c r="I1822">
        <f>order_items[[#This Row],[list_price]]-order_items[[#This Row],[Discounted_price]]</f>
        <v>437.09070000000003</v>
      </c>
      <c r="J1822">
        <f>VLOOKUP(B1822, Products!$A$2:$E$100, 3, FALSE)</f>
        <v>9</v>
      </c>
      <c r="K1822">
        <f>VLOOKUP(B1822, Products!$A$2:$F$100, 4, FALSE)</f>
        <v>6</v>
      </c>
    </row>
    <row r="1823" spans="1:11" x14ac:dyDescent="0.3">
      <c r="A1823">
        <v>653</v>
      </c>
      <c r="B1823">
        <v>2</v>
      </c>
      <c r="C1823">
        <v>43</v>
      </c>
      <c r="D1823" t="str">
        <f>VLOOKUP(B1823, Products!$A$2:$C$100, 2, FALSE)</f>
        <v>Ritchey Timberwolf Frameset - 2016</v>
      </c>
      <c r="E1823">
        <v>1</v>
      </c>
      <c r="F1823">
        <v>5299.99</v>
      </c>
      <c r="G1823">
        <v>0.1</v>
      </c>
      <c r="H1823">
        <v>529.99900000000002</v>
      </c>
      <c r="I1823">
        <f>order_items[[#This Row],[list_price]]-order_items[[#This Row],[Discounted_price]]</f>
        <v>4769.991</v>
      </c>
      <c r="J1823">
        <f>VLOOKUP(B1823, Products!$A$2:$E$100, 3, FALSE)</f>
        <v>5</v>
      </c>
      <c r="K1823">
        <f>VLOOKUP(B1823, Products!$A$2:$F$100, 4, FALSE)</f>
        <v>6</v>
      </c>
    </row>
    <row r="1824" spans="1:11" x14ac:dyDescent="0.3">
      <c r="A1824">
        <v>653</v>
      </c>
      <c r="B1824">
        <v>3</v>
      </c>
      <c r="C1824">
        <v>2</v>
      </c>
      <c r="D1824" t="str">
        <f>VLOOKUP(B1824, Products!$A$2:$C$100, 2, FALSE)</f>
        <v>Surly Wednesday Frameset - 2016</v>
      </c>
      <c r="E1824">
        <v>2</v>
      </c>
      <c r="F1824">
        <v>749.99</v>
      </c>
      <c r="G1824">
        <v>0.1</v>
      </c>
      <c r="H1824">
        <v>74.999000000000009</v>
      </c>
      <c r="I1824">
        <f>order_items[[#This Row],[list_price]]-order_items[[#This Row],[Discounted_price]]</f>
        <v>674.99099999999999</v>
      </c>
      <c r="J1824">
        <f>VLOOKUP(B1824, Products!$A$2:$E$100, 3, FALSE)</f>
        <v>8</v>
      </c>
      <c r="K1824">
        <f>VLOOKUP(B1824, Products!$A$2:$F$100, 4, FALSE)</f>
        <v>6</v>
      </c>
    </row>
    <row r="1825" spans="1:11" x14ac:dyDescent="0.3">
      <c r="A1825">
        <v>653</v>
      </c>
      <c r="B1825">
        <v>4</v>
      </c>
      <c r="C1825">
        <v>80</v>
      </c>
      <c r="D1825" t="str">
        <f>VLOOKUP(B1825, Products!$A$2:$C$100, 2, FALSE)</f>
        <v>Trek Fuel EX 8 29 - 2016</v>
      </c>
      <c r="E1825">
        <v>1</v>
      </c>
      <c r="F1825">
        <v>761.99</v>
      </c>
      <c r="G1825">
        <v>0.2</v>
      </c>
      <c r="H1825">
        <v>152.398</v>
      </c>
      <c r="I1825">
        <f>order_items[[#This Row],[list_price]]-order_items[[#This Row],[Discounted_price]]</f>
        <v>609.59199999999998</v>
      </c>
      <c r="J1825">
        <f>VLOOKUP(B1825, Products!$A$2:$E$100, 3, FALSE)</f>
        <v>9</v>
      </c>
      <c r="K1825">
        <f>VLOOKUP(B1825, Products!$A$2:$F$100, 4, FALSE)</f>
        <v>6</v>
      </c>
    </row>
    <row r="1826" spans="1:11" x14ac:dyDescent="0.3">
      <c r="A1826">
        <v>653</v>
      </c>
      <c r="B1826">
        <v>5</v>
      </c>
      <c r="C1826">
        <v>88</v>
      </c>
      <c r="D1826" t="str">
        <f>VLOOKUP(B1826, Products!$A$2:$C$100, 2, FALSE)</f>
        <v>Heller Shagamaw Frame - 2016</v>
      </c>
      <c r="E1826">
        <v>2</v>
      </c>
      <c r="F1826">
        <v>189.99</v>
      </c>
      <c r="G1826">
        <v>7.0000000000000007E-2</v>
      </c>
      <c r="H1826">
        <v>13.299300000000002</v>
      </c>
      <c r="I1826">
        <f>order_items[[#This Row],[list_price]]-order_items[[#This Row],[Discounted_price]]</f>
        <v>176.69069999999999</v>
      </c>
      <c r="J1826">
        <f>VLOOKUP(B1826, Products!$A$2:$E$100, 3, FALSE)</f>
        <v>3</v>
      </c>
      <c r="K1826">
        <f>VLOOKUP(B1826, Products!$A$2:$F$100, 4, FALSE)</f>
        <v>6</v>
      </c>
    </row>
    <row r="1827" spans="1:11" x14ac:dyDescent="0.3">
      <c r="A1827">
        <v>654</v>
      </c>
      <c r="B1827">
        <v>1</v>
      </c>
      <c r="C1827">
        <v>9</v>
      </c>
      <c r="D1827" t="str">
        <f>VLOOKUP(B1827, Products!$A$2:$C$100, 2, FALSE)</f>
        <v>Trek 820 - 2016</v>
      </c>
      <c r="E1827">
        <v>1</v>
      </c>
      <c r="F1827">
        <v>2999.99</v>
      </c>
      <c r="G1827">
        <v>0.1</v>
      </c>
      <c r="H1827">
        <v>299.99899999999997</v>
      </c>
      <c r="I1827">
        <f>order_items[[#This Row],[list_price]]-order_items[[#This Row],[Discounted_price]]</f>
        <v>2699.991</v>
      </c>
      <c r="J1827">
        <f>VLOOKUP(B1827, Products!$A$2:$E$100, 3, FALSE)</f>
        <v>9</v>
      </c>
      <c r="K1827">
        <f>VLOOKUP(B1827, Products!$A$2:$F$100, 4, FALSE)</f>
        <v>6</v>
      </c>
    </row>
    <row r="1828" spans="1:11" x14ac:dyDescent="0.3">
      <c r="A1828">
        <v>654</v>
      </c>
      <c r="B1828">
        <v>2</v>
      </c>
      <c r="C1828">
        <v>95</v>
      </c>
      <c r="D1828" t="str">
        <f>VLOOKUP(B1828, Products!$A$2:$C$100, 2, FALSE)</f>
        <v>Ritchey Timberwolf Frameset - 2016</v>
      </c>
      <c r="E1828">
        <v>1</v>
      </c>
      <c r="F1828">
        <v>299.99</v>
      </c>
      <c r="G1828">
        <v>0.1</v>
      </c>
      <c r="H1828">
        <v>29.999000000000002</v>
      </c>
      <c r="I1828">
        <f>order_items[[#This Row],[list_price]]-order_items[[#This Row],[Discounted_price]]</f>
        <v>269.99099999999999</v>
      </c>
      <c r="J1828">
        <f>VLOOKUP(B1828, Products!$A$2:$E$100, 3, FALSE)</f>
        <v>5</v>
      </c>
      <c r="K1828">
        <f>VLOOKUP(B1828, Products!$A$2:$F$100, 4, FALSE)</f>
        <v>6</v>
      </c>
    </row>
    <row r="1829" spans="1:11" x14ac:dyDescent="0.3">
      <c r="A1829">
        <v>654</v>
      </c>
      <c r="B1829">
        <v>3</v>
      </c>
      <c r="C1829">
        <v>110</v>
      </c>
      <c r="D1829" t="str">
        <f>VLOOKUP(B1829, Products!$A$2:$C$100, 2, FALSE)</f>
        <v>Surly Wednesday Frameset - 2016</v>
      </c>
      <c r="E1829">
        <v>2</v>
      </c>
      <c r="F1829">
        <v>470.99</v>
      </c>
      <c r="G1829">
        <v>7.0000000000000007E-2</v>
      </c>
      <c r="H1829">
        <v>32.969300000000004</v>
      </c>
      <c r="I1829">
        <f>order_items[[#This Row],[list_price]]-order_items[[#This Row],[Discounted_price]]</f>
        <v>438.02070000000003</v>
      </c>
      <c r="J1829">
        <f>VLOOKUP(B1829, Products!$A$2:$E$100, 3, FALSE)</f>
        <v>8</v>
      </c>
      <c r="K1829">
        <f>VLOOKUP(B1829, Products!$A$2:$F$100, 4, FALSE)</f>
        <v>6</v>
      </c>
    </row>
    <row r="1830" spans="1:11" x14ac:dyDescent="0.3">
      <c r="A1830">
        <v>654</v>
      </c>
      <c r="B1830">
        <v>4</v>
      </c>
      <c r="C1830">
        <v>97</v>
      </c>
      <c r="D1830" t="str">
        <f>VLOOKUP(B1830, Products!$A$2:$C$100, 2, FALSE)</f>
        <v>Trek Fuel EX 8 29 - 2016</v>
      </c>
      <c r="E1830">
        <v>2</v>
      </c>
      <c r="F1830">
        <v>349.99</v>
      </c>
      <c r="G1830">
        <v>7.0000000000000007E-2</v>
      </c>
      <c r="H1830">
        <v>24.499300000000002</v>
      </c>
      <c r="I1830">
        <f>order_items[[#This Row],[list_price]]-order_items[[#This Row],[Discounted_price]]</f>
        <v>325.4907</v>
      </c>
      <c r="J1830">
        <f>VLOOKUP(B1830, Products!$A$2:$E$100, 3, FALSE)</f>
        <v>9</v>
      </c>
      <c r="K1830">
        <f>VLOOKUP(B1830, Products!$A$2:$F$100, 4, FALSE)</f>
        <v>6</v>
      </c>
    </row>
    <row r="1831" spans="1:11" x14ac:dyDescent="0.3">
      <c r="A1831">
        <v>655</v>
      </c>
      <c r="B1831">
        <v>1</v>
      </c>
      <c r="C1831">
        <v>67</v>
      </c>
      <c r="D1831" t="str">
        <f>VLOOKUP(B1831, Products!$A$2:$C$100, 2, FALSE)</f>
        <v>Trek 820 - 2016</v>
      </c>
      <c r="E1831">
        <v>1</v>
      </c>
      <c r="F1831">
        <v>250.99</v>
      </c>
      <c r="G1831">
        <v>0.1</v>
      </c>
      <c r="H1831">
        <v>25.099000000000004</v>
      </c>
      <c r="I1831">
        <f>order_items[[#This Row],[list_price]]-order_items[[#This Row],[Discounted_price]]</f>
        <v>225.89100000000002</v>
      </c>
      <c r="J1831">
        <f>VLOOKUP(B1831, Products!$A$2:$E$100, 3, FALSE)</f>
        <v>9</v>
      </c>
      <c r="K1831">
        <f>VLOOKUP(B1831, Products!$A$2:$F$100, 4, FALSE)</f>
        <v>6</v>
      </c>
    </row>
    <row r="1832" spans="1:11" x14ac:dyDescent="0.3">
      <c r="A1832">
        <v>656</v>
      </c>
      <c r="B1832">
        <v>1</v>
      </c>
      <c r="C1832">
        <v>83</v>
      </c>
      <c r="D1832" t="str">
        <f>VLOOKUP(B1832, Products!$A$2:$C$100, 2, FALSE)</f>
        <v>Trek 820 - 2016</v>
      </c>
      <c r="E1832">
        <v>1</v>
      </c>
      <c r="F1832">
        <v>149.99</v>
      </c>
      <c r="G1832">
        <v>0.1</v>
      </c>
      <c r="H1832">
        <v>14.999000000000002</v>
      </c>
      <c r="I1832">
        <f>order_items[[#This Row],[list_price]]-order_items[[#This Row],[Discounted_price]]</f>
        <v>134.99100000000001</v>
      </c>
      <c r="J1832">
        <f>VLOOKUP(B1832, Products!$A$2:$E$100, 3, FALSE)</f>
        <v>9</v>
      </c>
      <c r="K1832">
        <f>VLOOKUP(B1832, Products!$A$2:$F$100, 4, FALSE)</f>
        <v>6</v>
      </c>
    </row>
    <row r="1833" spans="1:11" x14ac:dyDescent="0.3">
      <c r="A1833">
        <v>656</v>
      </c>
      <c r="B1833">
        <v>2</v>
      </c>
      <c r="C1833">
        <v>22</v>
      </c>
      <c r="D1833" t="str">
        <f>VLOOKUP(B1833, Products!$A$2:$C$100, 2, FALSE)</f>
        <v>Ritchey Timberwolf Frameset - 2016</v>
      </c>
      <c r="E1833">
        <v>1</v>
      </c>
      <c r="F1833">
        <v>269.99</v>
      </c>
      <c r="G1833">
        <v>7.0000000000000007E-2</v>
      </c>
      <c r="H1833">
        <v>18.899300000000004</v>
      </c>
      <c r="I1833">
        <f>order_items[[#This Row],[list_price]]-order_items[[#This Row],[Discounted_price]]</f>
        <v>251.0907</v>
      </c>
      <c r="J1833">
        <f>VLOOKUP(B1833, Products!$A$2:$E$100, 3, FALSE)</f>
        <v>5</v>
      </c>
      <c r="K1833">
        <f>VLOOKUP(B1833, Products!$A$2:$F$100, 4, FALSE)</f>
        <v>6</v>
      </c>
    </row>
    <row r="1834" spans="1:11" x14ac:dyDescent="0.3">
      <c r="A1834">
        <v>656</v>
      </c>
      <c r="B1834">
        <v>3</v>
      </c>
      <c r="C1834">
        <v>33</v>
      </c>
      <c r="D1834" t="str">
        <f>VLOOKUP(B1834, Products!$A$2:$C$100, 2, FALSE)</f>
        <v>Surly Wednesday Frameset - 2016</v>
      </c>
      <c r="E1834">
        <v>2</v>
      </c>
      <c r="F1834">
        <v>469.99</v>
      </c>
      <c r="G1834">
        <v>0.05</v>
      </c>
      <c r="H1834">
        <v>23.499500000000001</v>
      </c>
      <c r="I1834">
        <f>order_items[[#This Row],[list_price]]-order_items[[#This Row],[Discounted_price]]</f>
        <v>446.4905</v>
      </c>
      <c r="J1834">
        <f>VLOOKUP(B1834, Products!$A$2:$E$100, 3, FALSE)</f>
        <v>8</v>
      </c>
      <c r="K1834">
        <f>VLOOKUP(B1834, Products!$A$2:$F$100, 4, FALSE)</f>
        <v>6</v>
      </c>
    </row>
    <row r="1835" spans="1:11" x14ac:dyDescent="0.3">
      <c r="A1835">
        <v>657</v>
      </c>
      <c r="B1835">
        <v>1</v>
      </c>
      <c r="C1835">
        <v>52</v>
      </c>
      <c r="D1835" t="str">
        <f>VLOOKUP(B1835, Products!$A$2:$C$100, 2, FALSE)</f>
        <v>Trek 820 - 2016</v>
      </c>
      <c r="E1835">
        <v>1</v>
      </c>
      <c r="F1835">
        <v>875.99</v>
      </c>
      <c r="G1835">
        <v>0.05</v>
      </c>
      <c r="H1835">
        <v>43.799500000000002</v>
      </c>
      <c r="I1835">
        <f>order_items[[#This Row],[list_price]]-order_items[[#This Row],[Discounted_price]]</f>
        <v>832.19050000000004</v>
      </c>
      <c r="J1835">
        <f>VLOOKUP(B1835, Products!$A$2:$E$100, 3, FALSE)</f>
        <v>9</v>
      </c>
      <c r="K1835">
        <f>VLOOKUP(B1835, Products!$A$2:$F$100, 4, FALSE)</f>
        <v>6</v>
      </c>
    </row>
    <row r="1836" spans="1:11" x14ac:dyDescent="0.3">
      <c r="A1836">
        <v>657</v>
      </c>
      <c r="B1836">
        <v>2</v>
      </c>
      <c r="C1836">
        <v>54</v>
      </c>
      <c r="D1836" t="str">
        <f>VLOOKUP(B1836, Products!$A$2:$C$100, 2, FALSE)</f>
        <v>Ritchey Timberwolf Frameset - 2016</v>
      </c>
      <c r="E1836">
        <v>2</v>
      </c>
      <c r="F1836">
        <v>3199.99</v>
      </c>
      <c r="G1836">
        <v>0.05</v>
      </c>
      <c r="H1836">
        <v>159.99950000000001</v>
      </c>
      <c r="I1836">
        <f>order_items[[#This Row],[list_price]]-order_items[[#This Row],[Discounted_price]]</f>
        <v>3039.9904999999999</v>
      </c>
      <c r="J1836">
        <f>VLOOKUP(B1836, Products!$A$2:$E$100, 3, FALSE)</f>
        <v>5</v>
      </c>
      <c r="K1836">
        <f>VLOOKUP(B1836, Products!$A$2:$F$100, 4, FALSE)</f>
        <v>6</v>
      </c>
    </row>
    <row r="1837" spans="1:11" x14ac:dyDescent="0.3">
      <c r="A1837">
        <v>658</v>
      </c>
      <c r="B1837">
        <v>1</v>
      </c>
      <c r="C1837">
        <v>49</v>
      </c>
      <c r="D1837" t="str">
        <f>VLOOKUP(B1837, Products!$A$2:$C$100, 2, FALSE)</f>
        <v>Trek 820 - 2016</v>
      </c>
      <c r="E1837">
        <v>2</v>
      </c>
      <c r="F1837">
        <v>3499.99</v>
      </c>
      <c r="G1837">
        <v>0.2</v>
      </c>
      <c r="H1837">
        <v>699.99800000000005</v>
      </c>
      <c r="I1837">
        <f>order_items[[#This Row],[list_price]]-order_items[[#This Row],[Discounted_price]]</f>
        <v>2799.9919999999997</v>
      </c>
      <c r="J1837">
        <f>VLOOKUP(B1837, Products!$A$2:$E$100, 3, FALSE)</f>
        <v>9</v>
      </c>
      <c r="K1837">
        <f>VLOOKUP(B1837, Products!$A$2:$F$100, 4, FALSE)</f>
        <v>6</v>
      </c>
    </row>
    <row r="1838" spans="1:11" x14ac:dyDescent="0.3">
      <c r="A1838">
        <v>658</v>
      </c>
      <c r="B1838">
        <v>2</v>
      </c>
      <c r="C1838">
        <v>29</v>
      </c>
      <c r="D1838" t="str">
        <f>VLOOKUP(B1838, Products!$A$2:$C$100, 2, FALSE)</f>
        <v>Ritchey Timberwolf Frameset - 2016</v>
      </c>
      <c r="E1838">
        <v>1</v>
      </c>
      <c r="F1838">
        <v>999.99</v>
      </c>
      <c r="G1838">
        <v>0.05</v>
      </c>
      <c r="H1838">
        <v>49.999500000000005</v>
      </c>
      <c r="I1838">
        <f>order_items[[#This Row],[list_price]]-order_items[[#This Row],[Discounted_price]]</f>
        <v>949.9905</v>
      </c>
      <c r="J1838">
        <f>VLOOKUP(B1838, Products!$A$2:$E$100, 3, FALSE)</f>
        <v>5</v>
      </c>
      <c r="K1838">
        <f>VLOOKUP(B1838, Products!$A$2:$F$100, 4, FALSE)</f>
        <v>6</v>
      </c>
    </row>
    <row r="1839" spans="1:11" x14ac:dyDescent="0.3">
      <c r="A1839">
        <v>658</v>
      </c>
      <c r="B1839">
        <v>3</v>
      </c>
      <c r="C1839">
        <v>9</v>
      </c>
      <c r="D1839" t="str">
        <f>VLOOKUP(B1839, Products!$A$2:$C$100, 2, FALSE)</f>
        <v>Surly Wednesday Frameset - 2016</v>
      </c>
      <c r="E1839">
        <v>1</v>
      </c>
      <c r="F1839">
        <v>2999.99</v>
      </c>
      <c r="G1839">
        <v>0.05</v>
      </c>
      <c r="H1839">
        <v>149.99949999999998</v>
      </c>
      <c r="I1839">
        <f>order_items[[#This Row],[list_price]]-order_items[[#This Row],[Discounted_price]]</f>
        <v>2849.9904999999999</v>
      </c>
      <c r="J1839">
        <f>VLOOKUP(B1839, Products!$A$2:$E$100, 3, FALSE)</f>
        <v>8</v>
      </c>
      <c r="K1839">
        <f>VLOOKUP(B1839, Products!$A$2:$F$100, 4, FALSE)</f>
        <v>6</v>
      </c>
    </row>
    <row r="1840" spans="1:11" x14ac:dyDescent="0.3">
      <c r="A1840">
        <v>659</v>
      </c>
      <c r="B1840">
        <v>1</v>
      </c>
      <c r="C1840">
        <v>42</v>
      </c>
      <c r="D1840" t="str">
        <f>VLOOKUP(B1840, Products!$A$2:$C$100, 2, FALSE)</f>
        <v>Trek 820 - 2016</v>
      </c>
      <c r="E1840">
        <v>2</v>
      </c>
      <c r="F1840">
        <v>2299.9899999999998</v>
      </c>
      <c r="G1840">
        <v>0.05</v>
      </c>
      <c r="H1840">
        <v>114.9995</v>
      </c>
      <c r="I1840">
        <f>order_items[[#This Row],[list_price]]-order_items[[#This Row],[Discounted_price]]</f>
        <v>2184.9904999999999</v>
      </c>
      <c r="J1840">
        <f>VLOOKUP(B1840, Products!$A$2:$E$100, 3, FALSE)</f>
        <v>9</v>
      </c>
      <c r="K1840">
        <f>VLOOKUP(B1840, Products!$A$2:$F$100, 4, FALSE)</f>
        <v>6</v>
      </c>
    </row>
    <row r="1841" spans="1:11" x14ac:dyDescent="0.3">
      <c r="A1841">
        <v>659</v>
      </c>
      <c r="B1841">
        <v>2</v>
      </c>
      <c r="C1841">
        <v>39</v>
      </c>
      <c r="D1841" t="str">
        <f>VLOOKUP(B1841, Products!$A$2:$C$100, 2, FALSE)</f>
        <v>Ritchey Timberwolf Frameset - 2016</v>
      </c>
      <c r="E1841">
        <v>2</v>
      </c>
      <c r="F1841">
        <v>1499.99</v>
      </c>
      <c r="G1841">
        <v>7.0000000000000007E-2</v>
      </c>
      <c r="H1841">
        <v>104.99930000000001</v>
      </c>
      <c r="I1841">
        <f>order_items[[#This Row],[list_price]]-order_items[[#This Row],[Discounted_price]]</f>
        <v>1394.9907000000001</v>
      </c>
      <c r="J1841">
        <f>VLOOKUP(B1841, Products!$A$2:$E$100, 3, FALSE)</f>
        <v>5</v>
      </c>
      <c r="K1841">
        <f>VLOOKUP(B1841, Products!$A$2:$F$100, 4, FALSE)</f>
        <v>6</v>
      </c>
    </row>
    <row r="1842" spans="1:11" x14ac:dyDescent="0.3">
      <c r="A1842">
        <v>659</v>
      </c>
      <c r="B1842">
        <v>3</v>
      </c>
      <c r="C1842">
        <v>70</v>
      </c>
      <c r="D1842" t="str">
        <f>VLOOKUP(B1842, Products!$A$2:$C$100, 2, FALSE)</f>
        <v>Surly Wednesday Frameset - 2016</v>
      </c>
      <c r="E1842">
        <v>1</v>
      </c>
      <c r="F1842">
        <v>659.99</v>
      </c>
      <c r="G1842">
        <v>0.05</v>
      </c>
      <c r="H1842">
        <v>32.999500000000005</v>
      </c>
      <c r="I1842">
        <f>order_items[[#This Row],[list_price]]-order_items[[#This Row],[Discounted_price]]</f>
        <v>626.9905</v>
      </c>
      <c r="J1842">
        <f>VLOOKUP(B1842, Products!$A$2:$E$100, 3, FALSE)</f>
        <v>8</v>
      </c>
      <c r="K1842">
        <f>VLOOKUP(B1842, Products!$A$2:$F$100, 4, FALSE)</f>
        <v>6</v>
      </c>
    </row>
    <row r="1843" spans="1:11" x14ac:dyDescent="0.3">
      <c r="A1843">
        <v>659</v>
      </c>
      <c r="B1843">
        <v>4</v>
      </c>
      <c r="C1843">
        <v>61</v>
      </c>
      <c r="D1843" t="str">
        <f>VLOOKUP(B1843, Products!$A$2:$C$100, 2, FALSE)</f>
        <v>Trek Fuel EX 8 29 - 2016</v>
      </c>
      <c r="E1843">
        <v>2</v>
      </c>
      <c r="F1843">
        <v>4999.99</v>
      </c>
      <c r="G1843">
        <v>7.0000000000000007E-2</v>
      </c>
      <c r="H1843">
        <v>349.99930000000001</v>
      </c>
      <c r="I1843">
        <f>order_items[[#This Row],[list_price]]-order_items[[#This Row],[Discounted_price]]</f>
        <v>4649.9906999999994</v>
      </c>
      <c r="J1843">
        <f>VLOOKUP(B1843, Products!$A$2:$E$100, 3, FALSE)</f>
        <v>9</v>
      </c>
      <c r="K1843">
        <f>VLOOKUP(B1843, Products!$A$2:$F$100, 4, FALSE)</f>
        <v>6</v>
      </c>
    </row>
    <row r="1844" spans="1:11" x14ac:dyDescent="0.3">
      <c r="A1844">
        <v>660</v>
      </c>
      <c r="B1844">
        <v>1</v>
      </c>
      <c r="C1844">
        <v>30</v>
      </c>
      <c r="D1844" t="str">
        <f>VLOOKUP(B1844, Products!$A$2:$C$100, 2, FALSE)</f>
        <v>Trek 820 - 2016</v>
      </c>
      <c r="E1844">
        <v>1</v>
      </c>
      <c r="F1844">
        <v>999.99</v>
      </c>
      <c r="G1844">
        <v>0.2</v>
      </c>
      <c r="H1844">
        <v>199.99800000000002</v>
      </c>
      <c r="I1844">
        <f>order_items[[#This Row],[list_price]]-order_items[[#This Row],[Discounted_price]]</f>
        <v>799.99199999999996</v>
      </c>
      <c r="J1844">
        <f>VLOOKUP(B1844, Products!$A$2:$E$100, 3, FALSE)</f>
        <v>9</v>
      </c>
      <c r="K1844">
        <f>VLOOKUP(B1844, Products!$A$2:$F$100, 4, FALSE)</f>
        <v>6</v>
      </c>
    </row>
    <row r="1845" spans="1:11" x14ac:dyDescent="0.3">
      <c r="A1845">
        <v>660</v>
      </c>
      <c r="B1845">
        <v>2</v>
      </c>
      <c r="C1845">
        <v>59</v>
      </c>
      <c r="D1845" t="str">
        <f>VLOOKUP(B1845, Products!$A$2:$C$100, 2, FALSE)</f>
        <v>Ritchey Timberwolf Frameset - 2016</v>
      </c>
      <c r="E1845">
        <v>2</v>
      </c>
      <c r="F1845">
        <v>2599.9899999999998</v>
      </c>
      <c r="G1845">
        <v>7.0000000000000007E-2</v>
      </c>
      <c r="H1845">
        <v>181.99930000000001</v>
      </c>
      <c r="I1845">
        <f>order_items[[#This Row],[list_price]]-order_items[[#This Row],[Discounted_price]]</f>
        <v>2417.9906999999998</v>
      </c>
      <c r="J1845">
        <f>VLOOKUP(B1845, Products!$A$2:$E$100, 3, FALSE)</f>
        <v>5</v>
      </c>
      <c r="K1845">
        <f>VLOOKUP(B1845, Products!$A$2:$F$100, 4, FALSE)</f>
        <v>6</v>
      </c>
    </row>
    <row r="1846" spans="1:11" x14ac:dyDescent="0.3">
      <c r="A1846">
        <v>660</v>
      </c>
      <c r="B1846">
        <v>3</v>
      </c>
      <c r="C1846">
        <v>47</v>
      </c>
      <c r="D1846" t="str">
        <f>VLOOKUP(B1846, Products!$A$2:$C$100, 2, FALSE)</f>
        <v>Surly Wednesday Frameset - 2016</v>
      </c>
      <c r="E1846">
        <v>2</v>
      </c>
      <c r="F1846">
        <v>5299.99</v>
      </c>
      <c r="G1846">
        <v>0.05</v>
      </c>
      <c r="H1846">
        <v>264.99950000000001</v>
      </c>
      <c r="I1846">
        <f>order_items[[#This Row],[list_price]]-order_items[[#This Row],[Discounted_price]]</f>
        <v>5034.9904999999999</v>
      </c>
      <c r="J1846">
        <f>VLOOKUP(B1846, Products!$A$2:$E$100, 3, FALSE)</f>
        <v>8</v>
      </c>
      <c r="K1846">
        <f>VLOOKUP(B1846, Products!$A$2:$F$100, 4, FALSE)</f>
        <v>6</v>
      </c>
    </row>
    <row r="1847" spans="1:11" x14ac:dyDescent="0.3">
      <c r="A1847">
        <v>660</v>
      </c>
      <c r="B1847">
        <v>4</v>
      </c>
      <c r="C1847">
        <v>29</v>
      </c>
      <c r="D1847" t="str">
        <f>VLOOKUP(B1847, Products!$A$2:$C$100, 2, FALSE)</f>
        <v>Trek Fuel EX 8 29 - 2016</v>
      </c>
      <c r="E1847">
        <v>2</v>
      </c>
      <c r="F1847">
        <v>999.99</v>
      </c>
      <c r="G1847">
        <v>0.2</v>
      </c>
      <c r="H1847">
        <v>199.99800000000002</v>
      </c>
      <c r="I1847">
        <f>order_items[[#This Row],[list_price]]-order_items[[#This Row],[Discounted_price]]</f>
        <v>799.99199999999996</v>
      </c>
      <c r="J1847">
        <f>VLOOKUP(B1847, Products!$A$2:$E$100, 3, FALSE)</f>
        <v>9</v>
      </c>
      <c r="K1847">
        <f>VLOOKUP(B1847, Products!$A$2:$F$100, 4, FALSE)</f>
        <v>6</v>
      </c>
    </row>
    <row r="1848" spans="1:11" x14ac:dyDescent="0.3">
      <c r="A1848">
        <v>661</v>
      </c>
      <c r="B1848">
        <v>1</v>
      </c>
      <c r="C1848">
        <v>63</v>
      </c>
      <c r="D1848" t="str">
        <f>VLOOKUP(B1848, Products!$A$2:$C$100, 2, FALSE)</f>
        <v>Trek 820 - 2016</v>
      </c>
      <c r="E1848">
        <v>2</v>
      </c>
      <c r="F1848">
        <v>3499.99</v>
      </c>
      <c r="G1848">
        <v>7.0000000000000007E-2</v>
      </c>
      <c r="H1848">
        <v>244.99930000000001</v>
      </c>
      <c r="I1848">
        <f>order_items[[#This Row],[list_price]]-order_items[[#This Row],[Discounted_price]]</f>
        <v>3254.9906999999998</v>
      </c>
      <c r="J1848">
        <f>VLOOKUP(B1848, Products!$A$2:$E$100, 3, FALSE)</f>
        <v>9</v>
      </c>
      <c r="K1848">
        <f>VLOOKUP(B1848, Products!$A$2:$F$100, 4, FALSE)</f>
        <v>6</v>
      </c>
    </row>
    <row r="1849" spans="1:11" x14ac:dyDescent="0.3">
      <c r="A1849">
        <v>661</v>
      </c>
      <c r="B1849">
        <v>2</v>
      </c>
      <c r="C1849">
        <v>22</v>
      </c>
      <c r="D1849" t="str">
        <f>VLOOKUP(B1849, Products!$A$2:$C$100, 2, FALSE)</f>
        <v>Ritchey Timberwolf Frameset - 2016</v>
      </c>
      <c r="E1849">
        <v>2</v>
      </c>
      <c r="F1849">
        <v>269.99</v>
      </c>
      <c r="G1849">
        <v>0.05</v>
      </c>
      <c r="H1849">
        <v>13.499500000000001</v>
      </c>
      <c r="I1849">
        <f>order_items[[#This Row],[list_price]]-order_items[[#This Row],[Discounted_price]]</f>
        <v>256.4905</v>
      </c>
      <c r="J1849">
        <f>VLOOKUP(B1849, Products!$A$2:$E$100, 3, FALSE)</f>
        <v>5</v>
      </c>
      <c r="K1849">
        <f>VLOOKUP(B1849, Products!$A$2:$F$100, 4, FALSE)</f>
        <v>6</v>
      </c>
    </row>
    <row r="1850" spans="1:11" x14ac:dyDescent="0.3">
      <c r="A1850">
        <v>662</v>
      </c>
      <c r="B1850">
        <v>1</v>
      </c>
      <c r="C1850">
        <v>55</v>
      </c>
      <c r="D1850" t="str">
        <f>VLOOKUP(B1850, Products!$A$2:$C$100, 2, FALSE)</f>
        <v>Trek 820 - 2016</v>
      </c>
      <c r="E1850">
        <v>2</v>
      </c>
      <c r="F1850">
        <v>2699.99</v>
      </c>
      <c r="G1850">
        <v>0.1</v>
      </c>
      <c r="H1850">
        <v>269.99899999999997</v>
      </c>
      <c r="I1850">
        <f>order_items[[#This Row],[list_price]]-order_items[[#This Row],[Discounted_price]]</f>
        <v>2429.991</v>
      </c>
      <c r="J1850">
        <f>VLOOKUP(B1850, Products!$A$2:$E$100, 3, FALSE)</f>
        <v>9</v>
      </c>
      <c r="K1850">
        <f>VLOOKUP(B1850, Products!$A$2:$F$100, 4, FALSE)</f>
        <v>6</v>
      </c>
    </row>
    <row r="1851" spans="1:11" x14ac:dyDescent="0.3">
      <c r="A1851">
        <v>662</v>
      </c>
      <c r="B1851">
        <v>2</v>
      </c>
      <c r="C1851">
        <v>95</v>
      </c>
      <c r="D1851" t="str">
        <f>VLOOKUP(B1851, Products!$A$2:$C$100, 2, FALSE)</f>
        <v>Ritchey Timberwolf Frameset - 2016</v>
      </c>
      <c r="E1851">
        <v>2</v>
      </c>
      <c r="F1851">
        <v>299.99</v>
      </c>
      <c r="G1851">
        <v>0.2</v>
      </c>
      <c r="H1851">
        <v>59.998000000000005</v>
      </c>
      <c r="I1851">
        <f>order_items[[#This Row],[list_price]]-order_items[[#This Row],[Discounted_price]]</f>
        <v>239.99200000000002</v>
      </c>
      <c r="J1851">
        <f>VLOOKUP(B1851, Products!$A$2:$E$100, 3, FALSE)</f>
        <v>5</v>
      </c>
      <c r="K1851">
        <f>VLOOKUP(B1851, Products!$A$2:$F$100, 4, FALSE)</f>
        <v>6</v>
      </c>
    </row>
    <row r="1852" spans="1:11" x14ac:dyDescent="0.3">
      <c r="A1852">
        <v>662</v>
      </c>
      <c r="B1852">
        <v>3</v>
      </c>
      <c r="C1852">
        <v>102</v>
      </c>
      <c r="D1852" t="str">
        <f>VLOOKUP(B1852, Products!$A$2:$C$100, 2, FALSE)</f>
        <v>Surly Wednesday Frameset - 2016</v>
      </c>
      <c r="E1852">
        <v>2</v>
      </c>
      <c r="F1852">
        <v>489.99</v>
      </c>
      <c r="G1852">
        <v>7.0000000000000007E-2</v>
      </c>
      <c r="H1852">
        <v>34.299300000000002</v>
      </c>
      <c r="I1852">
        <f>order_items[[#This Row],[list_price]]-order_items[[#This Row],[Discounted_price]]</f>
        <v>455.69069999999999</v>
      </c>
      <c r="J1852">
        <f>VLOOKUP(B1852, Products!$A$2:$E$100, 3, FALSE)</f>
        <v>8</v>
      </c>
      <c r="K1852">
        <f>VLOOKUP(B1852, Products!$A$2:$F$100, 4, FALSE)</f>
        <v>6</v>
      </c>
    </row>
    <row r="1853" spans="1:11" x14ac:dyDescent="0.3">
      <c r="A1853">
        <v>662</v>
      </c>
      <c r="B1853">
        <v>4</v>
      </c>
      <c r="C1853">
        <v>22</v>
      </c>
      <c r="D1853" t="str">
        <f>VLOOKUP(B1853, Products!$A$2:$C$100, 2, FALSE)</f>
        <v>Trek Fuel EX 8 29 - 2016</v>
      </c>
      <c r="E1853">
        <v>1</v>
      </c>
      <c r="F1853">
        <v>269.99</v>
      </c>
      <c r="G1853">
        <v>7.0000000000000007E-2</v>
      </c>
      <c r="H1853">
        <v>18.899300000000004</v>
      </c>
      <c r="I1853">
        <f>order_items[[#This Row],[list_price]]-order_items[[#This Row],[Discounted_price]]</f>
        <v>251.0907</v>
      </c>
      <c r="J1853">
        <f>VLOOKUP(B1853, Products!$A$2:$E$100, 3, FALSE)</f>
        <v>9</v>
      </c>
      <c r="K1853">
        <f>VLOOKUP(B1853, Products!$A$2:$F$100, 4, FALSE)</f>
        <v>6</v>
      </c>
    </row>
    <row r="1854" spans="1:11" x14ac:dyDescent="0.3">
      <c r="A1854">
        <v>662</v>
      </c>
      <c r="B1854">
        <v>5</v>
      </c>
      <c r="C1854">
        <v>106</v>
      </c>
      <c r="D1854" t="str">
        <f>VLOOKUP(B1854, Products!$A$2:$C$100, 2, FALSE)</f>
        <v>Heller Shagamaw Frame - 2016</v>
      </c>
      <c r="E1854">
        <v>2</v>
      </c>
      <c r="F1854">
        <v>449.99</v>
      </c>
      <c r="G1854">
        <v>7.0000000000000007E-2</v>
      </c>
      <c r="H1854">
        <v>31.499300000000005</v>
      </c>
      <c r="I1854">
        <f>order_items[[#This Row],[list_price]]-order_items[[#This Row],[Discounted_price]]</f>
        <v>418.4907</v>
      </c>
      <c r="J1854">
        <f>VLOOKUP(B1854, Products!$A$2:$E$100, 3, FALSE)</f>
        <v>3</v>
      </c>
      <c r="K1854">
        <f>VLOOKUP(B1854, Products!$A$2:$F$100, 4, FALSE)</f>
        <v>6</v>
      </c>
    </row>
    <row r="1855" spans="1:11" x14ac:dyDescent="0.3">
      <c r="A1855">
        <v>663</v>
      </c>
      <c r="B1855">
        <v>1</v>
      </c>
      <c r="C1855">
        <v>41</v>
      </c>
      <c r="D1855" t="str">
        <f>VLOOKUP(B1855, Products!$A$2:$C$100, 2, FALSE)</f>
        <v>Trek 820 - 2016</v>
      </c>
      <c r="E1855">
        <v>2</v>
      </c>
      <c r="F1855">
        <v>1469.99</v>
      </c>
      <c r="G1855">
        <v>0.05</v>
      </c>
      <c r="H1855">
        <v>73.499499999999998</v>
      </c>
      <c r="I1855">
        <f>order_items[[#This Row],[list_price]]-order_items[[#This Row],[Discounted_price]]</f>
        <v>1396.4905000000001</v>
      </c>
      <c r="J1855">
        <f>VLOOKUP(B1855, Products!$A$2:$E$100, 3, FALSE)</f>
        <v>9</v>
      </c>
      <c r="K1855">
        <f>VLOOKUP(B1855, Products!$A$2:$F$100, 4, FALSE)</f>
        <v>6</v>
      </c>
    </row>
    <row r="1856" spans="1:11" x14ac:dyDescent="0.3">
      <c r="A1856">
        <v>663</v>
      </c>
      <c r="B1856">
        <v>2</v>
      </c>
      <c r="C1856">
        <v>17</v>
      </c>
      <c r="D1856" t="str">
        <f>VLOOKUP(B1856, Products!$A$2:$C$100, 2, FALSE)</f>
        <v>Ritchey Timberwolf Frameset - 2016</v>
      </c>
      <c r="E1856">
        <v>2</v>
      </c>
      <c r="F1856">
        <v>429</v>
      </c>
      <c r="G1856">
        <v>0.2</v>
      </c>
      <c r="H1856">
        <v>85.800000000000011</v>
      </c>
      <c r="I1856">
        <f>order_items[[#This Row],[list_price]]-order_items[[#This Row],[Discounted_price]]</f>
        <v>343.2</v>
      </c>
      <c r="J1856">
        <f>VLOOKUP(B1856, Products!$A$2:$E$100, 3, FALSE)</f>
        <v>5</v>
      </c>
      <c r="K1856">
        <f>VLOOKUP(B1856, Products!$A$2:$F$100, 4, FALSE)</f>
        <v>6</v>
      </c>
    </row>
    <row r="1857" spans="1:11" x14ac:dyDescent="0.3">
      <c r="A1857">
        <v>663</v>
      </c>
      <c r="B1857">
        <v>3</v>
      </c>
      <c r="C1857">
        <v>94</v>
      </c>
      <c r="D1857" t="str">
        <f>VLOOKUP(B1857, Products!$A$2:$C$100, 2, FALSE)</f>
        <v>Surly Wednesday Frameset - 2016</v>
      </c>
      <c r="E1857">
        <v>1</v>
      </c>
      <c r="F1857">
        <v>249.99</v>
      </c>
      <c r="G1857">
        <v>0.05</v>
      </c>
      <c r="H1857">
        <v>12.499500000000001</v>
      </c>
      <c r="I1857">
        <f>order_items[[#This Row],[list_price]]-order_items[[#This Row],[Discounted_price]]</f>
        <v>237.4905</v>
      </c>
      <c r="J1857">
        <f>VLOOKUP(B1857, Products!$A$2:$E$100, 3, FALSE)</f>
        <v>8</v>
      </c>
      <c r="K1857">
        <f>VLOOKUP(B1857, Products!$A$2:$F$100, 4, FALSE)</f>
        <v>6</v>
      </c>
    </row>
    <row r="1858" spans="1:11" x14ac:dyDescent="0.3">
      <c r="A1858">
        <v>663</v>
      </c>
      <c r="B1858">
        <v>4</v>
      </c>
      <c r="C1858">
        <v>71</v>
      </c>
      <c r="D1858" t="str">
        <f>VLOOKUP(B1858, Products!$A$2:$C$100, 2, FALSE)</f>
        <v>Trek Fuel EX 8 29 - 2016</v>
      </c>
      <c r="E1858">
        <v>1</v>
      </c>
      <c r="F1858">
        <v>416.99</v>
      </c>
      <c r="G1858">
        <v>7.0000000000000007E-2</v>
      </c>
      <c r="H1858">
        <v>29.189300000000003</v>
      </c>
      <c r="I1858">
        <f>order_items[[#This Row],[list_price]]-order_items[[#This Row],[Discounted_price]]</f>
        <v>387.80070000000001</v>
      </c>
      <c r="J1858">
        <f>VLOOKUP(B1858, Products!$A$2:$E$100, 3, FALSE)</f>
        <v>9</v>
      </c>
      <c r="K1858">
        <f>VLOOKUP(B1858, Products!$A$2:$F$100, 4, FALSE)</f>
        <v>6</v>
      </c>
    </row>
    <row r="1859" spans="1:11" x14ac:dyDescent="0.3">
      <c r="A1859">
        <v>663</v>
      </c>
      <c r="B1859">
        <v>5</v>
      </c>
      <c r="C1859">
        <v>106</v>
      </c>
      <c r="D1859" t="str">
        <f>VLOOKUP(B1859, Products!$A$2:$C$100, 2, FALSE)</f>
        <v>Heller Shagamaw Frame - 2016</v>
      </c>
      <c r="E1859">
        <v>1</v>
      </c>
      <c r="F1859">
        <v>449.99</v>
      </c>
      <c r="G1859">
        <v>0.2</v>
      </c>
      <c r="H1859">
        <v>89.998000000000005</v>
      </c>
      <c r="I1859">
        <f>order_items[[#This Row],[list_price]]-order_items[[#This Row],[Discounted_price]]</f>
        <v>359.99200000000002</v>
      </c>
      <c r="J1859">
        <f>VLOOKUP(B1859, Products!$A$2:$E$100, 3, FALSE)</f>
        <v>3</v>
      </c>
      <c r="K1859">
        <f>VLOOKUP(B1859, Products!$A$2:$F$100, 4, FALSE)</f>
        <v>6</v>
      </c>
    </row>
    <row r="1860" spans="1:11" x14ac:dyDescent="0.3">
      <c r="A1860">
        <v>664</v>
      </c>
      <c r="B1860">
        <v>1</v>
      </c>
      <c r="C1860">
        <v>52</v>
      </c>
      <c r="D1860" t="str">
        <f>VLOOKUP(B1860, Products!$A$2:$C$100, 2, FALSE)</f>
        <v>Trek 820 - 2016</v>
      </c>
      <c r="E1860">
        <v>2</v>
      </c>
      <c r="F1860">
        <v>875.99</v>
      </c>
      <c r="G1860">
        <v>7.0000000000000007E-2</v>
      </c>
      <c r="H1860">
        <v>61.319300000000005</v>
      </c>
      <c r="I1860">
        <f>order_items[[#This Row],[list_price]]-order_items[[#This Row],[Discounted_price]]</f>
        <v>814.67070000000001</v>
      </c>
      <c r="J1860">
        <f>VLOOKUP(B1860, Products!$A$2:$E$100, 3, FALSE)</f>
        <v>9</v>
      </c>
      <c r="K1860">
        <f>VLOOKUP(B1860, Products!$A$2:$F$100, 4, FALSE)</f>
        <v>6</v>
      </c>
    </row>
    <row r="1861" spans="1:11" x14ac:dyDescent="0.3">
      <c r="A1861">
        <v>664</v>
      </c>
      <c r="B1861">
        <v>2</v>
      </c>
      <c r="C1861">
        <v>5</v>
      </c>
      <c r="D1861" t="str">
        <f>VLOOKUP(B1861, Products!$A$2:$C$100, 2, FALSE)</f>
        <v>Ritchey Timberwolf Frameset - 2016</v>
      </c>
      <c r="E1861">
        <v>1</v>
      </c>
      <c r="F1861">
        <v>1320.99</v>
      </c>
      <c r="G1861">
        <v>7.0000000000000007E-2</v>
      </c>
      <c r="H1861">
        <v>92.469300000000004</v>
      </c>
      <c r="I1861">
        <f>order_items[[#This Row],[list_price]]-order_items[[#This Row],[Discounted_price]]</f>
        <v>1228.5207</v>
      </c>
      <c r="J1861">
        <f>VLOOKUP(B1861, Products!$A$2:$E$100, 3, FALSE)</f>
        <v>5</v>
      </c>
      <c r="K1861">
        <f>VLOOKUP(B1861, Products!$A$2:$F$100, 4, FALSE)</f>
        <v>6</v>
      </c>
    </row>
    <row r="1862" spans="1:11" x14ac:dyDescent="0.3">
      <c r="A1862">
        <v>664</v>
      </c>
      <c r="B1862">
        <v>3</v>
      </c>
      <c r="C1862">
        <v>50</v>
      </c>
      <c r="D1862" t="str">
        <f>VLOOKUP(B1862, Products!$A$2:$C$100, 2, FALSE)</f>
        <v>Surly Wednesday Frameset - 2016</v>
      </c>
      <c r="E1862">
        <v>1</v>
      </c>
      <c r="F1862">
        <v>5999.99</v>
      </c>
      <c r="G1862">
        <v>0.2</v>
      </c>
      <c r="H1862">
        <v>1199.998</v>
      </c>
      <c r="I1862">
        <f>order_items[[#This Row],[list_price]]-order_items[[#This Row],[Discounted_price]]</f>
        <v>4799.9920000000002</v>
      </c>
      <c r="J1862">
        <f>VLOOKUP(B1862, Products!$A$2:$E$100, 3, FALSE)</f>
        <v>8</v>
      </c>
      <c r="K1862">
        <f>VLOOKUP(B1862, Products!$A$2:$F$100, 4, FALSE)</f>
        <v>6</v>
      </c>
    </row>
    <row r="1863" spans="1:11" x14ac:dyDescent="0.3">
      <c r="A1863">
        <v>664</v>
      </c>
      <c r="B1863">
        <v>4</v>
      </c>
      <c r="C1863">
        <v>101</v>
      </c>
      <c r="D1863" t="str">
        <f>VLOOKUP(B1863, Products!$A$2:$C$100, 2, FALSE)</f>
        <v>Trek Fuel EX 8 29 - 2016</v>
      </c>
      <c r="E1863">
        <v>2</v>
      </c>
      <c r="F1863">
        <v>339.99</v>
      </c>
      <c r="G1863">
        <v>0.2</v>
      </c>
      <c r="H1863">
        <v>67.998000000000005</v>
      </c>
      <c r="I1863">
        <f>order_items[[#This Row],[list_price]]-order_items[[#This Row],[Discounted_price]]</f>
        <v>271.99200000000002</v>
      </c>
      <c r="J1863">
        <f>VLOOKUP(B1863, Products!$A$2:$E$100, 3, FALSE)</f>
        <v>9</v>
      </c>
      <c r="K1863">
        <f>VLOOKUP(B1863, Products!$A$2:$F$100, 4, FALSE)</f>
        <v>6</v>
      </c>
    </row>
    <row r="1864" spans="1:11" x14ac:dyDescent="0.3">
      <c r="A1864">
        <v>664</v>
      </c>
      <c r="B1864">
        <v>5</v>
      </c>
      <c r="C1864">
        <v>47</v>
      </c>
      <c r="D1864" t="str">
        <f>VLOOKUP(B1864, Products!$A$2:$C$100, 2, FALSE)</f>
        <v>Heller Shagamaw Frame - 2016</v>
      </c>
      <c r="E1864">
        <v>1</v>
      </c>
      <c r="F1864">
        <v>5299.99</v>
      </c>
      <c r="G1864">
        <v>7.0000000000000007E-2</v>
      </c>
      <c r="H1864">
        <v>370.99930000000001</v>
      </c>
      <c r="I1864">
        <f>order_items[[#This Row],[list_price]]-order_items[[#This Row],[Discounted_price]]</f>
        <v>4928.9906999999994</v>
      </c>
      <c r="J1864">
        <f>VLOOKUP(B1864, Products!$A$2:$E$100, 3, FALSE)</f>
        <v>3</v>
      </c>
      <c r="K1864">
        <f>VLOOKUP(B1864, Products!$A$2:$F$100, 4, FALSE)</f>
        <v>6</v>
      </c>
    </row>
    <row r="1865" spans="1:11" x14ac:dyDescent="0.3">
      <c r="A1865">
        <v>665</v>
      </c>
      <c r="B1865">
        <v>1</v>
      </c>
      <c r="C1865">
        <v>58</v>
      </c>
      <c r="D1865" t="str">
        <f>VLOOKUP(B1865, Products!$A$2:$C$100, 2, FALSE)</f>
        <v>Trek 820 - 2016</v>
      </c>
      <c r="E1865">
        <v>1</v>
      </c>
      <c r="F1865">
        <v>4999.99</v>
      </c>
      <c r="G1865">
        <v>7.0000000000000007E-2</v>
      </c>
      <c r="H1865">
        <v>349.99930000000001</v>
      </c>
      <c r="I1865">
        <f>order_items[[#This Row],[list_price]]-order_items[[#This Row],[Discounted_price]]</f>
        <v>4649.9906999999994</v>
      </c>
      <c r="J1865">
        <f>VLOOKUP(B1865, Products!$A$2:$E$100, 3, FALSE)</f>
        <v>9</v>
      </c>
      <c r="K1865">
        <f>VLOOKUP(B1865, Products!$A$2:$F$100, 4, FALSE)</f>
        <v>6</v>
      </c>
    </row>
    <row r="1866" spans="1:11" x14ac:dyDescent="0.3">
      <c r="A1866">
        <v>665</v>
      </c>
      <c r="B1866">
        <v>2</v>
      </c>
      <c r="C1866">
        <v>42</v>
      </c>
      <c r="D1866" t="str">
        <f>VLOOKUP(B1866, Products!$A$2:$C$100, 2, FALSE)</f>
        <v>Ritchey Timberwolf Frameset - 2016</v>
      </c>
      <c r="E1866">
        <v>2</v>
      </c>
      <c r="F1866">
        <v>2299.9899999999998</v>
      </c>
      <c r="G1866">
        <v>0.2</v>
      </c>
      <c r="H1866">
        <v>459.99799999999999</v>
      </c>
      <c r="I1866">
        <f>order_items[[#This Row],[list_price]]-order_items[[#This Row],[Discounted_price]]</f>
        <v>1839.9919999999997</v>
      </c>
      <c r="J1866">
        <f>VLOOKUP(B1866, Products!$A$2:$E$100, 3, FALSE)</f>
        <v>5</v>
      </c>
      <c r="K1866">
        <f>VLOOKUP(B1866, Products!$A$2:$F$100, 4, FALSE)</f>
        <v>6</v>
      </c>
    </row>
    <row r="1867" spans="1:11" x14ac:dyDescent="0.3">
      <c r="A1867">
        <v>665</v>
      </c>
      <c r="B1867">
        <v>3</v>
      </c>
      <c r="C1867">
        <v>25</v>
      </c>
      <c r="D1867" t="str">
        <f>VLOOKUP(B1867, Products!$A$2:$C$100, 2, FALSE)</f>
        <v>Surly Wednesday Frameset - 2016</v>
      </c>
      <c r="E1867">
        <v>2</v>
      </c>
      <c r="F1867">
        <v>499.99</v>
      </c>
      <c r="G1867">
        <v>0.05</v>
      </c>
      <c r="H1867">
        <v>24.999500000000001</v>
      </c>
      <c r="I1867">
        <f>order_items[[#This Row],[list_price]]-order_items[[#This Row],[Discounted_price]]</f>
        <v>474.9905</v>
      </c>
      <c r="J1867">
        <f>VLOOKUP(B1867, Products!$A$2:$E$100, 3, FALSE)</f>
        <v>8</v>
      </c>
      <c r="K1867">
        <f>VLOOKUP(B1867, Products!$A$2:$F$100, 4, FALSE)</f>
        <v>6</v>
      </c>
    </row>
    <row r="1868" spans="1:11" x14ac:dyDescent="0.3">
      <c r="A1868">
        <v>666</v>
      </c>
      <c r="B1868">
        <v>1</v>
      </c>
      <c r="C1868">
        <v>98</v>
      </c>
      <c r="D1868" t="str">
        <f>VLOOKUP(B1868, Products!$A$2:$C$100, 2, FALSE)</f>
        <v>Trek 820 - 2016</v>
      </c>
      <c r="E1868">
        <v>2</v>
      </c>
      <c r="F1868">
        <v>489.99</v>
      </c>
      <c r="G1868">
        <v>0.2</v>
      </c>
      <c r="H1868">
        <v>97.998000000000005</v>
      </c>
      <c r="I1868">
        <f>order_items[[#This Row],[list_price]]-order_items[[#This Row],[Discounted_price]]</f>
        <v>391.99200000000002</v>
      </c>
      <c r="J1868">
        <f>VLOOKUP(B1868, Products!$A$2:$E$100, 3, FALSE)</f>
        <v>9</v>
      </c>
      <c r="K1868">
        <f>VLOOKUP(B1868, Products!$A$2:$F$100, 4, FALSE)</f>
        <v>6</v>
      </c>
    </row>
    <row r="1869" spans="1:11" x14ac:dyDescent="0.3">
      <c r="A1869">
        <v>666</v>
      </c>
      <c r="B1869">
        <v>2</v>
      </c>
      <c r="C1869">
        <v>39</v>
      </c>
      <c r="D1869" t="str">
        <f>VLOOKUP(B1869, Products!$A$2:$C$100, 2, FALSE)</f>
        <v>Ritchey Timberwolf Frameset - 2016</v>
      </c>
      <c r="E1869">
        <v>1</v>
      </c>
      <c r="F1869">
        <v>1499.99</v>
      </c>
      <c r="G1869">
        <v>0.05</v>
      </c>
      <c r="H1869">
        <v>74.999499999999998</v>
      </c>
      <c r="I1869">
        <f>order_items[[#This Row],[list_price]]-order_items[[#This Row],[Discounted_price]]</f>
        <v>1424.9905000000001</v>
      </c>
      <c r="J1869">
        <f>VLOOKUP(B1869, Products!$A$2:$E$100, 3, FALSE)</f>
        <v>5</v>
      </c>
      <c r="K1869">
        <f>VLOOKUP(B1869, Products!$A$2:$F$100, 4, FALSE)</f>
        <v>6</v>
      </c>
    </row>
    <row r="1870" spans="1:11" x14ac:dyDescent="0.3">
      <c r="A1870">
        <v>667</v>
      </c>
      <c r="B1870">
        <v>1</v>
      </c>
      <c r="C1870">
        <v>79</v>
      </c>
      <c r="D1870" t="str">
        <f>VLOOKUP(B1870, Products!$A$2:$C$100, 2, FALSE)</f>
        <v>Trek 820 - 2016</v>
      </c>
      <c r="E1870">
        <v>1</v>
      </c>
      <c r="F1870">
        <v>402.99</v>
      </c>
      <c r="G1870">
        <v>0.2</v>
      </c>
      <c r="H1870">
        <v>80.598000000000013</v>
      </c>
      <c r="I1870">
        <f>order_items[[#This Row],[list_price]]-order_items[[#This Row],[Discounted_price]]</f>
        <v>322.392</v>
      </c>
      <c r="J1870">
        <f>VLOOKUP(B1870, Products!$A$2:$E$100, 3, FALSE)</f>
        <v>9</v>
      </c>
      <c r="K1870">
        <f>VLOOKUP(B1870, Products!$A$2:$F$100, 4, FALSE)</f>
        <v>6</v>
      </c>
    </row>
    <row r="1871" spans="1:11" x14ac:dyDescent="0.3">
      <c r="A1871">
        <v>667</v>
      </c>
      <c r="B1871">
        <v>2</v>
      </c>
      <c r="C1871">
        <v>84</v>
      </c>
      <c r="D1871" t="str">
        <f>VLOOKUP(B1871, Products!$A$2:$C$100, 2, FALSE)</f>
        <v>Ritchey Timberwolf Frameset - 2016</v>
      </c>
      <c r="E1871">
        <v>1</v>
      </c>
      <c r="F1871">
        <v>109.99</v>
      </c>
      <c r="G1871">
        <v>0.1</v>
      </c>
      <c r="H1871">
        <v>10.999000000000001</v>
      </c>
      <c r="I1871">
        <f>order_items[[#This Row],[list_price]]-order_items[[#This Row],[Discounted_price]]</f>
        <v>98.991</v>
      </c>
      <c r="J1871">
        <f>VLOOKUP(B1871, Products!$A$2:$E$100, 3, FALSE)</f>
        <v>5</v>
      </c>
      <c r="K1871">
        <f>VLOOKUP(B1871, Products!$A$2:$F$100, 4, FALSE)</f>
        <v>6</v>
      </c>
    </row>
    <row r="1872" spans="1:11" x14ac:dyDescent="0.3">
      <c r="A1872">
        <v>667</v>
      </c>
      <c r="B1872">
        <v>3</v>
      </c>
      <c r="C1872">
        <v>3</v>
      </c>
      <c r="D1872" t="str">
        <f>VLOOKUP(B1872, Products!$A$2:$C$100, 2, FALSE)</f>
        <v>Surly Wednesday Frameset - 2016</v>
      </c>
      <c r="E1872">
        <v>1</v>
      </c>
      <c r="F1872">
        <v>999.99</v>
      </c>
      <c r="G1872">
        <v>0.2</v>
      </c>
      <c r="H1872">
        <v>199.99800000000002</v>
      </c>
      <c r="I1872">
        <f>order_items[[#This Row],[list_price]]-order_items[[#This Row],[Discounted_price]]</f>
        <v>799.99199999999996</v>
      </c>
      <c r="J1872">
        <f>VLOOKUP(B1872, Products!$A$2:$E$100, 3, FALSE)</f>
        <v>8</v>
      </c>
      <c r="K1872">
        <f>VLOOKUP(B1872, Products!$A$2:$F$100, 4, FALSE)</f>
        <v>6</v>
      </c>
    </row>
    <row r="1873" spans="1:11" x14ac:dyDescent="0.3">
      <c r="A1873">
        <v>667</v>
      </c>
      <c r="B1873">
        <v>4</v>
      </c>
      <c r="C1873">
        <v>99</v>
      </c>
      <c r="D1873" t="str">
        <f>VLOOKUP(B1873, Products!$A$2:$C$100, 2, FALSE)</f>
        <v>Trek Fuel EX 8 29 - 2016</v>
      </c>
      <c r="E1873">
        <v>1</v>
      </c>
      <c r="F1873">
        <v>299.99</v>
      </c>
      <c r="G1873">
        <v>0.1</v>
      </c>
      <c r="H1873">
        <v>29.999000000000002</v>
      </c>
      <c r="I1873">
        <f>order_items[[#This Row],[list_price]]-order_items[[#This Row],[Discounted_price]]</f>
        <v>269.99099999999999</v>
      </c>
      <c r="J1873">
        <f>VLOOKUP(B1873, Products!$A$2:$E$100, 3, FALSE)</f>
        <v>9</v>
      </c>
      <c r="K1873">
        <f>VLOOKUP(B1873, Products!$A$2:$F$100, 4, FALSE)</f>
        <v>6</v>
      </c>
    </row>
    <row r="1874" spans="1:11" x14ac:dyDescent="0.3">
      <c r="A1874">
        <v>667</v>
      </c>
      <c r="B1874">
        <v>5</v>
      </c>
      <c r="C1874">
        <v>85</v>
      </c>
      <c r="D1874" t="str">
        <f>VLOOKUP(B1874, Products!$A$2:$C$100, 2, FALSE)</f>
        <v>Heller Shagamaw Frame - 2016</v>
      </c>
      <c r="E1874">
        <v>1</v>
      </c>
      <c r="F1874">
        <v>329.99</v>
      </c>
      <c r="G1874">
        <v>0.05</v>
      </c>
      <c r="H1874">
        <v>16.499500000000001</v>
      </c>
      <c r="I1874">
        <f>order_items[[#This Row],[list_price]]-order_items[[#This Row],[Discounted_price]]</f>
        <v>313.4905</v>
      </c>
      <c r="J1874">
        <f>VLOOKUP(B1874, Products!$A$2:$E$100, 3, FALSE)</f>
        <v>3</v>
      </c>
      <c r="K1874">
        <f>VLOOKUP(B1874, Products!$A$2:$F$100, 4, FALSE)</f>
        <v>6</v>
      </c>
    </row>
    <row r="1875" spans="1:11" x14ac:dyDescent="0.3">
      <c r="A1875">
        <v>668</v>
      </c>
      <c r="B1875">
        <v>1</v>
      </c>
      <c r="C1875">
        <v>48</v>
      </c>
      <c r="D1875" t="str">
        <f>VLOOKUP(B1875, Products!$A$2:$C$100, 2, FALSE)</f>
        <v>Trek 820 - 2016</v>
      </c>
      <c r="E1875">
        <v>2</v>
      </c>
      <c r="F1875">
        <v>1499.99</v>
      </c>
      <c r="G1875">
        <v>0.05</v>
      </c>
      <c r="H1875">
        <v>74.999499999999998</v>
      </c>
      <c r="I1875">
        <f>order_items[[#This Row],[list_price]]-order_items[[#This Row],[Discounted_price]]</f>
        <v>1424.9905000000001</v>
      </c>
      <c r="J1875">
        <f>VLOOKUP(B1875, Products!$A$2:$E$100, 3, FALSE)</f>
        <v>9</v>
      </c>
      <c r="K1875">
        <f>VLOOKUP(B1875, Products!$A$2:$F$100, 4, FALSE)</f>
        <v>6</v>
      </c>
    </row>
    <row r="1876" spans="1:11" x14ac:dyDescent="0.3">
      <c r="A1876">
        <v>668</v>
      </c>
      <c r="B1876">
        <v>2</v>
      </c>
      <c r="C1876">
        <v>19</v>
      </c>
      <c r="D1876" t="str">
        <f>VLOOKUP(B1876, Products!$A$2:$C$100, 2, FALSE)</f>
        <v>Ritchey Timberwolf Frameset - 2016</v>
      </c>
      <c r="E1876">
        <v>2</v>
      </c>
      <c r="F1876">
        <v>449</v>
      </c>
      <c r="G1876">
        <v>0.1</v>
      </c>
      <c r="H1876">
        <v>44.900000000000006</v>
      </c>
      <c r="I1876">
        <f>order_items[[#This Row],[list_price]]-order_items[[#This Row],[Discounted_price]]</f>
        <v>404.1</v>
      </c>
      <c r="J1876">
        <f>VLOOKUP(B1876, Products!$A$2:$E$100, 3, FALSE)</f>
        <v>5</v>
      </c>
      <c r="K1876">
        <f>VLOOKUP(B1876, Products!$A$2:$F$100, 4, FALSE)</f>
        <v>6</v>
      </c>
    </row>
    <row r="1877" spans="1:11" x14ac:dyDescent="0.3">
      <c r="A1877">
        <v>669</v>
      </c>
      <c r="B1877">
        <v>1</v>
      </c>
      <c r="C1877">
        <v>16</v>
      </c>
      <c r="D1877" t="str">
        <f>VLOOKUP(B1877, Products!$A$2:$C$100, 2, FALSE)</f>
        <v>Trek 820 - 2016</v>
      </c>
      <c r="E1877">
        <v>2</v>
      </c>
      <c r="F1877">
        <v>599.99</v>
      </c>
      <c r="G1877">
        <v>7.0000000000000007E-2</v>
      </c>
      <c r="H1877">
        <v>41.999300000000005</v>
      </c>
      <c r="I1877">
        <f>order_items[[#This Row],[list_price]]-order_items[[#This Row],[Discounted_price]]</f>
        <v>557.99070000000006</v>
      </c>
      <c r="J1877">
        <f>VLOOKUP(B1877, Products!$A$2:$E$100, 3, FALSE)</f>
        <v>9</v>
      </c>
      <c r="K1877">
        <f>VLOOKUP(B1877, Products!$A$2:$F$100, 4, FALSE)</f>
        <v>6</v>
      </c>
    </row>
    <row r="1878" spans="1:11" x14ac:dyDescent="0.3">
      <c r="A1878">
        <v>669</v>
      </c>
      <c r="B1878">
        <v>2</v>
      </c>
      <c r="C1878">
        <v>72</v>
      </c>
      <c r="D1878" t="str">
        <f>VLOOKUP(B1878, Products!$A$2:$C$100, 2, FALSE)</f>
        <v>Ritchey Timberwolf Frameset - 2016</v>
      </c>
      <c r="E1878">
        <v>1</v>
      </c>
      <c r="F1878">
        <v>619.99</v>
      </c>
      <c r="G1878">
        <v>7.0000000000000007E-2</v>
      </c>
      <c r="H1878">
        <v>43.399300000000004</v>
      </c>
      <c r="I1878">
        <f>order_items[[#This Row],[list_price]]-order_items[[#This Row],[Discounted_price]]</f>
        <v>576.59069999999997</v>
      </c>
      <c r="J1878">
        <f>VLOOKUP(B1878, Products!$A$2:$E$100, 3, FALSE)</f>
        <v>5</v>
      </c>
      <c r="K1878">
        <f>VLOOKUP(B1878, Products!$A$2:$F$100, 4, FALSE)</f>
        <v>6</v>
      </c>
    </row>
    <row r="1879" spans="1:11" x14ac:dyDescent="0.3">
      <c r="A1879">
        <v>670</v>
      </c>
      <c r="B1879">
        <v>1</v>
      </c>
      <c r="C1879">
        <v>108</v>
      </c>
      <c r="D1879" t="str">
        <f>VLOOKUP(B1879, Products!$A$2:$C$100, 2, FALSE)</f>
        <v>Trek 820 - 2016</v>
      </c>
      <c r="E1879">
        <v>1</v>
      </c>
      <c r="F1879">
        <v>449.99</v>
      </c>
      <c r="G1879">
        <v>0.1</v>
      </c>
      <c r="H1879">
        <v>44.999000000000002</v>
      </c>
      <c r="I1879">
        <f>order_items[[#This Row],[list_price]]-order_items[[#This Row],[Discounted_price]]</f>
        <v>404.99099999999999</v>
      </c>
      <c r="J1879">
        <f>VLOOKUP(B1879, Products!$A$2:$E$100, 3, FALSE)</f>
        <v>9</v>
      </c>
      <c r="K1879">
        <f>VLOOKUP(B1879, Products!$A$2:$F$100, 4, FALSE)</f>
        <v>6</v>
      </c>
    </row>
    <row r="1880" spans="1:11" x14ac:dyDescent="0.3">
      <c r="A1880">
        <v>670</v>
      </c>
      <c r="B1880">
        <v>2</v>
      </c>
      <c r="C1880">
        <v>28</v>
      </c>
      <c r="D1880" t="str">
        <f>VLOOKUP(B1880, Products!$A$2:$C$100, 2, FALSE)</f>
        <v>Ritchey Timberwolf Frameset - 2016</v>
      </c>
      <c r="E1880">
        <v>1</v>
      </c>
      <c r="F1880">
        <v>2499.9899999999998</v>
      </c>
      <c r="G1880">
        <v>7.0000000000000007E-2</v>
      </c>
      <c r="H1880">
        <v>174.99930000000001</v>
      </c>
      <c r="I1880">
        <f>order_items[[#This Row],[list_price]]-order_items[[#This Row],[Discounted_price]]</f>
        <v>2324.9906999999998</v>
      </c>
      <c r="J1880">
        <f>VLOOKUP(B1880, Products!$A$2:$E$100, 3, FALSE)</f>
        <v>5</v>
      </c>
      <c r="K1880">
        <f>VLOOKUP(B1880, Products!$A$2:$F$100, 4, FALSE)</f>
        <v>6</v>
      </c>
    </row>
    <row r="1881" spans="1:11" x14ac:dyDescent="0.3">
      <c r="A1881">
        <v>670</v>
      </c>
      <c r="B1881">
        <v>3</v>
      </c>
      <c r="C1881">
        <v>104</v>
      </c>
      <c r="D1881" t="str">
        <f>VLOOKUP(B1881, Products!$A$2:$C$100, 2, FALSE)</f>
        <v>Surly Wednesday Frameset - 2016</v>
      </c>
      <c r="E1881">
        <v>2</v>
      </c>
      <c r="F1881">
        <v>481.99</v>
      </c>
      <c r="G1881">
        <v>0.2</v>
      </c>
      <c r="H1881">
        <v>96.39800000000001</v>
      </c>
      <c r="I1881">
        <f>order_items[[#This Row],[list_price]]-order_items[[#This Row],[Discounted_price]]</f>
        <v>385.59199999999998</v>
      </c>
      <c r="J1881">
        <f>VLOOKUP(B1881, Products!$A$2:$E$100, 3, FALSE)</f>
        <v>8</v>
      </c>
      <c r="K1881">
        <f>VLOOKUP(B1881, Products!$A$2:$F$100, 4, FALSE)</f>
        <v>6</v>
      </c>
    </row>
    <row r="1882" spans="1:11" x14ac:dyDescent="0.3">
      <c r="A1882">
        <v>670</v>
      </c>
      <c r="B1882">
        <v>4</v>
      </c>
      <c r="C1882">
        <v>45</v>
      </c>
      <c r="D1882" t="str">
        <f>VLOOKUP(B1882, Products!$A$2:$C$100, 2, FALSE)</f>
        <v>Trek Fuel EX 8 29 - 2016</v>
      </c>
      <c r="E1882">
        <v>2</v>
      </c>
      <c r="F1882">
        <v>869.99</v>
      </c>
      <c r="G1882">
        <v>0.05</v>
      </c>
      <c r="H1882">
        <v>43.499500000000005</v>
      </c>
      <c r="I1882">
        <f>order_items[[#This Row],[list_price]]-order_items[[#This Row],[Discounted_price]]</f>
        <v>826.4905</v>
      </c>
      <c r="J1882">
        <f>VLOOKUP(B1882, Products!$A$2:$E$100, 3, FALSE)</f>
        <v>9</v>
      </c>
      <c r="K1882">
        <f>VLOOKUP(B1882, Products!$A$2:$F$100, 4, FALSE)</f>
        <v>6</v>
      </c>
    </row>
    <row r="1883" spans="1:11" x14ac:dyDescent="0.3">
      <c r="A1883">
        <v>671</v>
      </c>
      <c r="B1883">
        <v>1</v>
      </c>
      <c r="C1883">
        <v>30</v>
      </c>
      <c r="D1883" t="str">
        <f>VLOOKUP(B1883, Products!$A$2:$C$100, 2, FALSE)</f>
        <v>Trek 820 - 2016</v>
      </c>
      <c r="E1883">
        <v>1</v>
      </c>
      <c r="F1883">
        <v>999.99</v>
      </c>
      <c r="G1883">
        <v>0.05</v>
      </c>
      <c r="H1883">
        <v>49.999500000000005</v>
      </c>
      <c r="I1883">
        <f>order_items[[#This Row],[list_price]]-order_items[[#This Row],[Discounted_price]]</f>
        <v>949.9905</v>
      </c>
      <c r="J1883">
        <f>VLOOKUP(B1883, Products!$A$2:$E$100, 3, FALSE)</f>
        <v>9</v>
      </c>
      <c r="K1883">
        <f>VLOOKUP(B1883, Products!$A$2:$F$100, 4, FALSE)</f>
        <v>6</v>
      </c>
    </row>
    <row r="1884" spans="1:11" x14ac:dyDescent="0.3">
      <c r="A1884">
        <v>671</v>
      </c>
      <c r="B1884">
        <v>2</v>
      </c>
      <c r="C1884">
        <v>69</v>
      </c>
      <c r="D1884" t="str">
        <f>VLOOKUP(B1884, Products!$A$2:$C$100, 2, FALSE)</f>
        <v>Ritchey Timberwolf Frameset - 2016</v>
      </c>
      <c r="E1884">
        <v>1</v>
      </c>
      <c r="F1884">
        <v>416.99</v>
      </c>
      <c r="G1884">
        <v>0.05</v>
      </c>
      <c r="H1884">
        <v>20.849500000000003</v>
      </c>
      <c r="I1884">
        <f>order_items[[#This Row],[list_price]]-order_items[[#This Row],[Discounted_price]]</f>
        <v>396.14050000000003</v>
      </c>
      <c r="J1884">
        <f>VLOOKUP(B1884, Products!$A$2:$E$100, 3, FALSE)</f>
        <v>5</v>
      </c>
      <c r="K1884">
        <f>VLOOKUP(B1884, Products!$A$2:$F$100, 4, FALSE)</f>
        <v>6</v>
      </c>
    </row>
    <row r="1885" spans="1:11" x14ac:dyDescent="0.3">
      <c r="A1885">
        <v>671</v>
      </c>
      <c r="B1885">
        <v>3</v>
      </c>
      <c r="C1885">
        <v>55</v>
      </c>
      <c r="D1885" t="str">
        <f>VLOOKUP(B1885, Products!$A$2:$C$100, 2, FALSE)</f>
        <v>Surly Wednesday Frameset - 2016</v>
      </c>
      <c r="E1885">
        <v>1</v>
      </c>
      <c r="F1885">
        <v>2699.99</v>
      </c>
      <c r="G1885">
        <v>0.2</v>
      </c>
      <c r="H1885">
        <v>539.99799999999993</v>
      </c>
      <c r="I1885">
        <f>order_items[[#This Row],[list_price]]-order_items[[#This Row],[Discounted_price]]</f>
        <v>2159.9919999999997</v>
      </c>
      <c r="J1885">
        <f>VLOOKUP(B1885, Products!$A$2:$E$100, 3, FALSE)</f>
        <v>8</v>
      </c>
      <c r="K1885">
        <f>VLOOKUP(B1885, Products!$A$2:$F$100, 4, FALSE)</f>
        <v>6</v>
      </c>
    </row>
    <row r="1886" spans="1:11" x14ac:dyDescent="0.3">
      <c r="A1886">
        <v>671</v>
      </c>
      <c r="B1886">
        <v>4</v>
      </c>
      <c r="C1886">
        <v>4</v>
      </c>
      <c r="D1886" t="str">
        <f>VLOOKUP(B1886, Products!$A$2:$C$100, 2, FALSE)</f>
        <v>Trek Fuel EX 8 29 - 2016</v>
      </c>
      <c r="E1886">
        <v>1</v>
      </c>
      <c r="F1886">
        <v>2899.99</v>
      </c>
      <c r="G1886">
        <v>7.0000000000000007E-2</v>
      </c>
      <c r="H1886">
        <v>202.99930000000001</v>
      </c>
      <c r="I1886">
        <f>order_items[[#This Row],[list_price]]-order_items[[#This Row],[Discounted_price]]</f>
        <v>2696.9906999999998</v>
      </c>
      <c r="J1886">
        <f>VLOOKUP(B1886, Products!$A$2:$E$100, 3, FALSE)</f>
        <v>9</v>
      </c>
      <c r="K1886">
        <f>VLOOKUP(B1886, Products!$A$2:$F$100, 4, FALSE)</f>
        <v>6</v>
      </c>
    </row>
    <row r="1887" spans="1:11" x14ac:dyDescent="0.3">
      <c r="A1887">
        <v>671</v>
      </c>
      <c r="B1887">
        <v>5</v>
      </c>
      <c r="C1887">
        <v>109</v>
      </c>
      <c r="D1887" t="str">
        <f>VLOOKUP(B1887, Products!$A$2:$C$100, 2, FALSE)</f>
        <v>Heller Shagamaw Frame - 2016</v>
      </c>
      <c r="E1887">
        <v>2</v>
      </c>
      <c r="F1887">
        <v>416.99</v>
      </c>
      <c r="G1887">
        <v>7.0000000000000007E-2</v>
      </c>
      <c r="H1887">
        <v>29.189300000000003</v>
      </c>
      <c r="I1887">
        <f>order_items[[#This Row],[list_price]]-order_items[[#This Row],[Discounted_price]]</f>
        <v>387.80070000000001</v>
      </c>
      <c r="J1887">
        <f>VLOOKUP(B1887, Products!$A$2:$E$100, 3, FALSE)</f>
        <v>3</v>
      </c>
      <c r="K1887">
        <f>VLOOKUP(B1887, Products!$A$2:$F$100, 4, FALSE)</f>
        <v>6</v>
      </c>
    </row>
    <row r="1888" spans="1:11" x14ac:dyDescent="0.3">
      <c r="A1888">
        <v>672</v>
      </c>
      <c r="B1888">
        <v>1</v>
      </c>
      <c r="C1888">
        <v>51</v>
      </c>
      <c r="D1888" t="str">
        <f>VLOOKUP(B1888, Products!$A$2:$C$100, 2, FALSE)</f>
        <v>Trek 820 - 2016</v>
      </c>
      <c r="E1888">
        <v>2</v>
      </c>
      <c r="F1888">
        <v>6499.99</v>
      </c>
      <c r="G1888">
        <v>7.0000000000000007E-2</v>
      </c>
      <c r="H1888">
        <v>454.99930000000001</v>
      </c>
      <c r="I1888">
        <f>order_items[[#This Row],[list_price]]-order_items[[#This Row],[Discounted_price]]</f>
        <v>6044.9906999999994</v>
      </c>
      <c r="J1888">
        <f>VLOOKUP(B1888, Products!$A$2:$E$100, 3, FALSE)</f>
        <v>9</v>
      </c>
      <c r="K1888">
        <f>VLOOKUP(B1888, Products!$A$2:$F$100, 4, FALSE)</f>
        <v>6</v>
      </c>
    </row>
    <row r="1889" spans="1:11" x14ac:dyDescent="0.3">
      <c r="A1889">
        <v>672</v>
      </c>
      <c r="B1889">
        <v>2</v>
      </c>
      <c r="C1889">
        <v>96</v>
      </c>
      <c r="D1889" t="str">
        <f>VLOOKUP(B1889, Products!$A$2:$C$100, 2, FALSE)</f>
        <v>Ritchey Timberwolf Frameset - 2016</v>
      </c>
      <c r="E1889">
        <v>2</v>
      </c>
      <c r="F1889">
        <v>349.99</v>
      </c>
      <c r="G1889">
        <v>0.2</v>
      </c>
      <c r="H1889">
        <v>69.998000000000005</v>
      </c>
      <c r="I1889">
        <f>order_items[[#This Row],[list_price]]-order_items[[#This Row],[Discounted_price]]</f>
        <v>279.99200000000002</v>
      </c>
      <c r="J1889">
        <f>VLOOKUP(B1889, Products!$A$2:$E$100, 3, FALSE)</f>
        <v>5</v>
      </c>
      <c r="K1889">
        <f>VLOOKUP(B1889, Products!$A$2:$F$100, 4, FALSE)</f>
        <v>6</v>
      </c>
    </row>
    <row r="1890" spans="1:11" x14ac:dyDescent="0.3">
      <c r="A1890">
        <v>672</v>
      </c>
      <c r="B1890">
        <v>3</v>
      </c>
      <c r="C1890">
        <v>48</v>
      </c>
      <c r="D1890" t="str">
        <f>VLOOKUP(B1890, Products!$A$2:$C$100, 2, FALSE)</f>
        <v>Surly Wednesday Frameset - 2016</v>
      </c>
      <c r="E1890">
        <v>2</v>
      </c>
      <c r="F1890">
        <v>1499.99</v>
      </c>
      <c r="G1890">
        <v>7.0000000000000007E-2</v>
      </c>
      <c r="H1890">
        <v>104.99930000000001</v>
      </c>
      <c r="I1890">
        <f>order_items[[#This Row],[list_price]]-order_items[[#This Row],[Discounted_price]]</f>
        <v>1394.9907000000001</v>
      </c>
      <c r="J1890">
        <f>VLOOKUP(B1890, Products!$A$2:$E$100, 3, FALSE)</f>
        <v>8</v>
      </c>
      <c r="K1890">
        <f>VLOOKUP(B1890, Products!$A$2:$F$100, 4, FALSE)</f>
        <v>6</v>
      </c>
    </row>
    <row r="1891" spans="1:11" x14ac:dyDescent="0.3">
      <c r="A1891">
        <v>673</v>
      </c>
      <c r="B1891">
        <v>1</v>
      </c>
      <c r="C1891">
        <v>66</v>
      </c>
      <c r="D1891" t="str">
        <f>VLOOKUP(B1891, Products!$A$2:$C$100, 2, FALSE)</f>
        <v>Trek 820 - 2016</v>
      </c>
      <c r="E1891">
        <v>1</v>
      </c>
      <c r="F1891">
        <v>250.99</v>
      </c>
      <c r="G1891">
        <v>0.2</v>
      </c>
      <c r="H1891">
        <v>50.198000000000008</v>
      </c>
      <c r="I1891">
        <f>order_items[[#This Row],[list_price]]-order_items[[#This Row],[Discounted_price]]</f>
        <v>200.792</v>
      </c>
      <c r="J1891">
        <f>VLOOKUP(B1891, Products!$A$2:$E$100, 3, FALSE)</f>
        <v>9</v>
      </c>
      <c r="K1891">
        <f>VLOOKUP(B1891, Products!$A$2:$F$100, 4, FALSE)</f>
        <v>6</v>
      </c>
    </row>
    <row r="1892" spans="1:11" x14ac:dyDescent="0.3">
      <c r="A1892">
        <v>673</v>
      </c>
      <c r="B1892">
        <v>2</v>
      </c>
      <c r="C1892">
        <v>38</v>
      </c>
      <c r="D1892" t="str">
        <f>VLOOKUP(B1892, Products!$A$2:$C$100, 2, FALSE)</f>
        <v>Ritchey Timberwolf Frameset - 2016</v>
      </c>
      <c r="E1892">
        <v>1</v>
      </c>
      <c r="F1892">
        <v>549.99</v>
      </c>
      <c r="G1892">
        <v>0.2</v>
      </c>
      <c r="H1892">
        <v>109.998</v>
      </c>
      <c r="I1892">
        <f>order_items[[#This Row],[list_price]]-order_items[[#This Row],[Discounted_price]]</f>
        <v>439.99200000000002</v>
      </c>
      <c r="J1892">
        <f>VLOOKUP(B1892, Products!$A$2:$E$100, 3, FALSE)</f>
        <v>5</v>
      </c>
      <c r="K1892">
        <f>VLOOKUP(B1892, Products!$A$2:$F$100, 4, FALSE)</f>
        <v>6</v>
      </c>
    </row>
    <row r="1893" spans="1:11" x14ac:dyDescent="0.3">
      <c r="A1893">
        <v>673</v>
      </c>
      <c r="B1893">
        <v>3</v>
      </c>
      <c r="C1893">
        <v>5</v>
      </c>
      <c r="D1893" t="str">
        <f>VLOOKUP(B1893, Products!$A$2:$C$100, 2, FALSE)</f>
        <v>Surly Wednesday Frameset - 2016</v>
      </c>
      <c r="E1893">
        <v>1</v>
      </c>
      <c r="F1893">
        <v>1320.99</v>
      </c>
      <c r="G1893">
        <v>7.0000000000000007E-2</v>
      </c>
      <c r="H1893">
        <v>92.469300000000004</v>
      </c>
      <c r="I1893">
        <f>order_items[[#This Row],[list_price]]-order_items[[#This Row],[Discounted_price]]</f>
        <v>1228.5207</v>
      </c>
      <c r="J1893">
        <f>VLOOKUP(B1893, Products!$A$2:$E$100, 3, FALSE)</f>
        <v>8</v>
      </c>
      <c r="K1893">
        <f>VLOOKUP(B1893, Products!$A$2:$F$100, 4, FALSE)</f>
        <v>6</v>
      </c>
    </row>
    <row r="1894" spans="1:11" x14ac:dyDescent="0.3">
      <c r="A1894">
        <v>673</v>
      </c>
      <c r="B1894">
        <v>4</v>
      </c>
      <c r="C1894">
        <v>13</v>
      </c>
      <c r="D1894" t="str">
        <f>VLOOKUP(B1894, Products!$A$2:$C$100, 2, FALSE)</f>
        <v>Trek Fuel EX 8 29 - 2016</v>
      </c>
      <c r="E1894">
        <v>1</v>
      </c>
      <c r="F1894">
        <v>269.99</v>
      </c>
      <c r="G1894">
        <v>0.1</v>
      </c>
      <c r="H1894">
        <v>26.999000000000002</v>
      </c>
      <c r="I1894">
        <f>order_items[[#This Row],[list_price]]-order_items[[#This Row],[Discounted_price]]</f>
        <v>242.99100000000001</v>
      </c>
      <c r="J1894">
        <f>VLOOKUP(B1894, Products!$A$2:$E$100, 3, FALSE)</f>
        <v>9</v>
      </c>
      <c r="K1894">
        <f>VLOOKUP(B1894, Products!$A$2:$F$100, 4, FALSE)</f>
        <v>6</v>
      </c>
    </row>
    <row r="1895" spans="1:11" x14ac:dyDescent="0.3">
      <c r="A1895">
        <v>674</v>
      </c>
      <c r="B1895">
        <v>1</v>
      </c>
      <c r="C1895">
        <v>26</v>
      </c>
      <c r="D1895" t="str">
        <f>VLOOKUP(B1895, Products!$A$2:$C$100, 2, FALSE)</f>
        <v>Trek 820 - 2016</v>
      </c>
      <c r="E1895">
        <v>2</v>
      </c>
      <c r="F1895">
        <v>599.99</v>
      </c>
      <c r="G1895">
        <v>0.2</v>
      </c>
      <c r="H1895">
        <v>119.998</v>
      </c>
      <c r="I1895">
        <f>order_items[[#This Row],[list_price]]-order_items[[#This Row],[Discounted_price]]</f>
        <v>479.99200000000002</v>
      </c>
      <c r="J1895">
        <f>VLOOKUP(B1895, Products!$A$2:$E$100, 3, FALSE)</f>
        <v>9</v>
      </c>
      <c r="K1895">
        <f>VLOOKUP(B1895, Products!$A$2:$F$100, 4, FALSE)</f>
        <v>6</v>
      </c>
    </row>
    <row r="1896" spans="1:11" x14ac:dyDescent="0.3">
      <c r="A1896">
        <v>675</v>
      </c>
      <c r="B1896">
        <v>1</v>
      </c>
      <c r="C1896">
        <v>17</v>
      </c>
      <c r="D1896" t="str">
        <f>VLOOKUP(B1896, Products!$A$2:$C$100, 2, FALSE)</f>
        <v>Trek 820 - 2016</v>
      </c>
      <c r="E1896">
        <v>1</v>
      </c>
      <c r="F1896">
        <v>429</v>
      </c>
      <c r="G1896">
        <v>0.05</v>
      </c>
      <c r="H1896">
        <v>21.450000000000003</v>
      </c>
      <c r="I1896">
        <f>order_items[[#This Row],[list_price]]-order_items[[#This Row],[Discounted_price]]</f>
        <v>407.55</v>
      </c>
      <c r="J1896">
        <f>VLOOKUP(B1896, Products!$A$2:$E$100, 3, FALSE)</f>
        <v>9</v>
      </c>
      <c r="K1896">
        <f>VLOOKUP(B1896, Products!$A$2:$F$100, 4, FALSE)</f>
        <v>6</v>
      </c>
    </row>
    <row r="1897" spans="1:11" x14ac:dyDescent="0.3">
      <c r="A1897">
        <v>675</v>
      </c>
      <c r="B1897">
        <v>2</v>
      </c>
      <c r="C1897">
        <v>89</v>
      </c>
      <c r="D1897" t="str">
        <f>VLOOKUP(B1897, Products!$A$2:$C$100, 2, FALSE)</f>
        <v>Ritchey Timberwolf Frameset - 2016</v>
      </c>
      <c r="E1897">
        <v>2</v>
      </c>
      <c r="F1897">
        <v>209.99</v>
      </c>
      <c r="G1897">
        <v>0.05</v>
      </c>
      <c r="H1897">
        <v>10.499500000000001</v>
      </c>
      <c r="I1897">
        <f>order_items[[#This Row],[list_price]]-order_items[[#This Row],[Discounted_price]]</f>
        <v>199.4905</v>
      </c>
      <c r="J1897">
        <f>VLOOKUP(B1897, Products!$A$2:$E$100, 3, FALSE)</f>
        <v>5</v>
      </c>
      <c r="K1897">
        <f>VLOOKUP(B1897, Products!$A$2:$F$100, 4, FALSE)</f>
        <v>6</v>
      </c>
    </row>
    <row r="1898" spans="1:11" x14ac:dyDescent="0.3">
      <c r="A1898">
        <v>675</v>
      </c>
      <c r="B1898">
        <v>3</v>
      </c>
      <c r="C1898">
        <v>19</v>
      </c>
      <c r="D1898" t="str">
        <f>VLOOKUP(B1898, Products!$A$2:$C$100, 2, FALSE)</f>
        <v>Surly Wednesday Frameset - 2016</v>
      </c>
      <c r="E1898">
        <v>1</v>
      </c>
      <c r="F1898">
        <v>449</v>
      </c>
      <c r="G1898">
        <v>7.0000000000000007E-2</v>
      </c>
      <c r="H1898">
        <v>31.430000000000003</v>
      </c>
      <c r="I1898">
        <f>order_items[[#This Row],[list_price]]-order_items[[#This Row],[Discounted_price]]</f>
        <v>417.57</v>
      </c>
      <c r="J1898">
        <f>VLOOKUP(B1898, Products!$A$2:$E$100, 3, FALSE)</f>
        <v>8</v>
      </c>
      <c r="K1898">
        <f>VLOOKUP(B1898, Products!$A$2:$F$100, 4, FALSE)</f>
        <v>6</v>
      </c>
    </row>
    <row r="1899" spans="1:11" x14ac:dyDescent="0.3">
      <c r="A1899">
        <v>675</v>
      </c>
      <c r="B1899">
        <v>4</v>
      </c>
      <c r="C1899">
        <v>32</v>
      </c>
      <c r="D1899" t="str">
        <f>VLOOKUP(B1899, Products!$A$2:$C$100, 2, FALSE)</f>
        <v>Trek Fuel EX 8 29 - 2016</v>
      </c>
      <c r="E1899">
        <v>1</v>
      </c>
      <c r="F1899">
        <v>469.99</v>
      </c>
      <c r="G1899">
        <v>0.2</v>
      </c>
      <c r="H1899">
        <v>93.998000000000005</v>
      </c>
      <c r="I1899">
        <f>order_items[[#This Row],[list_price]]-order_items[[#This Row],[Discounted_price]]</f>
        <v>375.99200000000002</v>
      </c>
      <c r="J1899">
        <f>VLOOKUP(B1899, Products!$A$2:$E$100, 3, FALSE)</f>
        <v>9</v>
      </c>
      <c r="K1899">
        <f>VLOOKUP(B1899, Products!$A$2:$F$100, 4, FALSE)</f>
        <v>6</v>
      </c>
    </row>
    <row r="1900" spans="1:11" x14ac:dyDescent="0.3">
      <c r="A1900">
        <v>676</v>
      </c>
      <c r="B1900">
        <v>1</v>
      </c>
      <c r="C1900">
        <v>70</v>
      </c>
      <c r="D1900" t="str">
        <f>VLOOKUP(B1900, Products!$A$2:$C$100, 2, FALSE)</f>
        <v>Trek 820 - 2016</v>
      </c>
      <c r="E1900">
        <v>1</v>
      </c>
      <c r="F1900">
        <v>659.99</v>
      </c>
      <c r="G1900">
        <v>0.2</v>
      </c>
      <c r="H1900">
        <v>131.99800000000002</v>
      </c>
      <c r="I1900">
        <f>order_items[[#This Row],[list_price]]-order_items[[#This Row],[Discounted_price]]</f>
        <v>527.99199999999996</v>
      </c>
      <c r="J1900">
        <f>VLOOKUP(B1900, Products!$A$2:$E$100, 3, FALSE)</f>
        <v>9</v>
      </c>
      <c r="K1900">
        <f>VLOOKUP(B1900, Products!$A$2:$F$100, 4, FALSE)</f>
        <v>6</v>
      </c>
    </row>
    <row r="1901" spans="1:11" x14ac:dyDescent="0.3">
      <c r="A1901">
        <v>676</v>
      </c>
      <c r="B1901">
        <v>2</v>
      </c>
      <c r="C1901">
        <v>104</v>
      </c>
      <c r="D1901" t="str">
        <f>VLOOKUP(B1901, Products!$A$2:$C$100, 2, FALSE)</f>
        <v>Ritchey Timberwolf Frameset - 2016</v>
      </c>
      <c r="E1901">
        <v>2</v>
      </c>
      <c r="F1901">
        <v>481.99</v>
      </c>
      <c r="G1901">
        <v>7.0000000000000007E-2</v>
      </c>
      <c r="H1901">
        <v>33.739300000000007</v>
      </c>
      <c r="I1901">
        <f>order_items[[#This Row],[list_price]]-order_items[[#This Row],[Discounted_price]]</f>
        <v>448.25069999999999</v>
      </c>
      <c r="J1901">
        <f>VLOOKUP(B1901, Products!$A$2:$E$100, 3, FALSE)</f>
        <v>5</v>
      </c>
      <c r="K1901">
        <f>VLOOKUP(B1901, Products!$A$2:$F$100, 4, FALSE)</f>
        <v>6</v>
      </c>
    </row>
    <row r="1902" spans="1:11" x14ac:dyDescent="0.3">
      <c r="A1902">
        <v>676</v>
      </c>
      <c r="B1902">
        <v>3</v>
      </c>
      <c r="C1902">
        <v>24</v>
      </c>
      <c r="D1902" t="str">
        <f>VLOOKUP(B1902, Products!$A$2:$C$100, 2, FALSE)</f>
        <v>Surly Wednesday Frameset - 2016</v>
      </c>
      <c r="E1902">
        <v>1</v>
      </c>
      <c r="F1902">
        <v>549.99</v>
      </c>
      <c r="G1902">
        <v>0.1</v>
      </c>
      <c r="H1902">
        <v>54.999000000000002</v>
      </c>
      <c r="I1902">
        <f>order_items[[#This Row],[list_price]]-order_items[[#This Row],[Discounted_price]]</f>
        <v>494.99099999999999</v>
      </c>
      <c r="J1902">
        <f>VLOOKUP(B1902, Products!$A$2:$E$100, 3, FALSE)</f>
        <v>8</v>
      </c>
      <c r="K1902">
        <f>VLOOKUP(B1902, Products!$A$2:$F$100, 4, FALSE)</f>
        <v>6</v>
      </c>
    </row>
    <row r="1903" spans="1:11" x14ac:dyDescent="0.3">
      <c r="A1903">
        <v>676</v>
      </c>
      <c r="B1903">
        <v>4</v>
      </c>
      <c r="C1903">
        <v>29</v>
      </c>
      <c r="D1903" t="str">
        <f>VLOOKUP(B1903, Products!$A$2:$C$100, 2, FALSE)</f>
        <v>Trek Fuel EX 8 29 - 2016</v>
      </c>
      <c r="E1903">
        <v>1</v>
      </c>
      <c r="F1903">
        <v>999.99</v>
      </c>
      <c r="G1903">
        <v>0.2</v>
      </c>
      <c r="H1903">
        <v>199.99800000000002</v>
      </c>
      <c r="I1903">
        <f>order_items[[#This Row],[list_price]]-order_items[[#This Row],[Discounted_price]]</f>
        <v>799.99199999999996</v>
      </c>
      <c r="J1903">
        <f>VLOOKUP(B1903, Products!$A$2:$E$100, 3, FALSE)</f>
        <v>9</v>
      </c>
      <c r="K1903">
        <f>VLOOKUP(B1903, Products!$A$2:$F$100, 4, FALSE)</f>
        <v>6</v>
      </c>
    </row>
    <row r="1904" spans="1:11" x14ac:dyDescent="0.3">
      <c r="A1904">
        <v>677</v>
      </c>
      <c r="B1904">
        <v>1</v>
      </c>
      <c r="C1904">
        <v>75</v>
      </c>
      <c r="D1904" t="str">
        <f>VLOOKUP(B1904, Products!$A$2:$C$100, 2, FALSE)</f>
        <v>Trek 820 - 2016</v>
      </c>
      <c r="E1904">
        <v>1</v>
      </c>
      <c r="F1904">
        <v>599.99</v>
      </c>
      <c r="G1904">
        <v>7.0000000000000007E-2</v>
      </c>
      <c r="H1904">
        <v>41.999300000000005</v>
      </c>
      <c r="I1904">
        <f>order_items[[#This Row],[list_price]]-order_items[[#This Row],[Discounted_price]]</f>
        <v>557.99070000000006</v>
      </c>
      <c r="J1904">
        <f>VLOOKUP(B1904, Products!$A$2:$E$100, 3, FALSE)</f>
        <v>9</v>
      </c>
      <c r="K1904">
        <f>VLOOKUP(B1904, Products!$A$2:$F$100, 4, FALSE)</f>
        <v>6</v>
      </c>
    </row>
    <row r="1905" spans="1:11" x14ac:dyDescent="0.3">
      <c r="A1905">
        <v>677</v>
      </c>
      <c r="B1905">
        <v>2</v>
      </c>
      <c r="C1905">
        <v>7</v>
      </c>
      <c r="D1905" t="str">
        <f>VLOOKUP(B1905, Products!$A$2:$C$100, 2, FALSE)</f>
        <v>Ritchey Timberwolf Frameset - 2016</v>
      </c>
      <c r="E1905">
        <v>2</v>
      </c>
      <c r="F1905">
        <v>3999.99</v>
      </c>
      <c r="G1905">
        <v>7.0000000000000007E-2</v>
      </c>
      <c r="H1905">
        <v>279.99930000000001</v>
      </c>
      <c r="I1905">
        <f>order_items[[#This Row],[list_price]]-order_items[[#This Row],[Discounted_price]]</f>
        <v>3719.9906999999998</v>
      </c>
      <c r="J1905">
        <f>VLOOKUP(B1905, Products!$A$2:$E$100, 3, FALSE)</f>
        <v>5</v>
      </c>
      <c r="K1905">
        <f>VLOOKUP(B1905, Products!$A$2:$F$100, 4, FALSE)</f>
        <v>6</v>
      </c>
    </row>
    <row r="1906" spans="1:11" x14ac:dyDescent="0.3">
      <c r="A1906">
        <v>677</v>
      </c>
      <c r="B1906">
        <v>3</v>
      </c>
      <c r="C1906">
        <v>105</v>
      </c>
      <c r="D1906" t="str">
        <f>VLOOKUP(B1906, Products!$A$2:$C$100, 2, FALSE)</f>
        <v>Surly Wednesday Frameset - 2016</v>
      </c>
      <c r="E1906">
        <v>2</v>
      </c>
      <c r="F1906">
        <v>533.99</v>
      </c>
      <c r="G1906">
        <v>7.0000000000000007E-2</v>
      </c>
      <c r="H1906">
        <v>37.379300000000008</v>
      </c>
      <c r="I1906">
        <f>order_items[[#This Row],[list_price]]-order_items[[#This Row],[Discounted_price]]</f>
        <v>496.61070000000001</v>
      </c>
      <c r="J1906">
        <f>VLOOKUP(B1906, Products!$A$2:$E$100, 3, FALSE)</f>
        <v>8</v>
      </c>
      <c r="K1906">
        <f>VLOOKUP(B1906, Products!$A$2:$F$100, 4, FALSE)</f>
        <v>6</v>
      </c>
    </row>
    <row r="1907" spans="1:11" x14ac:dyDescent="0.3">
      <c r="A1907">
        <v>677</v>
      </c>
      <c r="B1907">
        <v>4</v>
      </c>
      <c r="C1907">
        <v>91</v>
      </c>
      <c r="D1907" t="str">
        <f>VLOOKUP(B1907, Products!$A$2:$C$100, 2, FALSE)</f>
        <v>Trek Fuel EX 8 29 - 2016</v>
      </c>
      <c r="E1907">
        <v>2</v>
      </c>
      <c r="F1907">
        <v>349.99</v>
      </c>
      <c r="G1907">
        <v>0.05</v>
      </c>
      <c r="H1907">
        <v>17.499500000000001</v>
      </c>
      <c r="I1907">
        <f>order_items[[#This Row],[list_price]]-order_items[[#This Row],[Discounted_price]]</f>
        <v>332.4905</v>
      </c>
      <c r="J1907">
        <f>VLOOKUP(B1907, Products!$A$2:$E$100, 3, FALSE)</f>
        <v>9</v>
      </c>
      <c r="K1907">
        <f>VLOOKUP(B1907, Products!$A$2:$F$100, 4, FALSE)</f>
        <v>6</v>
      </c>
    </row>
    <row r="1908" spans="1:11" x14ac:dyDescent="0.3">
      <c r="A1908">
        <v>677</v>
      </c>
      <c r="B1908">
        <v>5</v>
      </c>
      <c r="C1908">
        <v>54</v>
      </c>
      <c r="D1908" t="str">
        <f>VLOOKUP(B1908, Products!$A$2:$C$100, 2, FALSE)</f>
        <v>Heller Shagamaw Frame - 2016</v>
      </c>
      <c r="E1908">
        <v>2</v>
      </c>
      <c r="F1908">
        <v>3199.99</v>
      </c>
      <c r="G1908">
        <v>0.1</v>
      </c>
      <c r="H1908">
        <v>319.99900000000002</v>
      </c>
      <c r="I1908">
        <f>order_items[[#This Row],[list_price]]-order_items[[#This Row],[Discounted_price]]</f>
        <v>2879.991</v>
      </c>
      <c r="J1908">
        <f>VLOOKUP(B1908, Products!$A$2:$E$100, 3, FALSE)</f>
        <v>3</v>
      </c>
      <c r="K1908">
        <f>VLOOKUP(B1908, Products!$A$2:$F$100, 4, FALSE)</f>
        <v>6</v>
      </c>
    </row>
    <row r="1909" spans="1:11" x14ac:dyDescent="0.3">
      <c r="A1909">
        <v>678</v>
      </c>
      <c r="B1909">
        <v>1</v>
      </c>
      <c r="C1909">
        <v>52</v>
      </c>
      <c r="D1909" t="str">
        <f>VLOOKUP(B1909, Products!$A$2:$C$100, 2, FALSE)</f>
        <v>Trek 820 - 2016</v>
      </c>
      <c r="E1909">
        <v>2</v>
      </c>
      <c r="F1909">
        <v>875.99</v>
      </c>
      <c r="G1909">
        <v>0.05</v>
      </c>
      <c r="H1909">
        <v>43.799500000000002</v>
      </c>
      <c r="I1909">
        <f>order_items[[#This Row],[list_price]]-order_items[[#This Row],[Discounted_price]]</f>
        <v>832.19050000000004</v>
      </c>
      <c r="J1909">
        <f>VLOOKUP(B1909, Products!$A$2:$E$100, 3, FALSE)</f>
        <v>9</v>
      </c>
      <c r="K1909">
        <f>VLOOKUP(B1909, Products!$A$2:$F$100, 4, FALSE)</f>
        <v>6</v>
      </c>
    </row>
    <row r="1910" spans="1:11" x14ac:dyDescent="0.3">
      <c r="A1910">
        <v>678</v>
      </c>
      <c r="B1910">
        <v>2</v>
      </c>
      <c r="C1910">
        <v>37</v>
      </c>
      <c r="D1910" t="str">
        <f>VLOOKUP(B1910, Products!$A$2:$C$100, 2, FALSE)</f>
        <v>Ritchey Timberwolf Frameset - 2016</v>
      </c>
      <c r="E1910">
        <v>2</v>
      </c>
      <c r="F1910">
        <v>379.99</v>
      </c>
      <c r="G1910">
        <v>7.0000000000000007E-2</v>
      </c>
      <c r="H1910">
        <v>26.599300000000003</v>
      </c>
      <c r="I1910">
        <f>order_items[[#This Row],[list_price]]-order_items[[#This Row],[Discounted_price]]</f>
        <v>353.39069999999998</v>
      </c>
      <c r="J1910">
        <f>VLOOKUP(B1910, Products!$A$2:$E$100, 3, FALSE)</f>
        <v>5</v>
      </c>
      <c r="K1910">
        <f>VLOOKUP(B1910, Products!$A$2:$F$100, 4, FALSE)</f>
        <v>6</v>
      </c>
    </row>
    <row r="1911" spans="1:11" x14ac:dyDescent="0.3">
      <c r="A1911">
        <v>679</v>
      </c>
      <c r="B1911">
        <v>1</v>
      </c>
      <c r="C1911">
        <v>15</v>
      </c>
      <c r="D1911" t="str">
        <f>VLOOKUP(B1911, Products!$A$2:$C$100, 2, FALSE)</f>
        <v>Trek 820 - 2016</v>
      </c>
      <c r="E1911">
        <v>2</v>
      </c>
      <c r="F1911">
        <v>529.99</v>
      </c>
      <c r="G1911">
        <v>0.2</v>
      </c>
      <c r="H1911">
        <v>105.998</v>
      </c>
      <c r="I1911">
        <f>order_items[[#This Row],[list_price]]-order_items[[#This Row],[Discounted_price]]</f>
        <v>423.99200000000002</v>
      </c>
      <c r="J1911">
        <f>VLOOKUP(B1911, Products!$A$2:$E$100, 3, FALSE)</f>
        <v>9</v>
      </c>
      <c r="K1911">
        <f>VLOOKUP(B1911, Products!$A$2:$F$100, 4, FALSE)</f>
        <v>6</v>
      </c>
    </row>
    <row r="1912" spans="1:11" x14ac:dyDescent="0.3">
      <c r="A1912">
        <v>679</v>
      </c>
      <c r="B1912">
        <v>2</v>
      </c>
      <c r="C1912">
        <v>83</v>
      </c>
      <c r="D1912" t="str">
        <f>VLOOKUP(B1912, Products!$A$2:$C$100, 2, FALSE)</f>
        <v>Ritchey Timberwolf Frameset - 2016</v>
      </c>
      <c r="E1912">
        <v>2</v>
      </c>
      <c r="F1912">
        <v>149.99</v>
      </c>
      <c r="G1912">
        <v>0.05</v>
      </c>
      <c r="H1912">
        <v>7.4995000000000012</v>
      </c>
      <c r="I1912">
        <f>order_items[[#This Row],[list_price]]-order_items[[#This Row],[Discounted_price]]</f>
        <v>142.4905</v>
      </c>
      <c r="J1912">
        <f>VLOOKUP(B1912, Products!$A$2:$E$100, 3, FALSE)</f>
        <v>5</v>
      </c>
      <c r="K1912">
        <f>VLOOKUP(B1912, Products!$A$2:$F$100, 4, FALSE)</f>
        <v>6</v>
      </c>
    </row>
    <row r="1913" spans="1:11" x14ac:dyDescent="0.3">
      <c r="A1913">
        <v>680</v>
      </c>
      <c r="B1913">
        <v>1</v>
      </c>
      <c r="C1913">
        <v>81</v>
      </c>
      <c r="D1913" t="str">
        <f>VLOOKUP(B1913, Products!$A$2:$C$100, 2, FALSE)</f>
        <v>Trek 820 - 2016</v>
      </c>
      <c r="E1913">
        <v>2</v>
      </c>
      <c r="F1913">
        <v>1099.99</v>
      </c>
      <c r="G1913">
        <v>0.05</v>
      </c>
      <c r="H1913">
        <v>54.999500000000005</v>
      </c>
      <c r="I1913">
        <f>order_items[[#This Row],[list_price]]-order_items[[#This Row],[Discounted_price]]</f>
        <v>1044.9905000000001</v>
      </c>
      <c r="J1913">
        <f>VLOOKUP(B1913, Products!$A$2:$E$100, 3, FALSE)</f>
        <v>9</v>
      </c>
      <c r="K1913">
        <f>VLOOKUP(B1913, Products!$A$2:$F$100, 4, FALSE)</f>
        <v>6</v>
      </c>
    </row>
    <row r="1914" spans="1:11" x14ac:dyDescent="0.3">
      <c r="A1914">
        <v>680</v>
      </c>
      <c r="B1914">
        <v>2</v>
      </c>
      <c r="C1914">
        <v>7</v>
      </c>
      <c r="D1914" t="str">
        <f>VLOOKUP(B1914, Products!$A$2:$C$100, 2, FALSE)</f>
        <v>Ritchey Timberwolf Frameset - 2016</v>
      </c>
      <c r="E1914">
        <v>1</v>
      </c>
      <c r="F1914">
        <v>3999.99</v>
      </c>
      <c r="G1914">
        <v>0.2</v>
      </c>
      <c r="H1914">
        <v>799.99800000000005</v>
      </c>
      <c r="I1914">
        <f>order_items[[#This Row],[list_price]]-order_items[[#This Row],[Discounted_price]]</f>
        <v>3199.9919999999997</v>
      </c>
      <c r="J1914">
        <f>VLOOKUP(B1914, Products!$A$2:$E$100, 3, FALSE)</f>
        <v>5</v>
      </c>
      <c r="K1914">
        <f>VLOOKUP(B1914, Products!$A$2:$F$100, 4, FALSE)</f>
        <v>6</v>
      </c>
    </row>
    <row r="1915" spans="1:11" x14ac:dyDescent="0.3">
      <c r="A1915">
        <v>680</v>
      </c>
      <c r="B1915">
        <v>3</v>
      </c>
      <c r="C1915">
        <v>50</v>
      </c>
      <c r="D1915" t="str">
        <f>VLOOKUP(B1915, Products!$A$2:$C$100, 2, FALSE)</f>
        <v>Surly Wednesday Frameset - 2016</v>
      </c>
      <c r="E1915">
        <v>1</v>
      </c>
      <c r="F1915">
        <v>5999.99</v>
      </c>
      <c r="G1915">
        <v>7.0000000000000007E-2</v>
      </c>
      <c r="H1915">
        <v>419.99930000000001</v>
      </c>
      <c r="I1915">
        <f>order_items[[#This Row],[list_price]]-order_items[[#This Row],[Discounted_price]]</f>
        <v>5579.9906999999994</v>
      </c>
      <c r="J1915">
        <f>VLOOKUP(B1915, Products!$A$2:$E$100, 3, FALSE)</f>
        <v>8</v>
      </c>
      <c r="K1915">
        <f>VLOOKUP(B1915, Products!$A$2:$F$100, 4, FALSE)</f>
        <v>6</v>
      </c>
    </row>
    <row r="1916" spans="1:11" x14ac:dyDescent="0.3">
      <c r="A1916">
        <v>681</v>
      </c>
      <c r="B1916">
        <v>1</v>
      </c>
      <c r="C1916">
        <v>82</v>
      </c>
      <c r="D1916" t="str">
        <f>VLOOKUP(B1916, Products!$A$2:$C$100, 2, FALSE)</f>
        <v>Trek 820 - 2016</v>
      </c>
      <c r="E1916">
        <v>1</v>
      </c>
      <c r="F1916">
        <v>659.99</v>
      </c>
      <c r="G1916">
        <v>0.05</v>
      </c>
      <c r="H1916">
        <v>32.999500000000005</v>
      </c>
      <c r="I1916">
        <f>order_items[[#This Row],[list_price]]-order_items[[#This Row],[Discounted_price]]</f>
        <v>626.9905</v>
      </c>
      <c r="J1916">
        <f>VLOOKUP(B1916, Products!$A$2:$E$100, 3, FALSE)</f>
        <v>9</v>
      </c>
      <c r="K1916">
        <f>VLOOKUP(B1916, Products!$A$2:$F$100, 4, FALSE)</f>
        <v>6</v>
      </c>
    </row>
    <row r="1917" spans="1:11" x14ac:dyDescent="0.3">
      <c r="A1917">
        <v>681</v>
      </c>
      <c r="B1917">
        <v>2</v>
      </c>
      <c r="C1917">
        <v>63</v>
      </c>
      <c r="D1917" t="str">
        <f>VLOOKUP(B1917, Products!$A$2:$C$100, 2, FALSE)</f>
        <v>Ritchey Timberwolf Frameset - 2016</v>
      </c>
      <c r="E1917">
        <v>1</v>
      </c>
      <c r="F1917">
        <v>3499.99</v>
      </c>
      <c r="G1917">
        <v>7.0000000000000007E-2</v>
      </c>
      <c r="H1917">
        <v>244.99930000000001</v>
      </c>
      <c r="I1917">
        <f>order_items[[#This Row],[list_price]]-order_items[[#This Row],[Discounted_price]]</f>
        <v>3254.9906999999998</v>
      </c>
      <c r="J1917">
        <f>VLOOKUP(B1917, Products!$A$2:$E$100, 3, FALSE)</f>
        <v>5</v>
      </c>
      <c r="K1917">
        <f>VLOOKUP(B1917, Products!$A$2:$F$100, 4, FALSE)</f>
        <v>6</v>
      </c>
    </row>
    <row r="1918" spans="1:11" x14ac:dyDescent="0.3">
      <c r="A1918">
        <v>681</v>
      </c>
      <c r="B1918">
        <v>3</v>
      </c>
      <c r="C1918">
        <v>61</v>
      </c>
      <c r="D1918" t="str">
        <f>VLOOKUP(B1918, Products!$A$2:$C$100, 2, FALSE)</f>
        <v>Surly Wednesday Frameset - 2016</v>
      </c>
      <c r="E1918">
        <v>1</v>
      </c>
      <c r="F1918">
        <v>4999.99</v>
      </c>
      <c r="G1918">
        <v>0.2</v>
      </c>
      <c r="H1918">
        <v>999.99800000000005</v>
      </c>
      <c r="I1918">
        <f>order_items[[#This Row],[list_price]]-order_items[[#This Row],[Discounted_price]]</f>
        <v>3999.9919999999997</v>
      </c>
      <c r="J1918">
        <f>VLOOKUP(B1918, Products!$A$2:$E$100, 3, FALSE)</f>
        <v>8</v>
      </c>
      <c r="K1918">
        <f>VLOOKUP(B1918, Products!$A$2:$F$100, 4, FALSE)</f>
        <v>6</v>
      </c>
    </row>
    <row r="1919" spans="1:11" x14ac:dyDescent="0.3">
      <c r="A1919">
        <v>681</v>
      </c>
      <c r="B1919">
        <v>4</v>
      </c>
      <c r="C1919">
        <v>6</v>
      </c>
      <c r="D1919" t="str">
        <f>VLOOKUP(B1919, Products!$A$2:$C$100, 2, FALSE)</f>
        <v>Trek Fuel EX 8 29 - 2016</v>
      </c>
      <c r="E1919">
        <v>2</v>
      </c>
      <c r="F1919">
        <v>469.99</v>
      </c>
      <c r="G1919">
        <v>0.05</v>
      </c>
      <c r="H1919">
        <v>23.499500000000001</v>
      </c>
      <c r="I1919">
        <f>order_items[[#This Row],[list_price]]-order_items[[#This Row],[Discounted_price]]</f>
        <v>446.4905</v>
      </c>
      <c r="J1919">
        <f>VLOOKUP(B1919, Products!$A$2:$E$100, 3, FALSE)</f>
        <v>9</v>
      </c>
      <c r="K1919">
        <f>VLOOKUP(B1919, Products!$A$2:$F$100, 4, FALSE)</f>
        <v>6</v>
      </c>
    </row>
    <row r="1920" spans="1:11" x14ac:dyDescent="0.3">
      <c r="A1920">
        <v>681</v>
      </c>
      <c r="B1920">
        <v>5</v>
      </c>
      <c r="C1920">
        <v>30</v>
      </c>
      <c r="D1920" t="str">
        <f>VLOOKUP(B1920, Products!$A$2:$C$100, 2, FALSE)</f>
        <v>Heller Shagamaw Frame - 2016</v>
      </c>
      <c r="E1920">
        <v>1</v>
      </c>
      <c r="F1920">
        <v>999.99</v>
      </c>
      <c r="G1920">
        <v>7.0000000000000007E-2</v>
      </c>
      <c r="H1920">
        <v>69.999300000000005</v>
      </c>
      <c r="I1920">
        <f>order_items[[#This Row],[list_price]]-order_items[[#This Row],[Discounted_price]]</f>
        <v>929.99070000000006</v>
      </c>
      <c r="J1920">
        <f>VLOOKUP(B1920, Products!$A$2:$E$100, 3, FALSE)</f>
        <v>3</v>
      </c>
      <c r="K1920">
        <f>VLOOKUP(B1920, Products!$A$2:$F$100, 4, FALSE)</f>
        <v>6</v>
      </c>
    </row>
    <row r="1921" spans="1:11" x14ac:dyDescent="0.3">
      <c r="A1921">
        <v>682</v>
      </c>
      <c r="B1921">
        <v>1</v>
      </c>
      <c r="C1921">
        <v>39</v>
      </c>
      <c r="D1921" t="str">
        <f>VLOOKUP(B1921, Products!$A$2:$C$100, 2, FALSE)</f>
        <v>Trek 820 - 2016</v>
      </c>
      <c r="E1921">
        <v>1</v>
      </c>
      <c r="F1921">
        <v>1499.99</v>
      </c>
      <c r="G1921">
        <v>0.2</v>
      </c>
      <c r="H1921">
        <v>299.99799999999999</v>
      </c>
      <c r="I1921">
        <f>order_items[[#This Row],[list_price]]-order_items[[#This Row],[Discounted_price]]</f>
        <v>1199.992</v>
      </c>
      <c r="J1921">
        <f>VLOOKUP(B1921, Products!$A$2:$E$100, 3, FALSE)</f>
        <v>9</v>
      </c>
      <c r="K1921">
        <f>VLOOKUP(B1921, Products!$A$2:$F$100, 4, FALSE)</f>
        <v>6</v>
      </c>
    </row>
    <row r="1922" spans="1:11" x14ac:dyDescent="0.3">
      <c r="A1922">
        <v>682</v>
      </c>
      <c r="B1922">
        <v>2</v>
      </c>
      <c r="C1922">
        <v>60</v>
      </c>
      <c r="D1922" t="str">
        <f>VLOOKUP(B1922, Products!$A$2:$C$100, 2, FALSE)</f>
        <v>Ritchey Timberwolf Frameset - 2016</v>
      </c>
      <c r="E1922">
        <v>2</v>
      </c>
      <c r="F1922">
        <v>1559.99</v>
      </c>
      <c r="G1922">
        <v>0.2</v>
      </c>
      <c r="H1922">
        <v>311.99800000000005</v>
      </c>
      <c r="I1922">
        <f>order_items[[#This Row],[list_price]]-order_items[[#This Row],[Discounted_price]]</f>
        <v>1247.992</v>
      </c>
      <c r="J1922">
        <f>VLOOKUP(B1922, Products!$A$2:$E$100, 3, FALSE)</f>
        <v>5</v>
      </c>
      <c r="K1922">
        <f>VLOOKUP(B1922, Products!$A$2:$F$100, 4, FALSE)</f>
        <v>6</v>
      </c>
    </row>
    <row r="1923" spans="1:11" x14ac:dyDescent="0.3">
      <c r="A1923">
        <v>682</v>
      </c>
      <c r="B1923">
        <v>3</v>
      </c>
      <c r="C1923">
        <v>99</v>
      </c>
      <c r="D1923" t="str">
        <f>VLOOKUP(B1923, Products!$A$2:$C$100, 2, FALSE)</f>
        <v>Surly Wednesday Frameset - 2016</v>
      </c>
      <c r="E1923">
        <v>1</v>
      </c>
      <c r="F1923">
        <v>299.99</v>
      </c>
      <c r="G1923">
        <v>0.2</v>
      </c>
      <c r="H1923">
        <v>59.998000000000005</v>
      </c>
      <c r="I1923">
        <f>order_items[[#This Row],[list_price]]-order_items[[#This Row],[Discounted_price]]</f>
        <v>239.99200000000002</v>
      </c>
      <c r="J1923">
        <f>VLOOKUP(B1923, Products!$A$2:$E$100, 3, FALSE)</f>
        <v>8</v>
      </c>
      <c r="K1923">
        <f>VLOOKUP(B1923, Products!$A$2:$F$100, 4, FALSE)</f>
        <v>6</v>
      </c>
    </row>
    <row r="1924" spans="1:11" x14ac:dyDescent="0.3">
      <c r="A1924">
        <v>683</v>
      </c>
      <c r="B1924">
        <v>1</v>
      </c>
      <c r="C1924">
        <v>2</v>
      </c>
      <c r="D1924" t="str">
        <f>VLOOKUP(B1924, Products!$A$2:$C$100, 2, FALSE)</f>
        <v>Trek 820 - 2016</v>
      </c>
      <c r="E1924">
        <v>2</v>
      </c>
      <c r="F1924">
        <v>749.99</v>
      </c>
      <c r="G1924">
        <v>0.1</v>
      </c>
      <c r="H1924">
        <v>74.999000000000009</v>
      </c>
      <c r="I1924">
        <f>order_items[[#This Row],[list_price]]-order_items[[#This Row],[Discounted_price]]</f>
        <v>674.99099999999999</v>
      </c>
      <c r="J1924">
        <f>VLOOKUP(B1924, Products!$A$2:$E$100, 3, FALSE)</f>
        <v>9</v>
      </c>
      <c r="K1924">
        <f>VLOOKUP(B1924, Products!$A$2:$F$100, 4, FALSE)</f>
        <v>6</v>
      </c>
    </row>
    <row r="1925" spans="1:11" x14ac:dyDescent="0.3">
      <c r="A1925">
        <v>684</v>
      </c>
      <c r="B1925">
        <v>1</v>
      </c>
      <c r="C1925">
        <v>56</v>
      </c>
      <c r="D1925" t="str">
        <f>VLOOKUP(B1925, Products!$A$2:$C$100, 2, FALSE)</f>
        <v>Trek 820 - 2016</v>
      </c>
      <c r="E1925">
        <v>1</v>
      </c>
      <c r="F1925">
        <v>5499.99</v>
      </c>
      <c r="G1925">
        <v>7.0000000000000007E-2</v>
      </c>
      <c r="H1925">
        <v>384.99930000000001</v>
      </c>
      <c r="I1925">
        <f>order_items[[#This Row],[list_price]]-order_items[[#This Row],[Discounted_price]]</f>
        <v>5114.9906999999994</v>
      </c>
      <c r="J1925">
        <f>VLOOKUP(B1925, Products!$A$2:$E$100, 3, FALSE)</f>
        <v>9</v>
      </c>
      <c r="K1925">
        <f>VLOOKUP(B1925, Products!$A$2:$F$100, 4, FALSE)</f>
        <v>6</v>
      </c>
    </row>
    <row r="1926" spans="1:11" x14ac:dyDescent="0.3">
      <c r="A1926">
        <v>684</v>
      </c>
      <c r="B1926">
        <v>2</v>
      </c>
      <c r="C1926">
        <v>33</v>
      </c>
      <c r="D1926" t="str">
        <f>VLOOKUP(B1926, Products!$A$2:$C$100, 2, FALSE)</f>
        <v>Ritchey Timberwolf Frameset - 2016</v>
      </c>
      <c r="E1926">
        <v>1</v>
      </c>
      <c r="F1926">
        <v>469.99</v>
      </c>
      <c r="G1926">
        <v>0.1</v>
      </c>
      <c r="H1926">
        <v>46.999000000000002</v>
      </c>
      <c r="I1926">
        <f>order_items[[#This Row],[list_price]]-order_items[[#This Row],[Discounted_price]]</f>
        <v>422.99099999999999</v>
      </c>
      <c r="J1926">
        <f>VLOOKUP(B1926, Products!$A$2:$E$100, 3, FALSE)</f>
        <v>5</v>
      </c>
      <c r="K1926">
        <f>VLOOKUP(B1926, Products!$A$2:$F$100, 4, FALSE)</f>
        <v>6</v>
      </c>
    </row>
    <row r="1927" spans="1:11" x14ac:dyDescent="0.3">
      <c r="A1927">
        <v>685</v>
      </c>
      <c r="B1927">
        <v>1</v>
      </c>
      <c r="C1927">
        <v>59</v>
      </c>
      <c r="D1927" t="str">
        <f>VLOOKUP(B1927, Products!$A$2:$C$100, 2, FALSE)</f>
        <v>Trek 820 - 2016</v>
      </c>
      <c r="E1927">
        <v>1</v>
      </c>
      <c r="F1927">
        <v>2599.9899999999998</v>
      </c>
      <c r="G1927">
        <v>0.05</v>
      </c>
      <c r="H1927">
        <v>129.99949999999998</v>
      </c>
      <c r="I1927">
        <f>order_items[[#This Row],[list_price]]-order_items[[#This Row],[Discounted_price]]</f>
        <v>2469.9904999999999</v>
      </c>
      <c r="J1927">
        <f>VLOOKUP(B1927, Products!$A$2:$E$100, 3, FALSE)</f>
        <v>9</v>
      </c>
      <c r="K1927">
        <f>VLOOKUP(B1927, Products!$A$2:$F$100, 4, FALSE)</f>
        <v>6</v>
      </c>
    </row>
    <row r="1928" spans="1:11" x14ac:dyDescent="0.3">
      <c r="A1928">
        <v>685</v>
      </c>
      <c r="B1928">
        <v>2</v>
      </c>
      <c r="C1928">
        <v>48</v>
      </c>
      <c r="D1928" t="str">
        <f>VLOOKUP(B1928, Products!$A$2:$C$100, 2, FALSE)</f>
        <v>Ritchey Timberwolf Frameset - 2016</v>
      </c>
      <c r="E1928">
        <v>2</v>
      </c>
      <c r="F1928">
        <v>1499.99</v>
      </c>
      <c r="G1928">
        <v>0.05</v>
      </c>
      <c r="H1928">
        <v>74.999499999999998</v>
      </c>
      <c r="I1928">
        <f>order_items[[#This Row],[list_price]]-order_items[[#This Row],[Discounted_price]]</f>
        <v>1424.9905000000001</v>
      </c>
      <c r="J1928">
        <f>VLOOKUP(B1928, Products!$A$2:$E$100, 3, FALSE)</f>
        <v>5</v>
      </c>
      <c r="K1928">
        <f>VLOOKUP(B1928, Products!$A$2:$F$100, 4, FALSE)</f>
        <v>6</v>
      </c>
    </row>
    <row r="1929" spans="1:11" x14ac:dyDescent="0.3">
      <c r="A1929">
        <v>685</v>
      </c>
      <c r="B1929">
        <v>3</v>
      </c>
      <c r="C1929">
        <v>107</v>
      </c>
      <c r="D1929" t="str">
        <f>VLOOKUP(B1929, Products!$A$2:$C$100, 2, FALSE)</f>
        <v>Surly Wednesday Frameset - 2016</v>
      </c>
      <c r="E1929">
        <v>1</v>
      </c>
      <c r="F1929">
        <v>416.99</v>
      </c>
      <c r="G1929">
        <v>0.05</v>
      </c>
      <c r="H1929">
        <v>20.849500000000003</v>
      </c>
      <c r="I1929">
        <f>order_items[[#This Row],[list_price]]-order_items[[#This Row],[Discounted_price]]</f>
        <v>396.14050000000003</v>
      </c>
      <c r="J1929">
        <f>VLOOKUP(B1929, Products!$A$2:$E$100, 3, FALSE)</f>
        <v>8</v>
      </c>
      <c r="K1929">
        <f>VLOOKUP(B1929, Products!$A$2:$F$100, 4, FALSE)</f>
        <v>6</v>
      </c>
    </row>
    <row r="1930" spans="1:11" x14ac:dyDescent="0.3">
      <c r="A1930">
        <v>685</v>
      </c>
      <c r="B1930">
        <v>4</v>
      </c>
      <c r="C1930">
        <v>98</v>
      </c>
      <c r="D1930" t="str">
        <f>VLOOKUP(B1930, Products!$A$2:$C$100, 2, FALSE)</f>
        <v>Trek Fuel EX 8 29 - 2016</v>
      </c>
      <c r="E1930">
        <v>2</v>
      </c>
      <c r="F1930">
        <v>489.99</v>
      </c>
      <c r="G1930">
        <v>0.2</v>
      </c>
      <c r="H1930">
        <v>97.998000000000005</v>
      </c>
      <c r="I1930">
        <f>order_items[[#This Row],[list_price]]-order_items[[#This Row],[Discounted_price]]</f>
        <v>391.99200000000002</v>
      </c>
      <c r="J1930">
        <f>VLOOKUP(B1930, Products!$A$2:$E$100, 3, FALSE)</f>
        <v>9</v>
      </c>
      <c r="K1930">
        <f>VLOOKUP(B1930, Products!$A$2:$F$100, 4, FALSE)</f>
        <v>6</v>
      </c>
    </row>
    <row r="1931" spans="1:11" x14ac:dyDescent="0.3">
      <c r="A1931">
        <v>685</v>
      </c>
      <c r="B1931">
        <v>5</v>
      </c>
      <c r="C1931">
        <v>56</v>
      </c>
      <c r="D1931" t="str">
        <f>VLOOKUP(B1931, Products!$A$2:$C$100, 2, FALSE)</f>
        <v>Heller Shagamaw Frame - 2016</v>
      </c>
      <c r="E1931">
        <v>2</v>
      </c>
      <c r="F1931">
        <v>5499.99</v>
      </c>
      <c r="G1931">
        <v>0.05</v>
      </c>
      <c r="H1931">
        <v>274.99950000000001</v>
      </c>
      <c r="I1931">
        <f>order_items[[#This Row],[list_price]]-order_items[[#This Row],[Discounted_price]]</f>
        <v>5224.9904999999999</v>
      </c>
      <c r="J1931">
        <f>VLOOKUP(B1931, Products!$A$2:$E$100, 3, FALSE)</f>
        <v>3</v>
      </c>
      <c r="K1931">
        <f>VLOOKUP(B1931, Products!$A$2:$F$100, 4, FALSE)</f>
        <v>6</v>
      </c>
    </row>
    <row r="1932" spans="1:11" x14ac:dyDescent="0.3">
      <c r="A1932">
        <v>686</v>
      </c>
      <c r="B1932">
        <v>1</v>
      </c>
      <c r="C1932">
        <v>16</v>
      </c>
      <c r="D1932" t="str">
        <f>VLOOKUP(B1932, Products!$A$2:$C$100, 2, FALSE)</f>
        <v>Trek 820 - 2016</v>
      </c>
      <c r="E1932">
        <v>1</v>
      </c>
      <c r="F1932">
        <v>599.99</v>
      </c>
      <c r="G1932">
        <v>0.2</v>
      </c>
      <c r="H1932">
        <v>119.998</v>
      </c>
      <c r="I1932">
        <f>order_items[[#This Row],[list_price]]-order_items[[#This Row],[Discounted_price]]</f>
        <v>479.99200000000002</v>
      </c>
      <c r="J1932">
        <f>VLOOKUP(B1932, Products!$A$2:$E$100, 3, FALSE)</f>
        <v>9</v>
      </c>
      <c r="K1932">
        <f>VLOOKUP(B1932, Products!$A$2:$F$100, 4, FALSE)</f>
        <v>6</v>
      </c>
    </row>
    <row r="1933" spans="1:11" x14ac:dyDescent="0.3">
      <c r="A1933">
        <v>686</v>
      </c>
      <c r="B1933">
        <v>2</v>
      </c>
      <c r="C1933">
        <v>30</v>
      </c>
      <c r="D1933" t="str">
        <f>VLOOKUP(B1933, Products!$A$2:$C$100, 2, FALSE)</f>
        <v>Ritchey Timberwolf Frameset - 2016</v>
      </c>
      <c r="E1933">
        <v>1</v>
      </c>
      <c r="F1933">
        <v>999.99</v>
      </c>
      <c r="G1933">
        <v>0.1</v>
      </c>
      <c r="H1933">
        <v>99.999000000000009</v>
      </c>
      <c r="I1933">
        <f>order_items[[#This Row],[list_price]]-order_items[[#This Row],[Discounted_price]]</f>
        <v>899.99099999999999</v>
      </c>
      <c r="J1933">
        <f>VLOOKUP(B1933, Products!$A$2:$E$100, 3, FALSE)</f>
        <v>5</v>
      </c>
      <c r="K1933">
        <f>VLOOKUP(B1933, Products!$A$2:$F$100, 4, FALSE)</f>
        <v>6</v>
      </c>
    </row>
    <row r="1934" spans="1:11" x14ac:dyDescent="0.3">
      <c r="A1934">
        <v>686</v>
      </c>
      <c r="B1934">
        <v>3</v>
      </c>
      <c r="C1934">
        <v>88</v>
      </c>
      <c r="D1934" t="str">
        <f>VLOOKUP(B1934, Products!$A$2:$C$100, 2, FALSE)</f>
        <v>Surly Wednesday Frameset - 2016</v>
      </c>
      <c r="E1934">
        <v>2</v>
      </c>
      <c r="F1934">
        <v>189.99</v>
      </c>
      <c r="G1934">
        <v>0.2</v>
      </c>
      <c r="H1934">
        <v>37.998000000000005</v>
      </c>
      <c r="I1934">
        <f>order_items[[#This Row],[list_price]]-order_items[[#This Row],[Discounted_price]]</f>
        <v>151.99200000000002</v>
      </c>
      <c r="J1934">
        <f>VLOOKUP(B1934, Products!$A$2:$E$100, 3, FALSE)</f>
        <v>8</v>
      </c>
      <c r="K1934">
        <f>VLOOKUP(B1934, Products!$A$2:$F$100, 4, FALSE)</f>
        <v>6</v>
      </c>
    </row>
    <row r="1935" spans="1:11" x14ac:dyDescent="0.3">
      <c r="A1935">
        <v>686</v>
      </c>
      <c r="B1935">
        <v>4</v>
      </c>
      <c r="C1935">
        <v>19</v>
      </c>
      <c r="D1935" t="str">
        <f>VLOOKUP(B1935, Products!$A$2:$C$100, 2, FALSE)</f>
        <v>Trek Fuel EX 8 29 - 2016</v>
      </c>
      <c r="E1935">
        <v>2</v>
      </c>
      <c r="F1935">
        <v>449</v>
      </c>
      <c r="G1935">
        <v>0.2</v>
      </c>
      <c r="H1935">
        <v>89.800000000000011</v>
      </c>
      <c r="I1935">
        <f>order_items[[#This Row],[list_price]]-order_items[[#This Row],[Discounted_price]]</f>
        <v>359.2</v>
      </c>
      <c r="J1935">
        <f>VLOOKUP(B1935, Products!$A$2:$E$100, 3, FALSE)</f>
        <v>9</v>
      </c>
      <c r="K1935">
        <f>VLOOKUP(B1935, Products!$A$2:$F$100, 4, FALSE)</f>
        <v>6</v>
      </c>
    </row>
    <row r="1936" spans="1:11" x14ac:dyDescent="0.3">
      <c r="A1936">
        <v>686</v>
      </c>
      <c r="B1936">
        <v>5</v>
      </c>
      <c r="C1936">
        <v>104</v>
      </c>
      <c r="D1936" t="str">
        <f>VLOOKUP(B1936, Products!$A$2:$C$100, 2, FALSE)</f>
        <v>Heller Shagamaw Frame - 2016</v>
      </c>
      <c r="E1936">
        <v>1</v>
      </c>
      <c r="F1936">
        <v>481.99</v>
      </c>
      <c r="G1936">
        <v>0.2</v>
      </c>
      <c r="H1936">
        <v>96.39800000000001</v>
      </c>
      <c r="I1936">
        <f>order_items[[#This Row],[list_price]]-order_items[[#This Row],[Discounted_price]]</f>
        <v>385.59199999999998</v>
      </c>
      <c r="J1936">
        <f>VLOOKUP(B1936, Products!$A$2:$E$100, 3, FALSE)</f>
        <v>3</v>
      </c>
      <c r="K1936">
        <f>VLOOKUP(B1936, Products!$A$2:$F$100, 4, FALSE)</f>
        <v>6</v>
      </c>
    </row>
    <row r="1937" spans="1:11" x14ac:dyDescent="0.3">
      <c r="A1937">
        <v>687</v>
      </c>
      <c r="B1937">
        <v>1</v>
      </c>
      <c r="C1937">
        <v>48</v>
      </c>
      <c r="D1937" t="str">
        <f>VLOOKUP(B1937, Products!$A$2:$C$100, 2, FALSE)</f>
        <v>Trek 820 - 2016</v>
      </c>
      <c r="E1937">
        <v>2</v>
      </c>
      <c r="F1937">
        <v>1499.99</v>
      </c>
      <c r="G1937">
        <v>0.05</v>
      </c>
      <c r="H1937">
        <v>74.999499999999998</v>
      </c>
      <c r="I1937">
        <f>order_items[[#This Row],[list_price]]-order_items[[#This Row],[Discounted_price]]</f>
        <v>1424.9905000000001</v>
      </c>
      <c r="J1937">
        <f>VLOOKUP(B1937, Products!$A$2:$E$100, 3, FALSE)</f>
        <v>9</v>
      </c>
      <c r="K1937">
        <f>VLOOKUP(B1937, Products!$A$2:$F$100, 4, FALSE)</f>
        <v>6</v>
      </c>
    </row>
    <row r="1938" spans="1:11" x14ac:dyDescent="0.3">
      <c r="A1938">
        <v>687</v>
      </c>
      <c r="B1938">
        <v>2</v>
      </c>
      <c r="C1938">
        <v>95</v>
      </c>
      <c r="D1938" t="str">
        <f>VLOOKUP(B1938, Products!$A$2:$C$100, 2, FALSE)</f>
        <v>Ritchey Timberwolf Frameset - 2016</v>
      </c>
      <c r="E1938">
        <v>1</v>
      </c>
      <c r="F1938">
        <v>299.99</v>
      </c>
      <c r="G1938">
        <v>7.0000000000000007E-2</v>
      </c>
      <c r="H1938">
        <v>20.999300000000002</v>
      </c>
      <c r="I1938">
        <f>order_items[[#This Row],[list_price]]-order_items[[#This Row],[Discounted_price]]</f>
        <v>278.9907</v>
      </c>
      <c r="J1938">
        <f>VLOOKUP(B1938, Products!$A$2:$E$100, 3, FALSE)</f>
        <v>5</v>
      </c>
      <c r="K1938">
        <f>VLOOKUP(B1938, Products!$A$2:$F$100, 4, FALSE)</f>
        <v>6</v>
      </c>
    </row>
    <row r="1939" spans="1:11" x14ac:dyDescent="0.3">
      <c r="A1939">
        <v>687</v>
      </c>
      <c r="B1939">
        <v>3</v>
      </c>
      <c r="C1939">
        <v>5</v>
      </c>
      <c r="D1939" t="str">
        <f>VLOOKUP(B1939, Products!$A$2:$C$100, 2, FALSE)</f>
        <v>Surly Wednesday Frameset - 2016</v>
      </c>
      <c r="E1939">
        <v>2</v>
      </c>
      <c r="F1939">
        <v>1320.99</v>
      </c>
      <c r="G1939">
        <v>0.2</v>
      </c>
      <c r="H1939">
        <v>264.19800000000004</v>
      </c>
      <c r="I1939">
        <f>order_items[[#This Row],[list_price]]-order_items[[#This Row],[Discounted_price]]</f>
        <v>1056.7919999999999</v>
      </c>
      <c r="J1939">
        <f>VLOOKUP(B1939, Products!$A$2:$E$100, 3, FALSE)</f>
        <v>8</v>
      </c>
      <c r="K1939">
        <f>VLOOKUP(B1939, Products!$A$2:$F$100, 4, FALSE)</f>
        <v>6</v>
      </c>
    </row>
    <row r="1940" spans="1:11" x14ac:dyDescent="0.3">
      <c r="A1940">
        <v>687</v>
      </c>
      <c r="B1940">
        <v>4</v>
      </c>
      <c r="C1940">
        <v>83</v>
      </c>
      <c r="D1940" t="str">
        <f>VLOOKUP(B1940, Products!$A$2:$C$100, 2, FALSE)</f>
        <v>Trek Fuel EX 8 29 - 2016</v>
      </c>
      <c r="E1940">
        <v>1</v>
      </c>
      <c r="F1940">
        <v>149.99</v>
      </c>
      <c r="G1940">
        <v>7.0000000000000007E-2</v>
      </c>
      <c r="H1940">
        <v>10.499300000000002</v>
      </c>
      <c r="I1940">
        <f>order_items[[#This Row],[list_price]]-order_items[[#This Row],[Discounted_price]]</f>
        <v>139.4907</v>
      </c>
      <c r="J1940">
        <f>VLOOKUP(B1940, Products!$A$2:$E$100, 3, FALSE)</f>
        <v>9</v>
      </c>
      <c r="K1940">
        <f>VLOOKUP(B1940, Products!$A$2:$F$100, 4, FALSE)</f>
        <v>6</v>
      </c>
    </row>
    <row r="1941" spans="1:11" x14ac:dyDescent="0.3">
      <c r="A1941">
        <v>688</v>
      </c>
      <c r="B1941">
        <v>1</v>
      </c>
      <c r="C1941">
        <v>8</v>
      </c>
      <c r="D1941" t="str">
        <f>VLOOKUP(B1941, Products!$A$2:$C$100, 2, FALSE)</f>
        <v>Trek 820 - 2016</v>
      </c>
      <c r="E1941">
        <v>1</v>
      </c>
      <c r="F1941">
        <v>1799.99</v>
      </c>
      <c r="G1941">
        <v>0.1</v>
      </c>
      <c r="H1941">
        <v>179.99900000000002</v>
      </c>
      <c r="I1941">
        <f>order_items[[#This Row],[list_price]]-order_items[[#This Row],[Discounted_price]]</f>
        <v>1619.991</v>
      </c>
      <c r="J1941">
        <f>VLOOKUP(B1941, Products!$A$2:$E$100, 3, FALSE)</f>
        <v>9</v>
      </c>
      <c r="K1941">
        <f>VLOOKUP(B1941, Products!$A$2:$F$100, 4, FALSE)</f>
        <v>6</v>
      </c>
    </row>
    <row r="1942" spans="1:11" x14ac:dyDescent="0.3">
      <c r="A1942">
        <v>688</v>
      </c>
      <c r="B1942">
        <v>2</v>
      </c>
      <c r="C1942">
        <v>88</v>
      </c>
      <c r="D1942" t="str">
        <f>VLOOKUP(B1942, Products!$A$2:$C$100, 2, FALSE)</f>
        <v>Ritchey Timberwolf Frameset - 2016</v>
      </c>
      <c r="E1942">
        <v>1</v>
      </c>
      <c r="F1942">
        <v>189.99</v>
      </c>
      <c r="G1942">
        <v>0.05</v>
      </c>
      <c r="H1942">
        <v>9.4995000000000012</v>
      </c>
      <c r="I1942">
        <f>order_items[[#This Row],[list_price]]-order_items[[#This Row],[Discounted_price]]</f>
        <v>180.4905</v>
      </c>
      <c r="J1942">
        <f>VLOOKUP(B1942, Products!$A$2:$E$100, 3, FALSE)</f>
        <v>5</v>
      </c>
      <c r="K1942">
        <f>VLOOKUP(B1942, Products!$A$2:$F$100, 4, FALSE)</f>
        <v>6</v>
      </c>
    </row>
    <row r="1943" spans="1:11" x14ac:dyDescent="0.3">
      <c r="A1943">
        <v>689</v>
      </c>
      <c r="B1943">
        <v>1</v>
      </c>
      <c r="C1943">
        <v>33</v>
      </c>
      <c r="D1943" t="str">
        <f>VLOOKUP(B1943, Products!$A$2:$C$100, 2, FALSE)</f>
        <v>Trek 820 - 2016</v>
      </c>
      <c r="E1943">
        <v>2</v>
      </c>
      <c r="F1943">
        <v>469.99</v>
      </c>
      <c r="G1943">
        <v>0.1</v>
      </c>
      <c r="H1943">
        <v>46.999000000000002</v>
      </c>
      <c r="I1943">
        <f>order_items[[#This Row],[list_price]]-order_items[[#This Row],[Discounted_price]]</f>
        <v>422.99099999999999</v>
      </c>
      <c r="J1943">
        <f>VLOOKUP(B1943, Products!$A$2:$E$100, 3, FALSE)</f>
        <v>9</v>
      </c>
      <c r="K1943">
        <f>VLOOKUP(B1943, Products!$A$2:$F$100, 4, FALSE)</f>
        <v>6</v>
      </c>
    </row>
    <row r="1944" spans="1:11" x14ac:dyDescent="0.3">
      <c r="A1944">
        <v>690</v>
      </c>
      <c r="B1944">
        <v>1</v>
      </c>
      <c r="C1944">
        <v>84</v>
      </c>
      <c r="D1944" t="str">
        <f>VLOOKUP(B1944, Products!$A$2:$C$100, 2, FALSE)</f>
        <v>Trek 820 - 2016</v>
      </c>
      <c r="E1944">
        <v>1</v>
      </c>
      <c r="F1944">
        <v>109.99</v>
      </c>
      <c r="G1944">
        <v>0.2</v>
      </c>
      <c r="H1944">
        <v>21.998000000000001</v>
      </c>
      <c r="I1944">
        <f>order_items[[#This Row],[list_price]]-order_items[[#This Row],[Discounted_price]]</f>
        <v>87.99199999999999</v>
      </c>
      <c r="J1944">
        <f>VLOOKUP(B1944, Products!$A$2:$E$100, 3, FALSE)</f>
        <v>9</v>
      </c>
      <c r="K1944">
        <f>VLOOKUP(B1944, Products!$A$2:$F$100, 4, FALSE)</f>
        <v>6</v>
      </c>
    </row>
    <row r="1945" spans="1:11" x14ac:dyDescent="0.3">
      <c r="A1945">
        <v>690</v>
      </c>
      <c r="B1945">
        <v>2</v>
      </c>
      <c r="C1945">
        <v>11</v>
      </c>
      <c r="D1945" t="str">
        <f>VLOOKUP(B1945, Products!$A$2:$C$100, 2, FALSE)</f>
        <v>Ritchey Timberwolf Frameset - 2016</v>
      </c>
      <c r="E1945">
        <v>2</v>
      </c>
      <c r="F1945">
        <v>1680.99</v>
      </c>
      <c r="G1945">
        <v>7.0000000000000007E-2</v>
      </c>
      <c r="H1945">
        <v>117.66930000000001</v>
      </c>
      <c r="I1945">
        <f>order_items[[#This Row],[list_price]]-order_items[[#This Row],[Discounted_price]]</f>
        <v>1563.3207</v>
      </c>
      <c r="J1945">
        <f>VLOOKUP(B1945, Products!$A$2:$E$100, 3, FALSE)</f>
        <v>5</v>
      </c>
      <c r="K1945">
        <f>VLOOKUP(B1945, Products!$A$2:$F$100, 4, FALSE)</f>
        <v>6</v>
      </c>
    </row>
    <row r="1946" spans="1:11" x14ac:dyDescent="0.3">
      <c r="A1946">
        <v>690</v>
      </c>
      <c r="B1946">
        <v>3</v>
      </c>
      <c r="C1946">
        <v>85</v>
      </c>
      <c r="D1946" t="str">
        <f>VLOOKUP(B1946, Products!$A$2:$C$100, 2, FALSE)</f>
        <v>Surly Wednesday Frameset - 2016</v>
      </c>
      <c r="E1946">
        <v>1</v>
      </c>
      <c r="F1946">
        <v>329.99</v>
      </c>
      <c r="G1946">
        <v>0.05</v>
      </c>
      <c r="H1946">
        <v>16.499500000000001</v>
      </c>
      <c r="I1946">
        <f>order_items[[#This Row],[list_price]]-order_items[[#This Row],[Discounted_price]]</f>
        <v>313.4905</v>
      </c>
      <c r="J1946">
        <f>VLOOKUP(B1946, Products!$A$2:$E$100, 3, FALSE)</f>
        <v>8</v>
      </c>
      <c r="K1946">
        <f>VLOOKUP(B1946, Products!$A$2:$F$100, 4, FALSE)</f>
        <v>6</v>
      </c>
    </row>
    <row r="1947" spans="1:11" x14ac:dyDescent="0.3">
      <c r="A1947">
        <v>690</v>
      </c>
      <c r="B1947">
        <v>4</v>
      </c>
      <c r="C1947">
        <v>109</v>
      </c>
      <c r="D1947" t="str">
        <f>VLOOKUP(B1947, Products!$A$2:$C$100, 2, FALSE)</f>
        <v>Trek Fuel EX 8 29 - 2016</v>
      </c>
      <c r="E1947">
        <v>2</v>
      </c>
      <c r="F1947">
        <v>416.99</v>
      </c>
      <c r="G1947">
        <v>0.2</v>
      </c>
      <c r="H1947">
        <v>83.39800000000001</v>
      </c>
      <c r="I1947">
        <f>order_items[[#This Row],[list_price]]-order_items[[#This Row],[Discounted_price]]</f>
        <v>333.59199999999998</v>
      </c>
      <c r="J1947">
        <f>VLOOKUP(B1947, Products!$A$2:$E$100, 3, FALSE)</f>
        <v>9</v>
      </c>
      <c r="K1947">
        <f>VLOOKUP(B1947, Products!$A$2:$F$100, 4, FALSE)</f>
        <v>6</v>
      </c>
    </row>
    <row r="1948" spans="1:11" x14ac:dyDescent="0.3">
      <c r="A1948">
        <v>691</v>
      </c>
      <c r="B1948">
        <v>1</v>
      </c>
      <c r="C1948">
        <v>23</v>
      </c>
      <c r="D1948" t="str">
        <f>VLOOKUP(B1948, Products!$A$2:$C$100, 2, FALSE)</f>
        <v>Trek 820 - 2016</v>
      </c>
      <c r="E1948">
        <v>2</v>
      </c>
      <c r="F1948">
        <v>299.99</v>
      </c>
      <c r="G1948">
        <v>0.05</v>
      </c>
      <c r="H1948">
        <v>14.999500000000001</v>
      </c>
      <c r="I1948">
        <f>order_items[[#This Row],[list_price]]-order_items[[#This Row],[Discounted_price]]</f>
        <v>284.9905</v>
      </c>
      <c r="J1948">
        <f>VLOOKUP(B1948, Products!$A$2:$E$100, 3, FALSE)</f>
        <v>9</v>
      </c>
      <c r="K1948">
        <f>VLOOKUP(B1948, Products!$A$2:$F$100, 4, FALSE)</f>
        <v>6</v>
      </c>
    </row>
    <row r="1949" spans="1:11" x14ac:dyDescent="0.3">
      <c r="A1949">
        <v>691</v>
      </c>
      <c r="B1949">
        <v>2</v>
      </c>
      <c r="C1949">
        <v>5</v>
      </c>
      <c r="D1949" t="str">
        <f>VLOOKUP(B1949, Products!$A$2:$C$100, 2, FALSE)</f>
        <v>Ritchey Timberwolf Frameset - 2016</v>
      </c>
      <c r="E1949">
        <v>2</v>
      </c>
      <c r="F1949">
        <v>1320.99</v>
      </c>
      <c r="G1949">
        <v>0.1</v>
      </c>
      <c r="H1949">
        <v>132.09900000000002</v>
      </c>
      <c r="I1949">
        <f>order_items[[#This Row],[list_price]]-order_items[[#This Row],[Discounted_price]]</f>
        <v>1188.8910000000001</v>
      </c>
      <c r="J1949">
        <f>VLOOKUP(B1949, Products!$A$2:$E$100, 3, FALSE)</f>
        <v>5</v>
      </c>
      <c r="K1949">
        <f>VLOOKUP(B1949, Products!$A$2:$F$100, 4, FALSE)</f>
        <v>6</v>
      </c>
    </row>
    <row r="1950" spans="1:11" x14ac:dyDescent="0.3">
      <c r="A1950">
        <v>691</v>
      </c>
      <c r="B1950">
        <v>3</v>
      </c>
      <c r="C1950">
        <v>55</v>
      </c>
      <c r="D1950" t="str">
        <f>VLOOKUP(B1950, Products!$A$2:$C$100, 2, FALSE)</f>
        <v>Surly Wednesday Frameset - 2016</v>
      </c>
      <c r="E1950">
        <v>2</v>
      </c>
      <c r="F1950">
        <v>2699.99</v>
      </c>
      <c r="G1950">
        <v>0.2</v>
      </c>
      <c r="H1950">
        <v>539.99799999999993</v>
      </c>
      <c r="I1950">
        <f>order_items[[#This Row],[list_price]]-order_items[[#This Row],[Discounted_price]]</f>
        <v>2159.9919999999997</v>
      </c>
      <c r="J1950">
        <f>VLOOKUP(B1950, Products!$A$2:$E$100, 3, FALSE)</f>
        <v>8</v>
      </c>
      <c r="K1950">
        <f>VLOOKUP(B1950, Products!$A$2:$F$100, 4, FALSE)</f>
        <v>6</v>
      </c>
    </row>
    <row r="1951" spans="1:11" x14ac:dyDescent="0.3">
      <c r="A1951">
        <v>691</v>
      </c>
      <c r="B1951">
        <v>4</v>
      </c>
      <c r="C1951">
        <v>20</v>
      </c>
      <c r="D1951" t="str">
        <f>VLOOKUP(B1951, Products!$A$2:$C$100, 2, FALSE)</f>
        <v>Trek Fuel EX 8 29 - 2016</v>
      </c>
      <c r="E1951">
        <v>1</v>
      </c>
      <c r="F1951">
        <v>599.99</v>
      </c>
      <c r="G1951">
        <v>0.2</v>
      </c>
      <c r="H1951">
        <v>119.998</v>
      </c>
      <c r="I1951">
        <f>order_items[[#This Row],[list_price]]-order_items[[#This Row],[Discounted_price]]</f>
        <v>479.99200000000002</v>
      </c>
      <c r="J1951">
        <f>VLOOKUP(B1951, Products!$A$2:$E$100, 3, FALSE)</f>
        <v>9</v>
      </c>
      <c r="K1951">
        <f>VLOOKUP(B1951, Products!$A$2:$F$100, 4, FALSE)</f>
        <v>6</v>
      </c>
    </row>
    <row r="1952" spans="1:11" x14ac:dyDescent="0.3">
      <c r="A1952">
        <v>692</v>
      </c>
      <c r="B1952">
        <v>1</v>
      </c>
      <c r="C1952">
        <v>59</v>
      </c>
      <c r="D1952" t="str">
        <f>VLOOKUP(B1952, Products!$A$2:$C$100, 2, FALSE)</f>
        <v>Trek 820 - 2016</v>
      </c>
      <c r="E1952">
        <v>1</v>
      </c>
      <c r="F1952">
        <v>2599.9899999999998</v>
      </c>
      <c r="G1952">
        <v>0.2</v>
      </c>
      <c r="H1952">
        <v>519.99799999999993</v>
      </c>
      <c r="I1952">
        <f>order_items[[#This Row],[list_price]]-order_items[[#This Row],[Discounted_price]]</f>
        <v>2079.9919999999997</v>
      </c>
      <c r="J1952">
        <f>VLOOKUP(B1952, Products!$A$2:$E$100, 3, FALSE)</f>
        <v>9</v>
      </c>
      <c r="K1952">
        <f>VLOOKUP(B1952, Products!$A$2:$F$100, 4, FALSE)</f>
        <v>6</v>
      </c>
    </row>
    <row r="1953" spans="1:11" x14ac:dyDescent="0.3">
      <c r="A1953">
        <v>692</v>
      </c>
      <c r="B1953">
        <v>2</v>
      </c>
      <c r="C1953">
        <v>75</v>
      </c>
      <c r="D1953" t="str">
        <f>VLOOKUP(B1953, Products!$A$2:$C$100, 2, FALSE)</f>
        <v>Ritchey Timberwolf Frameset - 2016</v>
      </c>
      <c r="E1953">
        <v>1</v>
      </c>
      <c r="F1953">
        <v>599.99</v>
      </c>
      <c r="G1953">
        <v>7.0000000000000007E-2</v>
      </c>
      <c r="H1953">
        <v>41.999300000000005</v>
      </c>
      <c r="I1953">
        <f>order_items[[#This Row],[list_price]]-order_items[[#This Row],[Discounted_price]]</f>
        <v>557.99070000000006</v>
      </c>
      <c r="J1953">
        <f>VLOOKUP(B1953, Products!$A$2:$E$100, 3, FALSE)</f>
        <v>5</v>
      </c>
      <c r="K1953">
        <f>VLOOKUP(B1953, Products!$A$2:$F$100, 4, FALSE)</f>
        <v>6</v>
      </c>
    </row>
    <row r="1954" spans="1:11" x14ac:dyDescent="0.3">
      <c r="A1954">
        <v>692</v>
      </c>
      <c r="B1954">
        <v>3</v>
      </c>
      <c r="C1954">
        <v>15</v>
      </c>
      <c r="D1954" t="str">
        <f>VLOOKUP(B1954, Products!$A$2:$C$100, 2, FALSE)</f>
        <v>Surly Wednesday Frameset - 2016</v>
      </c>
      <c r="E1954">
        <v>2</v>
      </c>
      <c r="F1954">
        <v>529.99</v>
      </c>
      <c r="G1954">
        <v>7.0000000000000007E-2</v>
      </c>
      <c r="H1954">
        <v>37.099300000000007</v>
      </c>
      <c r="I1954">
        <f>order_items[[#This Row],[list_price]]-order_items[[#This Row],[Discounted_price]]</f>
        <v>492.89069999999998</v>
      </c>
      <c r="J1954">
        <f>VLOOKUP(B1954, Products!$A$2:$E$100, 3, FALSE)</f>
        <v>8</v>
      </c>
      <c r="K1954">
        <f>VLOOKUP(B1954, Products!$A$2:$F$100, 4, FALSE)</f>
        <v>6</v>
      </c>
    </row>
    <row r="1955" spans="1:11" x14ac:dyDescent="0.3">
      <c r="A1955">
        <v>692</v>
      </c>
      <c r="B1955">
        <v>4</v>
      </c>
      <c r="C1955">
        <v>56</v>
      </c>
      <c r="D1955" t="str">
        <f>VLOOKUP(B1955, Products!$A$2:$C$100, 2, FALSE)</f>
        <v>Trek Fuel EX 8 29 - 2016</v>
      </c>
      <c r="E1955">
        <v>2</v>
      </c>
      <c r="F1955">
        <v>5499.99</v>
      </c>
      <c r="G1955">
        <v>0.1</v>
      </c>
      <c r="H1955">
        <v>549.99900000000002</v>
      </c>
      <c r="I1955">
        <f>order_items[[#This Row],[list_price]]-order_items[[#This Row],[Discounted_price]]</f>
        <v>4949.991</v>
      </c>
      <c r="J1955">
        <f>VLOOKUP(B1955, Products!$A$2:$E$100, 3, FALSE)</f>
        <v>9</v>
      </c>
      <c r="K1955">
        <f>VLOOKUP(B1955, Products!$A$2:$F$100, 4, FALSE)</f>
        <v>6</v>
      </c>
    </row>
    <row r="1956" spans="1:11" x14ac:dyDescent="0.3">
      <c r="A1956">
        <v>693</v>
      </c>
      <c r="B1956">
        <v>1</v>
      </c>
      <c r="C1956">
        <v>104</v>
      </c>
      <c r="D1956" t="str">
        <f>VLOOKUP(B1956, Products!$A$2:$C$100, 2, FALSE)</f>
        <v>Trek 820 - 2016</v>
      </c>
      <c r="E1956">
        <v>2</v>
      </c>
      <c r="F1956">
        <v>481.99</v>
      </c>
      <c r="G1956">
        <v>0.2</v>
      </c>
      <c r="H1956">
        <v>96.39800000000001</v>
      </c>
      <c r="I1956">
        <f>order_items[[#This Row],[list_price]]-order_items[[#This Row],[Discounted_price]]</f>
        <v>385.59199999999998</v>
      </c>
      <c r="J1956">
        <f>VLOOKUP(B1956, Products!$A$2:$E$100, 3, FALSE)</f>
        <v>9</v>
      </c>
      <c r="K1956">
        <f>VLOOKUP(B1956, Products!$A$2:$F$100, 4, FALSE)</f>
        <v>6</v>
      </c>
    </row>
    <row r="1957" spans="1:11" x14ac:dyDescent="0.3">
      <c r="A1957">
        <v>693</v>
      </c>
      <c r="B1957">
        <v>2</v>
      </c>
      <c r="C1957">
        <v>13</v>
      </c>
      <c r="D1957" t="str">
        <f>VLOOKUP(B1957, Products!$A$2:$C$100, 2, FALSE)</f>
        <v>Ritchey Timberwolf Frameset - 2016</v>
      </c>
      <c r="E1957">
        <v>1</v>
      </c>
      <c r="F1957">
        <v>269.99</v>
      </c>
      <c r="G1957">
        <v>0.2</v>
      </c>
      <c r="H1957">
        <v>53.998000000000005</v>
      </c>
      <c r="I1957">
        <f>order_items[[#This Row],[list_price]]-order_items[[#This Row],[Discounted_price]]</f>
        <v>215.99200000000002</v>
      </c>
      <c r="J1957">
        <f>VLOOKUP(B1957, Products!$A$2:$E$100, 3, FALSE)</f>
        <v>5</v>
      </c>
      <c r="K1957">
        <f>VLOOKUP(B1957, Products!$A$2:$F$100, 4, FALSE)</f>
        <v>6</v>
      </c>
    </row>
    <row r="1958" spans="1:11" x14ac:dyDescent="0.3">
      <c r="A1958">
        <v>693</v>
      </c>
      <c r="B1958">
        <v>3</v>
      </c>
      <c r="C1958">
        <v>5</v>
      </c>
      <c r="D1958" t="str">
        <f>VLOOKUP(B1958, Products!$A$2:$C$100, 2, FALSE)</f>
        <v>Surly Wednesday Frameset - 2016</v>
      </c>
      <c r="E1958">
        <v>2</v>
      </c>
      <c r="F1958">
        <v>1320.99</v>
      </c>
      <c r="G1958">
        <v>0.05</v>
      </c>
      <c r="H1958">
        <v>66.049500000000009</v>
      </c>
      <c r="I1958">
        <f>order_items[[#This Row],[list_price]]-order_items[[#This Row],[Discounted_price]]</f>
        <v>1254.9404999999999</v>
      </c>
      <c r="J1958">
        <f>VLOOKUP(B1958, Products!$A$2:$E$100, 3, FALSE)</f>
        <v>8</v>
      </c>
      <c r="K1958">
        <f>VLOOKUP(B1958, Products!$A$2:$F$100, 4, FALSE)</f>
        <v>6</v>
      </c>
    </row>
    <row r="1959" spans="1:11" x14ac:dyDescent="0.3">
      <c r="A1959">
        <v>693</v>
      </c>
      <c r="B1959">
        <v>4</v>
      </c>
      <c r="C1959">
        <v>31</v>
      </c>
      <c r="D1959" t="str">
        <f>VLOOKUP(B1959, Products!$A$2:$C$100, 2, FALSE)</f>
        <v>Trek Fuel EX 8 29 - 2016</v>
      </c>
      <c r="E1959">
        <v>1</v>
      </c>
      <c r="F1959">
        <v>1632.99</v>
      </c>
      <c r="G1959">
        <v>7.0000000000000007E-2</v>
      </c>
      <c r="H1959">
        <v>114.30930000000001</v>
      </c>
      <c r="I1959">
        <f>order_items[[#This Row],[list_price]]-order_items[[#This Row],[Discounted_price]]</f>
        <v>1518.6806999999999</v>
      </c>
      <c r="J1959">
        <f>VLOOKUP(B1959, Products!$A$2:$E$100, 3, FALSE)</f>
        <v>9</v>
      </c>
      <c r="K1959">
        <f>VLOOKUP(B1959, Products!$A$2:$F$100, 4, FALSE)</f>
        <v>6</v>
      </c>
    </row>
    <row r="1960" spans="1:11" x14ac:dyDescent="0.3">
      <c r="A1960">
        <v>694</v>
      </c>
      <c r="B1960">
        <v>1</v>
      </c>
      <c r="C1960">
        <v>48</v>
      </c>
      <c r="D1960" t="str">
        <f>VLOOKUP(B1960, Products!$A$2:$C$100, 2, FALSE)</f>
        <v>Trek 820 - 2016</v>
      </c>
      <c r="E1960">
        <v>1</v>
      </c>
      <c r="F1960">
        <v>1499.99</v>
      </c>
      <c r="G1960">
        <v>0.2</v>
      </c>
      <c r="H1960">
        <v>299.99799999999999</v>
      </c>
      <c r="I1960">
        <f>order_items[[#This Row],[list_price]]-order_items[[#This Row],[Discounted_price]]</f>
        <v>1199.992</v>
      </c>
      <c r="J1960">
        <f>VLOOKUP(B1960, Products!$A$2:$E$100, 3, FALSE)</f>
        <v>9</v>
      </c>
      <c r="K1960">
        <f>VLOOKUP(B1960, Products!$A$2:$F$100, 4, FALSE)</f>
        <v>6</v>
      </c>
    </row>
    <row r="1961" spans="1:11" x14ac:dyDescent="0.3">
      <c r="A1961">
        <v>694</v>
      </c>
      <c r="B1961">
        <v>2</v>
      </c>
      <c r="C1961">
        <v>39</v>
      </c>
      <c r="D1961" t="str">
        <f>VLOOKUP(B1961, Products!$A$2:$C$100, 2, FALSE)</f>
        <v>Ritchey Timberwolf Frameset - 2016</v>
      </c>
      <c r="E1961">
        <v>1</v>
      </c>
      <c r="F1961">
        <v>1499.99</v>
      </c>
      <c r="G1961">
        <v>0.05</v>
      </c>
      <c r="H1961">
        <v>74.999499999999998</v>
      </c>
      <c r="I1961">
        <f>order_items[[#This Row],[list_price]]-order_items[[#This Row],[Discounted_price]]</f>
        <v>1424.9905000000001</v>
      </c>
      <c r="J1961">
        <f>VLOOKUP(B1961, Products!$A$2:$E$100, 3, FALSE)</f>
        <v>5</v>
      </c>
      <c r="K1961">
        <f>VLOOKUP(B1961, Products!$A$2:$F$100, 4, FALSE)</f>
        <v>6</v>
      </c>
    </row>
    <row r="1962" spans="1:11" x14ac:dyDescent="0.3">
      <c r="A1962">
        <v>694</v>
      </c>
      <c r="B1962">
        <v>3</v>
      </c>
      <c r="C1962">
        <v>55</v>
      </c>
      <c r="D1962" t="str">
        <f>VLOOKUP(B1962, Products!$A$2:$C$100, 2, FALSE)</f>
        <v>Surly Wednesday Frameset - 2016</v>
      </c>
      <c r="E1962">
        <v>2</v>
      </c>
      <c r="F1962">
        <v>2699.99</v>
      </c>
      <c r="G1962">
        <v>0.1</v>
      </c>
      <c r="H1962">
        <v>269.99899999999997</v>
      </c>
      <c r="I1962">
        <f>order_items[[#This Row],[list_price]]-order_items[[#This Row],[Discounted_price]]</f>
        <v>2429.991</v>
      </c>
      <c r="J1962">
        <f>VLOOKUP(B1962, Products!$A$2:$E$100, 3, FALSE)</f>
        <v>8</v>
      </c>
      <c r="K1962">
        <f>VLOOKUP(B1962, Products!$A$2:$F$100, 4, FALSE)</f>
        <v>6</v>
      </c>
    </row>
    <row r="1963" spans="1:11" x14ac:dyDescent="0.3">
      <c r="A1963">
        <v>694</v>
      </c>
      <c r="B1963">
        <v>4</v>
      </c>
      <c r="C1963">
        <v>103</v>
      </c>
      <c r="D1963" t="str">
        <f>VLOOKUP(B1963, Products!$A$2:$C$100, 2, FALSE)</f>
        <v>Trek Fuel EX 8 29 - 2016</v>
      </c>
      <c r="E1963">
        <v>2</v>
      </c>
      <c r="F1963">
        <v>551.99</v>
      </c>
      <c r="G1963">
        <v>0.2</v>
      </c>
      <c r="H1963">
        <v>110.39800000000001</v>
      </c>
      <c r="I1963">
        <f>order_items[[#This Row],[list_price]]-order_items[[#This Row],[Discounted_price]]</f>
        <v>441.59199999999998</v>
      </c>
      <c r="J1963">
        <f>VLOOKUP(B1963, Products!$A$2:$E$100, 3, FALSE)</f>
        <v>9</v>
      </c>
      <c r="K1963">
        <f>VLOOKUP(B1963, Products!$A$2:$F$100, 4, FALSE)</f>
        <v>6</v>
      </c>
    </row>
    <row r="1964" spans="1:11" x14ac:dyDescent="0.3">
      <c r="A1964">
        <v>694</v>
      </c>
      <c r="B1964">
        <v>5</v>
      </c>
      <c r="C1964">
        <v>45</v>
      </c>
      <c r="D1964" t="str">
        <f>VLOOKUP(B1964, Products!$A$2:$C$100, 2, FALSE)</f>
        <v>Heller Shagamaw Frame - 2016</v>
      </c>
      <c r="E1964">
        <v>2</v>
      </c>
      <c r="F1964">
        <v>869.99</v>
      </c>
      <c r="G1964">
        <v>0.1</v>
      </c>
      <c r="H1964">
        <v>86.999000000000009</v>
      </c>
      <c r="I1964">
        <f>order_items[[#This Row],[list_price]]-order_items[[#This Row],[Discounted_price]]</f>
        <v>782.99099999999999</v>
      </c>
      <c r="J1964">
        <f>VLOOKUP(B1964, Products!$A$2:$E$100, 3, FALSE)</f>
        <v>3</v>
      </c>
      <c r="K1964">
        <f>VLOOKUP(B1964, Products!$A$2:$F$100, 4, FALSE)</f>
        <v>6</v>
      </c>
    </row>
    <row r="1965" spans="1:11" x14ac:dyDescent="0.3">
      <c r="A1965">
        <v>695</v>
      </c>
      <c r="B1965">
        <v>1</v>
      </c>
      <c r="C1965">
        <v>82</v>
      </c>
      <c r="D1965" t="str">
        <f>VLOOKUP(B1965, Products!$A$2:$C$100, 2, FALSE)</f>
        <v>Trek 820 - 2016</v>
      </c>
      <c r="E1965">
        <v>2</v>
      </c>
      <c r="F1965">
        <v>659.99</v>
      </c>
      <c r="G1965">
        <v>0.1</v>
      </c>
      <c r="H1965">
        <v>65.999000000000009</v>
      </c>
      <c r="I1965">
        <f>order_items[[#This Row],[list_price]]-order_items[[#This Row],[Discounted_price]]</f>
        <v>593.99099999999999</v>
      </c>
      <c r="J1965">
        <f>VLOOKUP(B1965, Products!$A$2:$E$100, 3, FALSE)</f>
        <v>9</v>
      </c>
      <c r="K1965">
        <f>VLOOKUP(B1965, Products!$A$2:$F$100, 4, FALSE)</f>
        <v>6</v>
      </c>
    </row>
    <row r="1966" spans="1:11" x14ac:dyDescent="0.3">
      <c r="A1966">
        <v>695</v>
      </c>
      <c r="B1966">
        <v>2</v>
      </c>
      <c r="C1966">
        <v>57</v>
      </c>
      <c r="D1966" t="str">
        <f>VLOOKUP(B1966, Products!$A$2:$C$100, 2, FALSE)</f>
        <v>Ritchey Timberwolf Frameset - 2016</v>
      </c>
      <c r="E1966">
        <v>2</v>
      </c>
      <c r="F1966">
        <v>1999.99</v>
      </c>
      <c r="G1966">
        <v>0.2</v>
      </c>
      <c r="H1966">
        <v>399.99800000000005</v>
      </c>
      <c r="I1966">
        <f>order_items[[#This Row],[list_price]]-order_items[[#This Row],[Discounted_price]]</f>
        <v>1599.992</v>
      </c>
      <c r="J1966">
        <f>VLOOKUP(B1966, Products!$A$2:$E$100, 3, FALSE)</f>
        <v>5</v>
      </c>
      <c r="K1966">
        <f>VLOOKUP(B1966, Products!$A$2:$F$100, 4, FALSE)</f>
        <v>6</v>
      </c>
    </row>
    <row r="1967" spans="1:11" x14ac:dyDescent="0.3">
      <c r="A1967">
        <v>696</v>
      </c>
      <c r="B1967">
        <v>1</v>
      </c>
      <c r="C1967">
        <v>88</v>
      </c>
      <c r="D1967" t="str">
        <f>VLOOKUP(B1967, Products!$A$2:$C$100, 2, FALSE)</f>
        <v>Trek 820 - 2016</v>
      </c>
      <c r="E1967">
        <v>2</v>
      </c>
      <c r="F1967">
        <v>189.99</v>
      </c>
      <c r="G1967">
        <v>7.0000000000000007E-2</v>
      </c>
      <c r="H1967">
        <v>13.299300000000002</v>
      </c>
      <c r="I1967">
        <f>order_items[[#This Row],[list_price]]-order_items[[#This Row],[Discounted_price]]</f>
        <v>176.69069999999999</v>
      </c>
      <c r="J1967">
        <f>VLOOKUP(B1967, Products!$A$2:$E$100, 3, FALSE)</f>
        <v>9</v>
      </c>
      <c r="K1967">
        <f>VLOOKUP(B1967, Products!$A$2:$F$100, 4, FALSE)</f>
        <v>6</v>
      </c>
    </row>
    <row r="1968" spans="1:11" x14ac:dyDescent="0.3">
      <c r="A1968">
        <v>696</v>
      </c>
      <c r="B1968">
        <v>2</v>
      </c>
      <c r="C1968">
        <v>7</v>
      </c>
      <c r="D1968" t="str">
        <f>VLOOKUP(B1968, Products!$A$2:$C$100, 2, FALSE)</f>
        <v>Ritchey Timberwolf Frameset - 2016</v>
      </c>
      <c r="E1968">
        <v>1</v>
      </c>
      <c r="F1968">
        <v>3999.99</v>
      </c>
      <c r="G1968">
        <v>0.1</v>
      </c>
      <c r="H1968">
        <v>399.99900000000002</v>
      </c>
      <c r="I1968">
        <f>order_items[[#This Row],[list_price]]-order_items[[#This Row],[Discounted_price]]</f>
        <v>3599.991</v>
      </c>
      <c r="J1968">
        <f>VLOOKUP(B1968, Products!$A$2:$E$100, 3, FALSE)</f>
        <v>5</v>
      </c>
      <c r="K1968">
        <f>VLOOKUP(B1968, Products!$A$2:$F$100, 4, FALSE)</f>
        <v>6</v>
      </c>
    </row>
    <row r="1969" spans="1:11" x14ac:dyDescent="0.3">
      <c r="A1969">
        <v>696</v>
      </c>
      <c r="B1969">
        <v>3</v>
      </c>
      <c r="C1969">
        <v>45</v>
      </c>
      <c r="D1969" t="str">
        <f>VLOOKUP(B1969, Products!$A$2:$C$100, 2, FALSE)</f>
        <v>Surly Wednesday Frameset - 2016</v>
      </c>
      <c r="E1969">
        <v>1</v>
      </c>
      <c r="F1969">
        <v>869.99</v>
      </c>
      <c r="G1969">
        <v>7.0000000000000007E-2</v>
      </c>
      <c r="H1969">
        <v>60.899300000000004</v>
      </c>
      <c r="I1969">
        <f>order_items[[#This Row],[list_price]]-order_items[[#This Row],[Discounted_price]]</f>
        <v>809.09069999999997</v>
      </c>
      <c r="J1969">
        <f>VLOOKUP(B1969, Products!$A$2:$E$100, 3, FALSE)</f>
        <v>8</v>
      </c>
      <c r="K1969">
        <f>VLOOKUP(B1969, Products!$A$2:$F$100, 4, FALSE)</f>
        <v>6</v>
      </c>
    </row>
    <row r="1970" spans="1:11" x14ac:dyDescent="0.3">
      <c r="A1970">
        <v>697</v>
      </c>
      <c r="B1970">
        <v>1</v>
      </c>
      <c r="C1970">
        <v>5</v>
      </c>
      <c r="D1970" t="str">
        <f>VLOOKUP(B1970, Products!$A$2:$C$100, 2, FALSE)</f>
        <v>Trek 820 - 2016</v>
      </c>
      <c r="E1970">
        <v>2</v>
      </c>
      <c r="F1970">
        <v>1320.99</v>
      </c>
      <c r="G1970">
        <v>0.05</v>
      </c>
      <c r="H1970">
        <v>66.049500000000009</v>
      </c>
      <c r="I1970">
        <f>order_items[[#This Row],[list_price]]-order_items[[#This Row],[Discounted_price]]</f>
        <v>1254.9404999999999</v>
      </c>
      <c r="J1970">
        <f>VLOOKUP(B1970, Products!$A$2:$E$100, 3, FALSE)</f>
        <v>9</v>
      </c>
      <c r="K1970">
        <f>VLOOKUP(B1970, Products!$A$2:$F$100, 4, FALSE)</f>
        <v>6</v>
      </c>
    </row>
    <row r="1971" spans="1:11" x14ac:dyDescent="0.3">
      <c r="A1971">
        <v>698</v>
      </c>
      <c r="B1971">
        <v>1</v>
      </c>
      <c r="C1971">
        <v>96</v>
      </c>
      <c r="D1971" t="str">
        <f>VLOOKUP(B1971, Products!$A$2:$C$100, 2, FALSE)</f>
        <v>Trek 820 - 2016</v>
      </c>
      <c r="E1971">
        <v>1</v>
      </c>
      <c r="F1971">
        <v>349.99</v>
      </c>
      <c r="G1971">
        <v>7.0000000000000007E-2</v>
      </c>
      <c r="H1971">
        <v>24.499300000000002</v>
      </c>
      <c r="I1971">
        <f>order_items[[#This Row],[list_price]]-order_items[[#This Row],[Discounted_price]]</f>
        <v>325.4907</v>
      </c>
      <c r="J1971">
        <f>VLOOKUP(B1971, Products!$A$2:$E$100, 3, FALSE)</f>
        <v>9</v>
      </c>
      <c r="K1971">
        <f>VLOOKUP(B1971, Products!$A$2:$F$100, 4, FALSE)</f>
        <v>6</v>
      </c>
    </row>
    <row r="1972" spans="1:11" x14ac:dyDescent="0.3">
      <c r="A1972">
        <v>698</v>
      </c>
      <c r="B1972">
        <v>2</v>
      </c>
      <c r="C1972">
        <v>12</v>
      </c>
      <c r="D1972" t="str">
        <f>VLOOKUP(B1972, Products!$A$2:$C$100, 2, FALSE)</f>
        <v>Ritchey Timberwolf Frameset - 2016</v>
      </c>
      <c r="E1972">
        <v>1</v>
      </c>
      <c r="F1972">
        <v>549.99</v>
      </c>
      <c r="G1972">
        <v>7.0000000000000007E-2</v>
      </c>
      <c r="H1972">
        <v>38.499300000000005</v>
      </c>
      <c r="I1972">
        <f>order_items[[#This Row],[list_price]]-order_items[[#This Row],[Discounted_price]]</f>
        <v>511.4907</v>
      </c>
      <c r="J1972">
        <f>VLOOKUP(B1972, Products!$A$2:$E$100, 3, FALSE)</f>
        <v>5</v>
      </c>
      <c r="K1972">
        <f>VLOOKUP(B1972, Products!$A$2:$F$100, 4, FALSE)</f>
        <v>6</v>
      </c>
    </row>
    <row r="1973" spans="1:11" x14ac:dyDescent="0.3">
      <c r="A1973">
        <v>698</v>
      </c>
      <c r="B1973">
        <v>3</v>
      </c>
      <c r="C1973">
        <v>40</v>
      </c>
      <c r="D1973" t="str">
        <f>VLOOKUP(B1973, Products!$A$2:$C$100, 2, FALSE)</f>
        <v>Surly Wednesday Frameset - 2016</v>
      </c>
      <c r="E1973">
        <v>2</v>
      </c>
      <c r="F1973">
        <v>4999.99</v>
      </c>
      <c r="G1973">
        <v>0.05</v>
      </c>
      <c r="H1973">
        <v>249.99950000000001</v>
      </c>
      <c r="I1973">
        <f>order_items[[#This Row],[list_price]]-order_items[[#This Row],[Discounted_price]]</f>
        <v>4749.9904999999999</v>
      </c>
      <c r="J1973">
        <f>VLOOKUP(B1973, Products!$A$2:$E$100, 3, FALSE)</f>
        <v>8</v>
      </c>
      <c r="K1973">
        <f>VLOOKUP(B1973, Products!$A$2:$F$100, 4, FALSE)</f>
        <v>6</v>
      </c>
    </row>
    <row r="1974" spans="1:11" x14ac:dyDescent="0.3">
      <c r="A1974">
        <v>699</v>
      </c>
      <c r="B1974">
        <v>1</v>
      </c>
      <c r="C1974">
        <v>106</v>
      </c>
      <c r="D1974" t="str">
        <f>VLOOKUP(B1974, Products!$A$2:$C$100, 2, FALSE)</f>
        <v>Trek 820 - 2016</v>
      </c>
      <c r="E1974">
        <v>2</v>
      </c>
      <c r="F1974">
        <v>449.99</v>
      </c>
      <c r="G1974">
        <v>0.1</v>
      </c>
      <c r="H1974">
        <v>44.999000000000002</v>
      </c>
      <c r="I1974">
        <f>order_items[[#This Row],[list_price]]-order_items[[#This Row],[Discounted_price]]</f>
        <v>404.99099999999999</v>
      </c>
      <c r="J1974">
        <f>VLOOKUP(B1974, Products!$A$2:$E$100, 3, FALSE)</f>
        <v>9</v>
      </c>
      <c r="K1974">
        <f>VLOOKUP(B1974, Products!$A$2:$F$100, 4, FALSE)</f>
        <v>6</v>
      </c>
    </row>
    <row r="1975" spans="1:11" x14ac:dyDescent="0.3">
      <c r="A1975">
        <v>699</v>
      </c>
      <c r="B1975">
        <v>2</v>
      </c>
      <c r="C1975">
        <v>48</v>
      </c>
      <c r="D1975" t="str">
        <f>VLOOKUP(B1975, Products!$A$2:$C$100, 2, FALSE)</f>
        <v>Ritchey Timberwolf Frameset - 2016</v>
      </c>
      <c r="E1975">
        <v>1</v>
      </c>
      <c r="F1975">
        <v>1499.99</v>
      </c>
      <c r="G1975">
        <v>7.0000000000000007E-2</v>
      </c>
      <c r="H1975">
        <v>104.99930000000001</v>
      </c>
      <c r="I1975">
        <f>order_items[[#This Row],[list_price]]-order_items[[#This Row],[Discounted_price]]</f>
        <v>1394.9907000000001</v>
      </c>
      <c r="J1975">
        <f>VLOOKUP(B1975, Products!$A$2:$E$100, 3, FALSE)</f>
        <v>5</v>
      </c>
      <c r="K1975">
        <f>VLOOKUP(B1975, Products!$A$2:$F$100, 4, FALSE)</f>
        <v>6</v>
      </c>
    </row>
    <row r="1976" spans="1:11" x14ac:dyDescent="0.3">
      <c r="A1976">
        <v>699</v>
      </c>
      <c r="B1976">
        <v>3</v>
      </c>
      <c r="C1976">
        <v>31</v>
      </c>
      <c r="D1976" t="str">
        <f>VLOOKUP(B1976, Products!$A$2:$C$100, 2, FALSE)</f>
        <v>Surly Wednesday Frameset - 2016</v>
      </c>
      <c r="E1976">
        <v>1</v>
      </c>
      <c r="F1976">
        <v>1632.99</v>
      </c>
      <c r="G1976">
        <v>0.2</v>
      </c>
      <c r="H1976">
        <v>326.59800000000001</v>
      </c>
      <c r="I1976">
        <f>order_items[[#This Row],[list_price]]-order_items[[#This Row],[Discounted_price]]</f>
        <v>1306.3920000000001</v>
      </c>
      <c r="J1976">
        <f>VLOOKUP(B1976, Products!$A$2:$E$100, 3, FALSE)</f>
        <v>8</v>
      </c>
      <c r="K1976">
        <f>VLOOKUP(B1976, Products!$A$2:$F$100, 4, FALSE)</f>
        <v>6</v>
      </c>
    </row>
    <row r="1977" spans="1:11" x14ac:dyDescent="0.3">
      <c r="A1977">
        <v>699</v>
      </c>
      <c r="B1977">
        <v>4</v>
      </c>
      <c r="C1977">
        <v>24</v>
      </c>
      <c r="D1977" t="str">
        <f>VLOOKUP(B1977, Products!$A$2:$C$100, 2, FALSE)</f>
        <v>Trek Fuel EX 8 29 - 2016</v>
      </c>
      <c r="E1977">
        <v>2</v>
      </c>
      <c r="F1977">
        <v>549.99</v>
      </c>
      <c r="G1977">
        <v>0.1</v>
      </c>
      <c r="H1977">
        <v>54.999000000000002</v>
      </c>
      <c r="I1977">
        <f>order_items[[#This Row],[list_price]]-order_items[[#This Row],[Discounted_price]]</f>
        <v>494.99099999999999</v>
      </c>
      <c r="J1977">
        <f>VLOOKUP(B1977, Products!$A$2:$E$100, 3, FALSE)</f>
        <v>9</v>
      </c>
      <c r="K1977">
        <f>VLOOKUP(B1977, Products!$A$2:$F$100, 4, FALSE)</f>
        <v>6</v>
      </c>
    </row>
    <row r="1978" spans="1:11" x14ac:dyDescent="0.3">
      <c r="A1978">
        <v>699</v>
      </c>
      <c r="B1978">
        <v>5</v>
      </c>
      <c r="C1978">
        <v>82</v>
      </c>
      <c r="D1978" t="str">
        <f>VLOOKUP(B1978, Products!$A$2:$C$100, 2, FALSE)</f>
        <v>Heller Shagamaw Frame - 2016</v>
      </c>
      <c r="E1978">
        <v>2</v>
      </c>
      <c r="F1978">
        <v>659.99</v>
      </c>
      <c r="G1978">
        <v>0.2</v>
      </c>
      <c r="H1978">
        <v>131.99800000000002</v>
      </c>
      <c r="I1978">
        <f>order_items[[#This Row],[list_price]]-order_items[[#This Row],[Discounted_price]]</f>
        <v>527.99199999999996</v>
      </c>
      <c r="J1978">
        <f>VLOOKUP(B1978, Products!$A$2:$E$100, 3, FALSE)</f>
        <v>3</v>
      </c>
      <c r="K1978">
        <f>VLOOKUP(B1978, Products!$A$2:$F$100, 4, FALSE)</f>
        <v>6</v>
      </c>
    </row>
    <row r="1979" spans="1:11" x14ac:dyDescent="0.3">
      <c r="A1979">
        <v>700</v>
      </c>
      <c r="B1979">
        <v>1</v>
      </c>
      <c r="C1979">
        <v>7</v>
      </c>
      <c r="D1979" t="str">
        <f>VLOOKUP(B1979, Products!$A$2:$C$100, 2, FALSE)</f>
        <v>Trek 820 - 2016</v>
      </c>
      <c r="E1979">
        <v>2</v>
      </c>
      <c r="F1979">
        <v>3999.99</v>
      </c>
      <c r="G1979">
        <v>0.05</v>
      </c>
      <c r="H1979">
        <v>199.99950000000001</v>
      </c>
      <c r="I1979">
        <f>order_items[[#This Row],[list_price]]-order_items[[#This Row],[Discounted_price]]</f>
        <v>3799.9904999999999</v>
      </c>
      <c r="J1979">
        <f>VLOOKUP(B1979, Products!$A$2:$E$100, 3, FALSE)</f>
        <v>9</v>
      </c>
      <c r="K1979">
        <f>VLOOKUP(B1979, Products!$A$2:$F$100, 4, FALSE)</f>
        <v>6</v>
      </c>
    </row>
    <row r="1980" spans="1:11" x14ac:dyDescent="0.3">
      <c r="A1980">
        <v>700</v>
      </c>
      <c r="B1980">
        <v>2</v>
      </c>
      <c r="C1980">
        <v>63</v>
      </c>
      <c r="D1980" t="str">
        <f>VLOOKUP(B1980, Products!$A$2:$C$100, 2, FALSE)</f>
        <v>Ritchey Timberwolf Frameset - 2016</v>
      </c>
      <c r="E1980">
        <v>1</v>
      </c>
      <c r="F1980">
        <v>3499.99</v>
      </c>
      <c r="G1980">
        <v>0.2</v>
      </c>
      <c r="H1980">
        <v>699.99800000000005</v>
      </c>
      <c r="I1980">
        <f>order_items[[#This Row],[list_price]]-order_items[[#This Row],[Discounted_price]]</f>
        <v>2799.9919999999997</v>
      </c>
      <c r="J1980">
        <f>VLOOKUP(B1980, Products!$A$2:$E$100, 3, FALSE)</f>
        <v>5</v>
      </c>
      <c r="K1980">
        <f>VLOOKUP(B1980, Products!$A$2:$F$100, 4, FALSE)</f>
        <v>6</v>
      </c>
    </row>
    <row r="1981" spans="1:11" x14ac:dyDescent="0.3">
      <c r="A1981">
        <v>701</v>
      </c>
      <c r="B1981">
        <v>1</v>
      </c>
      <c r="C1981">
        <v>84</v>
      </c>
      <c r="D1981" t="str">
        <f>VLOOKUP(B1981, Products!$A$2:$C$100, 2, FALSE)</f>
        <v>Trek 820 - 2016</v>
      </c>
      <c r="E1981">
        <v>1</v>
      </c>
      <c r="F1981">
        <v>109.99</v>
      </c>
      <c r="G1981">
        <v>0.05</v>
      </c>
      <c r="H1981">
        <v>5.4995000000000003</v>
      </c>
      <c r="I1981">
        <f>order_items[[#This Row],[list_price]]-order_items[[#This Row],[Discounted_price]]</f>
        <v>104.4905</v>
      </c>
      <c r="J1981">
        <f>VLOOKUP(B1981, Products!$A$2:$E$100, 3, FALSE)</f>
        <v>9</v>
      </c>
      <c r="K1981">
        <f>VLOOKUP(B1981, Products!$A$2:$F$100, 4, FALSE)</f>
        <v>6</v>
      </c>
    </row>
    <row r="1982" spans="1:11" x14ac:dyDescent="0.3">
      <c r="A1982">
        <v>702</v>
      </c>
      <c r="B1982">
        <v>1</v>
      </c>
      <c r="C1982">
        <v>25</v>
      </c>
      <c r="D1982" t="str">
        <f>VLOOKUP(B1982, Products!$A$2:$C$100, 2, FALSE)</f>
        <v>Trek 820 - 2016</v>
      </c>
      <c r="E1982">
        <v>2</v>
      </c>
      <c r="F1982">
        <v>499.99</v>
      </c>
      <c r="G1982">
        <v>0.05</v>
      </c>
      <c r="H1982">
        <v>24.999500000000001</v>
      </c>
      <c r="I1982">
        <f>order_items[[#This Row],[list_price]]-order_items[[#This Row],[Discounted_price]]</f>
        <v>474.9905</v>
      </c>
      <c r="J1982">
        <f>VLOOKUP(B1982, Products!$A$2:$E$100, 3, FALSE)</f>
        <v>9</v>
      </c>
      <c r="K1982">
        <f>VLOOKUP(B1982, Products!$A$2:$F$100, 4, FALSE)</f>
        <v>6</v>
      </c>
    </row>
    <row r="1983" spans="1:11" x14ac:dyDescent="0.3">
      <c r="A1983">
        <v>702</v>
      </c>
      <c r="B1983">
        <v>2</v>
      </c>
      <c r="C1983">
        <v>104</v>
      </c>
      <c r="D1983" t="str">
        <f>VLOOKUP(B1983, Products!$A$2:$C$100, 2, FALSE)</f>
        <v>Ritchey Timberwolf Frameset - 2016</v>
      </c>
      <c r="E1983">
        <v>1</v>
      </c>
      <c r="F1983">
        <v>481.99</v>
      </c>
      <c r="G1983">
        <v>0.1</v>
      </c>
      <c r="H1983">
        <v>48.199000000000005</v>
      </c>
      <c r="I1983">
        <f>order_items[[#This Row],[list_price]]-order_items[[#This Row],[Discounted_price]]</f>
        <v>433.791</v>
      </c>
      <c r="J1983">
        <f>VLOOKUP(B1983, Products!$A$2:$E$100, 3, FALSE)</f>
        <v>5</v>
      </c>
      <c r="K1983">
        <f>VLOOKUP(B1983, Products!$A$2:$F$100, 4, FALSE)</f>
        <v>6</v>
      </c>
    </row>
    <row r="1984" spans="1:11" x14ac:dyDescent="0.3">
      <c r="A1984">
        <v>702</v>
      </c>
      <c r="B1984">
        <v>3</v>
      </c>
      <c r="C1984">
        <v>3</v>
      </c>
      <c r="D1984" t="str">
        <f>VLOOKUP(B1984, Products!$A$2:$C$100, 2, FALSE)</f>
        <v>Surly Wednesday Frameset - 2016</v>
      </c>
      <c r="E1984">
        <v>2</v>
      </c>
      <c r="F1984">
        <v>999.99</v>
      </c>
      <c r="G1984">
        <v>7.0000000000000007E-2</v>
      </c>
      <c r="H1984">
        <v>69.999300000000005</v>
      </c>
      <c r="I1984">
        <f>order_items[[#This Row],[list_price]]-order_items[[#This Row],[Discounted_price]]</f>
        <v>929.99070000000006</v>
      </c>
      <c r="J1984">
        <f>VLOOKUP(B1984, Products!$A$2:$E$100, 3, FALSE)</f>
        <v>8</v>
      </c>
      <c r="K1984">
        <f>VLOOKUP(B1984, Products!$A$2:$F$100, 4, FALSE)</f>
        <v>6</v>
      </c>
    </row>
    <row r="1985" spans="1:11" x14ac:dyDescent="0.3">
      <c r="A1985">
        <v>703</v>
      </c>
      <c r="B1985">
        <v>1</v>
      </c>
      <c r="C1985">
        <v>45</v>
      </c>
      <c r="D1985" t="str">
        <f>VLOOKUP(B1985, Products!$A$2:$C$100, 2, FALSE)</f>
        <v>Trek 820 - 2016</v>
      </c>
      <c r="E1985">
        <v>2</v>
      </c>
      <c r="F1985">
        <v>869.99</v>
      </c>
      <c r="G1985">
        <v>0.2</v>
      </c>
      <c r="H1985">
        <v>173.99800000000002</v>
      </c>
      <c r="I1985">
        <f>order_items[[#This Row],[list_price]]-order_items[[#This Row],[Discounted_price]]</f>
        <v>695.99199999999996</v>
      </c>
      <c r="J1985">
        <f>VLOOKUP(B1985, Products!$A$2:$E$100, 3, FALSE)</f>
        <v>9</v>
      </c>
      <c r="K1985">
        <f>VLOOKUP(B1985, Products!$A$2:$F$100, 4, FALSE)</f>
        <v>6</v>
      </c>
    </row>
    <row r="1986" spans="1:11" x14ac:dyDescent="0.3">
      <c r="A1986">
        <v>703</v>
      </c>
      <c r="B1986">
        <v>2</v>
      </c>
      <c r="C1986">
        <v>66</v>
      </c>
      <c r="D1986" t="str">
        <f>VLOOKUP(B1986, Products!$A$2:$C$100, 2, FALSE)</f>
        <v>Ritchey Timberwolf Frameset - 2016</v>
      </c>
      <c r="E1986">
        <v>2</v>
      </c>
      <c r="F1986">
        <v>250.99</v>
      </c>
      <c r="G1986">
        <v>0.05</v>
      </c>
      <c r="H1986">
        <v>12.549500000000002</v>
      </c>
      <c r="I1986">
        <f>order_items[[#This Row],[list_price]]-order_items[[#This Row],[Discounted_price]]</f>
        <v>238.44050000000001</v>
      </c>
      <c r="J1986">
        <f>VLOOKUP(B1986, Products!$A$2:$E$100, 3, FALSE)</f>
        <v>5</v>
      </c>
      <c r="K1986">
        <f>VLOOKUP(B1986, Products!$A$2:$F$100, 4, FALSE)</f>
        <v>6</v>
      </c>
    </row>
    <row r="1987" spans="1:11" x14ac:dyDescent="0.3">
      <c r="A1987">
        <v>703</v>
      </c>
      <c r="B1987">
        <v>3</v>
      </c>
      <c r="C1987">
        <v>72</v>
      </c>
      <c r="D1987" t="str">
        <f>VLOOKUP(B1987, Products!$A$2:$C$100, 2, FALSE)</f>
        <v>Surly Wednesday Frameset - 2016</v>
      </c>
      <c r="E1987">
        <v>1</v>
      </c>
      <c r="F1987">
        <v>619.99</v>
      </c>
      <c r="G1987">
        <v>0.2</v>
      </c>
      <c r="H1987">
        <v>123.998</v>
      </c>
      <c r="I1987">
        <f>order_items[[#This Row],[list_price]]-order_items[[#This Row],[Discounted_price]]</f>
        <v>495.99200000000002</v>
      </c>
      <c r="J1987">
        <f>VLOOKUP(B1987, Products!$A$2:$E$100, 3, FALSE)</f>
        <v>8</v>
      </c>
      <c r="K1987">
        <f>VLOOKUP(B1987, Products!$A$2:$F$100, 4, FALSE)</f>
        <v>6</v>
      </c>
    </row>
    <row r="1988" spans="1:11" x14ac:dyDescent="0.3">
      <c r="A1988">
        <v>703</v>
      </c>
      <c r="B1988">
        <v>4</v>
      </c>
      <c r="C1988">
        <v>4</v>
      </c>
      <c r="D1988" t="str">
        <f>VLOOKUP(B1988, Products!$A$2:$C$100, 2, FALSE)</f>
        <v>Trek Fuel EX 8 29 - 2016</v>
      </c>
      <c r="E1988">
        <v>2</v>
      </c>
      <c r="F1988">
        <v>2899.99</v>
      </c>
      <c r="G1988">
        <v>0.2</v>
      </c>
      <c r="H1988">
        <v>579.99799999999993</v>
      </c>
      <c r="I1988">
        <f>order_items[[#This Row],[list_price]]-order_items[[#This Row],[Discounted_price]]</f>
        <v>2319.9919999999997</v>
      </c>
      <c r="J1988">
        <f>VLOOKUP(B1988, Products!$A$2:$E$100, 3, FALSE)</f>
        <v>9</v>
      </c>
      <c r="K1988">
        <f>VLOOKUP(B1988, Products!$A$2:$F$100, 4, FALSE)</f>
        <v>6</v>
      </c>
    </row>
    <row r="1989" spans="1:11" x14ac:dyDescent="0.3">
      <c r="A1989">
        <v>704</v>
      </c>
      <c r="B1989">
        <v>1</v>
      </c>
      <c r="C1989">
        <v>10</v>
      </c>
      <c r="D1989" t="str">
        <f>VLOOKUP(B1989, Products!$A$2:$C$100, 2, FALSE)</f>
        <v>Trek 820 - 2016</v>
      </c>
      <c r="E1989">
        <v>2</v>
      </c>
      <c r="F1989">
        <v>1549</v>
      </c>
      <c r="G1989">
        <v>0.05</v>
      </c>
      <c r="H1989">
        <v>77.45</v>
      </c>
      <c r="I1989">
        <f>order_items[[#This Row],[list_price]]-order_items[[#This Row],[Discounted_price]]</f>
        <v>1471.55</v>
      </c>
      <c r="J1989">
        <f>VLOOKUP(B1989, Products!$A$2:$E$100, 3, FALSE)</f>
        <v>9</v>
      </c>
      <c r="K1989">
        <f>VLOOKUP(B1989, Products!$A$2:$F$100, 4, FALSE)</f>
        <v>6</v>
      </c>
    </row>
    <row r="1990" spans="1:11" x14ac:dyDescent="0.3">
      <c r="A1990">
        <v>704</v>
      </c>
      <c r="B1990">
        <v>2</v>
      </c>
      <c r="C1990">
        <v>62</v>
      </c>
      <c r="D1990" t="str">
        <f>VLOOKUP(B1990, Products!$A$2:$C$100, 2, FALSE)</f>
        <v>Ritchey Timberwolf Frameset - 2016</v>
      </c>
      <c r="E1990">
        <v>1</v>
      </c>
      <c r="F1990">
        <v>3499.99</v>
      </c>
      <c r="G1990">
        <v>0.2</v>
      </c>
      <c r="H1990">
        <v>699.99800000000005</v>
      </c>
      <c r="I1990">
        <f>order_items[[#This Row],[list_price]]-order_items[[#This Row],[Discounted_price]]</f>
        <v>2799.9919999999997</v>
      </c>
      <c r="J1990">
        <f>VLOOKUP(B1990, Products!$A$2:$E$100, 3, FALSE)</f>
        <v>5</v>
      </c>
      <c r="K1990">
        <f>VLOOKUP(B1990, Products!$A$2:$F$100, 4, FALSE)</f>
        <v>6</v>
      </c>
    </row>
    <row r="1991" spans="1:11" x14ac:dyDescent="0.3">
      <c r="A1991">
        <v>704</v>
      </c>
      <c r="B1991">
        <v>3</v>
      </c>
      <c r="C1991">
        <v>100</v>
      </c>
      <c r="D1991" t="str">
        <f>VLOOKUP(B1991, Products!$A$2:$C$100, 2, FALSE)</f>
        <v>Surly Wednesday Frameset - 2016</v>
      </c>
      <c r="E1991">
        <v>2</v>
      </c>
      <c r="F1991">
        <v>489.99</v>
      </c>
      <c r="G1991">
        <v>7.0000000000000007E-2</v>
      </c>
      <c r="H1991">
        <v>34.299300000000002</v>
      </c>
      <c r="I1991">
        <f>order_items[[#This Row],[list_price]]-order_items[[#This Row],[Discounted_price]]</f>
        <v>455.69069999999999</v>
      </c>
      <c r="J1991">
        <f>VLOOKUP(B1991, Products!$A$2:$E$100, 3, FALSE)</f>
        <v>8</v>
      </c>
      <c r="K1991">
        <f>VLOOKUP(B1991, Products!$A$2:$F$100, 4, FALSE)</f>
        <v>6</v>
      </c>
    </row>
    <row r="1992" spans="1:11" x14ac:dyDescent="0.3">
      <c r="A1992">
        <v>705</v>
      </c>
      <c r="B1992">
        <v>1</v>
      </c>
      <c r="C1992">
        <v>61</v>
      </c>
      <c r="D1992" t="str">
        <f>VLOOKUP(B1992, Products!$A$2:$C$100, 2, FALSE)</f>
        <v>Trek 820 - 2016</v>
      </c>
      <c r="E1992">
        <v>1</v>
      </c>
      <c r="F1992">
        <v>4999.99</v>
      </c>
      <c r="G1992">
        <v>0.1</v>
      </c>
      <c r="H1992">
        <v>499.99900000000002</v>
      </c>
      <c r="I1992">
        <f>order_items[[#This Row],[list_price]]-order_items[[#This Row],[Discounted_price]]</f>
        <v>4499.991</v>
      </c>
      <c r="J1992">
        <f>VLOOKUP(B1992, Products!$A$2:$E$100, 3, FALSE)</f>
        <v>9</v>
      </c>
      <c r="K1992">
        <f>VLOOKUP(B1992, Products!$A$2:$F$100, 4, FALSE)</f>
        <v>6</v>
      </c>
    </row>
    <row r="1993" spans="1:11" x14ac:dyDescent="0.3">
      <c r="A1993">
        <v>706</v>
      </c>
      <c r="B1993">
        <v>1</v>
      </c>
      <c r="C1993">
        <v>27</v>
      </c>
      <c r="D1993" t="str">
        <f>VLOOKUP(B1993, Products!$A$2:$C$100, 2, FALSE)</f>
        <v>Trek 820 - 2016</v>
      </c>
      <c r="E1993">
        <v>1</v>
      </c>
      <c r="F1993">
        <v>999.99</v>
      </c>
      <c r="G1993">
        <v>0.1</v>
      </c>
      <c r="H1993">
        <v>99.999000000000009</v>
      </c>
      <c r="I1993">
        <f>order_items[[#This Row],[list_price]]-order_items[[#This Row],[Discounted_price]]</f>
        <v>899.99099999999999</v>
      </c>
      <c r="J1993">
        <f>VLOOKUP(B1993, Products!$A$2:$E$100, 3, FALSE)</f>
        <v>9</v>
      </c>
      <c r="K1993">
        <f>VLOOKUP(B1993, Products!$A$2:$F$100, 4, FALSE)</f>
        <v>6</v>
      </c>
    </row>
    <row r="1994" spans="1:11" x14ac:dyDescent="0.3">
      <c r="A1994">
        <v>706</v>
      </c>
      <c r="B1994">
        <v>2</v>
      </c>
      <c r="C1994">
        <v>23</v>
      </c>
      <c r="D1994" t="str">
        <f>VLOOKUP(B1994, Products!$A$2:$C$100, 2, FALSE)</f>
        <v>Ritchey Timberwolf Frameset - 2016</v>
      </c>
      <c r="E1994">
        <v>2</v>
      </c>
      <c r="F1994">
        <v>299.99</v>
      </c>
      <c r="G1994">
        <v>0.05</v>
      </c>
      <c r="H1994">
        <v>14.999500000000001</v>
      </c>
      <c r="I1994">
        <f>order_items[[#This Row],[list_price]]-order_items[[#This Row],[Discounted_price]]</f>
        <v>284.9905</v>
      </c>
      <c r="J1994">
        <f>VLOOKUP(B1994, Products!$A$2:$E$100, 3, FALSE)</f>
        <v>5</v>
      </c>
      <c r="K1994">
        <f>VLOOKUP(B1994, Products!$A$2:$F$100, 4, FALSE)</f>
        <v>6</v>
      </c>
    </row>
    <row r="1995" spans="1:11" x14ac:dyDescent="0.3">
      <c r="A1995">
        <v>706</v>
      </c>
      <c r="B1995">
        <v>3</v>
      </c>
      <c r="C1995">
        <v>60</v>
      </c>
      <c r="D1995" t="str">
        <f>VLOOKUP(B1995, Products!$A$2:$C$100, 2, FALSE)</f>
        <v>Surly Wednesday Frameset - 2016</v>
      </c>
      <c r="E1995">
        <v>1</v>
      </c>
      <c r="F1995">
        <v>1559.99</v>
      </c>
      <c r="G1995">
        <v>0.2</v>
      </c>
      <c r="H1995">
        <v>311.99800000000005</v>
      </c>
      <c r="I1995">
        <f>order_items[[#This Row],[list_price]]-order_items[[#This Row],[Discounted_price]]</f>
        <v>1247.992</v>
      </c>
      <c r="J1995">
        <f>VLOOKUP(B1995, Products!$A$2:$E$100, 3, FALSE)</f>
        <v>8</v>
      </c>
      <c r="K1995">
        <f>VLOOKUP(B1995, Products!$A$2:$F$100, 4, FALSE)</f>
        <v>6</v>
      </c>
    </row>
    <row r="1996" spans="1:11" x14ac:dyDescent="0.3">
      <c r="A1996">
        <v>707</v>
      </c>
      <c r="B1996">
        <v>1</v>
      </c>
      <c r="C1996">
        <v>106</v>
      </c>
      <c r="D1996" t="str">
        <f>VLOOKUP(B1996, Products!$A$2:$C$100, 2, FALSE)</f>
        <v>Trek 820 - 2016</v>
      </c>
      <c r="E1996">
        <v>2</v>
      </c>
      <c r="F1996">
        <v>449.99</v>
      </c>
      <c r="G1996">
        <v>0.05</v>
      </c>
      <c r="H1996">
        <v>22.499500000000001</v>
      </c>
      <c r="I1996">
        <f>order_items[[#This Row],[list_price]]-order_items[[#This Row],[Discounted_price]]</f>
        <v>427.4905</v>
      </c>
      <c r="J1996">
        <f>VLOOKUP(B1996, Products!$A$2:$E$100, 3, FALSE)</f>
        <v>9</v>
      </c>
      <c r="K1996">
        <f>VLOOKUP(B1996, Products!$A$2:$F$100, 4, FALSE)</f>
        <v>6</v>
      </c>
    </row>
    <row r="1997" spans="1:11" x14ac:dyDescent="0.3">
      <c r="A1997">
        <v>707</v>
      </c>
      <c r="B1997">
        <v>2</v>
      </c>
      <c r="C1997">
        <v>100</v>
      </c>
      <c r="D1997" t="str">
        <f>VLOOKUP(B1997, Products!$A$2:$C$100, 2, FALSE)</f>
        <v>Ritchey Timberwolf Frameset - 2016</v>
      </c>
      <c r="E1997">
        <v>1</v>
      </c>
      <c r="F1997">
        <v>489.99</v>
      </c>
      <c r="G1997">
        <v>7.0000000000000007E-2</v>
      </c>
      <c r="H1997">
        <v>34.299300000000002</v>
      </c>
      <c r="I1997">
        <f>order_items[[#This Row],[list_price]]-order_items[[#This Row],[Discounted_price]]</f>
        <v>455.69069999999999</v>
      </c>
      <c r="J1997">
        <f>VLOOKUP(B1997, Products!$A$2:$E$100, 3, FALSE)</f>
        <v>5</v>
      </c>
      <c r="K1997">
        <f>VLOOKUP(B1997, Products!$A$2:$F$100, 4, FALSE)</f>
        <v>6</v>
      </c>
    </row>
    <row r="1998" spans="1:11" x14ac:dyDescent="0.3">
      <c r="A1998">
        <v>707</v>
      </c>
      <c r="B1998">
        <v>3</v>
      </c>
      <c r="C1998">
        <v>11</v>
      </c>
      <c r="D1998" t="str">
        <f>VLOOKUP(B1998, Products!$A$2:$C$100, 2, FALSE)</f>
        <v>Surly Wednesday Frameset - 2016</v>
      </c>
      <c r="E1998">
        <v>2</v>
      </c>
      <c r="F1998">
        <v>1680.99</v>
      </c>
      <c r="G1998">
        <v>0.1</v>
      </c>
      <c r="H1998">
        <v>168.09900000000002</v>
      </c>
      <c r="I1998">
        <f>order_items[[#This Row],[list_price]]-order_items[[#This Row],[Discounted_price]]</f>
        <v>1512.8910000000001</v>
      </c>
      <c r="J1998">
        <f>VLOOKUP(B1998, Products!$A$2:$E$100, 3, FALSE)</f>
        <v>8</v>
      </c>
      <c r="K1998">
        <f>VLOOKUP(B1998, Products!$A$2:$F$100, 4, FALSE)</f>
        <v>6</v>
      </c>
    </row>
    <row r="1999" spans="1:11" x14ac:dyDescent="0.3">
      <c r="A1999">
        <v>707</v>
      </c>
      <c r="B1999">
        <v>4</v>
      </c>
      <c r="C1999">
        <v>26</v>
      </c>
      <c r="D1999" t="str">
        <f>VLOOKUP(B1999, Products!$A$2:$C$100, 2, FALSE)</f>
        <v>Trek Fuel EX 8 29 - 2016</v>
      </c>
      <c r="E1999">
        <v>2</v>
      </c>
      <c r="F1999">
        <v>599.99</v>
      </c>
      <c r="G1999">
        <v>0.1</v>
      </c>
      <c r="H1999">
        <v>59.999000000000002</v>
      </c>
      <c r="I1999">
        <f>order_items[[#This Row],[list_price]]-order_items[[#This Row],[Discounted_price]]</f>
        <v>539.99099999999999</v>
      </c>
      <c r="J1999">
        <f>VLOOKUP(B1999, Products!$A$2:$E$100, 3, FALSE)</f>
        <v>9</v>
      </c>
      <c r="K1999">
        <f>VLOOKUP(B1999, Products!$A$2:$F$100, 4, FALSE)</f>
        <v>6</v>
      </c>
    </row>
    <row r="2000" spans="1:11" x14ac:dyDescent="0.3">
      <c r="A2000">
        <v>708</v>
      </c>
      <c r="B2000">
        <v>1</v>
      </c>
      <c r="C2000">
        <v>6</v>
      </c>
      <c r="D2000" t="str">
        <f>VLOOKUP(B2000, Products!$A$2:$C$100, 2, FALSE)</f>
        <v>Trek 820 - 2016</v>
      </c>
      <c r="E2000">
        <v>1</v>
      </c>
      <c r="F2000">
        <v>469.99</v>
      </c>
      <c r="G2000">
        <v>7.0000000000000007E-2</v>
      </c>
      <c r="H2000">
        <v>32.899300000000004</v>
      </c>
      <c r="I2000">
        <f>order_items[[#This Row],[list_price]]-order_items[[#This Row],[Discounted_price]]</f>
        <v>437.09070000000003</v>
      </c>
      <c r="J2000">
        <f>VLOOKUP(B2000, Products!$A$2:$E$100, 3, FALSE)</f>
        <v>9</v>
      </c>
      <c r="K2000">
        <f>VLOOKUP(B2000, Products!$A$2:$F$100, 4, FALSE)</f>
        <v>6</v>
      </c>
    </row>
    <row r="2001" spans="1:11" x14ac:dyDescent="0.3">
      <c r="A2001">
        <v>708</v>
      </c>
      <c r="B2001">
        <v>2</v>
      </c>
      <c r="C2001">
        <v>47</v>
      </c>
      <c r="D2001" t="str">
        <f>VLOOKUP(B2001, Products!$A$2:$C$100, 2, FALSE)</f>
        <v>Ritchey Timberwolf Frameset - 2016</v>
      </c>
      <c r="E2001">
        <v>1</v>
      </c>
      <c r="F2001">
        <v>5299.99</v>
      </c>
      <c r="G2001">
        <v>0.1</v>
      </c>
      <c r="H2001">
        <v>529.99900000000002</v>
      </c>
      <c r="I2001">
        <f>order_items[[#This Row],[list_price]]-order_items[[#This Row],[Discounted_price]]</f>
        <v>4769.991</v>
      </c>
      <c r="J2001">
        <f>VLOOKUP(B2001, Products!$A$2:$E$100, 3, FALSE)</f>
        <v>5</v>
      </c>
      <c r="K2001">
        <f>VLOOKUP(B2001, Products!$A$2:$F$100, 4, FALSE)</f>
        <v>6</v>
      </c>
    </row>
    <row r="2002" spans="1:11" x14ac:dyDescent="0.3">
      <c r="A2002">
        <v>708</v>
      </c>
      <c r="B2002">
        <v>3</v>
      </c>
      <c r="C2002">
        <v>34</v>
      </c>
      <c r="D2002" t="str">
        <f>VLOOKUP(B2002, Products!$A$2:$C$100, 2, FALSE)</f>
        <v>Surly Wednesday Frameset - 2016</v>
      </c>
      <c r="E2002">
        <v>2</v>
      </c>
      <c r="F2002">
        <v>469.99</v>
      </c>
      <c r="G2002">
        <v>0.2</v>
      </c>
      <c r="H2002">
        <v>93.998000000000005</v>
      </c>
      <c r="I2002">
        <f>order_items[[#This Row],[list_price]]-order_items[[#This Row],[Discounted_price]]</f>
        <v>375.99200000000002</v>
      </c>
      <c r="J2002">
        <f>VLOOKUP(B2002, Products!$A$2:$E$100, 3, FALSE)</f>
        <v>8</v>
      </c>
      <c r="K2002">
        <f>VLOOKUP(B2002, Products!$A$2:$F$100, 4, FALSE)</f>
        <v>6</v>
      </c>
    </row>
    <row r="2003" spans="1:11" x14ac:dyDescent="0.3">
      <c r="A2003">
        <v>709</v>
      </c>
      <c r="B2003">
        <v>1</v>
      </c>
      <c r="C2003">
        <v>55</v>
      </c>
      <c r="D2003" t="str">
        <f>VLOOKUP(B2003, Products!$A$2:$C$100, 2, FALSE)</f>
        <v>Trek 820 - 2016</v>
      </c>
      <c r="E2003">
        <v>2</v>
      </c>
      <c r="F2003">
        <v>2699.99</v>
      </c>
      <c r="G2003">
        <v>0.05</v>
      </c>
      <c r="H2003">
        <v>134.99949999999998</v>
      </c>
      <c r="I2003">
        <f>order_items[[#This Row],[list_price]]-order_items[[#This Row],[Discounted_price]]</f>
        <v>2564.9904999999999</v>
      </c>
      <c r="J2003">
        <f>VLOOKUP(B2003, Products!$A$2:$E$100, 3, FALSE)</f>
        <v>9</v>
      </c>
      <c r="K2003">
        <f>VLOOKUP(B2003, Products!$A$2:$F$100, 4, FALSE)</f>
        <v>6</v>
      </c>
    </row>
    <row r="2004" spans="1:11" x14ac:dyDescent="0.3">
      <c r="A2004">
        <v>709</v>
      </c>
      <c r="B2004">
        <v>2</v>
      </c>
      <c r="C2004">
        <v>101</v>
      </c>
      <c r="D2004" t="str">
        <f>VLOOKUP(B2004, Products!$A$2:$C$100, 2, FALSE)</f>
        <v>Ritchey Timberwolf Frameset - 2016</v>
      </c>
      <c r="E2004">
        <v>2</v>
      </c>
      <c r="F2004">
        <v>339.99</v>
      </c>
      <c r="G2004">
        <v>7.0000000000000007E-2</v>
      </c>
      <c r="H2004">
        <v>23.799300000000002</v>
      </c>
      <c r="I2004">
        <f>order_items[[#This Row],[list_price]]-order_items[[#This Row],[Discounted_price]]</f>
        <v>316.19069999999999</v>
      </c>
      <c r="J2004">
        <f>VLOOKUP(B2004, Products!$A$2:$E$100, 3, FALSE)</f>
        <v>5</v>
      </c>
      <c r="K2004">
        <f>VLOOKUP(B2004, Products!$A$2:$F$100, 4, FALSE)</f>
        <v>6</v>
      </c>
    </row>
    <row r="2005" spans="1:11" x14ac:dyDescent="0.3">
      <c r="A2005">
        <v>709</v>
      </c>
      <c r="B2005">
        <v>3</v>
      </c>
      <c r="C2005">
        <v>48</v>
      </c>
      <c r="D2005" t="str">
        <f>VLOOKUP(B2005, Products!$A$2:$C$100, 2, FALSE)</f>
        <v>Surly Wednesday Frameset - 2016</v>
      </c>
      <c r="E2005">
        <v>1</v>
      </c>
      <c r="F2005">
        <v>1499.99</v>
      </c>
      <c r="G2005">
        <v>7.0000000000000007E-2</v>
      </c>
      <c r="H2005">
        <v>104.99930000000001</v>
      </c>
      <c r="I2005">
        <f>order_items[[#This Row],[list_price]]-order_items[[#This Row],[Discounted_price]]</f>
        <v>1394.9907000000001</v>
      </c>
      <c r="J2005">
        <f>VLOOKUP(B2005, Products!$A$2:$E$100, 3, FALSE)</f>
        <v>8</v>
      </c>
      <c r="K2005">
        <f>VLOOKUP(B2005, Products!$A$2:$F$100, 4, FALSE)</f>
        <v>6</v>
      </c>
    </row>
    <row r="2006" spans="1:11" x14ac:dyDescent="0.3">
      <c r="A2006">
        <v>710</v>
      </c>
      <c r="B2006">
        <v>1</v>
      </c>
      <c r="C2006">
        <v>42</v>
      </c>
      <c r="D2006" t="str">
        <f>VLOOKUP(B2006, Products!$A$2:$C$100, 2, FALSE)</f>
        <v>Trek 820 - 2016</v>
      </c>
      <c r="E2006">
        <v>1</v>
      </c>
      <c r="F2006">
        <v>2299.9899999999998</v>
      </c>
      <c r="G2006">
        <v>0.05</v>
      </c>
      <c r="H2006">
        <v>114.9995</v>
      </c>
      <c r="I2006">
        <f>order_items[[#This Row],[list_price]]-order_items[[#This Row],[Discounted_price]]</f>
        <v>2184.9904999999999</v>
      </c>
      <c r="J2006">
        <f>VLOOKUP(B2006, Products!$A$2:$E$100, 3, FALSE)</f>
        <v>9</v>
      </c>
      <c r="K2006">
        <f>VLOOKUP(B2006, Products!$A$2:$F$100, 4, FALSE)</f>
        <v>6</v>
      </c>
    </row>
    <row r="2007" spans="1:11" x14ac:dyDescent="0.3">
      <c r="A2007">
        <v>710</v>
      </c>
      <c r="B2007">
        <v>2</v>
      </c>
      <c r="C2007">
        <v>60</v>
      </c>
      <c r="D2007" t="str">
        <f>VLOOKUP(B2007, Products!$A$2:$C$100, 2, FALSE)</f>
        <v>Ritchey Timberwolf Frameset - 2016</v>
      </c>
      <c r="E2007">
        <v>2</v>
      </c>
      <c r="F2007">
        <v>1559.99</v>
      </c>
      <c r="G2007">
        <v>0.2</v>
      </c>
      <c r="H2007">
        <v>311.99800000000005</v>
      </c>
      <c r="I2007">
        <f>order_items[[#This Row],[list_price]]-order_items[[#This Row],[Discounted_price]]</f>
        <v>1247.992</v>
      </c>
      <c r="J2007">
        <f>VLOOKUP(B2007, Products!$A$2:$E$100, 3, FALSE)</f>
        <v>5</v>
      </c>
      <c r="K2007">
        <f>VLOOKUP(B2007, Products!$A$2:$F$100, 4, FALSE)</f>
        <v>6</v>
      </c>
    </row>
    <row r="2008" spans="1:11" x14ac:dyDescent="0.3">
      <c r="A2008">
        <v>710</v>
      </c>
      <c r="B2008">
        <v>3</v>
      </c>
      <c r="C2008">
        <v>39</v>
      </c>
      <c r="D2008" t="str">
        <f>VLOOKUP(B2008, Products!$A$2:$C$100, 2, FALSE)</f>
        <v>Surly Wednesday Frameset - 2016</v>
      </c>
      <c r="E2008">
        <v>2</v>
      </c>
      <c r="F2008">
        <v>1499.99</v>
      </c>
      <c r="G2008">
        <v>0.2</v>
      </c>
      <c r="H2008">
        <v>299.99799999999999</v>
      </c>
      <c r="I2008">
        <f>order_items[[#This Row],[list_price]]-order_items[[#This Row],[Discounted_price]]</f>
        <v>1199.992</v>
      </c>
      <c r="J2008">
        <f>VLOOKUP(B2008, Products!$A$2:$E$100, 3, FALSE)</f>
        <v>8</v>
      </c>
      <c r="K2008">
        <f>VLOOKUP(B2008, Products!$A$2:$F$100, 4, FALSE)</f>
        <v>6</v>
      </c>
    </row>
    <row r="2009" spans="1:11" x14ac:dyDescent="0.3">
      <c r="A2009">
        <v>710</v>
      </c>
      <c r="B2009">
        <v>4</v>
      </c>
      <c r="C2009">
        <v>57</v>
      </c>
      <c r="D2009" t="str">
        <f>VLOOKUP(B2009, Products!$A$2:$C$100, 2, FALSE)</f>
        <v>Trek Fuel EX 8 29 - 2016</v>
      </c>
      <c r="E2009">
        <v>1</v>
      </c>
      <c r="F2009">
        <v>1999.99</v>
      </c>
      <c r="G2009">
        <v>0.2</v>
      </c>
      <c r="H2009">
        <v>399.99800000000005</v>
      </c>
      <c r="I2009">
        <f>order_items[[#This Row],[list_price]]-order_items[[#This Row],[Discounted_price]]</f>
        <v>1599.992</v>
      </c>
      <c r="J2009">
        <f>VLOOKUP(B2009, Products!$A$2:$E$100, 3, FALSE)</f>
        <v>9</v>
      </c>
      <c r="K2009">
        <f>VLOOKUP(B2009, Products!$A$2:$F$100, 4, FALSE)</f>
        <v>6</v>
      </c>
    </row>
    <row r="2010" spans="1:11" x14ac:dyDescent="0.3">
      <c r="A2010">
        <v>710</v>
      </c>
      <c r="B2010">
        <v>5</v>
      </c>
      <c r="C2010">
        <v>28</v>
      </c>
      <c r="D2010" t="str">
        <f>VLOOKUP(B2010, Products!$A$2:$C$100, 2, FALSE)</f>
        <v>Heller Shagamaw Frame - 2016</v>
      </c>
      <c r="E2010">
        <v>1</v>
      </c>
      <c r="F2010">
        <v>2499.9899999999998</v>
      </c>
      <c r="G2010">
        <v>0.05</v>
      </c>
      <c r="H2010">
        <v>124.9995</v>
      </c>
      <c r="I2010">
        <f>order_items[[#This Row],[list_price]]-order_items[[#This Row],[Discounted_price]]</f>
        <v>2374.9904999999999</v>
      </c>
      <c r="J2010">
        <f>VLOOKUP(B2010, Products!$A$2:$E$100, 3, FALSE)</f>
        <v>3</v>
      </c>
      <c r="K2010">
        <f>VLOOKUP(B2010, Products!$A$2:$F$100, 4, FALSE)</f>
        <v>6</v>
      </c>
    </row>
    <row r="2011" spans="1:11" x14ac:dyDescent="0.3">
      <c r="A2011">
        <v>711</v>
      </c>
      <c r="B2011">
        <v>1</v>
      </c>
      <c r="C2011">
        <v>5</v>
      </c>
      <c r="D2011" t="str">
        <f>VLOOKUP(B2011, Products!$A$2:$C$100, 2, FALSE)</f>
        <v>Trek 820 - 2016</v>
      </c>
      <c r="E2011">
        <v>2</v>
      </c>
      <c r="F2011">
        <v>1320.99</v>
      </c>
      <c r="G2011">
        <v>0.05</v>
      </c>
      <c r="H2011">
        <v>66.049500000000009</v>
      </c>
      <c r="I2011">
        <f>order_items[[#This Row],[list_price]]-order_items[[#This Row],[Discounted_price]]</f>
        <v>1254.9404999999999</v>
      </c>
      <c r="J2011">
        <f>VLOOKUP(B2011, Products!$A$2:$E$100, 3, FALSE)</f>
        <v>9</v>
      </c>
      <c r="K2011">
        <f>VLOOKUP(B2011, Products!$A$2:$F$100, 4, FALSE)</f>
        <v>6</v>
      </c>
    </row>
    <row r="2012" spans="1:11" x14ac:dyDescent="0.3">
      <c r="A2012">
        <v>711</v>
      </c>
      <c r="B2012">
        <v>2</v>
      </c>
      <c r="C2012">
        <v>95</v>
      </c>
      <c r="D2012" t="str">
        <f>VLOOKUP(B2012, Products!$A$2:$C$100, 2, FALSE)</f>
        <v>Ritchey Timberwolf Frameset - 2016</v>
      </c>
      <c r="E2012">
        <v>2</v>
      </c>
      <c r="F2012">
        <v>299.99</v>
      </c>
      <c r="G2012">
        <v>0.2</v>
      </c>
      <c r="H2012">
        <v>59.998000000000005</v>
      </c>
      <c r="I2012">
        <f>order_items[[#This Row],[list_price]]-order_items[[#This Row],[Discounted_price]]</f>
        <v>239.99200000000002</v>
      </c>
      <c r="J2012">
        <f>VLOOKUP(B2012, Products!$A$2:$E$100, 3, FALSE)</f>
        <v>5</v>
      </c>
      <c r="K2012">
        <f>VLOOKUP(B2012, Products!$A$2:$F$100, 4, FALSE)</f>
        <v>6</v>
      </c>
    </row>
    <row r="2013" spans="1:11" x14ac:dyDescent="0.3">
      <c r="A2013">
        <v>711</v>
      </c>
      <c r="B2013">
        <v>3</v>
      </c>
      <c r="C2013">
        <v>72</v>
      </c>
      <c r="D2013" t="str">
        <f>VLOOKUP(B2013, Products!$A$2:$C$100, 2, FALSE)</f>
        <v>Surly Wednesday Frameset - 2016</v>
      </c>
      <c r="E2013">
        <v>2</v>
      </c>
      <c r="F2013">
        <v>619.99</v>
      </c>
      <c r="G2013">
        <v>0.05</v>
      </c>
      <c r="H2013">
        <v>30.999500000000001</v>
      </c>
      <c r="I2013">
        <f>order_items[[#This Row],[list_price]]-order_items[[#This Row],[Discounted_price]]</f>
        <v>588.9905</v>
      </c>
      <c r="J2013">
        <f>VLOOKUP(B2013, Products!$A$2:$E$100, 3, FALSE)</f>
        <v>8</v>
      </c>
      <c r="K2013">
        <f>VLOOKUP(B2013, Products!$A$2:$F$100, 4, FALSE)</f>
        <v>6</v>
      </c>
    </row>
    <row r="2014" spans="1:11" x14ac:dyDescent="0.3">
      <c r="A2014">
        <v>712</v>
      </c>
      <c r="B2014">
        <v>1</v>
      </c>
      <c r="C2014">
        <v>44</v>
      </c>
      <c r="D2014" t="str">
        <f>VLOOKUP(B2014, Products!$A$2:$C$100, 2, FALSE)</f>
        <v>Trek 820 - 2016</v>
      </c>
      <c r="E2014">
        <v>2</v>
      </c>
      <c r="F2014">
        <v>539.99</v>
      </c>
      <c r="G2014">
        <v>0.2</v>
      </c>
      <c r="H2014">
        <v>107.998</v>
      </c>
      <c r="I2014">
        <f>order_items[[#This Row],[list_price]]-order_items[[#This Row],[Discounted_price]]</f>
        <v>431.99200000000002</v>
      </c>
      <c r="J2014">
        <f>VLOOKUP(B2014, Products!$A$2:$E$100, 3, FALSE)</f>
        <v>9</v>
      </c>
      <c r="K2014">
        <f>VLOOKUP(B2014, Products!$A$2:$F$100, 4, FALSE)</f>
        <v>6</v>
      </c>
    </row>
    <row r="2015" spans="1:11" x14ac:dyDescent="0.3">
      <c r="A2015">
        <v>712</v>
      </c>
      <c r="B2015">
        <v>2</v>
      </c>
      <c r="C2015">
        <v>74</v>
      </c>
      <c r="D2015" t="str">
        <f>VLOOKUP(B2015, Products!$A$2:$C$100, 2, FALSE)</f>
        <v>Ritchey Timberwolf Frameset - 2016</v>
      </c>
      <c r="E2015">
        <v>2</v>
      </c>
      <c r="F2015">
        <v>439.99</v>
      </c>
      <c r="G2015">
        <v>0.1</v>
      </c>
      <c r="H2015">
        <v>43.999000000000002</v>
      </c>
      <c r="I2015">
        <f>order_items[[#This Row],[list_price]]-order_items[[#This Row],[Discounted_price]]</f>
        <v>395.99099999999999</v>
      </c>
      <c r="J2015">
        <f>VLOOKUP(B2015, Products!$A$2:$E$100, 3, FALSE)</f>
        <v>5</v>
      </c>
      <c r="K2015">
        <f>VLOOKUP(B2015, Products!$A$2:$F$100, 4, FALSE)</f>
        <v>6</v>
      </c>
    </row>
    <row r="2016" spans="1:11" x14ac:dyDescent="0.3">
      <c r="A2016">
        <v>712</v>
      </c>
      <c r="B2016">
        <v>3</v>
      </c>
      <c r="C2016">
        <v>35</v>
      </c>
      <c r="D2016" t="str">
        <f>VLOOKUP(B2016, Products!$A$2:$C$100, 2, FALSE)</f>
        <v>Surly Wednesday Frameset - 2016</v>
      </c>
      <c r="E2016">
        <v>1</v>
      </c>
      <c r="F2016">
        <v>832.99</v>
      </c>
      <c r="G2016">
        <v>0.2</v>
      </c>
      <c r="H2016">
        <v>166.59800000000001</v>
      </c>
      <c r="I2016">
        <f>order_items[[#This Row],[list_price]]-order_items[[#This Row],[Discounted_price]]</f>
        <v>666.39200000000005</v>
      </c>
      <c r="J2016">
        <f>VLOOKUP(B2016, Products!$A$2:$E$100, 3, FALSE)</f>
        <v>8</v>
      </c>
      <c r="K2016">
        <f>VLOOKUP(B2016, Products!$A$2:$F$100, 4, FALSE)</f>
        <v>6</v>
      </c>
    </row>
    <row r="2017" spans="1:11" x14ac:dyDescent="0.3">
      <c r="A2017">
        <v>712</v>
      </c>
      <c r="B2017">
        <v>4</v>
      </c>
      <c r="C2017">
        <v>76</v>
      </c>
      <c r="D2017" t="str">
        <f>VLOOKUP(B2017, Products!$A$2:$C$100, 2, FALSE)</f>
        <v>Trek Fuel EX 8 29 - 2016</v>
      </c>
      <c r="E2017">
        <v>1</v>
      </c>
      <c r="F2017">
        <v>299.99</v>
      </c>
      <c r="G2017">
        <v>0.2</v>
      </c>
      <c r="H2017">
        <v>59.998000000000005</v>
      </c>
      <c r="I2017">
        <f>order_items[[#This Row],[list_price]]-order_items[[#This Row],[Discounted_price]]</f>
        <v>239.99200000000002</v>
      </c>
      <c r="J2017">
        <f>VLOOKUP(B2017, Products!$A$2:$E$100, 3, FALSE)</f>
        <v>9</v>
      </c>
      <c r="K2017">
        <f>VLOOKUP(B2017, Products!$A$2:$F$100, 4, FALSE)</f>
        <v>6</v>
      </c>
    </row>
    <row r="2018" spans="1:11" x14ac:dyDescent="0.3">
      <c r="A2018">
        <v>712</v>
      </c>
      <c r="B2018">
        <v>5</v>
      </c>
      <c r="C2018">
        <v>4</v>
      </c>
      <c r="D2018" t="str">
        <f>VLOOKUP(B2018, Products!$A$2:$C$100, 2, FALSE)</f>
        <v>Heller Shagamaw Frame - 2016</v>
      </c>
      <c r="E2018">
        <v>2</v>
      </c>
      <c r="F2018">
        <v>2899.99</v>
      </c>
      <c r="G2018">
        <v>0.05</v>
      </c>
      <c r="H2018">
        <v>144.99949999999998</v>
      </c>
      <c r="I2018">
        <f>order_items[[#This Row],[list_price]]-order_items[[#This Row],[Discounted_price]]</f>
        <v>2754.9904999999999</v>
      </c>
      <c r="J2018">
        <f>VLOOKUP(B2018, Products!$A$2:$E$100, 3, FALSE)</f>
        <v>3</v>
      </c>
      <c r="K2018">
        <f>VLOOKUP(B2018, Products!$A$2:$F$100, 4, FALSE)</f>
        <v>6</v>
      </c>
    </row>
    <row r="2019" spans="1:11" x14ac:dyDescent="0.3">
      <c r="A2019">
        <v>713</v>
      </c>
      <c r="B2019">
        <v>1</v>
      </c>
      <c r="C2019">
        <v>93</v>
      </c>
      <c r="D2019" t="str">
        <f>VLOOKUP(B2019, Products!$A$2:$C$100, 2, FALSE)</f>
        <v>Trek 820 - 2016</v>
      </c>
      <c r="E2019">
        <v>2</v>
      </c>
      <c r="F2019">
        <v>209.99</v>
      </c>
      <c r="G2019">
        <v>0.2</v>
      </c>
      <c r="H2019">
        <v>41.998000000000005</v>
      </c>
      <c r="I2019">
        <f>order_items[[#This Row],[list_price]]-order_items[[#This Row],[Discounted_price]]</f>
        <v>167.99200000000002</v>
      </c>
      <c r="J2019">
        <f>VLOOKUP(B2019, Products!$A$2:$E$100, 3, FALSE)</f>
        <v>9</v>
      </c>
      <c r="K2019">
        <f>VLOOKUP(B2019, Products!$A$2:$F$100, 4, FALSE)</f>
        <v>6</v>
      </c>
    </row>
    <row r="2020" spans="1:11" x14ac:dyDescent="0.3">
      <c r="A2020">
        <v>713</v>
      </c>
      <c r="B2020">
        <v>2</v>
      </c>
      <c r="C2020">
        <v>97</v>
      </c>
      <c r="D2020" t="str">
        <f>VLOOKUP(B2020, Products!$A$2:$C$100, 2, FALSE)</f>
        <v>Ritchey Timberwolf Frameset - 2016</v>
      </c>
      <c r="E2020">
        <v>2</v>
      </c>
      <c r="F2020">
        <v>349.99</v>
      </c>
      <c r="G2020">
        <v>0.1</v>
      </c>
      <c r="H2020">
        <v>34.999000000000002</v>
      </c>
      <c r="I2020">
        <f>order_items[[#This Row],[list_price]]-order_items[[#This Row],[Discounted_price]]</f>
        <v>314.99099999999999</v>
      </c>
      <c r="J2020">
        <f>VLOOKUP(B2020, Products!$A$2:$E$100, 3, FALSE)</f>
        <v>5</v>
      </c>
      <c r="K2020">
        <f>VLOOKUP(B2020, Products!$A$2:$F$100, 4, FALSE)</f>
        <v>6</v>
      </c>
    </row>
    <row r="2021" spans="1:11" x14ac:dyDescent="0.3">
      <c r="A2021">
        <v>713</v>
      </c>
      <c r="B2021">
        <v>3</v>
      </c>
      <c r="C2021">
        <v>53</v>
      </c>
      <c r="D2021" t="str">
        <f>VLOOKUP(B2021, Products!$A$2:$C$100, 2, FALSE)</f>
        <v>Surly Wednesday Frameset - 2016</v>
      </c>
      <c r="E2021">
        <v>1</v>
      </c>
      <c r="F2021">
        <v>749.99</v>
      </c>
      <c r="G2021">
        <v>7.0000000000000007E-2</v>
      </c>
      <c r="H2021">
        <v>52.499300000000005</v>
      </c>
      <c r="I2021">
        <f>order_items[[#This Row],[list_price]]-order_items[[#This Row],[Discounted_price]]</f>
        <v>697.49070000000006</v>
      </c>
      <c r="J2021">
        <f>VLOOKUP(B2021, Products!$A$2:$E$100, 3, FALSE)</f>
        <v>8</v>
      </c>
      <c r="K2021">
        <f>VLOOKUP(B2021, Products!$A$2:$F$100, 4, FALSE)</f>
        <v>6</v>
      </c>
    </row>
    <row r="2022" spans="1:11" x14ac:dyDescent="0.3">
      <c r="A2022">
        <v>713</v>
      </c>
      <c r="B2022">
        <v>4</v>
      </c>
      <c r="C2022">
        <v>108</v>
      </c>
      <c r="D2022" t="str">
        <f>VLOOKUP(B2022, Products!$A$2:$C$100, 2, FALSE)</f>
        <v>Trek Fuel EX 8 29 - 2016</v>
      </c>
      <c r="E2022">
        <v>2</v>
      </c>
      <c r="F2022">
        <v>449.99</v>
      </c>
      <c r="G2022">
        <v>7.0000000000000007E-2</v>
      </c>
      <c r="H2022">
        <v>31.499300000000005</v>
      </c>
      <c r="I2022">
        <f>order_items[[#This Row],[list_price]]-order_items[[#This Row],[Discounted_price]]</f>
        <v>418.4907</v>
      </c>
      <c r="J2022">
        <f>VLOOKUP(B2022, Products!$A$2:$E$100, 3, FALSE)</f>
        <v>9</v>
      </c>
      <c r="K2022">
        <f>VLOOKUP(B2022, Products!$A$2:$F$100, 4, FALSE)</f>
        <v>6</v>
      </c>
    </row>
    <row r="2023" spans="1:11" x14ac:dyDescent="0.3">
      <c r="A2023">
        <v>714</v>
      </c>
      <c r="B2023">
        <v>1</v>
      </c>
      <c r="C2023">
        <v>92</v>
      </c>
      <c r="D2023" t="str">
        <f>VLOOKUP(B2023, Products!$A$2:$C$100, 2, FALSE)</f>
        <v>Trek 820 - 2016</v>
      </c>
      <c r="E2023">
        <v>2</v>
      </c>
      <c r="F2023">
        <v>209.99</v>
      </c>
      <c r="G2023">
        <v>0.2</v>
      </c>
      <c r="H2023">
        <v>41.998000000000005</v>
      </c>
      <c r="I2023">
        <f>order_items[[#This Row],[list_price]]-order_items[[#This Row],[Discounted_price]]</f>
        <v>167.99200000000002</v>
      </c>
      <c r="J2023">
        <f>VLOOKUP(B2023, Products!$A$2:$E$100, 3, FALSE)</f>
        <v>9</v>
      </c>
      <c r="K2023">
        <f>VLOOKUP(B2023, Products!$A$2:$F$100, 4, FALSE)</f>
        <v>6</v>
      </c>
    </row>
    <row r="2024" spans="1:11" x14ac:dyDescent="0.3">
      <c r="A2024">
        <v>715</v>
      </c>
      <c r="B2024">
        <v>1</v>
      </c>
      <c r="C2024">
        <v>61</v>
      </c>
      <c r="D2024" t="str">
        <f>VLOOKUP(B2024, Products!$A$2:$C$100, 2, FALSE)</f>
        <v>Trek 820 - 2016</v>
      </c>
      <c r="E2024">
        <v>2</v>
      </c>
      <c r="F2024">
        <v>4999.99</v>
      </c>
      <c r="G2024">
        <v>0.1</v>
      </c>
      <c r="H2024">
        <v>499.99900000000002</v>
      </c>
      <c r="I2024">
        <f>order_items[[#This Row],[list_price]]-order_items[[#This Row],[Discounted_price]]</f>
        <v>4499.991</v>
      </c>
      <c r="J2024">
        <f>VLOOKUP(B2024, Products!$A$2:$E$100, 3, FALSE)</f>
        <v>9</v>
      </c>
      <c r="K2024">
        <f>VLOOKUP(B2024, Products!$A$2:$F$100, 4, FALSE)</f>
        <v>6</v>
      </c>
    </row>
    <row r="2025" spans="1:11" x14ac:dyDescent="0.3">
      <c r="A2025">
        <v>715</v>
      </c>
      <c r="B2025">
        <v>2</v>
      </c>
      <c r="C2025">
        <v>50</v>
      </c>
      <c r="D2025" t="str">
        <f>VLOOKUP(B2025, Products!$A$2:$C$100, 2, FALSE)</f>
        <v>Ritchey Timberwolf Frameset - 2016</v>
      </c>
      <c r="E2025">
        <v>1</v>
      </c>
      <c r="F2025">
        <v>5999.99</v>
      </c>
      <c r="G2025">
        <v>0.2</v>
      </c>
      <c r="H2025">
        <v>1199.998</v>
      </c>
      <c r="I2025">
        <f>order_items[[#This Row],[list_price]]-order_items[[#This Row],[Discounted_price]]</f>
        <v>4799.9920000000002</v>
      </c>
      <c r="J2025">
        <f>VLOOKUP(B2025, Products!$A$2:$E$100, 3, FALSE)</f>
        <v>5</v>
      </c>
      <c r="K2025">
        <f>VLOOKUP(B2025, Products!$A$2:$F$100, 4, FALSE)</f>
        <v>6</v>
      </c>
    </row>
    <row r="2026" spans="1:11" x14ac:dyDescent="0.3">
      <c r="A2026">
        <v>716</v>
      </c>
      <c r="B2026">
        <v>1</v>
      </c>
      <c r="C2026">
        <v>111</v>
      </c>
      <c r="D2026" t="str">
        <f>VLOOKUP(B2026, Products!$A$2:$C$100, 2, FALSE)</f>
        <v>Trek 820 - 2016</v>
      </c>
      <c r="E2026">
        <v>2</v>
      </c>
      <c r="F2026">
        <v>470.99</v>
      </c>
      <c r="G2026">
        <v>0.1</v>
      </c>
      <c r="H2026">
        <v>47.099000000000004</v>
      </c>
      <c r="I2026">
        <f>order_items[[#This Row],[list_price]]-order_items[[#This Row],[Discounted_price]]</f>
        <v>423.89100000000002</v>
      </c>
      <c r="J2026">
        <f>VLOOKUP(B2026, Products!$A$2:$E$100, 3, FALSE)</f>
        <v>9</v>
      </c>
      <c r="K2026">
        <f>VLOOKUP(B2026, Products!$A$2:$F$100, 4, FALSE)</f>
        <v>6</v>
      </c>
    </row>
    <row r="2027" spans="1:11" x14ac:dyDescent="0.3">
      <c r="A2027">
        <v>716</v>
      </c>
      <c r="B2027">
        <v>2</v>
      </c>
      <c r="C2027">
        <v>93</v>
      </c>
      <c r="D2027" t="str">
        <f>VLOOKUP(B2027, Products!$A$2:$C$100, 2, FALSE)</f>
        <v>Ritchey Timberwolf Frameset - 2016</v>
      </c>
      <c r="E2027">
        <v>2</v>
      </c>
      <c r="F2027">
        <v>209.99</v>
      </c>
      <c r="G2027">
        <v>7.0000000000000007E-2</v>
      </c>
      <c r="H2027">
        <v>14.699300000000003</v>
      </c>
      <c r="I2027">
        <f>order_items[[#This Row],[list_price]]-order_items[[#This Row],[Discounted_price]]</f>
        <v>195.29070000000002</v>
      </c>
      <c r="J2027">
        <f>VLOOKUP(B2027, Products!$A$2:$E$100, 3, FALSE)</f>
        <v>5</v>
      </c>
      <c r="K2027">
        <f>VLOOKUP(B2027, Products!$A$2:$F$100, 4, FALSE)</f>
        <v>6</v>
      </c>
    </row>
    <row r="2028" spans="1:11" x14ac:dyDescent="0.3">
      <c r="A2028">
        <v>716</v>
      </c>
      <c r="B2028">
        <v>3</v>
      </c>
      <c r="C2028">
        <v>79</v>
      </c>
      <c r="D2028" t="str">
        <f>VLOOKUP(B2028, Products!$A$2:$C$100, 2, FALSE)</f>
        <v>Surly Wednesday Frameset - 2016</v>
      </c>
      <c r="E2028">
        <v>1</v>
      </c>
      <c r="F2028">
        <v>402.99</v>
      </c>
      <c r="G2028">
        <v>0.1</v>
      </c>
      <c r="H2028">
        <v>40.299000000000007</v>
      </c>
      <c r="I2028">
        <f>order_items[[#This Row],[list_price]]-order_items[[#This Row],[Discounted_price]]</f>
        <v>362.69100000000003</v>
      </c>
      <c r="J2028">
        <f>VLOOKUP(B2028, Products!$A$2:$E$100, 3, FALSE)</f>
        <v>8</v>
      </c>
      <c r="K2028">
        <f>VLOOKUP(B2028, Products!$A$2:$F$100, 4, FALSE)</f>
        <v>6</v>
      </c>
    </row>
    <row r="2029" spans="1:11" x14ac:dyDescent="0.3">
      <c r="A2029">
        <v>716</v>
      </c>
      <c r="B2029">
        <v>4</v>
      </c>
      <c r="C2029">
        <v>4</v>
      </c>
      <c r="D2029" t="str">
        <f>VLOOKUP(B2029, Products!$A$2:$C$100, 2, FALSE)</f>
        <v>Trek Fuel EX 8 29 - 2016</v>
      </c>
      <c r="E2029">
        <v>2</v>
      </c>
      <c r="F2029">
        <v>2899.99</v>
      </c>
      <c r="G2029">
        <v>0.05</v>
      </c>
      <c r="H2029">
        <v>144.99949999999998</v>
      </c>
      <c r="I2029">
        <f>order_items[[#This Row],[list_price]]-order_items[[#This Row],[Discounted_price]]</f>
        <v>2754.9904999999999</v>
      </c>
      <c r="J2029">
        <f>VLOOKUP(B2029, Products!$A$2:$E$100, 3, FALSE)</f>
        <v>9</v>
      </c>
      <c r="K2029">
        <f>VLOOKUP(B2029, Products!$A$2:$F$100, 4, FALSE)</f>
        <v>6</v>
      </c>
    </row>
    <row r="2030" spans="1:11" x14ac:dyDescent="0.3">
      <c r="A2030">
        <v>717</v>
      </c>
      <c r="B2030">
        <v>1</v>
      </c>
      <c r="C2030">
        <v>56</v>
      </c>
      <c r="D2030" t="str">
        <f>VLOOKUP(B2030, Products!$A$2:$C$100, 2, FALSE)</f>
        <v>Trek 820 - 2016</v>
      </c>
      <c r="E2030">
        <v>2</v>
      </c>
      <c r="F2030">
        <v>5499.99</v>
      </c>
      <c r="G2030">
        <v>0.05</v>
      </c>
      <c r="H2030">
        <v>274.99950000000001</v>
      </c>
      <c r="I2030">
        <f>order_items[[#This Row],[list_price]]-order_items[[#This Row],[Discounted_price]]</f>
        <v>5224.9904999999999</v>
      </c>
      <c r="J2030">
        <f>VLOOKUP(B2030, Products!$A$2:$E$100, 3, FALSE)</f>
        <v>9</v>
      </c>
      <c r="K2030">
        <f>VLOOKUP(B2030, Products!$A$2:$F$100, 4, FALSE)</f>
        <v>6</v>
      </c>
    </row>
    <row r="2031" spans="1:11" x14ac:dyDescent="0.3">
      <c r="A2031">
        <v>717</v>
      </c>
      <c r="B2031">
        <v>2</v>
      </c>
      <c r="C2031">
        <v>93</v>
      </c>
      <c r="D2031" t="str">
        <f>VLOOKUP(B2031, Products!$A$2:$C$100, 2, FALSE)</f>
        <v>Ritchey Timberwolf Frameset - 2016</v>
      </c>
      <c r="E2031">
        <v>1</v>
      </c>
      <c r="F2031">
        <v>209.99</v>
      </c>
      <c r="G2031">
        <v>0.2</v>
      </c>
      <c r="H2031">
        <v>41.998000000000005</v>
      </c>
      <c r="I2031">
        <f>order_items[[#This Row],[list_price]]-order_items[[#This Row],[Discounted_price]]</f>
        <v>167.99200000000002</v>
      </c>
      <c r="J2031">
        <f>VLOOKUP(B2031, Products!$A$2:$E$100, 3, FALSE)</f>
        <v>5</v>
      </c>
      <c r="K2031">
        <f>VLOOKUP(B2031, Products!$A$2:$F$100, 4, FALSE)</f>
        <v>6</v>
      </c>
    </row>
    <row r="2032" spans="1:11" x14ac:dyDescent="0.3">
      <c r="A2032">
        <v>718</v>
      </c>
      <c r="B2032">
        <v>1</v>
      </c>
      <c r="C2032">
        <v>92</v>
      </c>
      <c r="D2032" t="str">
        <f>VLOOKUP(B2032, Products!$A$2:$C$100, 2, FALSE)</f>
        <v>Trek 820 - 2016</v>
      </c>
      <c r="E2032">
        <v>2</v>
      </c>
      <c r="F2032">
        <v>209.99</v>
      </c>
      <c r="G2032">
        <v>7.0000000000000007E-2</v>
      </c>
      <c r="H2032">
        <v>14.699300000000003</v>
      </c>
      <c r="I2032">
        <f>order_items[[#This Row],[list_price]]-order_items[[#This Row],[Discounted_price]]</f>
        <v>195.29070000000002</v>
      </c>
      <c r="J2032">
        <f>VLOOKUP(B2032, Products!$A$2:$E$100, 3, FALSE)</f>
        <v>9</v>
      </c>
      <c r="K2032">
        <f>VLOOKUP(B2032, Products!$A$2:$F$100, 4, FALSE)</f>
        <v>6</v>
      </c>
    </row>
    <row r="2033" spans="1:11" x14ac:dyDescent="0.3">
      <c r="A2033">
        <v>718</v>
      </c>
      <c r="B2033">
        <v>2</v>
      </c>
      <c r="C2033">
        <v>40</v>
      </c>
      <c r="D2033" t="str">
        <f>VLOOKUP(B2033, Products!$A$2:$C$100, 2, FALSE)</f>
        <v>Ritchey Timberwolf Frameset - 2016</v>
      </c>
      <c r="E2033">
        <v>2</v>
      </c>
      <c r="F2033">
        <v>4999.99</v>
      </c>
      <c r="G2033">
        <v>7.0000000000000007E-2</v>
      </c>
      <c r="H2033">
        <v>349.99930000000001</v>
      </c>
      <c r="I2033">
        <f>order_items[[#This Row],[list_price]]-order_items[[#This Row],[Discounted_price]]</f>
        <v>4649.9906999999994</v>
      </c>
      <c r="J2033">
        <f>VLOOKUP(B2033, Products!$A$2:$E$100, 3, FALSE)</f>
        <v>5</v>
      </c>
      <c r="K2033">
        <f>VLOOKUP(B2033, Products!$A$2:$F$100, 4, FALSE)</f>
        <v>6</v>
      </c>
    </row>
    <row r="2034" spans="1:11" x14ac:dyDescent="0.3">
      <c r="A2034">
        <v>718</v>
      </c>
      <c r="B2034">
        <v>3</v>
      </c>
      <c r="C2034">
        <v>64</v>
      </c>
      <c r="D2034" t="str">
        <f>VLOOKUP(B2034, Products!$A$2:$C$100, 2, FALSE)</f>
        <v>Surly Wednesday Frameset - 2016</v>
      </c>
      <c r="E2034">
        <v>2</v>
      </c>
      <c r="F2034">
        <v>489.99</v>
      </c>
      <c r="G2034">
        <v>0.1</v>
      </c>
      <c r="H2034">
        <v>48.999000000000002</v>
      </c>
      <c r="I2034">
        <f>order_items[[#This Row],[list_price]]-order_items[[#This Row],[Discounted_price]]</f>
        <v>440.99099999999999</v>
      </c>
      <c r="J2034">
        <f>VLOOKUP(B2034, Products!$A$2:$E$100, 3, FALSE)</f>
        <v>8</v>
      </c>
      <c r="K2034">
        <f>VLOOKUP(B2034, Products!$A$2:$F$100, 4, FALSE)</f>
        <v>6</v>
      </c>
    </row>
    <row r="2035" spans="1:11" x14ac:dyDescent="0.3">
      <c r="A2035">
        <v>719</v>
      </c>
      <c r="B2035">
        <v>1</v>
      </c>
      <c r="C2035">
        <v>100</v>
      </c>
      <c r="D2035" t="str">
        <f>VLOOKUP(B2035, Products!$A$2:$C$100, 2, FALSE)</f>
        <v>Trek 820 - 2016</v>
      </c>
      <c r="E2035">
        <v>1</v>
      </c>
      <c r="F2035">
        <v>489.99</v>
      </c>
      <c r="G2035">
        <v>0.2</v>
      </c>
      <c r="H2035">
        <v>97.998000000000005</v>
      </c>
      <c r="I2035">
        <f>order_items[[#This Row],[list_price]]-order_items[[#This Row],[Discounted_price]]</f>
        <v>391.99200000000002</v>
      </c>
      <c r="J2035">
        <f>VLOOKUP(B2035, Products!$A$2:$E$100, 3, FALSE)</f>
        <v>9</v>
      </c>
      <c r="K2035">
        <f>VLOOKUP(B2035, Products!$A$2:$F$100, 4, FALSE)</f>
        <v>6</v>
      </c>
    </row>
    <row r="2036" spans="1:11" x14ac:dyDescent="0.3">
      <c r="A2036">
        <v>720</v>
      </c>
      <c r="B2036">
        <v>1</v>
      </c>
      <c r="C2036">
        <v>111</v>
      </c>
      <c r="D2036" t="str">
        <f>VLOOKUP(B2036, Products!$A$2:$C$100, 2, FALSE)</f>
        <v>Trek 820 - 2016</v>
      </c>
      <c r="E2036">
        <v>1</v>
      </c>
      <c r="F2036">
        <v>470.99</v>
      </c>
      <c r="G2036">
        <v>7.0000000000000007E-2</v>
      </c>
      <c r="H2036">
        <v>32.969300000000004</v>
      </c>
      <c r="I2036">
        <f>order_items[[#This Row],[list_price]]-order_items[[#This Row],[Discounted_price]]</f>
        <v>438.02070000000003</v>
      </c>
      <c r="J2036">
        <f>VLOOKUP(B2036, Products!$A$2:$E$100, 3, FALSE)</f>
        <v>9</v>
      </c>
      <c r="K2036">
        <f>VLOOKUP(B2036, Products!$A$2:$F$100, 4, FALSE)</f>
        <v>6</v>
      </c>
    </row>
    <row r="2037" spans="1:11" x14ac:dyDescent="0.3">
      <c r="A2037">
        <v>720</v>
      </c>
      <c r="B2037">
        <v>2</v>
      </c>
      <c r="C2037">
        <v>6</v>
      </c>
      <c r="D2037" t="str">
        <f>VLOOKUP(B2037, Products!$A$2:$C$100, 2, FALSE)</f>
        <v>Ritchey Timberwolf Frameset - 2016</v>
      </c>
      <c r="E2037">
        <v>1</v>
      </c>
      <c r="F2037">
        <v>469.99</v>
      </c>
      <c r="G2037">
        <v>0.1</v>
      </c>
      <c r="H2037">
        <v>46.999000000000002</v>
      </c>
      <c r="I2037">
        <f>order_items[[#This Row],[list_price]]-order_items[[#This Row],[Discounted_price]]</f>
        <v>422.99099999999999</v>
      </c>
      <c r="J2037">
        <f>VLOOKUP(B2037, Products!$A$2:$E$100, 3, FALSE)</f>
        <v>5</v>
      </c>
      <c r="K2037">
        <f>VLOOKUP(B2037, Products!$A$2:$F$100, 4, FALSE)</f>
        <v>6</v>
      </c>
    </row>
    <row r="2038" spans="1:11" x14ac:dyDescent="0.3">
      <c r="A2038">
        <v>721</v>
      </c>
      <c r="B2038">
        <v>1</v>
      </c>
      <c r="C2038">
        <v>45</v>
      </c>
      <c r="D2038" t="str">
        <f>VLOOKUP(B2038, Products!$A$2:$C$100, 2, FALSE)</f>
        <v>Trek 820 - 2016</v>
      </c>
      <c r="E2038">
        <v>2</v>
      </c>
      <c r="F2038">
        <v>869.99</v>
      </c>
      <c r="G2038">
        <v>7.0000000000000007E-2</v>
      </c>
      <c r="H2038">
        <v>60.899300000000004</v>
      </c>
      <c r="I2038">
        <f>order_items[[#This Row],[list_price]]-order_items[[#This Row],[Discounted_price]]</f>
        <v>809.09069999999997</v>
      </c>
      <c r="J2038">
        <f>VLOOKUP(B2038, Products!$A$2:$E$100, 3, FALSE)</f>
        <v>9</v>
      </c>
      <c r="K2038">
        <f>VLOOKUP(B2038, Products!$A$2:$F$100, 4, FALSE)</f>
        <v>6</v>
      </c>
    </row>
    <row r="2039" spans="1:11" x14ac:dyDescent="0.3">
      <c r="A2039">
        <v>721</v>
      </c>
      <c r="B2039">
        <v>2</v>
      </c>
      <c r="C2039">
        <v>102</v>
      </c>
      <c r="D2039" t="str">
        <f>VLOOKUP(B2039, Products!$A$2:$C$100, 2, FALSE)</f>
        <v>Ritchey Timberwolf Frameset - 2016</v>
      </c>
      <c r="E2039">
        <v>1</v>
      </c>
      <c r="F2039">
        <v>489.99</v>
      </c>
      <c r="G2039">
        <v>0.1</v>
      </c>
      <c r="H2039">
        <v>48.999000000000002</v>
      </c>
      <c r="I2039">
        <f>order_items[[#This Row],[list_price]]-order_items[[#This Row],[Discounted_price]]</f>
        <v>440.99099999999999</v>
      </c>
      <c r="J2039">
        <f>VLOOKUP(B2039, Products!$A$2:$E$100, 3, FALSE)</f>
        <v>5</v>
      </c>
      <c r="K2039">
        <f>VLOOKUP(B2039, Products!$A$2:$F$100, 4, FALSE)</f>
        <v>6</v>
      </c>
    </row>
    <row r="2040" spans="1:11" x14ac:dyDescent="0.3">
      <c r="A2040">
        <v>721</v>
      </c>
      <c r="B2040">
        <v>3</v>
      </c>
      <c r="C2040">
        <v>73</v>
      </c>
      <c r="D2040" t="str">
        <f>VLOOKUP(B2040, Products!$A$2:$C$100, 2, FALSE)</f>
        <v>Surly Wednesday Frameset - 2016</v>
      </c>
      <c r="E2040">
        <v>2</v>
      </c>
      <c r="F2040">
        <v>749.99</v>
      </c>
      <c r="G2040">
        <v>0.05</v>
      </c>
      <c r="H2040">
        <v>37.499500000000005</v>
      </c>
      <c r="I2040">
        <f>order_items[[#This Row],[list_price]]-order_items[[#This Row],[Discounted_price]]</f>
        <v>712.4905</v>
      </c>
      <c r="J2040">
        <f>VLOOKUP(B2040, Products!$A$2:$E$100, 3, FALSE)</f>
        <v>8</v>
      </c>
      <c r="K2040">
        <f>VLOOKUP(B2040, Products!$A$2:$F$100, 4, FALSE)</f>
        <v>6</v>
      </c>
    </row>
    <row r="2041" spans="1:11" x14ac:dyDescent="0.3">
      <c r="A2041">
        <v>721</v>
      </c>
      <c r="B2041">
        <v>4</v>
      </c>
      <c r="C2041">
        <v>33</v>
      </c>
      <c r="D2041" t="str">
        <f>VLOOKUP(B2041, Products!$A$2:$C$100, 2, FALSE)</f>
        <v>Trek Fuel EX 8 29 - 2016</v>
      </c>
      <c r="E2041">
        <v>1</v>
      </c>
      <c r="F2041">
        <v>469.99</v>
      </c>
      <c r="G2041">
        <v>0.2</v>
      </c>
      <c r="H2041">
        <v>93.998000000000005</v>
      </c>
      <c r="I2041">
        <f>order_items[[#This Row],[list_price]]-order_items[[#This Row],[Discounted_price]]</f>
        <v>375.99200000000002</v>
      </c>
      <c r="J2041">
        <f>VLOOKUP(B2041, Products!$A$2:$E$100, 3, FALSE)</f>
        <v>9</v>
      </c>
      <c r="K2041">
        <f>VLOOKUP(B2041, Products!$A$2:$F$100, 4, FALSE)</f>
        <v>6</v>
      </c>
    </row>
    <row r="2042" spans="1:11" x14ac:dyDescent="0.3">
      <c r="A2042">
        <v>722</v>
      </c>
      <c r="B2042">
        <v>1</v>
      </c>
      <c r="C2042">
        <v>22</v>
      </c>
      <c r="D2042" t="str">
        <f>VLOOKUP(B2042, Products!$A$2:$C$100, 2, FALSE)</f>
        <v>Trek 820 - 2016</v>
      </c>
      <c r="E2042">
        <v>2</v>
      </c>
      <c r="F2042">
        <v>269.99</v>
      </c>
      <c r="G2042">
        <v>7.0000000000000007E-2</v>
      </c>
      <c r="H2042">
        <v>18.899300000000004</v>
      </c>
      <c r="I2042">
        <f>order_items[[#This Row],[list_price]]-order_items[[#This Row],[Discounted_price]]</f>
        <v>251.0907</v>
      </c>
      <c r="J2042">
        <f>VLOOKUP(B2042, Products!$A$2:$E$100, 3, FALSE)</f>
        <v>9</v>
      </c>
      <c r="K2042">
        <f>VLOOKUP(B2042, Products!$A$2:$F$100, 4, FALSE)</f>
        <v>6</v>
      </c>
    </row>
    <row r="2043" spans="1:11" x14ac:dyDescent="0.3">
      <c r="A2043">
        <v>722</v>
      </c>
      <c r="B2043">
        <v>2</v>
      </c>
      <c r="C2043">
        <v>3</v>
      </c>
      <c r="D2043" t="str">
        <f>VLOOKUP(B2043, Products!$A$2:$C$100, 2, FALSE)</f>
        <v>Ritchey Timberwolf Frameset - 2016</v>
      </c>
      <c r="E2043">
        <v>1</v>
      </c>
      <c r="F2043">
        <v>999.99</v>
      </c>
      <c r="G2043">
        <v>0.05</v>
      </c>
      <c r="H2043">
        <v>49.999500000000005</v>
      </c>
      <c r="I2043">
        <f>order_items[[#This Row],[list_price]]-order_items[[#This Row],[Discounted_price]]</f>
        <v>949.9905</v>
      </c>
      <c r="J2043">
        <f>VLOOKUP(B2043, Products!$A$2:$E$100, 3, FALSE)</f>
        <v>5</v>
      </c>
      <c r="K2043">
        <f>VLOOKUP(B2043, Products!$A$2:$F$100, 4, FALSE)</f>
        <v>6</v>
      </c>
    </row>
    <row r="2044" spans="1:11" x14ac:dyDescent="0.3">
      <c r="A2044">
        <v>722</v>
      </c>
      <c r="B2044">
        <v>3</v>
      </c>
      <c r="C2044">
        <v>104</v>
      </c>
      <c r="D2044" t="str">
        <f>VLOOKUP(B2044, Products!$A$2:$C$100, 2, FALSE)</f>
        <v>Surly Wednesday Frameset - 2016</v>
      </c>
      <c r="E2044">
        <v>2</v>
      </c>
      <c r="F2044">
        <v>481.99</v>
      </c>
      <c r="G2044">
        <v>0.1</v>
      </c>
      <c r="H2044">
        <v>48.199000000000005</v>
      </c>
      <c r="I2044">
        <f>order_items[[#This Row],[list_price]]-order_items[[#This Row],[Discounted_price]]</f>
        <v>433.791</v>
      </c>
      <c r="J2044">
        <f>VLOOKUP(B2044, Products!$A$2:$E$100, 3, FALSE)</f>
        <v>8</v>
      </c>
      <c r="K2044">
        <f>VLOOKUP(B2044, Products!$A$2:$F$100, 4, FALSE)</f>
        <v>6</v>
      </c>
    </row>
    <row r="2045" spans="1:11" x14ac:dyDescent="0.3">
      <c r="A2045">
        <v>723</v>
      </c>
      <c r="B2045">
        <v>1</v>
      </c>
      <c r="C2045">
        <v>24</v>
      </c>
      <c r="D2045" t="str">
        <f>VLOOKUP(B2045, Products!$A$2:$C$100, 2, FALSE)</f>
        <v>Trek 820 - 2016</v>
      </c>
      <c r="E2045">
        <v>2</v>
      </c>
      <c r="F2045">
        <v>549.99</v>
      </c>
      <c r="G2045">
        <v>7.0000000000000007E-2</v>
      </c>
      <c r="H2045">
        <v>38.499300000000005</v>
      </c>
      <c r="I2045">
        <f>order_items[[#This Row],[list_price]]-order_items[[#This Row],[Discounted_price]]</f>
        <v>511.4907</v>
      </c>
      <c r="J2045">
        <f>VLOOKUP(B2045, Products!$A$2:$E$100, 3, FALSE)</f>
        <v>9</v>
      </c>
      <c r="K2045">
        <f>VLOOKUP(B2045, Products!$A$2:$F$100, 4, FALSE)</f>
        <v>6</v>
      </c>
    </row>
    <row r="2046" spans="1:11" x14ac:dyDescent="0.3">
      <c r="A2046">
        <v>723</v>
      </c>
      <c r="B2046">
        <v>2</v>
      </c>
      <c r="C2046">
        <v>16</v>
      </c>
      <c r="D2046" t="str">
        <f>VLOOKUP(B2046, Products!$A$2:$C$100, 2, FALSE)</f>
        <v>Ritchey Timberwolf Frameset - 2016</v>
      </c>
      <c r="E2046">
        <v>1</v>
      </c>
      <c r="F2046">
        <v>599.99</v>
      </c>
      <c r="G2046">
        <v>0.05</v>
      </c>
      <c r="H2046">
        <v>29.999500000000001</v>
      </c>
      <c r="I2046">
        <f>order_items[[#This Row],[list_price]]-order_items[[#This Row],[Discounted_price]]</f>
        <v>569.9905</v>
      </c>
      <c r="J2046">
        <f>VLOOKUP(B2046, Products!$A$2:$E$100, 3, FALSE)</f>
        <v>5</v>
      </c>
      <c r="K2046">
        <f>VLOOKUP(B2046, Products!$A$2:$F$100, 4, FALSE)</f>
        <v>6</v>
      </c>
    </row>
    <row r="2047" spans="1:11" x14ac:dyDescent="0.3">
      <c r="A2047">
        <v>723</v>
      </c>
      <c r="B2047">
        <v>3</v>
      </c>
      <c r="C2047">
        <v>108</v>
      </c>
      <c r="D2047" t="str">
        <f>VLOOKUP(B2047, Products!$A$2:$C$100, 2, FALSE)</f>
        <v>Surly Wednesday Frameset - 2016</v>
      </c>
      <c r="E2047">
        <v>1</v>
      </c>
      <c r="F2047">
        <v>449.99</v>
      </c>
      <c r="G2047">
        <v>7.0000000000000007E-2</v>
      </c>
      <c r="H2047">
        <v>31.499300000000005</v>
      </c>
      <c r="I2047">
        <f>order_items[[#This Row],[list_price]]-order_items[[#This Row],[Discounted_price]]</f>
        <v>418.4907</v>
      </c>
      <c r="J2047">
        <f>VLOOKUP(B2047, Products!$A$2:$E$100, 3, FALSE)</f>
        <v>8</v>
      </c>
      <c r="K2047">
        <f>VLOOKUP(B2047, Products!$A$2:$F$100, 4, FALSE)</f>
        <v>6</v>
      </c>
    </row>
    <row r="2048" spans="1:11" x14ac:dyDescent="0.3">
      <c r="A2048">
        <v>724</v>
      </c>
      <c r="B2048">
        <v>1</v>
      </c>
      <c r="C2048">
        <v>23</v>
      </c>
      <c r="D2048" t="str">
        <f>VLOOKUP(B2048, Products!$A$2:$C$100, 2, FALSE)</f>
        <v>Trek 820 - 2016</v>
      </c>
      <c r="E2048">
        <v>1</v>
      </c>
      <c r="F2048">
        <v>299.99</v>
      </c>
      <c r="G2048">
        <v>0.05</v>
      </c>
      <c r="H2048">
        <v>14.999500000000001</v>
      </c>
      <c r="I2048">
        <f>order_items[[#This Row],[list_price]]-order_items[[#This Row],[Discounted_price]]</f>
        <v>284.9905</v>
      </c>
      <c r="J2048">
        <f>VLOOKUP(B2048, Products!$A$2:$E$100, 3, FALSE)</f>
        <v>9</v>
      </c>
      <c r="K2048">
        <f>VLOOKUP(B2048, Products!$A$2:$F$100, 4, FALSE)</f>
        <v>6</v>
      </c>
    </row>
    <row r="2049" spans="1:11" x14ac:dyDescent="0.3">
      <c r="A2049">
        <v>724</v>
      </c>
      <c r="B2049">
        <v>2</v>
      </c>
      <c r="C2049">
        <v>75</v>
      </c>
      <c r="D2049" t="str">
        <f>VLOOKUP(B2049, Products!$A$2:$C$100, 2, FALSE)</f>
        <v>Ritchey Timberwolf Frameset - 2016</v>
      </c>
      <c r="E2049">
        <v>1</v>
      </c>
      <c r="F2049">
        <v>599.99</v>
      </c>
      <c r="G2049">
        <v>0.2</v>
      </c>
      <c r="H2049">
        <v>119.998</v>
      </c>
      <c r="I2049">
        <f>order_items[[#This Row],[list_price]]-order_items[[#This Row],[Discounted_price]]</f>
        <v>479.99200000000002</v>
      </c>
      <c r="J2049">
        <f>VLOOKUP(B2049, Products!$A$2:$E$100, 3, FALSE)</f>
        <v>5</v>
      </c>
      <c r="K2049">
        <f>VLOOKUP(B2049, Products!$A$2:$F$100, 4, FALSE)</f>
        <v>6</v>
      </c>
    </row>
    <row r="2050" spans="1:11" x14ac:dyDescent="0.3">
      <c r="A2050">
        <v>724</v>
      </c>
      <c r="B2050">
        <v>3</v>
      </c>
      <c r="C2050">
        <v>102</v>
      </c>
      <c r="D2050" t="str">
        <f>VLOOKUP(B2050, Products!$A$2:$C$100, 2, FALSE)</f>
        <v>Surly Wednesday Frameset - 2016</v>
      </c>
      <c r="E2050">
        <v>1</v>
      </c>
      <c r="F2050">
        <v>489.99</v>
      </c>
      <c r="G2050">
        <v>0.05</v>
      </c>
      <c r="H2050">
        <v>24.499500000000001</v>
      </c>
      <c r="I2050">
        <f>order_items[[#This Row],[list_price]]-order_items[[#This Row],[Discounted_price]]</f>
        <v>465.4905</v>
      </c>
      <c r="J2050">
        <f>VLOOKUP(B2050, Products!$A$2:$E$100, 3, FALSE)</f>
        <v>8</v>
      </c>
      <c r="K2050">
        <f>VLOOKUP(B2050, Products!$A$2:$F$100, 4, FALSE)</f>
        <v>6</v>
      </c>
    </row>
    <row r="2051" spans="1:11" x14ac:dyDescent="0.3">
      <c r="A2051">
        <v>724</v>
      </c>
      <c r="B2051">
        <v>4</v>
      </c>
      <c r="C2051">
        <v>55</v>
      </c>
      <c r="D2051" t="str">
        <f>VLOOKUP(B2051, Products!$A$2:$C$100, 2, FALSE)</f>
        <v>Trek Fuel EX 8 29 - 2016</v>
      </c>
      <c r="E2051">
        <v>1</v>
      </c>
      <c r="F2051">
        <v>2699.99</v>
      </c>
      <c r="G2051">
        <v>0.2</v>
      </c>
      <c r="H2051">
        <v>539.99799999999993</v>
      </c>
      <c r="I2051">
        <f>order_items[[#This Row],[list_price]]-order_items[[#This Row],[Discounted_price]]</f>
        <v>2159.9919999999997</v>
      </c>
      <c r="J2051">
        <f>VLOOKUP(B2051, Products!$A$2:$E$100, 3, FALSE)</f>
        <v>9</v>
      </c>
      <c r="K2051">
        <f>VLOOKUP(B2051, Products!$A$2:$F$100, 4, FALSE)</f>
        <v>6</v>
      </c>
    </row>
    <row r="2052" spans="1:11" x14ac:dyDescent="0.3">
      <c r="A2052">
        <v>725</v>
      </c>
      <c r="B2052">
        <v>1</v>
      </c>
      <c r="C2052">
        <v>90</v>
      </c>
      <c r="D2052" t="str">
        <f>VLOOKUP(B2052, Products!$A$2:$C$100, 2, FALSE)</f>
        <v>Trek 820 - 2016</v>
      </c>
      <c r="E2052">
        <v>1</v>
      </c>
      <c r="F2052">
        <v>209.99</v>
      </c>
      <c r="G2052">
        <v>0.1</v>
      </c>
      <c r="H2052">
        <v>20.999000000000002</v>
      </c>
      <c r="I2052">
        <f>order_items[[#This Row],[list_price]]-order_items[[#This Row],[Discounted_price]]</f>
        <v>188.99100000000001</v>
      </c>
      <c r="J2052">
        <f>VLOOKUP(B2052, Products!$A$2:$E$100, 3, FALSE)</f>
        <v>9</v>
      </c>
      <c r="K2052">
        <f>VLOOKUP(B2052, Products!$A$2:$F$100, 4, FALSE)</f>
        <v>6</v>
      </c>
    </row>
    <row r="2053" spans="1:11" x14ac:dyDescent="0.3">
      <c r="A2053">
        <v>725</v>
      </c>
      <c r="B2053">
        <v>2</v>
      </c>
      <c r="C2053">
        <v>91</v>
      </c>
      <c r="D2053" t="str">
        <f>VLOOKUP(B2053, Products!$A$2:$C$100, 2, FALSE)</f>
        <v>Ritchey Timberwolf Frameset - 2016</v>
      </c>
      <c r="E2053">
        <v>1</v>
      </c>
      <c r="F2053">
        <v>349.99</v>
      </c>
      <c r="G2053">
        <v>0.05</v>
      </c>
      <c r="H2053">
        <v>17.499500000000001</v>
      </c>
      <c r="I2053">
        <f>order_items[[#This Row],[list_price]]-order_items[[#This Row],[Discounted_price]]</f>
        <v>332.4905</v>
      </c>
      <c r="J2053">
        <f>VLOOKUP(B2053, Products!$A$2:$E$100, 3, FALSE)</f>
        <v>5</v>
      </c>
      <c r="K2053">
        <f>VLOOKUP(B2053, Products!$A$2:$F$100, 4, FALSE)</f>
        <v>6</v>
      </c>
    </row>
    <row r="2054" spans="1:11" x14ac:dyDescent="0.3">
      <c r="A2054">
        <v>725</v>
      </c>
      <c r="B2054">
        <v>3</v>
      </c>
      <c r="C2054">
        <v>77</v>
      </c>
      <c r="D2054" t="str">
        <f>VLOOKUP(B2054, Products!$A$2:$C$100, 2, FALSE)</f>
        <v>Surly Wednesday Frameset - 2016</v>
      </c>
      <c r="E2054">
        <v>2</v>
      </c>
      <c r="F2054">
        <v>799.99</v>
      </c>
      <c r="G2054">
        <v>7.0000000000000007E-2</v>
      </c>
      <c r="H2054">
        <v>55.999300000000005</v>
      </c>
      <c r="I2054">
        <f>order_items[[#This Row],[list_price]]-order_items[[#This Row],[Discounted_price]]</f>
        <v>743.99070000000006</v>
      </c>
      <c r="J2054">
        <f>VLOOKUP(B2054, Products!$A$2:$E$100, 3, FALSE)</f>
        <v>8</v>
      </c>
      <c r="K2054">
        <f>VLOOKUP(B2054, Products!$A$2:$F$100, 4, FALSE)</f>
        <v>6</v>
      </c>
    </row>
    <row r="2055" spans="1:11" x14ac:dyDescent="0.3">
      <c r="A2055">
        <v>725</v>
      </c>
      <c r="B2055">
        <v>4</v>
      </c>
      <c r="C2055">
        <v>62</v>
      </c>
      <c r="D2055" t="str">
        <f>VLOOKUP(B2055, Products!$A$2:$C$100, 2, FALSE)</f>
        <v>Trek Fuel EX 8 29 - 2016</v>
      </c>
      <c r="E2055">
        <v>2</v>
      </c>
      <c r="F2055">
        <v>3499.99</v>
      </c>
      <c r="G2055">
        <v>0.1</v>
      </c>
      <c r="H2055">
        <v>349.99900000000002</v>
      </c>
      <c r="I2055">
        <f>order_items[[#This Row],[list_price]]-order_items[[#This Row],[Discounted_price]]</f>
        <v>3149.991</v>
      </c>
      <c r="J2055">
        <f>VLOOKUP(B2055, Products!$A$2:$E$100, 3, FALSE)</f>
        <v>9</v>
      </c>
      <c r="K2055">
        <f>VLOOKUP(B2055, Products!$A$2:$F$100, 4, FALSE)</f>
        <v>6</v>
      </c>
    </row>
    <row r="2056" spans="1:11" x14ac:dyDescent="0.3">
      <c r="A2056">
        <v>726</v>
      </c>
      <c r="B2056">
        <v>1</v>
      </c>
      <c r="C2056">
        <v>64</v>
      </c>
      <c r="D2056" t="str">
        <f>VLOOKUP(B2056, Products!$A$2:$C$100, 2, FALSE)</f>
        <v>Trek 820 - 2016</v>
      </c>
      <c r="E2056">
        <v>1</v>
      </c>
      <c r="F2056">
        <v>489.99</v>
      </c>
      <c r="G2056">
        <v>0.2</v>
      </c>
      <c r="H2056">
        <v>97.998000000000005</v>
      </c>
      <c r="I2056">
        <f>order_items[[#This Row],[list_price]]-order_items[[#This Row],[Discounted_price]]</f>
        <v>391.99200000000002</v>
      </c>
      <c r="J2056">
        <f>VLOOKUP(B2056, Products!$A$2:$E$100, 3, FALSE)</f>
        <v>9</v>
      </c>
      <c r="K2056">
        <f>VLOOKUP(B2056, Products!$A$2:$F$100, 4, FALSE)</f>
        <v>6</v>
      </c>
    </row>
    <row r="2057" spans="1:11" x14ac:dyDescent="0.3">
      <c r="A2057">
        <v>727</v>
      </c>
      <c r="B2057">
        <v>1</v>
      </c>
      <c r="C2057">
        <v>78</v>
      </c>
      <c r="D2057" t="str">
        <f>VLOOKUP(B2057, Products!$A$2:$C$100, 2, FALSE)</f>
        <v>Trek 820 - 2016</v>
      </c>
      <c r="E2057">
        <v>1</v>
      </c>
      <c r="F2057">
        <v>647.99</v>
      </c>
      <c r="G2057">
        <v>7.0000000000000007E-2</v>
      </c>
      <c r="H2057">
        <v>45.359300000000005</v>
      </c>
      <c r="I2057">
        <f>order_items[[#This Row],[list_price]]-order_items[[#This Row],[Discounted_price]]</f>
        <v>602.63070000000005</v>
      </c>
      <c r="J2057">
        <f>VLOOKUP(B2057, Products!$A$2:$E$100, 3, FALSE)</f>
        <v>9</v>
      </c>
      <c r="K2057">
        <f>VLOOKUP(B2057, Products!$A$2:$F$100, 4, FALSE)</f>
        <v>6</v>
      </c>
    </row>
    <row r="2058" spans="1:11" x14ac:dyDescent="0.3">
      <c r="A2058">
        <v>727</v>
      </c>
      <c r="B2058">
        <v>2</v>
      </c>
      <c r="C2058">
        <v>82</v>
      </c>
      <c r="D2058" t="str">
        <f>VLOOKUP(B2058, Products!$A$2:$C$100, 2, FALSE)</f>
        <v>Ritchey Timberwolf Frameset - 2016</v>
      </c>
      <c r="E2058">
        <v>2</v>
      </c>
      <c r="F2058">
        <v>659.99</v>
      </c>
      <c r="G2058">
        <v>0.05</v>
      </c>
      <c r="H2058">
        <v>32.999500000000005</v>
      </c>
      <c r="I2058">
        <f>order_items[[#This Row],[list_price]]-order_items[[#This Row],[Discounted_price]]</f>
        <v>626.9905</v>
      </c>
      <c r="J2058">
        <f>VLOOKUP(B2058, Products!$A$2:$E$100, 3, FALSE)</f>
        <v>5</v>
      </c>
      <c r="K2058">
        <f>VLOOKUP(B2058, Products!$A$2:$F$100, 4, FALSE)</f>
        <v>6</v>
      </c>
    </row>
    <row r="2059" spans="1:11" x14ac:dyDescent="0.3">
      <c r="A2059">
        <v>728</v>
      </c>
      <c r="B2059">
        <v>1</v>
      </c>
      <c r="C2059">
        <v>70</v>
      </c>
      <c r="D2059" t="str">
        <f>VLOOKUP(B2059, Products!$A$2:$C$100, 2, FALSE)</f>
        <v>Trek 820 - 2016</v>
      </c>
      <c r="E2059">
        <v>1</v>
      </c>
      <c r="F2059">
        <v>659.99</v>
      </c>
      <c r="G2059">
        <v>0.05</v>
      </c>
      <c r="H2059">
        <v>32.999500000000005</v>
      </c>
      <c r="I2059">
        <f>order_items[[#This Row],[list_price]]-order_items[[#This Row],[Discounted_price]]</f>
        <v>626.9905</v>
      </c>
      <c r="J2059">
        <f>VLOOKUP(B2059, Products!$A$2:$E$100, 3, FALSE)</f>
        <v>9</v>
      </c>
      <c r="K2059">
        <f>VLOOKUP(B2059, Products!$A$2:$F$100, 4, FALSE)</f>
        <v>6</v>
      </c>
    </row>
    <row r="2060" spans="1:11" x14ac:dyDescent="0.3">
      <c r="A2060">
        <v>728</v>
      </c>
      <c r="B2060">
        <v>2</v>
      </c>
      <c r="C2060">
        <v>56</v>
      </c>
      <c r="D2060" t="str">
        <f>VLOOKUP(B2060, Products!$A$2:$C$100, 2, FALSE)</f>
        <v>Ritchey Timberwolf Frameset - 2016</v>
      </c>
      <c r="E2060">
        <v>1</v>
      </c>
      <c r="F2060">
        <v>5499.99</v>
      </c>
      <c r="G2060">
        <v>0.1</v>
      </c>
      <c r="H2060">
        <v>549.99900000000002</v>
      </c>
      <c r="I2060">
        <f>order_items[[#This Row],[list_price]]-order_items[[#This Row],[Discounted_price]]</f>
        <v>4949.991</v>
      </c>
      <c r="J2060">
        <f>VLOOKUP(B2060, Products!$A$2:$E$100, 3, FALSE)</f>
        <v>5</v>
      </c>
      <c r="K2060">
        <f>VLOOKUP(B2060, Products!$A$2:$F$100, 4, FALSE)</f>
        <v>6</v>
      </c>
    </row>
    <row r="2061" spans="1:11" x14ac:dyDescent="0.3">
      <c r="A2061">
        <v>728</v>
      </c>
      <c r="B2061">
        <v>3</v>
      </c>
      <c r="C2061">
        <v>91</v>
      </c>
      <c r="D2061" t="str">
        <f>VLOOKUP(B2061, Products!$A$2:$C$100, 2, FALSE)</f>
        <v>Surly Wednesday Frameset - 2016</v>
      </c>
      <c r="E2061">
        <v>1</v>
      </c>
      <c r="F2061">
        <v>349.99</v>
      </c>
      <c r="G2061">
        <v>0.1</v>
      </c>
      <c r="H2061">
        <v>34.999000000000002</v>
      </c>
      <c r="I2061">
        <f>order_items[[#This Row],[list_price]]-order_items[[#This Row],[Discounted_price]]</f>
        <v>314.99099999999999</v>
      </c>
      <c r="J2061">
        <f>VLOOKUP(B2061, Products!$A$2:$E$100, 3, FALSE)</f>
        <v>8</v>
      </c>
      <c r="K2061">
        <f>VLOOKUP(B2061, Products!$A$2:$F$100, 4, FALSE)</f>
        <v>6</v>
      </c>
    </row>
    <row r="2062" spans="1:11" x14ac:dyDescent="0.3">
      <c r="A2062">
        <v>728</v>
      </c>
      <c r="B2062">
        <v>4</v>
      </c>
      <c r="C2062">
        <v>58</v>
      </c>
      <c r="D2062" t="str">
        <f>VLOOKUP(B2062, Products!$A$2:$C$100, 2, FALSE)</f>
        <v>Trek Fuel EX 8 29 - 2016</v>
      </c>
      <c r="E2062">
        <v>1</v>
      </c>
      <c r="F2062">
        <v>4999.99</v>
      </c>
      <c r="G2062">
        <v>7.0000000000000007E-2</v>
      </c>
      <c r="H2062">
        <v>349.99930000000001</v>
      </c>
      <c r="I2062">
        <f>order_items[[#This Row],[list_price]]-order_items[[#This Row],[Discounted_price]]</f>
        <v>4649.9906999999994</v>
      </c>
      <c r="J2062">
        <f>VLOOKUP(B2062, Products!$A$2:$E$100, 3, FALSE)</f>
        <v>9</v>
      </c>
      <c r="K2062">
        <f>VLOOKUP(B2062, Products!$A$2:$F$100, 4, FALSE)</f>
        <v>6</v>
      </c>
    </row>
    <row r="2063" spans="1:11" x14ac:dyDescent="0.3">
      <c r="A2063">
        <v>729</v>
      </c>
      <c r="B2063">
        <v>1</v>
      </c>
      <c r="C2063">
        <v>101</v>
      </c>
      <c r="D2063" t="str">
        <f>VLOOKUP(B2063, Products!$A$2:$C$100, 2, FALSE)</f>
        <v>Trek 820 - 2016</v>
      </c>
      <c r="E2063">
        <v>2</v>
      </c>
      <c r="F2063">
        <v>339.99</v>
      </c>
      <c r="G2063">
        <v>0.1</v>
      </c>
      <c r="H2063">
        <v>33.999000000000002</v>
      </c>
      <c r="I2063">
        <f>order_items[[#This Row],[list_price]]-order_items[[#This Row],[Discounted_price]]</f>
        <v>305.99099999999999</v>
      </c>
      <c r="J2063">
        <f>VLOOKUP(B2063, Products!$A$2:$E$100, 3, FALSE)</f>
        <v>9</v>
      </c>
      <c r="K2063">
        <f>VLOOKUP(B2063, Products!$A$2:$F$100, 4, FALSE)</f>
        <v>6</v>
      </c>
    </row>
    <row r="2064" spans="1:11" x14ac:dyDescent="0.3">
      <c r="A2064">
        <v>730</v>
      </c>
      <c r="B2064">
        <v>1</v>
      </c>
      <c r="C2064">
        <v>59</v>
      </c>
      <c r="D2064" t="str">
        <f>VLOOKUP(B2064, Products!$A$2:$C$100, 2, FALSE)</f>
        <v>Trek 820 - 2016</v>
      </c>
      <c r="E2064">
        <v>2</v>
      </c>
      <c r="F2064">
        <v>2599.9899999999998</v>
      </c>
      <c r="G2064">
        <v>0.05</v>
      </c>
      <c r="H2064">
        <v>129.99949999999998</v>
      </c>
      <c r="I2064">
        <f>order_items[[#This Row],[list_price]]-order_items[[#This Row],[Discounted_price]]</f>
        <v>2469.9904999999999</v>
      </c>
      <c r="J2064">
        <f>VLOOKUP(B2064, Products!$A$2:$E$100, 3, FALSE)</f>
        <v>9</v>
      </c>
      <c r="K2064">
        <f>VLOOKUP(B2064, Products!$A$2:$F$100, 4, FALSE)</f>
        <v>6</v>
      </c>
    </row>
    <row r="2065" spans="1:11" x14ac:dyDescent="0.3">
      <c r="A2065">
        <v>730</v>
      </c>
      <c r="B2065">
        <v>2</v>
      </c>
      <c r="C2065">
        <v>79</v>
      </c>
      <c r="D2065" t="str">
        <f>VLOOKUP(B2065, Products!$A$2:$C$100, 2, FALSE)</f>
        <v>Ritchey Timberwolf Frameset - 2016</v>
      </c>
      <c r="E2065">
        <v>1</v>
      </c>
      <c r="F2065">
        <v>402.99</v>
      </c>
      <c r="G2065">
        <v>0.1</v>
      </c>
      <c r="H2065">
        <v>40.299000000000007</v>
      </c>
      <c r="I2065">
        <f>order_items[[#This Row],[list_price]]-order_items[[#This Row],[Discounted_price]]</f>
        <v>362.69100000000003</v>
      </c>
      <c r="J2065">
        <f>VLOOKUP(B2065, Products!$A$2:$E$100, 3, FALSE)</f>
        <v>5</v>
      </c>
      <c r="K2065">
        <f>VLOOKUP(B2065, Products!$A$2:$F$100, 4, FALSE)</f>
        <v>6</v>
      </c>
    </row>
    <row r="2066" spans="1:11" x14ac:dyDescent="0.3">
      <c r="A2066">
        <v>730</v>
      </c>
      <c r="B2066">
        <v>3</v>
      </c>
      <c r="C2066">
        <v>96</v>
      </c>
      <c r="D2066" t="str">
        <f>VLOOKUP(B2066, Products!$A$2:$C$100, 2, FALSE)</f>
        <v>Surly Wednesday Frameset - 2016</v>
      </c>
      <c r="E2066">
        <v>2</v>
      </c>
      <c r="F2066">
        <v>349.99</v>
      </c>
      <c r="G2066">
        <v>7.0000000000000007E-2</v>
      </c>
      <c r="H2066">
        <v>24.499300000000002</v>
      </c>
      <c r="I2066">
        <f>order_items[[#This Row],[list_price]]-order_items[[#This Row],[Discounted_price]]</f>
        <v>325.4907</v>
      </c>
      <c r="J2066">
        <f>VLOOKUP(B2066, Products!$A$2:$E$100, 3, FALSE)</f>
        <v>8</v>
      </c>
      <c r="K2066">
        <f>VLOOKUP(B2066, Products!$A$2:$F$100, 4, FALSE)</f>
        <v>6</v>
      </c>
    </row>
    <row r="2067" spans="1:11" x14ac:dyDescent="0.3">
      <c r="A2067">
        <v>730</v>
      </c>
      <c r="B2067">
        <v>4</v>
      </c>
      <c r="C2067">
        <v>13</v>
      </c>
      <c r="D2067" t="str">
        <f>VLOOKUP(B2067, Products!$A$2:$C$100, 2, FALSE)</f>
        <v>Trek Fuel EX 8 29 - 2016</v>
      </c>
      <c r="E2067">
        <v>1</v>
      </c>
      <c r="F2067">
        <v>269.99</v>
      </c>
      <c r="G2067">
        <v>0.1</v>
      </c>
      <c r="H2067">
        <v>26.999000000000002</v>
      </c>
      <c r="I2067">
        <f>order_items[[#This Row],[list_price]]-order_items[[#This Row],[Discounted_price]]</f>
        <v>242.99100000000001</v>
      </c>
      <c r="J2067">
        <f>VLOOKUP(B2067, Products!$A$2:$E$100, 3, FALSE)</f>
        <v>9</v>
      </c>
      <c r="K2067">
        <f>VLOOKUP(B2067, Products!$A$2:$F$100, 4, FALSE)</f>
        <v>6</v>
      </c>
    </row>
    <row r="2068" spans="1:11" x14ac:dyDescent="0.3">
      <c r="A2068">
        <v>731</v>
      </c>
      <c r="B2068">
        <v>1</v>
      </c>
      <c r="C2068">
        <v>91</v>
      </c>
      <c r="D2068" t="str">
        <f>VLOOKUP(B2068, Products!$A$2:$C$100, 2, FALSE)</f>
        <v>Trek 820 - 2016</v>
      </c>
      <c r="E2068">
        <v>1</v>
      </c>
      <c r="F2068">
        <v>349.99</v>
      </c>
      <c r="G2068">
        <v>0.05</v>
      </c>
      <c r="H2068">
        <v>17.499500000000001</v>
      </c>
      <c r="I2068">
        <f>order_items[[#This Row],[list_price]]-order_items[[#This Row],[Discounted_price]]</f>
        <v>332.4905</v>
      </c>
      <c r="J2068">
        <f>VLOOKUP(B2068, Products!$A$2:$E$100, 3, FALSE)</f>
        <v>9</v>
      </c>
      <c r="K2068">
        <f>VLOOKUP(B2068, Products!$A$2:$F$100, 4, FALSE)</f>
        <v>6</v>
      </c>
    </row>
    <row r="2069" spans="1:11" x14ac:dyDescent="0.3">
      <c r="A2069">
        <v>731</v>
      </c>
      <c r="B2069">
        <v>2</v>
      </c>
      <c r="C2069">
        <v>49</v>
      </c>
      <c r="D2069" t="str">
        <f>VLOOKUP(B2069, Products!$A$2:$C$100, 2, FALSE)</f>
        <v>Ritchey Timberwolf Frameset - 2016</v>
      </c>
      <c r="E2069">
        <v>1</v>
      </c>
      <c r="F2069">
        <v>3499.99</v>
      </c>
      <c r="G2069">
        <v>0.2</v>
      </c>
      <c r="H2069">
        <v>699.99800000000005</v>
      </c>
      <c r="I2069">
        <f>order_items[[#This Row],[list_price]]-order_items[[#This Row],[Discounted_price]]</f>
        <v>2799.9919999999997</v>
      </c>
      <c r="J2069">
        <f>VLOOKUP(B2069, Products!$A$2:$E$100, 3, FALSE)</f>
        <v>5</v>
      </c>
      <c r="K2069">
        <f>VLOOKUP(B2069, Products!$A$2:$F$100, 4, FALSE)</f>
        <v>6</v>
      </c>
    </row>
    <row r="2070" spans="1:11" x14ac:dyDescent="0.3">
      <c r="A2070">
        <v>731</v>
      </c>
      <c r="B2070">
        <v>3</v>
      </c>
      <c r="C2070">
        <v>67</v>
      </c>
      <c r="D2070" t="str">
        <f>VLOOKUP(B2070, Products!$A$2:$C$100, 2, FALSE)</f>
        <v>Surly Wednesday Frameset - 2016</v>
      </c>
      <c r="E2070">
        <v>2</v>
      </c>
      <c r="F2070">
        <v>250.99</v>
      </c>
      <c r="G2070">
        <v>0.2</v>
      </c>
      <c r="H2070">
        <v>50.198000000000008</v>
      </c>
      <c r="I2070">
        <f>order_items[[#This Row],[list_price]]-order_items[[#This Row],[Discounted_price]]</f>
        <v>200.792</v>
      </c>
      <c r="J2070">
        <f>VLOOKUP(B2070, Products!$A$2:$E$100, 3, FALSE)</f>
        <v>8</v>
      </c>
      <c r="K2070">
        <f>VLOOKUP(B2070, Products!$A$2:$F$100, 4, FALSE)</f>
        <v>6</v>
      </c>
    </row>
    <row r="2071" spans="1:11" x14ac:dyDescent="0.3">
      <c r="A2071">
        <v>731</v>
      </c>
      <c r="B2071">
        <v>4</v>
      </c>
      <c r="C2071">
        <v>29</v>
      </c>
      <c r="D2071" t="str">
        <f>VLOOKUP(B2071, Products!$A$2:$C$100, 2, FALSE)</f>
        <v>Trek Fuel EX 8 29 - 2016</v>
      </c>
      <c r="E2071">
        <v>1</v>
      </c>
      <c r="F2071">
        <v>999.99</v>
      </c>
      <c r="G2071">
        <v>0.2</v>
      </c>
      <c r="H2071">
        <v>199.99800000000002</v>
      </c>
      <c r="I2071">
        <f>order_items[[#This Row],[list_price]]-order_items[[#This Row],[Discounted_price]]</f>
        <v>799.99199999999996</v>
      </c>
      <c r="J2071">
        <f>VLOOKUP(B2071, Products!$A$2:$E$100, 3, FALSE)</f>
        <v>9</v>
      </c>
      <c r="K2071">
        <f>VLOOKUP(B2071, Products!$A$2:$F$100, 4, FALSE)</f>
        <v>6</v>
      </c>
    </row>
    <row r="2072" spans="1:11" x14ac:dyDescent="0.3">
      <c r="A2072">
        <v>732</v>
      </c>
      <c r="B2072">
        <v>1</v>
      </c>
      <c r="C2072">
        <v>47</v>
      </c>
      <c r="D2072" t="str">
        <f>VLOOKUP(B2072, Products!$A$2:$C$100, 2, FALSE)</f>
        <v>Trek 820 - 2016</v>
      </c>
      <c r="E2072">
        <v>1</v>
      </c>
      <c r="F2072">
        <v>5299.99</v>
      </c>
      <c r="G2072">
        <v>7.0000000000000007E-2</v>
      </c>
      <c r="H2072">
        <v>370.99930000000001</v>
      </c>
      <c r="I2072">
        <f>order_items[[#This Row],[list_price]]-order_items[[#This Row],[Discounted_price]]</f>
        <v>4928.9906999999994</v>
      </c>
      <c r="J2072">
        <f>VLOOKUP(B2072, Products!$A$2:$E$100, 3, FALSE)</f>
        <v>9</v>
      </c>
      <c r="K2072">
        <f>VLOOKUP(B2072, Products!$A$2:$F$100, 4, FALSE)</f>
        <v>6</v>
      </c>
    </row>
    <row r="2073" spans="1:11" x14ac:dyDescent="0.3">
      <c r="A2073">
        <v>732</v>
      </c>
      <c r="B2073">
        <v>2</v>
      </c>
      <c r="C2073">
        <v>4</v>
      </c>
      <c r="D2073" t="str">
        <f>VLOOKUP(B2073, Products!$A$2:$C$100, 2, FALSE)</f>
        <v>Ritchey Timberwolf Frameset - 2016</v>
      </c>
      <c r="E2073">
        <v>2</v>
      </c>
      <c r="F2073">
        <v>2899.99</v>
      </c>
      <c r="G2073">
        <v>7.0000000000000007E-2</v>
      </c>
      <c r="H2073">
        <v>202.99930000000001</v>
      </c>
      <c r="I2073">
        <f>order_items[[#This Row],[list_price]]-order_items[[#This Row],[Discounted_price]]</f>
        <v>2696.9906999999998</v>
      </c>
      <c r="J2073">
        <f>VLOOKUP(B2073, Products!$A$2:$E$100, 3, FALSE)</f>
        <v>5</v>
      </c>
      <c r="K2073">
        <f>VLOOKUP(B2073, Products!$A$2:$F$100, 4, FALSE)</f>
        <v>6</v>
      </c>
    </row>
    <row r="2074" spans="1:11" x14ac:dyDescent="0.3">
      <c r="A2074">
        <v>733</v>
      </c>
      <c r="B2074">
        <v>1</v>
      </c>
      <c r="C2074">
        <v>84</v>
      </c>
      <c r="D2074" t="str">
        <f>VLOOKUP(B2074, Products!$A$2:$C$100, 2, FALSE)</f>
        <v>Trek 820 - 2016</v>
      </c>
      <c r="E2074">
        <v>1</v>
      </c>
      <c r="F2074">
        <v>109.99</v>
      </c>
      <c r="G2074">
        <v>0.05</v>
      </c>
      <c r="H2074">
        <v>5.4995000000000003</v>
      </c>
      <c r="I2074">
        <f>order_items[[#This Row],[list_price]]-order_items[[#This Row],[Discounted_price]]</f>
        <v>104.4905</v>
      </c>
      <c r="J2074">
        <f>VLOOKUP(B2074, Products!$A$2:$E$100, 3, FALSE)</f>
        <v>9</v>
      </c>
      <c r="K2074">
        <f>VLOOKUP(B2074, Products!$A$2:$F$100, 4, FALSE)</f>
        <v>6</v>
      </c>
    </row>
    <row r="2075" spans="1:11" x14ac:dyDescent="0.3">
      <c r="A2075">
        <v>733</v>
      </c>
      <c r="B2075">
        <v>2</v>
      </c>
      <c r="C2075">
        <v>55</v>
      </c>
      <c r="D2075" t="str">
        <f>VLOOKUP(B2075, Products!$A$2:$C$100, 2, FALSE)</f>
        <v>Ritchey Timberwolf Frameset - 2016</v>
      </c>
      <c r="E2075">
        <v>1</v>
      </c>
      <c r="F2075">
        <v>2699.99</v>
      </c>
      <c r="G2075">
        <v>0.2</v>
      </c>
      <c r="H2075">
        <v>539.99799999999993</v>
      </c>
      <c r="I2075">
        <f>order_items[[#This Row],[list_price]]-order_items[[#This Row],[Discounted_price]]</f>
        <v>2159.9919999999997</v>
      </c>
      <c r="J2075">
        <f>VLOOKUP(B2075, Products!$A$2:$E$100, 3, FALSE)</f>
        <v>5</v>
      </c>
      <c r="K2075">
        <f>VLOOKUP(B2075, Products!$A$2:$F$100, 4, FALSE)</f>
        <v>6</v>
      </c>
    </row>
    <row r="2076" spans="1:11" x14ac:dyDescent="0.3">
      <c r="A2076">
        <v>733</v>
      </c>
      <c r="B2076">
        <v>3</v>
      </c>
      <c r="C2076">
        <v>102</v>
      </c>
      <c r="D2076" t="str">
        <f>VLOOKUP(B2076, Products!$A$2:$C$100, 2, FALSE)</f>
        <v>Surly Wednesday Frameset - 2016</v>
      </c>
      <c r="E2076">
        <v>2</v>
      </c>
      <c r="F2076">
        <v>489.99</v>
      </c>
      <c r="G2076">
        <v>0.1</v>
      </c>
      <c r="H2076">
        <v>48.999000000000002</v>
      </c>
      <c r="I2076">
        <f>order_items[[#This Row],[list_price]]-order_items[[#This Row],[Discounted_price]]</f>
        <v>440.99099999999999</v>
      </c>
      <c r="J2076">
        <f>VLOOKUP(B2076, Products!$A$2:$E$100, 3, FALSE)</f>
        <v>8</v>
      </c>
      <c r="K2076">
        <f>VLOOKUP(B2076, Products!$A$2:$F$100, 4, FALSE)</f>
        <v>6</v>
      </c>
    </row>
    <row r="2077" spans="1:11" x14ac:dyDescent="0.3">
      <c r="A2077">
        <v>734</v>
      </c>
      <c r="B2077">
        <v>1</v>
      </c>
      <c r="C2077">
        <v>26</v>
      </c>
      <c r="D2077" t="str">
        <f>VLOOKUP(B2077, Products!$A$2:$C$100, 2, FALSE)</f>
        <v>Trek 820 - 2016</v>
      </c>
      <c r="E2077">
        <v>1</v>
      </c>
      <c r="F2077">
        <v>599.99</v>
      </c>
      <c r="G2077">
        <v>0.2</v>
      </c>
      <c r="H2077">
        <v>119.998</v>
      </c>
      <c r="I2077">
        <f>order_items[[#This Row],[list_price]]-order_items[[#This Row],[Discounted_price]]</f>
        <v>479.99200000000002</v>
      </c>
      <c r="J2077">
        <f>VLOOKUP(B2077, Products!$A$2:$E$100, 3, FALSE)</f>
        <v>9</v>
      </c>
      <c r="K2077">
        <f>VLOOKUP(B2077, Products!$A$2:$F$100, 4, FALSE)</f>
        <v>6</v>
      </c>
    </row>
    <row r="2078" spans="1:11" x14ac:dyDescent="0.3">
      <c r="A2078">
        <v>734</v>
      </c>
      <c r="B2078">
        <v>2</v>
      </c>
      <c r="C2078">
        <v>3</v>
      </c>
      <c r="D2078" t="str">
        <f>VLOOKUP(B2078, Products!$A$2:$C$100, 2, FALSE)</f>
        <v>Ritchey Timberwolf Frameset - 2016</v>
      </c>
      <c r="E2078">
        <v>1</v>
      </c>
      <c r="F2078">
        <v>999.99</v>
      </c>
      <c r="G2078">
        <v>0.05</v>
      </c>
      <c r="H2078">
        <v>49.999500000000005</v>
      </c>
      <c r="I2078">
        <f>order_items[[#This Row],[list_price]]-order_items[[#This Row],[Discounted_price]]</f>
        <v>949.9905</v>
      </c>
      <c r="J2078">
        <f>VLOOKUP(B2078, Products!$A$2:$E$100, 3, FALSE)</f>
        <v>5</v>
      </c>
      <c r="K2078">
        <f>VLOOKUP(B2078, Products!$A$2:$F$100, 4, FALSE)</f>
        <v>6</v>
      </c>
    </row>
    <row r="2079" spans="1:11" x14ac:dyDescent="0.3">
      <c r="A2079">
        <v>734</v>
      </c>
      <c r="B2079">
        <v>3</v>
      </c>
      <c r="C2079">
        <v>84</v>
      </c>
      <c r="D2079" t="str">
        <f>VLOOKUP(B2079, Products!$A$2:$C$100, 2, FALSE)</f>
        <v>Surly Wednesday Frameset - 2016</v>
      </c>
      <c r="E2079">
        <v>2</v>
      </c>
      <c r="F2079">
        <v>109.99</v>
      </c>
      <c r="G2079">
        <v>0.2</v>
      </c>
      <c r="H2079">
        <v>21.998000000000001</v>
      </c>
      <c r="I2079">
        <f>order_items[[#This Row],[list_price]]-order_items[[#This Row],[Discounted_price]]</f>
        <v>87.99199999999999</v>
      </c>
      <c r="J2079">
        <f>VLOOKUP(B2079, Products!$A$2:$E$100, 3, FALSE)</f>
        <v>8</v>
      </c>
      <c r="K2079">
        <f>VLOOKUP(B2079, Products!$A$2:$F$100, 4, FALSE)</f>
        <v>6</v>
      </c>
    </row>
    <row r="2080" spans="1:11" x14ac:dyDescent="0.3">
      <c r="A2080">
        <v>734</v>
      </c>
      <c r="B2080">
        <v>4</v>
      </c>
      <c r="C2080">
        <v>65</v>
      </c>
      <c r="D2080" t="str">
        <f>VLOOKUP(B2080, Products!$A$2:$C$100, 2, FALSE)</f>
        <v>Trek Fuel EX 8 29 - 2016</v>
      </c>
      <c r="E2080">
        <v>2</v>
      </c>
      <c r="F2080">
        <v>346.99</v>
      </c>
      <c r="G2080">
        <v>0.1</v>
      </c>
      <c r="H2080">
        <v>34.699000000000005</v>
      </c>
      <c r="I2080">
        <f>order_items[[#This Row],[list_price]]-order_items[[#This Row],[Discounted_price]]</f>
        <v>312.291</v>
      </c>
      <c r="J2080">
        <f>VLOOKUP(B2080, Products!$A$2:$E$100, 3, FALSE)</f>
        <v>9</v>
      </c>
      <c r="K2080">
        <f>VLOOKUP(B2080, Products!$A$2:$F$100, 4, FALSE)</f>
        <v>6</v>
      </c>
    </row>
    <row r="2081" spans="1:11" x14ac:dyDescent="0.3">
      <c r="A2081">
        <v>735</v>
      </c>
      <c r="B2081">
        <v>1</v>
      </c>
      <c r="C2081">
        <v>71</v>
      </c>
      <c r="D2081" t="str">
        <f>VLOOKUP(B2081, Products!$A$2:$C$100, 2, FALSE)</f>
        <v>Trek 820 - 2016</v>
      </c>
      <c r="E2081">
        <v>2</v>
      </c>
      <c r="F2081">
        <v>416.99</v>
      </c>
      <c r="G2081">
        <v>0.1</v>
      </c>
      <c r="H2081">
        <v>41.699000000000005</v>
      </c>
      <c r="I2081">
        <f>order_items[[#This Row],[list_price]]-order_items[[#This Row],[Discounted_price]]</f>
        <v>375.291</v>
      </c>
      <c r="J2081">
        <f>VLOOKUP(B2081, Products!$A$2:$E$100, 3, FALSE)</f>
        <v>9</v>
      </c>
      <c r="K2081">
        <f>VLOOKUP(B2081, Products!$A$2:$F$100, 4, FALSE)</f>
        <v>6</v>
      </c>
    </row>
    <row r="2082" spans="1:11" x14ac:dyDescent="0.3">
      <c r="A2082">
        <v>735</v>
      </c>
      <c r="B2082">
        <v>2</v>
      </c>
      <c r="C2082">
        <v>10</v>
      </c>
      <c r="D2082" t="str">
        <f>VLOOKUP(B2082, Products!$A$2:$C$100, 2, FALSE)</f>
        <v>Ritchey Timberwolf Frameset - 2016</v>
      </c>
      <c r="E2082">
        <v>2</v>
      </c>
      <c r="F2082">
        <v>1549</v>
      </c>
      <c r="G2082">
        <v>7.0000000000000007E-2</v>
      </c>
      <c r="H2082">
        <v>108.43</v>
      </c>
      <c r="I2082">
        <f>order_items[[#This Row],[list_price]]-order_items[[#This Row],[Discounted_price]]</f>
        <v>1440.57</v>
      </c>
      <c r="J2082">
        <f>VLOOKUP(B2082, Products!$A$2:$E$100, 3, FALSE)</f>
        <v>5</v>
      </c>
      <c r="K2082">
        <f>VLOOKUP(B2082, Products!$A$2:$F$100, 4, FALSE)</f>
        <v>6</v>
      </c>
    </row>
    <row r="2083" spans="1:11" x14ac:dyDescent="0.3">
      <c r="A2083">
        <v>736</v>
      </c>
      <c r="B2083">
        <v>1</v>
      </c>
      <c r="C2083">
        <v>56</v>
      </c>
      <c r="D2083" t="str">
        <f>VLOOKUP(B2083, Products!$A$2:$C$100, 2, FALSE)</f>
        <v>Trek 820 - 2016</v>
      </c>
      <c r="E2083">
        <v>2</v>
      </c>
      <c r="F2083">
        <v>5499.99</v>
      </c>
      <c r="G2083">
        <v>0.05</v>
      </c>
      <c r="H2083">
        <v>274.99950000000001</v>
      </c>
      <c r="I2083">
        <f>order_items[[#This Row],[list_price]]-order_items[[#This Row],[Discounted_price]]</f>
        <v>5224.9904999999999</v>
      </c>
      <c r="J2083">
        <f>VLOOKUP(B2083, Products!$A$2:$E$100, 3, FALSE)</f>
        <v>9</v>
      </c>
      <c r="K2083">
        <f>VLOOKUP(B2083, Products!$A$2:$F$100, 4, FALSE)</f>
        <v>6</v>
      </c>
    </row>
    <row r="2084" spans="1:11" x14ac:dyDescent="0.3">
      <c r="A2084">
        <v>736</v>
      </c>
      <c r="B2084">
        <v>2</v>
      </c>
      <c r="C2084">
        <v>17</v>
      </c>
      <c r="D2084" t="str">
        <f>VLOOKUP(B2084, Products!$A$2:$C$100, 2, FALSE)</f>
        <v>Ritchey Timberwolf Frameset - 2016</v>
      </c>
      <c r="E2084">
        <v>1</v>
      </c>
      <c r="F2084">
        <v>429</v>
      </c>
      <c r="G2084">
        <v>0.1</v>
      </c>
      <c r="H2084">
        <v>42.900000000000006</v>
      </c>
      <c r="I2084">
        <f>order_items[[#This Row],[list_price]]-order_items[[#This Row],[Discounted_price]]</f>
        <v>386.1</v>
      </c>
      <c r="J2084">
        <f>VLOOKUP(B2084, Products!$A$2:$E$100, 3, FALSE)</f>
        <v>5</v>
      </c>
      <c r="K2084">
        <f>VLOOKUP(B2084, Products!$A$2:$F$100, 4, FALSE)</f>
        <v>6</v>
      </c>
    </row>
    <row r="2085" spans="1:11" x14ac:dyDescent="0.3">
      <c r="A2085">
        <v>736</v>
      </c>
      <c r="B2085">
        <v>3</v>
      </c>
      <c r="C2085">
        <v>62</v>
      </c>
      <c r="D2085" t="str">
        <f>VLOOKUP(B2085, Products!$A$2:$C$100, 2, FALSE)</f>
        <v>Surly Wednesday Frameset - 2016</v>
      </c>
      <c r="E2085">
        <v>2</v>
      </c>
      <c r="F2085">
        <v>3499.99</v>
      </c>
      <c r="G2085">
        <v>0.2</v>
      </c>
      <c r="H2085">
        <v>699.99800000000005</v>
      </c>
      <c r="I2085">
        <f>order_items[[#This Row],[list_price]]-order_items[[#This Row],[Discounted_price]]</f>
        <v>2799.9919999999997</v>
      </c>
      <c r="J2085">
        <f>VLOOKUP(B2085, Products!$A$2:$E$100, 3, FALSE)</f>
        <v>8</v>
      </c>
      <c r="K2085">
        <f>VLOOKUP(B2085, Products!$A$2:$F$100, 4, FALSE)</f>
        <v>6</v>
      </c>
    </row>
    <row r="2086" spans="1:11" x14ac:dyDescent="0.3">
      <c r="A2086">
        <v>737</v>
      </c>
      <c r="B2086">
        <v>1</v>
      </c>
      <c r="C2086">
        <v>52</v>
      </c>
      <c r="D2086" t="str">
        <f>VLOOKUP(B2086, Products!$A$2:$C$100, 2, FALSE)</f>
        <v>Trek 820 - 2016</v>
      </c>
      <c r="E2086">
        <v>1</v>
      </c>
      <c r="F2086">
        <v>875.99</v>
      </c>
      <c r="G2086">
        <v>0.05</v>
      </c>
      <c r="H2086">
        <v>43.799500000000002</v>
      </c>
      <c r="I2086">
        <f>order_items[[#This Row],[list_price]]-order_items[[#This Row],[Discounted_price]]</f>
        <v>832.19050000000004</v>
      </c>
      <c r="J2086">
        <f>VLOOKUP(B2086, Products!$A$2:$E$100, 3, FALSE)</f>
        <v>9</v>
      </c>
      <c r="K2086">
        <f>VLOOKUP(B2086, Products!$A$2:$F$100, 4, FALSE)</f>
        <v>6</v>
      </c>
    </row>
    <row r="2087" spans="1:11" x14ac:dyDescent="0.3">
      <c r="A2087">
        <v>737</v>
      </c>
      <c r="B2087">
        <v>2</v>
      </c>
      <c r="C2087">
        <v>19</v>
      </c>
      <c r="D2087" t="str">
        <f>VLOOKUP(B2087, Products!$A$2:$C$100, 2, FALSE)</f>
        <v>Ritchey Timberwolf Frameset - 2016</v>
      </c>
      <c r="E2087">
        <v>2</v>
      </c>
      <c r="F2087">
        <v>449</v>
      </c>
      <c r="G2087">
        <v>7.0000000000000007E-2</v>
      </c>
      <c r="H2087">
        <v>31.430000000000003</v>
      </c>
      <c r="I2087">
        <f>order_items[[#This Row],[list_price]]-order_items[[#This Row],[Discounted_price]]</f>
        <v>417.57</v>
      </c>
      <c r="J2087">
        <f>VLOOKUP(B2087, Products!$A$2:$E$100, 3, FALSE)</f>
        <v>5</v>
      </c>
      <c r="K2087">
        <f>VLOOKUP(B2087, Products!$A$2:$F$100, 4, FALSE)</f>
        <v>6</v>
      </c>
    </row>
    <row r="2088" spans="1:11" x14ac:dyDescent="0.3">
      <c r="A2088">
        <v>737</v>
      </c>
      <c r="B2088">
        <v>3</v>
      </c>
      <c r="C2088">
        <v>77</v>
      </c>
      <c r="D2088" t="str">
        <f>VLOOKUP(B2088, Products!$A$2:$C$100, 2, FALSE)</f>
        <v>Surly Wednesday Frameset - 2016</v>
      </c>
      <c r="E2088">
        <v>2</v>
      </c>
      <c r="F2088">
        <v>799.99</v>
      </c>
      <c r="G2088">
        <v>7.0000000000000007E-2</v>
      </c>
      <c r="H2088">
        <v>55.999300000000005</v>
      </c>
      <c r="I2088">
        <f>order_items[[#This Row],[list_price]]-order_items[[#This Row],[Discounted_price]]</f>
        <v>743.99070000000006</v>
      </c>
      <c r="J2088">
        <f>VLOOKUP(B2088, Products!$A$2:$E$100, 3, FALSE)</f>
        <v>8</v>
      </c>
      <c r="K2088">
        <f>VLOOKUP(B2088, Products!$A$2:$F$100, 4, FALSE)</f>
        <v>6</v>
      </c>
    </row>
    <row r="2089" spans="1:11" x14ac:dyDescent="0.3">
      <c r="A2089">
        <v>737</v>
      </c>
      <c r="B2089">
        <v>4</v>
      </c>
      <c r="C2089">
        <v>34</v>
      </c>
      <c r="D2089" t="str">
        <f>VLOOKUP(B2089, Products!$A$2:$C$100, 2, FALSE)</f>
        <v>Trek Fuel EX 8 29 - 2016</v>
      </c>
      <c r="E2089">
        <v>1</v>
      </c>
      <c r="F2089">
        <v>469.99</v>
      </c>
      <c r="G2089">
        <v>0.2</v>
      </c>
      <c r="H2089">
        <v>93.998000000000005</v>
      </c>
      <c r="I2089">
        <f>order_items[[#This Row],[list_price]]-order_items[[#This Row],[Discounted_price]]</f>
        <v>375.99200000000002</v>
      </c>
      <c r="J2089">
        <f>VLOOKUP(B2089, Products!$A$2:$E$100, 3, FALSE)</f>
        <v>9</v>
      </c>
      <c r="K2089">
        <f>VLOOKUP(B2089, Products!$A$2:$F$100, 4, FALSE)</f>
        <v>6</v>
      </c>
    </row>
    <row r="2090" spans="1:11" x14ac:dyDescent="0.3">
      <c r="A2090">
        <v>738</v>
      </c>
      <c r="B2090">
        <v>1</v>
      </c>
      <c r="C2090">
        <v>82</v>
      </c>
      <c r="D2090" t="str">
        <f>VLOOKUP(B2090, Products!$A$2:$C$100, 2, FALSE)</f>
        <v>Trek 820 - 2016</v>
      </c>
      <c r="E2090">
        <v>2</v>
      </c>
      <c r="F2090">
        <v>659.99</v>
      </c>
      <c r="G2090">
        <v>7.0000000000000007E-2</v>
      </c>
      <c r="H2090">
        <v>46.199300000000008</v>
      </c>
      <c r="I2090">
        <f>order_items[[#This Row],[list_price]]-order_items[[#This Row],[Discounted_price]]</f>
        <v>613.79070000000002</v>
      </c>
      <c r="J2090">
        <f>VLOOKUP(B2090, Products!$A$2:$E$100, 3, FALSE)</f>
        <v>9</v>
      </c>
      <c r="K2090">
        <f>VLOOKUP(B2090, Products!$A$2:$F$100, 4, FALSE)</f>
        <v>6</v>
      </c>
    </row>
    <row r="2091" spans="1:11" x14ac:dyDescent="0.3">
      <c r="A2091">
        <v>738</v>
      </c>
      <c r="B2091">
        <v>2</v>
      </c>
      <c r="C2091">
        <v>38</v>
      </c>
      <c r="D2091" t="str">
        <f>VLOOKUP(B2091, Products!$A$2:$C$100, 2, FALSE)</f>
        <v>Ritchey Timberwolf Frameset - 2016</v>
      </c>
      <c r="E2091">
        <v>2</v>
      </c>
      <c r="F2091">
        <v>549.99</v>
      </c>
      <c r="G2091">
        <v>0.2</v>
      </c>
      <c r="H2091">
        <v>109.998</v>
      </c>
      <c r="I2091">
        <f>order_items[[#This Row],[list_price]]-order_items[[#This Row],[Discounted_price]]</f>
        <v>439.99200000000002</v>
      </c>
      <c r="J2091">
        <f>VLOOKUP(B2091, Products!$A$2:$E$100, 3, FALSE)</f>
        <v>5</v>
      </c>
      <c r="K2091">
        <f>VLOOKUP(B2091, Products!$A$2:$F$100, 4, FALSE)</f>
        <v>6</v>
      </c>
    </row>
    <row r="2092" spans="1:11" x14ac:dyDescent="0.3">
      <c r="A2092">
        <v>738</v>
      </c>
      <c r="B2092">
        <v>3</v>
      </c>
      <c r="C2092">
        <v>25</v>
      </c>
      <c r="D2092" t="str">
        <f>VLOOKUP(B2092, Products!$A$2:$C$100, 2, FALSE)</f>
        <v>Surly Wednesday Frameset - 2016</v>
      </c>
      <c r="E2092">
        <v>1</v>
      </c>
      <c r="F2092">
        <v>499.99</v>
      </c>
      <c r="G2092">
        <v>0.1</v>
      </c>
      <c r="H2092">
        <v>49.999000000000002</v>
      </c>
      <c r="I2092">
        <f>order_items[[#This Row],[list_price]]-order_items[[#This Row],[Discounted_price]]</f>
        <v>449.99099999999999</v>
      </c>
      <c r="J2092">
        <f>VLOOKUP(B2092, Products!$A$2:$E$100, 3, FALSE)</f>
        <v>8</v>
      </c>
      <c r="K2092">
        <f>VLOOKUP(B2092, Products!$A$2:$F$100, 4, FALSE)</f>
        <v>6</v>
      </c>
    </row>
    <row r="2093" spans="1:11" x14ac:dyDescent="0.3">
      <c r="A2093">
        <v>738</v>
      </c>
      <c r="B2093">
        <v>4</v>
      </c>
      <c r="C2093">
        <v>63</v>
      </c>
      <c r="D2093" t="str">
        <f>VLOOKUP(B2093, Products!$A$2:$C$100, 2, FALSE)</f>
        <v>Trek Fuel EX 8 29 - 2016</v>
      </c>
      <c r="E2093">
        <v>1</v>
      </c>
      <c r="F2093">
        <v>3499.99</v>
      </c>
      <c r="G2093">
        <v>7.0000000000000007E-2</v>
      </c>
      <c r="H2093">
        <v>244.99930000000001</v>
      </c>
      <c r="I2093">
        <f>order_items[[#This Row],[list_price]]-order_items[[#This Row],[Discounted_price]]</f>
        <v>3254.9906999999998</v>
      </c>
      <c r="J2093">
        <f>VLOOKUP(B2093, Products!$A$2:$E$100, 3, FALSE)</f>
        <v>9</v>
      </c>
      <c r="K2093">
        <f>VLOOKUP(B2093, Products!$A$2:$F$100, 4, FALSE)</f>
        <v>6</v>
      </c>
    </row>
    <row r="2094" spans="1:11" x14ac:dyDescent="0.3">
      <c r="A2094">
        <v>739</v>
      </c>
      <c r="B2094">
        <v>1</v>
      </c>
      <c r="C2094">
        <v>3</v>
      </c>
      <c r="D2094" t="str">
        <f>VLOOKUP(B2094, Products!$A$2:$C$100, 2, FALSE)</f>
        <v>Trek 820 - 2016</v>
      </c>
      <c r="E2094">
        <v>1</v>
      </c>
      <c r="F2094">
        <v>999.99</v>
      </c>
      <c r="G2094">
        <v>0.2</v>
      </c>
      <c r="H2094">
        <v>199.99800000000002</v>
      </c>
      <c r="I2094">
        <f>order_items[[#This Row],[list_price]]-order_items[[#This Row],[Discounted_price]]</f>
        <v>799.99199999999996</v>
      </c>
      <c r="J2094">
        <f>VLOOKUP(B2094, Products!$A$2:$E$100, 3, FALSE)</f>
        <v>9</v>
      </c>
      <c r="K2094">
        <f>VLOOKUP(B2094, Products!$A$2:$F$100, 4, FALSE)</f>
        <v>6</v>
      </c>
    </row>
    <row r="2095" spans="1:11" x14ac:dyDescent="0.3">
      <c r="A2095">
        <v>740</v>
      </c>
      <c r="B2095">
        <v>1</v>
      </c>
      <c r="C2095">
        <v>81</v>
      </c>
      <c r="D2095" t="str">
        <f>VLOOKUP(B2095, Products!$A$2:$C$100, 2, FALSE)</f>
        <v>Trek 820 - 2016</v>
      </c>
      <c r="E2095">
        <v>1</v>
      </c>
      <c r="F2095">
        <v>1099.99</v>
      </c>
      <c r="G2095">
        <v>0.05</v>
      </c>
      <c r="H2095">
        <v>54.999500000000005</v>
      </c>
      <c r="I2095">
        <f>order_items[[#This Row],[list_price]]-order_items[[#This Row],[Discounted_price]]</f>
        <v>1044.9905000000001</v>
      </c>
      <c r="J2095">
        <f>VLOOKUP(B2095, Products!$A$2:$E$100, 3, FALSE)</f>
        <v>9</v>
      </c>
      <c r="K2095">
        <f>VLOOKUP(B2095, Products!$A$2:$F$100, 4, FALSE)</f>
        <v>6</v>
      </c>
    </row>
    <row r="2096" spans="1:11" x14ac:dyDescent="0.3">
      <c r="A2096">
        <v>740</v>
      </c>
      <c r="B2096">
        <v>2</v>
      </c>
      <c r="C2096">
        <v>94</v>
      </c>
      <c r="D2096" t="str">
        <f>VLOOKUP(B2096, Products!$A$2:$C$100, 2, FALSE)</f>
        <v>Ritchey Timberwolf Frameset - 2016</v>
      </c>
      <c r="E2096">
        <v>2</v>
      </c>
      <c r="F2096">
        <v>249.99</v>
      </c>
      <c r="G2096">
        <v>0.2</v>
      </c>
      <c r="H2096">
        <v>49.998000000000005</v>
      </c>
      <c r="I2096">
        <f>order_items[[#This Row],[list_price]]-order_items[[#This Row],[Discounted_price]]</f>
        <v>199.99200000000002</v>
      </c>
      <c r="J2096">
        <f>VLOOKUP(B2096, Products!$A$2:$E$100, 3, FALSE)</f>
        <v>5</v>
      </c>
      <c r="K2096">
        <f>VLOOKUP(B2096, Products!$A$2:$F$100, 4, FALSE)</f>
        <v>6</v>
      </c>
    </row>
    <row r="2097" spans="1:11" x14ac:dyDescent="0.3">
      <c r="A2097">
        <v>740</v>
      </c>
      <c r="B2097">
        <v>3</v>
      </c>
      <c r="C2097">
        <v>11</v>
      </c>
      <c r="D2097" t="str">
        <f>VLOOKUP(B2097, Products!$A$2:$C$100, 2, FALSE)</f>
        <v>Surly Wednesday Frameset - 2016</v>
      </c>
      <c r="E2097">
        <v>1</v>
      </c>
      <c r="F2097">
        <v>1680.99</v>
      </c>
      <c r="G2097">
        <v>0.2</v>
      </c>
      <c r="H2097">
        <v>336.19800000000004</v>
      </c>
      <c r="I2097">
        <f>order_items[[#This Row],[list_price]]-order_items[[#This Row],[Discounted_price]]</f>
        <v>1344.7919999999999</v>
      </c>
      <c r="J2097">
        <f>VLOOKUP(B2097, Products!$A$2:$E$100, 3, FALSE)</f>
        <v>8</v>
      </c>
      <c r="K2097">
        <f>VLOOKUP(B2097, Products!$A$2:$F$100, 4, FALSE)</f>
        <v>6</v>
      </c>
    </row>
    <row r="2098" spans="1:11" x14ac:dyDescent="0.3">
      <c r="A2098">
        <v>740</v>
      </c>
      <c r="B2098">
        <v>4</v>
      </c>
      <c r="C2098">
        <v>19</v>
      </c>
      <c r="D2098" t="str">
        <f>VLOOKUP(B2098, Products!$A$2:$C$100, 2, FALSE)</f>
        <v>Trek Fuel EX 8 29 - 2016</v>
      </c>
      <c r="E2098">
        <v>1</v>
      </c>
      <c r="F2098">
        <v>449</v>
      </c>
      <c r="G2098">
        <v>0.2</v>
      </c>
      <c r="H2098">
        <v>89.800000000000011</v>
      </c>
      <c r="I2098">
        <f>order_items[[#This Row],[list_price]]-order_items[[#This Row],[Discounted_price]]</f>
        <v>359.2</v>
      </c>
      <c r="J2098">
        <f>VLOOKUP(B2098, Products!$A$2:$E$100, 3, FALSE)</f>
        <v>9</v>
      </c>
      <c r="K2098">
        <f>VLOOKUP(B2098, Products!$A$2:$F$100, 4, FALSE)</f>
        <v>6</v>
      </c>
    </row>
    <row r="2099" spans="1:11" x14ac:dyDescent="0.3">
      <c r="A2099">
        <v>740</v>
      </c>
      <c r="B2099">
        <v>5</v>
      </c>
      <c r="C2099">
        <v>12</v>
      </c>
      <c r="D2099" t="str">
        <f>VLOOKUP(B2099, Products!$A$2:$C$100, 2, FALSE)</f>
        <v>Heller Shagamaw Frame - 2016</v>
      </c>
      <c r="E2099">
        <v>2</v>
      </c>
      <c r="F2099">
        <v>549.99</v>
      </c>
      <c r="G2099">
        <v>7.0000000000000007E-2</v>
      </c>
      <c r="H2099">
        <v>38.499300000000005</v>
      </c>
      <c r="I2099">
        <f>order_items[[#This Row],[list_price]]-order_items[[#This Row],[Discounted_price]]</f>
        <v>511.4907</v>
      </c>
      <c r="J2099">
        <f>VLOOKUP(B2099, Products!$A$2:$E$100, 3, FALSE)</f>
        <v>3</v>
      </c>
      <c r="K2099">
        <f>VLOOKUP(B2099, Products!$A$2:$F$100, 4, FALSE)</f>
        <v>6</v>
      </c>
    </row>
    <row r="2100" spans="1:11" x14ac:dyDescent="0.3">
      <c r="A2100">
        <v>741</v>
      </c>
      <c r="B2100">
        <v>1</v>
      </c>
      <c r="C2100">
        <v>58</v>
      </c>
      <c r="D2100" t="str">
        <f>VLOOKUP(B2100, Products!$A$2:$C$100, 2, FALSE)</f>
        <v>Trek 820 - 2016</v>
      </c>
      <c r="E2100">
        <v>1</v>
      </c>
      <c r="F2100">
        <v>4999.99</v>
      </c>
      <c r="G2100">
        <v>0.05</v>
      </c>
      <c r="H2100">
        <v>249.99950000000001</v>
      </c>
      <c r="I2100">
        <f>order_items[[#This Row],[list_price]]-order_items[[#This Row],[Discounted_price]]</f>
        <v>4749.9904999999999</v>
      </c>
      <c r="J2100">
        <f>VLOOKUP(B2100, Products!$A$2:$E$100, 3, FALSE)</f>
        <v>9</v>
      </c>
      <c r="K2100">
        <f>VLOOKUP(B2100, Products!$A$2:$F$100, 4, FALSE)</f>
        <v>6</v>
      </c>
    </row>
    <row r="2101" spans="1:11" x14ac:dyDescent="0.3">
      <c r="A2101">
        <v>741</v>
      </c>
      <c r="B2101">
        <v>2</v>
      </c>
      <c r="C2101">
        <v>76</v>
      </c>
      <c r="D2101" t="str">
        <f>VLOOKUP(B2101, Products!$A$2:$C$100, 2, FALSE)</f>
        <v>Ritchey Timberwolf Frameset - 2016</v>
      </c>
      <c r="E2101">
        <v>1</v>
      </c>
      <c r="F2101">
        <v>299.99</v>
      </c>
      <c r="G2101">
        <v>7.0000000000000007E-2</v>
      </c>
      <c r="H2101">
        <v>20.999300000000002</v>
      </c>
      <c r="I2101">
        <f>order_items[[#This Row],[list_price]]-order_items[[#This Row],[Discounted_price]]</f>
        <v>278.9907</v>
      </c>
      <c r="J2101">
        <f>VLOOKUP(B2101, Products!$A$2:$E$100, 3, FALSE)</f>
        <v>5</v>
      </c>
      <c r="K2101">
        <f>VLOOKUP(B2101, Products!$A$2:$F$100, 4, FALSE)</f>
        <v>6</v>
      </c>
    </row>
    <row r="2102" spans="1:11" x14ac:dyDescent="0.3">
      <c r="A2102">
        <v>741</v>
      </c>
      <c r="B2102">
        <v>3</v>
      </c>
      <c r="C2102">
        <v>21</v>
      </c>
      <c r="D2102" t="str">
        <f>VLOOKUP(B2102, Products!$A$2:$C$100, 2, FALSE)</f>
        <v>Surly Wednesday Frameset - 2016</v>
      </c>
      <c r="E2102">
        <v>2</v>
      </c>
      <c r="F2102">
        <v>269.99</v>
      </c>
      <c r="G2102">
        <v>7.0000000000000007E-2</v>
      </c>
      <c r="H2102">
        <v>18.899300000000004</v>
      </c>
      <c r="I2102">
        <f>order_items[[#This Row],[list_price]]-order_items[[#This Row],[Discounted_price]]</f>
        <v>251.0907</v>
      </c>
      <c r="J2102">
        <f>VLOOKUP(B2102, Products!$A$2:$E$100, 3, FALSE)</f>
        <v>8</v>
      </c>
      <c r="K2102">
        <f>VLOOKUP(B2102, Products!$A$2:$F$100, 4, FALSE)</f>
        <v>6</v>
      </c>
    </row>
    <row r="2103" spans="1:11" x14ac:dyDescent="0.3">
      <c r="A2103">
        <v>741</v>
      </c>
      <c r="B2103">
        <v>4</v>
      </c>
      <c r="C2103">
        <v>56</v>
      </c>
      <c r="D2103" t="str">
        <f>VLOOKUP(B2103, Products!$A$2:$C$100, 2, FALSE)</f>
        <v>Trek Fuel EX 8 29 - 2016</v>
      </c>
      <c r="E2103">
        <v>2</v>
      </c>
      <c r="F2103">
        <v>5499.99</v>
      </c>
      <c r="G2103">
        <v>0.05</v>
      </c>
      <c r="H2103">
        <v>274.99950000000001</v>
      </c>
      <c r="I2103">
        <f>order_items[[#This Row],[list_price]]-order_items[[#This Row],[Discounted_price]]</f>
        <v>5224.9904999999999</v>
      </c>
      <c r="J2103">
        <f>VLOOKUP(B2103, Products!$A$2:$E$100, 3, FALSE)</f>
        <v>9</v>
      </c>
      <c r="K2103">
        <f>VLOOKUP(B2103, Products!$A$2:$F$100, 4, FALSE)</f>
        <v>6</v>
      </c>
    </row>
    <row r="2104" spans="1:11" x14ac:dyDescent="0.3">
      <c r="A2104">
        <v>742</v>
      </c>
      <c r="B2104">
        <v>1</v>
      </c>
      <c r="C2104">
        <v>107</v>
      </c>
      <c r="D2104" t="str">
        <f>VLOOKUP(B2104, Products!$A$2:$C$100, 2, FALSE)</f>
        <v>Trek 820 - 2016</v>
      </c>
      <c r="E2104">
        <v>2</v>
      </c>
      <c r="F2104">
        <v>416.99</v>
      </c>
      <c r="G2104">
        <v>0.05</v>
      </c>
      <c r="H2104">
        <v>20.849500000000003</v>
      </c>
      <c r="I2104">
        <f>order_items[[#This Row],[list_price]]-order_items[[#This Row],[Discounted_price]]</f>
        <v>396.14050000000003</v>
      </c>
      <c r="J2104">
        <f>VLOOKUP(B2104, Products!$A$2:$E$100, 3, FALSE)</f>
        <v>9</v>
      </c>
      <c r="K2104">
        <f>VLOOKUP(B2104, Products!$A$2:$F$100, 4, FALSE)</f>
        <v>6</v>
      </c>
    </row>
    <row r="2105" spans="1:11" x14ac:dyDescent="0.3">
      <c r="A2105">
        <v>742</v>
      </c>
      <c r="B2105">
        <v>2</v>
      </c>
      <c r="C2105">
        <v>45</v>
      </c>
      <c r="D2105" t="str">
        <f>VLOOKUP(B2105, Products!$A$2:$C$100, 2, FALSE)</f>
        <v>Ritchey Timberwolf Frameset - 2016</v>
      </c>
      <c r="E2105">
        <v>1</v>
      </c>
      <c r="F2105">
        <v>869.99</v>
      </c>
      <c r="G2105">
        <v>7.0000000000000007E-2</v>
      </c>
      <c r="H2105">
        <v>60.899300000000004</v>
      </c>
      <c r="I2105">
        <f>order_items[[#This Row],[list_price]]-order_items[[#This Row],[Discounted_price]]</f>
        <v>809.09069999999997</v>
      </c>
      <c r="J2105">
        <f>VLOOKUP(B2105, Products!$A$2:$E$100, 3, FALSE)</f>
        <v>5</v>
      </c>
      <c r="K2105">
        <f>VLOOKUP(B2105, Products!$A$2:$F$100, 4, FALSE)</f>
        <v>6</v>
      </c>
    </row>
    <row r="2106" spans="1:11" x14ac:dyDescent="0.3">
      <c r="A2106">
        <v>743</v>
      </c>
      <c r="B2106">
        <v>1</v>
      </c>
      <c r="C2106">
        <v>80</v>
      </c>
      <c r="D2106" t="str">
        <f>VLOOKUP(B2106, Products!$A$2:$C$100, 2, FALSE)</f>
        <v>Trek 820 - 2016</v>
      </c>
      <c r="E2106">
        <v>1</v>
      </c>
      <c r="F2106">
        <v>761.99</v>
      </c>
      <c r="G2106">
        <v>0.05</v>
      </c>
      <c r="H2106">
        <v>38.099499999999999</v>
      </c>
      <c r="I2106">
        <f>order_items[[#This Row],[list_price]]-order_items[[#This Row],[Discounted_price]]</f>
        <v>723.89049999999997</v>
      </c>
      <c r="J2106">
        <f>VLOOKUP(B2106, Products!$A$2:$E$100, 3, FALSE)</f>
        <v>9</v>
      </c>
      <c r="K2106">
        <f>VLOOKUP(B2106, Products!$A$2:$F$100, 4, FALSE)</f>
        <v>6</v>
      </c>
    </row>
    <row r="2107" spans="1:11" x14ac:dyDescent="0.3">
      <c r="A2107">
        <v>744</v>
      </c>
      <c r="B2107">
        <v>1</v>
      </c>
      <c r="C2107">
        <v>33</v>
      </c>
      <c r="D2107" t="str">
        <f>VLOOKUP(B2107, Products!$A$2:$C$100, 2, FALSE)</f>
        <v>Trek 820 - 2016</v>
      </c>
      <c r="E2107">
        <v>2</v>
      </c>
      <c r="F2107">
        <v>469.99</v>
      </c>
      <c r="G2107">
        <v>0.2</v>
      </c>
      <c r="H2107">
        <v>93.998000000000005</v>
      </c>
      <c r="I2107">
        <f>order_items[[#This Row],[list_price]]-order_items[[#This Row],[Discounted_price]]</f>
        <v>375.99200000000002</v>
      </c>
      <c r="J2107">
        <f>VLOOKUP(B2107, Products!$A$2:$E$100, 3, FALSE)</f>
        <v>9</v>
      </c>
      <c r="K2107">
        <f>VLOOKUP(B2107, Products!$A$2:$F$100, 4, FALSE)</f>
        <v>6</v>
      </c>
    </row>
    <row r="2108" spans="1:11" x14ac:dyDescent="0.3">
      <c r="A2108">
        <v>745</v>
      </c>
      <c r="B2108">
        <v>1</v>
      </c>
      <c r="C2108">
        <v>95</v>
      </c>
      <c r="D2108" t="str">
        <f>VLOOKUP(B2108, Products!$A$2:$C$100, 2, FALSE)</f>
        <v>Trek 820 - 2016</v>
      </c>
      <c r="E2108">
        <v>2</v>
      </c>
      <c r="F2108">
        <v>299.99</v>
      </c>
      <c r="G2108">
        <v>0.05</v>
      </c>
      <c r="H2108">
        <v>14.999500000000001</v>
      </c>
      <c r="I2108">
        <f>order_items[[#This Row],[list_price]]-order_items[[#This Row],[Discounted_price]]</f>
        <v>284.9905</v>
      </c>
      <c r="J2108">
        <f>VLOOKUP(B2108, Products!$A$2:$E$100, 3, FALSE)</f>
        <v>9</v>
      </c>
      <c r="K2108">
        <f>VLOOKUP(B2108, Products!$A$2:$F$100, 4, FALSE)</f>
        <v>6</v>
      </c>
    </row>
    <row r="2109" spans="1:11" x14ac:dyDescent="0.3">
      <c r="A2109">
        <v>745</v>
      </c>
      <c r="B2109">
        <v>2</v>
      </c>
      <c r="C2109">
        <v>22</v>
      </c>
      <c r="D2109" t="str">
        <f>VLOOKUP(B2109, Products!$A$2:$C$100, 2, FALSE)</f>
        <v>Ritchey Timberwolf Frameset - 2016</v>
      </c>
      <c r="E2109">
        <v>2</v>
      </c>
      <c r="F2109">
        <v>269.99</v>
      </c>
      <c r="G2109">
        <v>0.2</v>
      </c>
      <c r="H2109">
        <v>53.998000000000005</v>
      </c>
      <c r="I2109">
        <f>order_items[[#This Row],[list_price]]-order_items[[#This Row],[Discounted_price]]</f>
        <v>215.99200000000002</v>
      </c>
      <c r="J2109">
        <f>VLOOKUP(B2109, Products!$A$2:$E$100, 3, FALSE)</f>
        <v>5</v>
      </c>
      <c r="K2109">
        <f>VLOOKUP(B2109, Products!$A$2:$F$100, 4, FALSE)</f>
        <v>6</v>
      </c>
    </row>
    <row r="2110" spans="1:11" x14ac:dyDescent="0.3">
      <c r="A2110">
        <v>745</v>
      </c>
      <c r="B2110">
        <v>3</v>
      </c>
      <c r="C2110">
        <v>78</v>
      </c>
      <c r="D2110" t="str">
        <f>VLOOKUP(B2110, Products!$A$2:$C$100, 2, FALSE)</f>
        <v>Surly Wednesday Frameset - 2016</v>
      </c>
      <c r="E2110">
        <v>1</v>
      </c>
      <c r="F2110">
        <v>647.99</v>
      </c>
      <c r="G2110">
        <v>0.1</v>
      </c>
      <c r="H2110">
        <v>64.799000000000007</v>
      </c>
      <c r="I2110">
        <f>order_items[[#This Row],[list_price]]-order_items[[#This Row],[Discounted_price]]</f>
        <v>583.19100000000003</v>
      </c>
      <c r="J2110">
        <f>VLOOKUP(B2110, Products!$A$2:$E$100, 3, FALSE)</f>
        <v>8</v>
      </c>
      <c r="K2110">
        <f>VLOOKUP(B2110, Products!$A$2:$F$100, 4, FALSE)</f>
        <v>6</v>
      </c>
    </row>
    <row r="2111" spans="1:11" x14ac:dyDescent="0.3">
      <c r="A2111">
        <v>746</v>
      </c>
      <c r="B2111">
        <v>1</v>
      </c>
      <c r="C2111">
        <v>99</v>
      </c>
      <c r="D2111" t="str">
        <f>VLOOKUP(B2111, Products!$A$2:$C$100, 2, FALSE)</f>
        <v>Trek 820 - 2016</v>
      </c>
      <c r="E2111">
        <v>1</v>
      </c>
      <c r="F2111">
        <v>299.99</v>
      </c>
      <c r="G2111">
        <v>0.1</v>
      </c>
      <c r="H2111">
        <v>29.999000000000002</v>
      </c>
      <c r="I2111">
        <f>order_items[[#This Row],[list_price]]-order_items[[#This Row],[Discounted_price]]</f>
        <v>269.99099999999999</v>
      </c>
      <c r="J2111">
        <f>VLOOKUP(B2111, Products!$A$2:$E$100, 3, FALSE)</f>
        <v>9</v>
      </c>
      <c r="K2111">
        <f>VLOOKUP(B2111, Products!$A$2:$F$100, 4, FALSE)</f>
        <v>6</v>
      </c>
    </row>
    <row r="2112" spans="1:11" x14ac:dyDescent="0.3">
      <c r="A2112">
        <v>747</v>
      </c>
      <c r="B2112">
        <v>1</v>
      </c>
      <c r="C2112">
        <v>110</v>
      </c>
      <c r="D2112" t="str">
        <f>VLOOKUP(B2112, Products!$A$2:$C$100, 2, FALSE)</f>
        <v>Trek 820 - 2016</v>
      </c>
      <c r="E2112">
        <v>1</v>
      </c>
      <c r="F2112">
        <v>470.99</v>
      </c>
      <c r="G2112">
        <v>7.0000000000000007E-2</v>
      </c>
      <c r="H2112">
        <v>32.969300000000004</v>
      </c>
      <c r="I2112">
        <f>order_items[[#This Row],[list_price]]-order_items[[#This Row],[Discounted_price]]</f>
        <v>438.02070000000003</v>
      </c>
      <c r="J2112">
        <f>VLOOKUP(B2112, Products!$A$2:$E$100, 3, FALSE)</f>
        <v>9</v>
      </c>
      <c r="K2112">
        <f>VLOOKUP(B2112, Products!$A$2:$F$100, 4, FALSE)</f>
        <v>6</v>
      </c>
    </row>
    <row r="2113" spans="1:11" x14ac:dyDescent="0.3">
      <c r="A2113">
        <v>747</v>
      </c>
      <c r="B2113">
        <v>2</v>
      </c>
      <c r="C2113">
        <v>86</v>
      </c>
      <c r="D2113" t="str">
        <f>VLOOKUP(B2113, Products!$A$2:$C$100, 2, FALSE)</f>
        <v>Ritchey Timberwolf Frameset - 2016</v>
      </c>
      <c r="E2113">
        <v>1</v>
      </c>
      <c r="F2113">
        <v>149.99</v>
      </c>
      <c r="G2113">
        <v>0.2</v>
      </c>
      <c r="H2113">
        <v>29.998000000000005</v>
      </c>
      <c r="I2113">
        <f>order_items[[#This Row],[list_price]]-order_items[[#This Row],[Discounted_price]]</f>
        <v>119.992</v>
      </c>
      <c r="J2113">
        <f>VLOOKUP(B2113, Products!$A$2:$E$100, 3, FALSE)</f>
        <v>5</v>
      </c>
      <c r="K2113">
        <f>VLOOKUP(B2113, Products!$A$2:$F$100, 4, FALSE)</f>
        <v>6</v>
      </c>
    </row>
    <row r="2114" spans="1:11" x14ac:dyDescent="0.3">
      <c r="A2114">
        <v>747</v>
      </c>
      <c r="B2114">
        <v>3</v>
      </c>
      <c r="C2114">
        <v>33</v>
      </c>
      <c r="D2114" t="str">
        <f>VLOOKUP(B2114, Products!$A$2:$C$100, 2, FALSE)</f>
        <v>Surly Wednesday Frameset - 2016</v>
      </c>
      <c r="E2114">
        <v>2</v>
      </c>
      <c r="F2114">
        <v>469.99</v>
      </c>
      <c r="G2114">
        <v>0.1</v>
      </c>
      <c r="H2114">
        <v>46.999000000000002</v>
      </c>
      <c r="I2114">
        <f>order_items[[#This Row],[list_price]]-order_items[[#This Row],[Discounted_price]]</f>
        <v>422.99099999999999</v>
      </c>
      <c r="J2114">
        <f>VLOOKUP(B2114, Products!$A$2:$E$100, 3, FALSE)</f>
        <v>8</v>
      </c>
      <c r="K2114">
        <f>VLOOKUP(B2114, Products!$A$2:$F$100, 4, FALSE)</f>
        <v>6</v>
      </c>
    </row>
    <row r="2115" spans="1:11" x14ac:dyDescent="0.3">
      <c r="A2115">
        <v>747</v>
      </c>
      <c r="B2115">
        <v>4</v>
      </c>
      <c r="C2115">
        <v>81</v>
      </c>
      <c r="D2115" t="str">
        <f>VLOOKUP(B2115, Products!$A$2:$C$100, 2, FALSE)</f>
        <v>Trek Fuel EX 8 29 - 2016</v>
      </c>
      <c r="E2115">
        <v>1</v>
      </c>
      <c r="F2115">
        <v>1099.99</v>
      </c>
      <c r="G2115">
        <v>7.0000000000000007E-2</v>
      </c>
      <c r="H2115">
        <v>76.999300000000005</v>
      </c>
      <c r="I2115">
        <f>order_items[[#This Row],[list_price]]-order_items[[#This Row],[Discounted_price]]</f>
        <v>1022.9907000000001</v>
      </c>
      <c r="J2115">
        <f>VLOOKUP(B2115, Products!$A$2:$E$100, 3, FALSE)</f>
        <v>9</v>
      </c>
      <c r="K2115">
        <f>VLOOKUP(B2115, Products!$A$2:$F$100, 4, FALSE)</f>
        <v>6</v>
      </c>
    </row>
    <row r="2116" spans="1:11" x14ac:dyDescent="0.3">
      <c r="A2116">
        <v>748</v>
      </c>
      <c r="B2116">
        <v>1</v>
      </c>
      <c r="C2116">
        <v>16</v>
      </c>
      <c r="D2116" t="str">
        <f>VLOOKUP(B2116, Products!$A$2:$C$100, 2, FALSE)</f>
        <v>Trek 820 - 2016</v>
      </c>
      <c r="E2116">
        <v>2</v>
      </c>
      <c r="F2116">
        <v>599.99</v>
      </c>
      <c r="G2116">
        <v>0.1</v>
      </c>
      <c r="H2116">
        <v>59.999000000000002</v>
      </c>
      <c r="I2116">
        <f>order_items[[#This Row],[list_price]]-order_items[[#This Row],[Discounted_price]]</f>
        <v>539.99099999999999</v>
      </c>
      <c r="J2116">
        <f>VLOOKUP(B2116, Products!$A$2:$E$100, 3, FALSE)</f>
        <v>9</v>
      </c>
      <c r="K2116">
        <f>VLOOKUP(B2116, Products!$A$2:$F$100, 4, FALSE)</f>
        <v>6</v>
      </c>
    </row>
    <row r="2117" spans="1:11" x14ac:dyDescent="0.3">
      <c r="A2117">
        <v>748</v>
      </c>
      <c r="B2117">
        <v>2</v>
      </c>
      <c r="C2117">
        <v>83</v>
      </c>
      <c r="D2117" t="str">
        <f>VLOOKUP(B2117, Products!$A$2:$C$100, 2, FALSE)</f>
        <v>Ritchey Timberwolf Frameset - 2016</v>
      </c>
      <c r="E2117">
        <v>2</v>
      </c>
      <c r="F2117">
        <v>149.99</v>
      </c>
      <c r="G2117">
        <v>0.05</v>
      </c>
      <c r="H2117">
        <v>7.4995000000000012</v>
      </c>
      <c r="I2117">
        <f>order_items[[#This Row],[list_price]]-order_items[[#This Row],[Discounted_price]]</f>
        <v>142.4905</v>
      </c>
      <c r="J2117">
        <f>VLOOKUP(B2117, Products!$A$2:$E$100, 3, FALSE)</f>
        <v>5</v>
      </c>
      <c r="K2117">
        <f>VLOOKUP(B2117, Products!$A$2:$F$100, 4, FALSE)</f>
        <v>6</v>
      </c>
    </row>
    <row r="2118" spans="1:11" x14ac:dyDescent="0.3">
      <c r="A2118">
        <v>748</v>
      </c>
      <c r="B2118">
        <v>3</v>
      </c>
      <c r="C2118">
        <v>41</v>
      </c>
      <c r="D2118" t="str">
        <f>VLOOKUP(B2118, Products!$A$2:$C$100, 2, FALSE)</f>
        <v>Surly Wednesday Frameset - 2016</v>
      </c>
      <c r="E2118">
        <v>1</v>
      </c>
      <c r="F2118">
        <v>1469.99</v>
      </c>
      <c r="G2118">
        <v>7.0000000000000007E-2</v>
      </c>
      <c r="H2118">
        <v>102.89930000000001</v>
      </c>
      <c r="I2118">
        <f>order_items[[#This Row],[list_price]]-order_items[[#This Row],[Discounted_price]]</f>
        <v>1367.0907</v>
      </c>
      <c r="J2118">
        <f>VLOOKUP(B2118, Products!$A$2:$E$100, 3, FALSE)</f>
        <v>8</v>
      </c>
      <c r="K2118">
        <f>VLOOKUP(B2118, Products!$A$2:$F$100, 4, FALSE)</f>
        <v>6</v>
      </c>
    </row>
    <row r="2119" spans="1:11" x14ac:dyDescent="0.3">
      <c r="A2119">
        <v>748</v>
      </c>
      <c r="B2119">
        <v>4</v>
      </c>
      <c r="C2119">
        <v>35</v>
      </c>
      <c r="D2119" t="str">
        <f>VLOOKUP(B2119, Products!$A$2:$C$100, 2, FALSE)</f>
        <v>Trek Fuel EX 8 29 - 2016</v>
      </c>
      <c r="E2119">
        <v>2</v>
      </c>
      <c r="F2119">
        <v>832.99</v>
      </c>
      <c r="G2119">
        <v>0.2</v>
      </c>
      <c r="H2119">
        <v>166.59800000000001</v>
      </c>
      <c r="I2119">
        <f>order_items[[#This Row],[list_price]]-order_items[[#This Row],[Discounted_price]]</f>
        <v>666.39200000000005</v>
      </c>
      <c r="J2119">
        <f>VLOOKUP(B2119, Products!$A$2:$E$100, 3, FALSE)</f>
        <v>9</v>
      </c>
      <c r="K2119">
        <f>VLOOKUP(B2119, Products!$A$2:$F$100, 4, FALSE)</f>
        <v>6</v>
      </c>
    </row>
    <row r="2120" spans="1:11" x14ac:dyDescent="0.3">
      <c r="A2120">
        <v>749</v>
      </c>
      <c r="B2120">
        <v>1</v>
      </c>
      <c r="C2120">
        <v>9</v>
      </c>
      <c r="D2120" t="str">
        <f>VLOOKUP(B2120, Products!$A$2:$C$100, 2, FALSE)</f>
        <v>Trek 820 - 2016</v>
      </c>
      <c r="E2120">
        <v>1</v>
      </c>
      <c r="F2120">
        <v>2999.99</v>
      </c>
      <c r="G2120">
        <v>0.2</v>
      </c>
      <c r="H2120">
        <v>599.99799999999993</v>
      </c>
      <c r="I2120">
        <f>order_items[[#This Row],[list_price]]-order_items[[#This Row],[Discounted_price]]</f>
        <v>2399.9919999999997</v>
      </c>
      <c r="J2120">
        <f>VLOOKUP(B2120, Products!$A$2:$E$100, 3, FALSE)</f>
        <v>9</v>
      </c>
      <c r="K2120">
        <f>VLOOKUP(B2120, Products!$A$2:$F$100, 4, FALSE)</f>
        <v>6</v>
      </c>
    </row>
    <row r="2121" spans="1:11" x14ac:dyDescent="0.3">
      <c r="A2121">
        <v>749</v>
      </c>
      <c r="B2121">
        <v>2</v>
      </c>
      <c r="C2121">
        <v>28</v>
      </c>
      <c r="D2121" t="str">
        <f>VLOOKUP(B2121, Products!$A$2:$C$100, 2, FALSE)</f>
        <v>Ritchey Timberwolf Frameset - 2016</v>
      </c>
      <c r="E2121">
        <v>1</v>
      </c>
      <c r="F2121">
        <v>2499.9899999999998</v>
      </c>
      <c r="G2121">
        <v>0.05</v>
      </c>
      <c r="H2121">
        <v>124.9995</v>
      </c>
      <c r="I2121">
        <f>order_items[[#This Row],[list_price]]-order_items[[#This Row],[Discounted_price]]</f>
        <v>2374.9904999999999</v>
      </c>
      <c r="J2121">
        <f>VLOOKUP(B2121, Products!$A$2:$E$100, 3, FALSE)</f>
        <v>5</v>
      </c>
      <c r="K2121">
        <f>VLOOKUP(B2121, Products!$A$2:$F$100, 4, FALSE)</f>
        <v>6</v>
      </c>
    </row>
    <row r="2122" spans="1:11" x14ac:dyDescent="0.3">
      <c r="A2122">
        <v>749</v>
      </c>
      <c r="B2122">
        <v>3</v>
      </c>
      <c r="C2122">
        <v>79</v>
      </c>
      <c r="D2122" t="str">
        <f>VLOOKUP(B2122, Products!$A$2:$C$100, 2, FALSE)</f>
        <v>Surly Wednesday Frameset - 2016</v>
      </c>
      <c r="E2122">
        <v>1</v>
      </c>
      <c r="F2122">
        <v>402.99</v>
      </c>
      <c r="G2122">
        <v>0.2</v>
      </c>
      <c r="H2122">
        <v>80.598000000000013</v>
      </c>
      <c r="I2122">
        <f>order_items[[#This Row],[list_price]]-order_items[[#This Row],[Discounted_price]]</f>
        <v>322.392</v>
      </c>
      <c r="J2122">
        <f>VLOOKUP(B2122, Products!$A$2:$E$100, 3, FALSE)</f>
        <v>8</v>
      </c>
      <c r="K2122">
        <f>VLOOKUP(B2122, Products!$A$2:$F$100, 4, FALSE)</f>
        <v>6</v>
      </c>
    </row>
    <row r="2123" spans="1:11" x14ac:dyDescent="0.3">
      <c r="A2123">
        <v>749</v>
      </c>
      <c r="B2123">
        <v>4</v>
      </c>
      <c r="C2123">
        <v>24</v>
      </c>
      <c r="D2123" t="str">
        <f>VLOOKUP(B2123, Products!$A$2:$C$100, 2, FALSE)</f>
        <v>Trek Fuel EX 8 29 - 2016</v>
      </c>
      <c r="E2123">
        <v>1</v>
      </c>
      <c r="F2123">
        <v>549.99</v>
      </c>
      <c r="G2123">
        <v>0.05</v>
      </c>
      <c r="H2123">
        <v>27.499500000000001</v>
      </c>
      <c r="I2123">
        <f>order_items[[#This Row],[list_price]]-order_items[[#This Row],[Discounted_price]]</f>
        <v>522.4905</v>
      </c>
      <c r="J2123">
        <f>VLOOKUP(B2123, Products!$A$2:$E$100, 3, FALSE)</f>
        <v>9</v>
      </c>
      <c r="K2123">
        <f>VLOOKUP(B2123, Products!$A$2:$F$100, 4, FALSE)</f>
        <v>6</v>
      </c>
    </row>
    <row r="2124" spans="1:11" x14ac:dyDescent="0.3">
      <c r="A2124">
        <v>749</v>
      </c>
      <c r="B2124">
        <v>5</v>
      </c>
      <c r="C2124">
        <v>40</v>
      </c>
      <c r="D2124" t="str">
        <f>VLOOKUP(B2124, Products!$A$2:$C$100, 2, FALSE)</f>
        <v>Heller Shagamaw Frame - 2016</v>
      </c>
      <c r="E2124">
        <v>1</v>
      </c>
      <c r="F2124">
        <v>4999.99</v>
      </c>
      <c r="G2124">
        <v>7.0000000000000007E-2</v>
      </c>
      <c r="H2124">
        <v>349.99930000000001</v>
      </c>
      <c r="I2124">
        <f>order_items[[#This Row],[list_price]]-order_items[[#This Row],[Discounted_price]]</f>
        <v>4649.9906999999994</v>
      </c>
      <c r="J2124">
        <f>VLOOKUP(B2124, Products!$A$2:$E$100, 3, FALSE)</f>
        <v>3</v>
      </c>
      <c r="K2124">
        <f>VLOOKUP(B2124, Products!$A$2:$F$100, 4, FALSE)</f>
        <v>6</v>
      </c>
    </row>
    <row r="2125" spans="1:11" x14ac:dyDescent="0.3">
      <c r="A2125">
        <v>750</v>
      </c>
      <c r="B2125">
        <v>1</v>
      </c>
      <c r="C2125">
        <v>72</v>
      </c>
      <c r="D2125" t="str">
        <f>VLOOKUP(B2125, Products!$A$2:$C$100, 2, FALSE)</f>
        <v>Trek 820 - 2016</v>
      </c>
      <c r="E2125">
        <v>1</v>
      </c>
      <c r="F2125">
        <v>619.99</v>
      </c>
      <c r="G2125">
        <v>0.05</v>
      </c>
      <c r="H2125">
        <v>30.999500000000001</v>
      </c>
      <c r="I2125">
        <f>order_items[[#This Row],[list_price]]-order_items[[#This Row],[Discounted_price]]</f>
        <v>588.9905</v>
      </c>
      <c r="J2125">
        <f>VLOOKUP(B2125, Products!$A$2:$E$100, 3, FALSE)</f>
        <v>9</v>
      </c>
      <c r="K2125">
        <f>VLOOKUP(B2125, Products!$A$2:$F$100, 4, FALSE)</f>
        <v>6</v>
      </c>
    </row>
    <row r="2126" spans="1:11" x14ac:dyDescent="0.3">
      <c r="A2126">
        <v>750</v>
      </c>
      <c r="B2126">
        <v>2</v>
      </c>
      <c r="C2126">
        <v>78</v>
      </c>
      <c r="D2126" t="str">
        <f>VLOOKUP(B2126, Products!$A$2:$C$100, 2, FALSE)</f>
        <v>Ritchey Timberwolf Frameset - 2016</v>
      </c>
      <c r="E2126">
        <v>2</v>
      </c>
      <c r="F2126">
        <v>647.99</v>
      </c>
      <c r="G2126">
        <v>0.1</v>
      </c>
      <c r="H2126">
        <v>64.799000000000007</v>
      </c>
      <c r="I2126">
        <f>order_items[[#This Row],[list_price]]-order_items[[#This Row],[Discounted_price]]</f>
        <v>583.19100000000003</v>
      </c>
      <c r="J2126">
        <f>VLOOKUP(B2126, Products!$A$2:$E$100, 3, FALSE)</f>
        <v>5</v>
      </c>
      <c r="K2126">
        <f>VLOOKUP(B2126, Products!$A$2:$F$100, 4, FALSE)</f>
        <v>6</v>
      </c>
    </row>
    <row r="2127" spans="1:11" x14ac:dyDescent="0.3">
      <c r="A2127">
        <v>751</v>
      </c>
      <c r="B2127">
        <v>1</v>
      </c>
      <c r="C2127">
        <v>45</v>
      </c>
      <c r="D2127" t="str">
        <f>VLOOKUP(B2127, Products!$A$2:$C$100, 2, FALSE)</f>
        <v>Trek 820 - 2016</v>
      </c>
      <c r="E2127">
        <v>2</v>
      </c>
      <c r="F2127">
        <v>869.99</v>
      </c>
      <c r="G2127">
        <v>0.05</v>
      </c>
      <c r="H2127">
        <v>43.499500000000005</v>
      </c>
      <c r="I2127">
        <f>order_items[[#This Row],[list_price]]-order_items[[#This Row],[Discounted_price]]</f>
        <v>826.4905</v>
      </c>
      <c r="J2127">
        <f>VLOOKUP(B2127, Products!$A$2:$E$100, 3, FALSE)</f>
        <v>9</v>
      </c>
      <c r="K2127">
        <f>VLOOKUP(B2127, Products!$A$2:$F$100, 4, FALSE)</f>
        <v>6</v>
      </c>
    </row>
    <row r="2128" spans="1:11" x14ac:dyDescent="0.3">
      <c r="A2128">
        <v>752</v>
      </c>
      <c r="B2128">
        <v>1</v>
      </c>
      <c r="C2128">
        <v>12</v>
      </c>
      <c r="D2128" t="str">
        <f>VLOOKUP(B2128, Products!$A$2:$C$100, 2, FALSE)</f>
        <v>Trek 820 - 2016</v>
      </c>
      <c r="E2128">
        <v>2</v>
      </c>
      <c r="F2128">
        <v>549.99</v>
      </c>
      <c r="G2128">
        <v>0.05</v>
      </c>
      <c r="H2128">
        <v>27.499500000000001</v>
      </c>
      <c r="I2128">
        <f>order_items[[#This Row],[list_price]]-order_items[[#This Row],[Discounted_price]]</f>
        <v>522.4905</v>
      </c>
      <c r="J2128">
        <f>VLOOKUP(B2128, Products!$A$2:$E$100, 3, FALSE)</f>
        <v>9</v>
      </c>
      <c r="K2128">
        <f>VLOOKUP(B2128, Products!$A$2:$F$100, 4, FALSE)</f>
        <v>6</v>
      </c>
    </row>
    <row r="2129" spans="1:11" x14ac:dyDescent="0.3">
      <c r="A2129">
        <v>752</v>
      </c>
      <c r="B2129">
        <v>2</v>
      </c>
      <c r="C2129">
        <v>31</v>
      </c>
      <c r="D2129" t="str">
        <f>VLOOKUP(B2129, Products!$A$2:$C$100, 2, FALSE)</f>
        <v>Ritchey Timberwolf Frameset - 2016</v>
      </c>
      <c r="E2129">
        <v>2</v>
      </c>
      <c r="F2129">
        <v>1632.99</v>
      </c>
      <c r="G2129">
        <v>0.05</v>
      </c>
      <c r="H2129">
        <v>81.649500000000003</v>
      </c>
      <c r="I2129">
        <f>order_items[[#This Row],[list_price]]-order_items[[#This Row],[Discounted_price]]</f>
        <v>1551.3405</v>
      </c>
      <c r="J2129">
        <f>VLOOKUP(B2129, Products!$A$2:$E$100, 3, FALSE)</f>
        <v>5</v>
      </c>
      <c r="K2129">
        <f>VLOOKUP(B2129, Products!$A$2:$F$100, 4, FALSE)</f>
        <v>6</v>
      </c>
    </row>
    <row r="2130" spans="1:11" x14ac:dyDescent="0.3">
      <c r="A2130">
        <v>753</v>
      </c>
      <c r="B2130">
        <v>1</v>
      </c>
      <c r="C2130">
        <v>105</v>
      </c>
      <c r="D2130" t="str">
        <f>VLOOKUP(B2130, Products!$A$2:$C$100, 2, FALSE)</f>
        <v>Trek 820 - 2016</v>
      </c>
      <c r="E2130">
        <v>2</v>
      </c>
      <c r="F2130">
        <v>533.99</v>
      </c>
      <c r="G2130">
        <v>7.0000000000000007E-2</v>
      </c>
      <c r="H2130">
        <v>37.379300000000008</v>
      </c>
      <c r="I2130">
        <f>order_items[[#This Row],[list_price]]-order_items[[#This Row],[Discounted_price]]</f>
        <v>496.61070000000001</v>
      </c>
      <c r="J2130">
        <f>VLOOKUP(B2130, Products!$A$2:$E$100, 3, FALSE)</f>
        <v>9</v>
      </c>
      <c r="K2130">
        <f>VLOOKUP(B2130, Products!$A$2:$F$100, 4, FALSE)</f>
        <v>6</v>
      </c>
    </row>
    <row r="2131" spans="1:11" x14ac:dyDescent="0.3">
      <c r="A2131">
        <v>753</v>
      </c>
      <c r="B2131">
        <v>2</v>
      </c>
      <c r="C2131">
        <v>7</v>
      </c>
      <c r="D2131" t="str">
        <f>VLOOKUP(B2131, Products!$A$2:$C$100, 2, FALSE)</f>
        <v>Ritchey Timberwolf Frameset - 2016</v>
      </c>
      <c r="E2131">
        <v>2</v>
      </c>
      <c r="F2131">
        <v>3999.99</v>
      </c>
      <c r="G2131">
        <v>0.2</v>
      </c>
      <c r="H2131">
        <v>799.99800000000005</v>
      </c>
      <c r="I2131">
        <f>order_items[[#This Row],[list_price]]-order_items[[#This Row],[Discounted_price]]</f>
        <v>3199.9919999999997</v>
      </c>
      <c r="J2131">
        <f>VLOOKUP(B2131, Products!$A$2:$E$100, 3, FALSE)</f>
        <v>5</v>
      </c>
      <c r="K2131">
        <f>VLOOKUP(B2131, Products!$A$2:$F$100, 4, FALSE)</f>
        <v>6</v>
      </c>
    </row>
    <row r="2132" spans="1:11" x14ac:dyDescent="0.3">
      <c r="A2132">
        <v>753</v>
      </c>
      <c r="B2132">
        <v>3</v>
      </c>
      <c r="C2132">
        <v>36</v>
      </c>
      <c r="D2132" t="str">
        <f>VLOOKUP(B2132, Products!$A$2:$C$100, 2, FALSE)</f>
        <v>Surly Wednesday Frameset - 2016</v>
      </c>
      <c r="E2132">
        <v>2</v>
      </c>
      <c r="F2132">
        <v>832.99</v>
      </c>
      <c r="G2132">
        <v>0.1</v>
      </c>
      <c r="H2132">
        <v>83.299000000000007</v>
      </c>
      <c r="I2132">
        <f>order_items[[#This Row],[list_price]]-order_items[[#This Row],[Discounted_price]]</f>
        <v>749.69100000000003</v>
      </c>
      <c r="J2132">
        <f>VLOOKUP(B2132, Products!$A$2:$E$100, 3, FALSE)</f>
        <v>8</v>
      </c>
      <c r="K2132">
        <f>VLOOKUP(B2132, Products!$A$2:$F$100, 4, FALSE)</f>
        <v>6</v>
      </c>
    </row>
    <row r="2133" spans="1:11" x14ac:dyDescent="0.3">
      <c r="A2133">
        <v>753</v>
      </c>
      <c r="B2133">
        <v>4</v>
      </c>
      <c r="C2133">
        <v>95</v>
      </c>
      <c r="D2133" t="str">
        <f>VLOOKUP(B2133, Products!$A$2:$C$100, 2, FALSE)</f>
        <v>Trek Fuel EX 8 29 - 2016</v>
      </c>
      <c r="E2133">
        <v>1</v>
      </c>
      <c r="F2133">
        <v>299.99</v>
      </c>
      <c r="G2133">
        <v>7.0000000000000007E-2</v>
      </c>
      <c r="H2133">
        <v>20.999300000000002</v>
      </c>
      <c r="I2133">
        <f>order_items[[#This Row],[list_price]]-order_items[[#This Row],[Discounted_price]]</f>
        <v>278.9907</v>
      </c>
      <c r="J2133">
        <f>VLOOKUP(B2133, Products!$A$2:$E$100, 3, FALSE)</f>
        <v>9</v>
      </c>
      <c r="K2133">
        <f>VLOOKUP(B2133, Products!$A$2:$F$100, 4, FALSE)</f>
        <v>6</v>
      </c>
    </row>
    <row r="2134" spans="1:11" x14ac:dyDescent="0.3">
      <c r="A2134">
        <v>753</v>
      </c>
      <c r="B2134">
        <v>5</v>
      </c>
      <c r="C2134">
        <v>66</v>
      </c>
      <c r="D2134" t="str">
        <f>VLOOKUP(B2134, Products!$A$2:$C$100, 2, FALSE)</f>
        <v>Heller Shagamaw Frame - 2016</v>
      </c>
      <c r="E2134">
        <v>1</v>
      </c>
      <c r="F2134">
        <v>250.99</v>
      </c>
      <c r="G2134">
        <v>0.2</v>
      </c>
      <c r="H2134">
        <v>50.198000000000008</v>
      </c>
      <c r="I2134">
        <f>order_items[[#This Row],[list_price]]-order_items[[#This Row],[Discounted_price]]</f>
        <v>200.792</v>
      </c>
      <c r="J2134">
        <f>VLOOKUP(B2134, Products!$A$2:$E$100, 3, FALSE)</f>
        <v>3</v>
      </c>
      <c r="K2134">
        <f>VLOOKUP(B2134, Products!$A$2:$F$100, 4, FALSE)</f>
        <v>6</v>
      </c>
    </row>
    <row r="2135" spans="1:11" x14ac:dyDescent="0.3">
      <c r="A2135">
        <v>754</v>
      </c>
      <c r="B2135">
        <v>1</v>
      </c>
      <c r="C2135">
        <v>74</v>
      </c>
      <c r="D2135" t="str">
        <f>VLOOKUP(B2135, Products!$A$2:$C$100, 2, FALSE)</f>
        <v>Trek 820 - 2016</v>
      </c>
      <c r="E2135">
        <v>2</v>
      </c>
      <c r="F2135">
        <v>439.99</v>
      </c>
      <c r="G2135">
        <v>7.0000000000000007E-2</v>
      </c>
      <c r="H2135">
        <v>30.799300000000002</v>
      </c>
      <c r="I2135">
        <f>order_items[[#This Row],[list_price]]-order_items[[#This Row],[Discounted_price]]</f>
        <v>409.19069999999999</v>
      </c>
      <c r="J2135">
        <f>VLOOKUP(B2135, Products!$A$2:$E$100, 3, FALSE)</f>
        <v>9</v>
      </c>
      <c r="K2135">
        <f>VLOOKUP(B2135, Products!$A$2:$F$100, 4, FALSE)</f>
        <v>6</v>
      </c>
    </row>
    <row r="2136" spans="1:11" x14ac:dyDescent="0.3">
      <c r="A2136">
        <v>754</v>
      </c>
      <c r="B2136">
        <v>2</v>
      </c>
      <c r="C2136">
        <v>12</v>
      </c>
      <c r="D2136" t="str">
        <f>VLOOKUP(B2136, Products!$A$2:$C$100, 2, FALSE)</f>
        <v>Ritchey Timberwolf Frameset - 2016</v>
      </c>
      <c r="E2136">
        <v>2</v>
      </c>
      <c r="F2136">
        <v>549.99</v>
      </c>
      <c r="G2136">
        <v>7.0000000000000007E-2</v>
      </c>
      <c r="H2136">
        <v>38.499300000000005</v>
      </c>
      <c r="I2136">
        <f>order_items[[#This Row],[list_price]]-order_items[[#This Row],[Discounted_price]]</f>
        <v>511.4907</v>
      </c>
      <c r="J2136">
        <f>VLOOKUP(B2136, Products!$A$2:$E$100, 3, FALSE)</f>
        <v>5</v>
      </c>
      <c r="K2136">
        <f>VLOOKUP(B2136, Products!$A$2:$F$100, 4, FALSE)</f>
        <v>6</v>
      </c>
    </row>
    <row r="2137" spans="1:11" x14ac:dyDescent="0.3">
      <c r="A2137">
        <v>754</v>
      </c>
      <c r="B2137">
        <v>3</v>
      </c>
      <c r="C2137">
        <v>3</v>
      </c>
      <c r="D2137" t="str">
        <f>VLOOKUP(B2137, Products!$A$2:$C$100, 2, FALSE)</f>
        <v>Surly Wednesday Frameset - 2016</v>
      </c>
      <c r="E2137">
        <v>1</v>
      </c>
      <c r="F2137">
        <v>999.99</v>
      </c>
      <c r="G2137">
        <v>0.05</v>
      </c>
      <c r="H2137">
        <v>49.999500000000005</v>
      </c>
      <c r="I2137">
        <f>order_items[[#This Row],[list_price]]-order_items[[#This Row],[Discounted_price]]</f>
        <v>949.9905</v>
      </c>
      <c r="J2137">
        <f>VLOOKUP(B2137, Products!$A$2:$E$100, 3, FALSE)</f>
        <v>8</v>
      </c>
      <c r="K2137">
        <f>VLOOKUP(B2137, Products!$A$2:$F$100, 4, FALSE)</f>
        <v>6</v>
      </c>
    </row>
    <row r="2138" spans="1:11" x14ac:dyDescent="0.3">
      <c r="A2138">
        <v>754</v>
      </c>
      <c r="B2138">
        <v>4</v>
      </c>
      <c r="C2138">
        <v>67</v>
      </c>
      <c r="D2138" t="str">
        <f>VLOOKUP(B2138, Products!$A$2:$C$100, 2, FALSE)</f>
        <v>Trek Fuel EX 8 29 - 2016</v>
      </c>
      <c r="E2138">
        <v>2</v>
      </c>
      <c r="F2138">
        <v>250.99</v>
      </c>
      <c r="G2138">
        <v>0.05</v>
      </c>
      <c r="H2138">
        <v>12.549500000000002</v>
      </c>
      <c r="I2138">
        <f>order_items[[#This Row],[list_price]]-order_items[[#This Row],[Discounted_price]]</f>
        <v>238.44050000000001</v>
      </c>
      <c r="J2138">
        <f>VLOOKUP(B2138, Products!$A$2:$E$100, 3, FALSE)</f>
        <v>9</v>
      </c>
      <c r="K2138">
        <f>VLOOKUP(B2138, Products!$A$2:$F$100, 4, FALSE)</f>
        <v>6</v>
      </c>
    </row>
    <row r="2139" spans="1:11" x14ac:dyDescent="0.3">
      <c r="A2139">
        <v>754</v>
      </c>
      <c r="B2139">
        <v>5</v>
      </c>
      <c r="C2139">
        <v>7</v>
      </c>
      <c r="D2139" t="str">
        <f>VLOOKUP(B2139, Products!$A$2:$C$100, 2, FALSE)</f>
        <v>Heller Shagamaw Frame - 2016</v>
      </c>
      <c r="E2139">
        <v>1</v>
      </c>
      <c r="F2139">
        <v>3999.99</v>
      </c>
      <c r="G2139">
        <v>0.2</v>
      </c>
      <c r="H2139">
        <v>799.99800000000005</v>
      </c>
      <c r="I2139">
        <f>order_items[[#This Row],[list_price]]-order_items[[#This Row],[Discounted_price]]</f>
        <v>3199.9919999999997</v>
      </c>
      <c r="J2139">
        <f>VLOOKUP(B2139, Products!$A$2:$E$100, 3, FALSE)</f>
        <v>3</v>
      </c>
      <c r="K2139">
        <f>VLOOKUP(B2139, Products!$A$2:$F$100, 4, FALSE)</f>
        <v>6</v>
      </c>
    </row>
    <row r="2140" spans="1:11" x14ac:dyDescent="0.3">
      <c r="A2140">
        <v>755</v>
      </c>
      <c r="B2140">
        <v>1</v>
      </c>
      <c r="C2140">
        <v>80</v>
      </c>
      <c r="D2140" t="str">
        <f>VLOOKUP(B2140, Products!$A$2:$C$100, 2, FALSE)</f>
        <v>Trek 820 - 2016</v>
      </c>
      <c r="E2140">
        <v>2</v>
      </c>
      <c r="F2140">
        <v>761.99</v>
      </c>
      <c r="G2140">
        <v>7.0000000000000007E-2</v>
      </c>
      <c r="H2140">
        <v>53.339300000000009</v>
      </c>
      <c r="I2140">
        <f>order_items[[#This Row],[list_price]]-order_items[[#This Row],[Discounted_price]]</f>
        <v>708.65070000000003</v>
      </c>
      <c r="J2140">
        <f>VLOOKUP(B2140, Products!$A$2:$E$100, 3, FALSE)</f>
        <v>9</v>
      </c>
      <c r="K2140">
        <f>VLOOKUP(B2140, Products!$A$2:$F$100, 4, FALSE)</f>
        <v>6</v>
      </c>
    </row>
    <row r="2141" spans="1:11" x14ac:dyDescent="0.3">
      <c r="A2141">
        <v>755</v>
      </c>
      <c r="B2141">
        <v>2</v>
      </c>
      <c r="C2141">
        <v>43</v>
      </c>
      <c r="D2141" t="str">
        <f>VLOOKUP(B2141, Products!$A$2:$C$100, 2, FALSE)</f>
        <v>Ritchey Timberwolf Frameset - 2016</v>
      </c>
      <c r="E2141">
        <v>2</v>
      </c>
      <c r="F2141">
        <v>5299.99</v>
      </c>
      <c r="G2141">
        <v>0.05</v>
      </c>
      <c r="H2141">
        <v>264.99950000000001</v>
      </c>
      <c r="I2141">
        <f>order_items[[#This Row],[list_price]]-order_items[[#This Row],[Discounted_price]]</f>
        <v>5034.9904999999999</v>
      </c>
      <c r="J2141">
        <f>VLOOKUP(B2141, Products!$A$2:$E$100, 3, FALSE)</f>
        <v>5</v>
      </c>
      <c r="K2141">
        <f>VLOOKUP(B2141, Products!$A$2:$F$100, 4, FALSE)</f>
        <v>6</v>
      </c>
    </row>
    <row r="2142" spans="1:11" x14ac:dyDescent="0.3">
      <c r="A2142">
        <v>755</v>
      </c>
      <c r="B2142">
        <v>3</v>
      </c>
      <c r="C2142">
        <v>57</v>
      </c>
      <c r="D2142" t="str">
        <f>VLOOKUP(B2142, Products!$A$2:$C$100, 2, FALSE)</f>
        <v>Surly Wednesday Frameset - 2016</v>
      </c>
      <c r="E2142">
        <v>2</v>
      </c>
      <c r="F2142">
        <v>1999.99</v>
      </c>
      <c r="G2142">
        <v>0.1</v>
      </c>
      <c r="H2142">
        <v>199.99900000000002</v>
      </c>
      <c r="I2142">
        <f>order_items[[#This Row],[list_price]]-order_items[[#This Row],[Discounted_price]]</f>
        <v>1799.991</v>
      </c>
      <c r="J2142">
        <f>VLOOKUP(B2142, Products!$A$2:$E$100, 3, FALSE)</f>
        <v>8</v>
      </c>
      <c r="K2142">
        <f>VLOOKUP(B2142, Products!$A$2:$F$100, 4, FALSE)</f>
        <v>6</v>
      </c>
    </row>
    <row r="2143" spans="1:11" x14ac:dyDescent="0.3">
      <c r="A2143">
        <v>756</v>
      </c>
      <c r="B2143">
        <v>1</v>
      </c>
      <c r="C2143">
        <v>64</v>
      </c>
      <c r="D2143" t="str">
        <f>VLOOKUP(B2143, Products!$A$2:$C$100, 2, FALSE)</f>
        <v>Trek 820 - 2016</v>
      </c>
      <c r="E2143">
        <v>1</v>
      </c>
      <c r="F2143">
        <v>489.99</v>
      </c>
      <c r="G2143">
        <v>0.1</v>
      </c>
      <c r="H2143">
        <v>48.999000000000002</v>
      </c>
      <c r="I2143">
        <f>order_items[[#This Row],[list_price]]-order_items[[#This Row],[Discounted_price]]</f>
        <v>440.99099999999999</v>
      </c>
      <c r="J2143">
        <f>VLOOKUP(B2143, Products!$A$2:$E$100, 3, FALSE)</f>
        <v>9</v>
      </c>
      <c r="K2143">
        <f>VLOOKUP(B2143, Products!$A$2:$F$100, 4, FALSE)</f>
        <v>6</v>
      </c>
    </row>
    <row r="2144" spans="1:11" x14ac:dyDescent="0.3">
      <c r="A2144">
        <v>756</v>
      </c>
      <c r="B2144">
        <v>2</v>
      </c>
      <c r="C2144">
        <v>17</v>
      </c>
      <c r="D2144" t="str">
        <f>VLOOKUP(B2144, Products!$A$2:$C$100, 2, FALSE)</f>
        <v>Ritchey Timberwolf Frameset - 2016</v>
      </c>
      <c r="E2144">
        <v>2</v>
      </c>
      <c r="F2144">
        <v>429</v>
      </c>
      <c r="G2144">
        <v>0.05</v>
      </c>
      <c r="H2144">
        <v>21.450000000000003</v>
      </c>
      <c r="I2144">
        <f>order_items[[#This Row],[list_price]]-order_items[[#This Row],[Discounted_price]]</f>
        <v>407.55</v>
      </c>
      <c r="J2144">
        <f>VLOOKUP(B2144, Products!$A$2:$E$100, 3, FALSE)</f>
        <v>5</v>
      </c>
      <c r="K2144">
        <f>VLOOKUP(B2144, Products!$A$2:$F$100, 4, FALSE)</f>
        <v>6</v>
      </c>
    </row>
    <row r="2145" spans="1:11" x14ac:dyDescent="0.3">
      <c r="A2145">
        <v>757</v>
      </c>
      <c r="B2145">
        <v>1</v>
      </c>
      <c r="C2145">
        <v>95</v>
      </c>
      <c r="D2145" t="str">
        <f>VLOOKUP(B2145, Products!$A$2:$C$100, 2, FALSE)</f>
        <v>Trek 820 - 2016</v>
      </c>
      <c r="E2145">
        <v>1</v>
      </c>
      <c r="F2145">
        <v>299.99</v>
      </c>
      <c r="G2145">
        <v>0.1</v>
      </c>
      <c r="H2145">
        <v>29.999000000000002</v>
      </c>
      <c r="I2145">
        <f>order_items[[#This Row],[list_price]]-order_items[[#This Row],[Discounted_price]]</f>
        <v>269.99099999999999</v>
      </c>
      <c r="J2145">
        <f>VLOOKUP(B2145, Products!$A$2:$E$100, 3, FALSE)</f>
        <v>9</v>
      </c>
      <c r="K2145">
        <f>VLOOKUP(B2145, Products!$A$2:$F$100, 4, FALSE)</f>
        <v>6</v>
      </c>
    </row>
    <row r="2146" spans="1:11" x14ac:dyDescent="0.3">
      <c r="A2146">
        <v>758</v>
      </c>
      <c r="B2146">
        <v>1</v>
      </c>
      <c r="C2146">
        <v>22</v>
      </c>
      <c r="D2146" t="str">
        <f>VLOOKUP(B2146, Products!$A$2:$C$100, 2, FALSE)</f>
        <v>Trek 820 - 2016</v>
      </c>
      <c r="E2146">
        <v>2</v>
      </c>
      <c r="F2146">
        <v>269.99</v>
      </c>
      <c r="G2146">
        <v>7.0000000000000007E-2</v>
      </c>
      <c r="H2146">
        <v>18.899300000000004</v>
      </c>
      <c r="I2146">
        <f>order_items[[#This Row],[list_price]]-order_items[[#This Row],[Discounted_price]]</f>
        <v>251.0907</v>
      </c>
      <c r="J2146">
        <f>VLOOKUP(B2146, Products!$A$2:$E$100, 3, FALSE)</f>
        <v>9</v>
      </c>
      <c r="K2146">
        <f>VLOOKUP(B2146, Products!$A$2:$F$100, 4, FALSE)</f>
        <v>6</v>
      </c>
    </row>
    <row r="2147" spans="1:11" x14ac:dyDescent="0.3">
      <c r="A2147">
        <v>758</v>
      </c>
      <c r="B2147">
        <v>2</v>
      </c>
      <c r="C2147">
        <v>99</v>
      </c>
      <c r="D2147" t="str">
        <f>VLOOKUP(B2147, Products!$A$2:$C$100, 2, FALSE)</f>
        <v>Ritchey Timberwolf Frameset - 2016</v>
      </c>
      <c r="E2147">
        <v>1</v>
      </c>
      <c r="F2147">
        <v>299.99</v>
      </c>
      <c r="G2147">
        <v>0.1</v>
      </c>
      <c r="H2147">
        <v>29.999000000000002</v>
      </c>
      <c r="I2147">
        <f>order_items[[#This Row],[list_price]]-order_items[[#This Row],[Discounted_price]]</f>
        <v>269.99099999999999</v>
      </c>
      <c r="J2147">
        <f>VLOOKUP(B2147, Products!$A$2:$E$100, 3, FALSE)</f>
        <v>5</v>
      </c>
      <c r="K2147">
        <f>VLOOKUP(B2147, Products!$A$2:$F$100, 4, FALSE)</f>
        <v>6</v>
      </c>
    </row>
    <row r="2148" spans="1:11" x14ac:dyDescent="0.3">
      <c r="A2148">
        <v>758</v>
      </c>
      <c r="B2148">
        <v>3</v>
      </c>
      <c r="C2148">
        <v>27</v>
      </c>
      <c r="D2148" t="str">
        <f>VLOOKUP(B2148, Products!$A$2:$C$100, 2, FALSE)</f>
        <v>Surly Wednesday Frameset - 2016</v>
      </c>
      <c r="E2148">
        <v>1</v>
      </c>
      <c r="F2148">
        <v>999.99</v>
      </c>
      <c r="G2148">
        <v>7.0000000000000007E-2</v>
      </c>
      <c r="H2148">
        <v>69.999300000000005</v>
      </c>
      <c r="I2148">
        <f>order_items[[#This Row],[list_price]]-order_items[[#This Row],[Discounted_price]]</f>
        <v>929.99070000000006</v>
      </c>
      <c r="J2148">
        <f>VLOOKUP(B2148, Products!$A$2:$E$100, 3, FALSE)</f>
        <v>8</v>
      </c>
      <c r="K2148">
        <f>VLOOKUP(B2148, Products!$A$2:$F$100, 4, FALSE)</f>
        <v>6</v>
      </c>
    </row>
    <row r="2149" spans="1:11" x14ac:dyDescent="0.3">
      <c r="A2149">
        <v>758</v>
      </c>
      <c r="B2149">
        <v>4</v>
      </c>
      <c r="C2149">
        <v>65</v>
      </c>
      <c r="D2149" t="str">
        <f>VLOOKUP(B2149, Products!$A$2:$C$100, 2, FALSE)</f>
        <v>Trek Fuel EX 8 29 - 2016</v>
      </c>
      <c r="E2149">
        <v>2</v>
      </c>
      <c r="F2149">
        <v>346.99</v>
      </c>
      <c r="G2149">
        <v>7.0000000000000007E-2</v>
      </c>
      <c r="H2149">
        <v>24.289300000000004</v>
      </c>
      <c r="I2149">
        <f>order_items[[#This Row],[list_price]]-order_items[[#This Row],[Discounted_price]]</f>
        <v>322.70069999999998</v>
      </c>
      <c r="J2149">
        <f>VLOOKUP(B2149, Products!$A$2:$E$100, 3, FALSE)</f>
        <v>9</v>
      </c>
      <c r="K2149">
        <f>VLOOKUP(B2149, Products!$A$2:$F$100, 4, FALSE)</f>
        <v>6</v>
      </c>
    </row>
    <row r="2150" spans="1:11" x14ac:dyDescent="0.3">
      <c r="A2150">
        <v>758</v>
      </c>
      <c r="B2150">
        <v>5</v>
      </c>
      <c r="C2150">
        <v>109</v>
      </c>
      <c r="D2150" t="str">
        <f>VLOOKUP(B2150, Products!$A$2:$C$100, 2, FALSE)</f>
        <v>Heller Shagamaw Frame - 2016</v>
      </c>
      <c r="E2150">
        <v>1</v>
      </c>
      <c r="F2150">
        <v>416.99</v>
      </c>
      <c r="G2150">
        <v>0.2</v>
      </c>
      <c r="H2150">
        <v>83.39800000000001</v>
      </c>
      <c r="I2150">
        <f>order_items[[#This Row],[list_price]]-order_items[[#This Row],[Discounted_price]]</f>
        <v>333.59199999999998</v>
      </c>
      <c r="J2150">
        <f>VLOOKUP(B2150, Products!$A$2:$E$100, 3, FALSE)</f>
        <v>3</v>
      </c>
      <c r="K2150">
        <f>VLOOKUP(B2150, Products!$A$2:$F$100, 4, FALSE)</f>
        <v>6</v>
      </c>
    </row>
    <row r="2151" spans="1:11" x14ac:dyDescent="0.3">
      <c r="A2151">
        <v>759</v>
      </c>
      <c r="B2151">
        <v>1</v>
      </c>
      <c r="C2151">
        <v>93</v>
      </c>
      <c r="D2151" t="str">
        <f>VLOOKUP(B2151, Products!$A$2:$C$100, 2, FALSE)</f>
        <v>Trek 820 - 2016</v>
      </c>
      <c r="E2151">
        <v>2</v>
      </c>
      <c r="F2151">
        <v>209.99</v>
      </c>
      <c r="G2151">
        <v>0.05</v>
      </c>
      <c r="H2151">
        <v>10.499500000000001</v>
      </c>
      <c r="I2151">
        <f>order_items[[#This Row],[list_price]]-order_items[[#This Row],[Discounted_price]]</f>
        <v>199.4905</v>
      </c>
      <c r="J2151">
        <f>VLOOKUP(B2151, Products!$A$2:$E$100, 3, FALSE)</f>
        <v>9</v>
      </c>
      <c r="K2151">
        <f>VLOOKUP(B2151, Products!$A$2:$F$100, 4, FALSE)</f>
        <v>6</v>
      </c>
    </row>
    <row r="2152" spans="1:11" x14ac:dyDescent="0.3">
      <c r="A2152">
        <v>759</v>
      </c>
      <c r="B2152">
        <v>2</v>
      </c>
      <c r="C2152">
        <v>78</v>
      </c>
      <c r="D2152" t="str">
        <f>VLOOKUP(B2152, Products!$A$2:$C$100, 2, FALSE)</f>
        <v>Ritchey Timberwolf Frameset - 2016</v>
      </c>
      <c r="E2152">
        <v>1</v>
      </c>
      <c r="F2152">
        <v>647.99</v>
      </c>
      <c r="G2152">
        <v>7.0000000000000007E-2</v>
      </c>
      <c r="H2152">
        <v>45.359300000000005</v>
      </c>
      <c r="I2152">
        <f>order_items[[#This Row],[list_price]]-order_items[[#This Row],[Discounted_price]]</f>
        <v>602.63070000000005</v>
      </c>
      <c r="J2152">
        <f>VLOOKUP(B2152, Products!$A$2:$E$100, 3, FALSE)</f>
        <v>5</v>
      </c>
      <c r="K2152">
        <f>VLOOKUP(B2152, Products!$A$2:$F$100, 4, FALSE)</f>
        <v>6</v>
      </c>
    </row>
    <row r="2153" spans="1:11" x14ac:dyDescent="0.3">
      <c r="A2153">
        <v>760</v>
      </c>
      <c r="B2153">
        <v>1</v>
      </c>
      <c r="C2153">
        <v>21</v>
      </c>
      <c r="D2153" t="str">
        <f>VLOOKUP(B2153, Products!$A$2:$C$100, 2, FALSE)</f>
        <v>Trek 820 - 2016</v>
      </c>
      <c r="E2153">
        <v>2</v>
      </c>
      <c r="F2153">
        <v>269.99</v>
      </c>
      <c r="G2153">
        <v>7.0000000000000007E-2</v>
      </c>
      <c r="H2153">
        <v>18.899300000000004</v>
      </c>
      <c r="I2153">
        <f>order_items[[#This Row],[list_price]]-order_items[[#This Row],[Discounted_price]]</f>
        <v>251.0907</v>
      </c>
      <c r="J2153">
        <f>VLOOKUP(B2153, Products!$A$2:$E$100, 3, FALSE)</f>
        <v>9</v>
      </c>
      <c r="K2153">
        <f>VLOOKUP(B2153, Products!$A$2:$F$100, 4, FALSE)</f>
        <v>6</v>
      </c>
    </row>
    <row r="2154" spans="1:11" x14ac:dyDescent="0.3">
      <c r="A2154">
        <v>760</v>
      </c>
      <c r="B2154">
        <v>2</v>
      </c>
      <c r="C2154">
        <v>29</v>
      </c>
      <c r="D2154" t="str">
        <f>VLOOKUP(B2154, Products!$A$2:$C$100, 2, FALSE)</f>
        <v>Ritchey Timberwolf Frameset - 2016</v>
      </c>
      <c r="E2154">
        <v>2</v>
      </c>
      <c r="F2154">
        <v>999.99</v>
      </c>
      <c r="G2154">
        <v>7.0000000000000007E-2</v>
      </c>
      <c r="H2154">
        <v>69.999300000000005</v>
      </c>
      <c r="I2154">
        <f>order_items[[#This Row],[list_price]]-order_items[[#This Row],[Discounted_price]]</f>
        <v>929.99070000000006</v>
      </c>
      <c r="J2154">
        <f>VLOOKUP(B2154, Products!$A$2:$E$100, 3, FALSE)</f>
        <v>5</v>
      </c>
      <c r="K2154">
        <f>VLOOKUP(B2154, Products!$A$2:$F$100, 4, FALSE)</f>
        <v>6</v>
      </c>
    </row>
    <row r="2155" spans="1:11" x14ac:dyDescent="0.3">
      <c r="A2155">
        <v>761</v>
      </c>
      <c r="B2155">
        <v>1</v>
      </c>
      <c r="C2155">
        <v>43</v>
      </c>
      <c r="D2155" t="str">
        <f>VLOOKUP(B2155, Products!$A$2:$C$100, 2, FALSE)</f>
        <v>Trek 820 - 2016</v>
      </c>
      <c r="E2155">
        <v>1</v>
      </c>
      <c r="F2155">
        <v>5299.99</v>
      </c>
      <c r="G2155">
        <v>7.0000000000000007E-2</v>
      </c>
      <c r="H2155">
        <v>370.99930000000001</v>
      </c>
      <c r="I2155">
        <f>order_items[[#This Row],[list_price]]-order_items[[#This Row],[Discounted_price]]</f>
        <v>4928.9906999999994</v>
      </c>
      <c r="J2155">
        <f>VLOOKUP(B2155, Products!$A$2:$E$100, 3, FALSE)</f>
        <v>9</v>
      </c>
      <c r="K2155">
        <f>VLOOKUP(B2155, Products!$A$2:$F$100, 4, FALSE)</f>
        <v>6</v>
      </c>
    </row>
    <row r="2156" spans="1:11" x14ac:dyDescent="0.3">
      <c r="A2156">
        <v>761</v>
      </c>
      <c r="B2156">
        <v>2</v>
      </c>
      <c r="C2156">
        <v>52</v>
      </c>
      <c r="D2156" t="str">
        <f>VLOOKUP(B2156, Products!$A$2:$C$100, 2, FALSE)</f>
        <v>Ritchey Timberwolf Frameset - 2016</v>
      </c>
      <c r="E2156">
        <v>2</v>
      </c>
      <c r="F2156">
        <v>875.99</v>
      </c>
      <c r="G2156">
        <v>0.2</v>
      </c>
      <c r="H2156">
        <v>175.19800000000001</v>
      </c>
      <c r="I2156">
        <f>order_items[[#This Row],[list_price]]-order_items[[#This Row],[Discounted_price]]</f>
        <v>700.79200000000003</v>
      </c>
      <c r="J2156">
        <f>VLOOKUP(B2156, Products!$A$2:$E$100, 3, FALSE)</f>
        <v>5</v>
      </c>
      <c r="K2156">
        <f>VLOOKUP(B2156, Products!$A$2:$F$100, 4, FALSE)</f>
        <v>6</v>
      </c>
    </row>
    <row r="2157" spans="1:11" x14ac:dyDescent="0.3">
      <c r="A2157">
        <v>762</v>
      </c>
      <c r="B2157">
        <v>1</v>
      </c>
      <c r="C2157">
        <v>102</v>
      </c>
      <c r="D2157" t="str">
        <f>VLOOKUP(B2157, Products!$A$2:$C$100, 2, FALSE)</f>
        <v>Trek 820 - 2016</v>
      </c>
      <c r="E2157">
        <v>2</v>
      </c>
      <c r="F2157">
        <v>489.99</v>
      </c>
      <c r="G2157">
        <v>0.05</v>
      </c>
      <c r="H2157">
        <v>24.499500000000001</v>
      </c>
      <c r="I2157">
        <f>order_items[[#This Row],[list_price]]-order_items[[#This Row],[Discounted_price]]</f>
        <v>465.4905</v>
      </c>
      <c r="J2157">
        <f>VLOOKUP(B2157, Products!$A$2:$E$100, 3, FALSE)</f>
        <v>9</v>
      </c>
      <c r="K2157">
        <f>VLOOKUP(B2157, Products!$A$2:$F$100, 4, FALSE)</f>
        <v>6</v>
      </c>
    </row>
    <row r="2158" spans="1:11" x14ac:dyDescent="0.3">
      <c r="A2158">
        <v>763</v>
      </c>
      <c r="B2158">
        <v>1</v>
      </c>
      <c r="C2158">
        <v>90</v>
      </c>
      <c r="D2158" t="str">
        <f>VLOOKUP(B2158, Products!$A$2:$C$100, 2, FALSE)</f>
        <v>Trek 820 - 2016</v>
      </c>
      <c r="E2158">
        <v>1</v>
      </c>
      <c r="F2158">
        <v>209.99</v>
      </c>
      <c r="G2158">
        <v>7.0000000000000007E-2</v>
      </c>
      <c r="H2158">
        <v>14.699300000000003</v>
      </c>
      <c r="I2158">
        <f>order_items[[#This Row],[list_price]]-order_items[[#This Row],[Discounted_price]]</f>
        <v>195.29070000000002</v>
      </c>
      <c r="J2158">
        <f>VLOOKUP(B2158, Products!$A$2:$E$100, 3, FALSE)</f>
        <v>9</v>
      </c>
      <c r="K2158">
        <f>VLOOKUP(B2158, Products!$A$2:$F$100, 4, FALSE)</f>
        <v>6</v>
      </c>
    </row>
    <row r="2159" spans="1:11" x14ac:dyDescent="0.3">
      <c r="A2159">
        <v>763</v>
      </c>
      <c r="B2159">
        <v>2</v>
      </c>
      <c r="C2159">
        <v>103</v>
      </c>
      <c r="D2159" t="str">
        <f>VLOOKUP(B2159, Products!$A$2:$C$100, 2, FALSE)</f>
        <v>Ritchey Timberwolf Frameset - 2016</v>
      </c>
      <c r="E2159">
        <v>1</v>
      </c>
      <c r="F2159">
        <v>551.99</v>
      </c>
      <c r="G2159">
        <v>0.1</v>
      </c>
      <c r="H2159">
        <v>55.199000000000005</v>
      </c>
      <c r="I2159">
        <f>order_items[[#This Row],[list_price]]-order_items[[#This Row],[Discounted_price]]</f>
        <v>496.791</v>
      </c>
      <c r="J2159">
        <f>VLOOKUP(B2159, Products!$A$2:$E$100, 3, FALSE)</f>
        <v>5</v>
      </c>
      <c r="K2159">
        <f>VLOOKUP(B2159, Products!$A$2:$F$100, 4, FALSE)</f>
        <v>6</v>
      </c>
    </row>
    <row r="2160" spans="1:11" x14ac:dyDescent="0.3">
      <c r="A2160">
        <v>764</v>
      </c>
      <c r="B2160">
        <v>1</v>
      </c>
      <c r="C2160">
        <v>55</v>
      </c>
      <c r="D2160" t="str">
        <f>VLOOKUP(B2160, Products!$A$2:$C$100, 2, FALSE)</f>
        <v>Trek 820 - 2016</v>
      </c>
      <c r="E2160">
        <v>1</v>
      </c>
      <c r="F2160">
        <v>2699.99</v>
      </c>
      <c r="G2160">
        <v>7.0000000000000007E-2</v>
      </c>
      <c r="H2160">
        <v>188.99930000000001</v>
      </c>
      <c r="I2160">
        <f>order_items[[#This Row],[list_price]]-order_items[[#This Row],[Discounted_price]]</f>
        <v>2510.9906999999998</v>
      </c>
      <c r="J2160">
        <f>VLOOKUP(B2160, Products!$A$2:$E$100, 3, FALSE)</f>
        <v>9</v>
      </c>
      <c r="K2160">
        <f>VLOOKUP(B2160, Products!$A$2:$F$100, 4, FALSE)</f>
        <v>6</v>
      </c>
    </row>
    <row r="2161" spans="1:11" x14ac:dyDescent="0.3">
      <c r="A2161">
        <v>764</v>
      </c>
      <c r="B2161">
        <v>2</v>
      </c>
      <c r="C2161">
        <v>95</v>
      </c>
      <c r="D2161" t="str">
        <f>VLOOKUP(B2161, Products!$A$2:$C$100, 2, FALSE)</f>
        <v>Ritchey Timberwolf Frameset - 2016</v>
      </c>
      <c r="E2161">
        <v>2</v>
      </c>
      <c r="F2161">
        <v>299.99</v>
      </c>
      <c r="G2161">
        <v>0.05</v>
      </c>
      <c r="H2161">
        <v>14.999500000000001</v>
      </c>
      <c r="I2161">
        <f>order_items[[#This Row],[list_price]]-order_items[[#This Row],[Discounted_price]]</f>
        <v>284.9905</v>
      </c>
      <c r="J2161">
        <f>VLOOKUP(B2161, Products!$A$2:$E$100, 3, FALSE)</f>
        <v>5</v>
      </c>
      <c r="K2161">
        <f>VLOOKUP(B2161, Products!$A$2:$F$100, 4, FALSE)</f>
        <v>6</v>
      </c>
    </row>
    <row r="2162" spans="1:11" x14ac:dyDescent="0.3">
      <c r="A2162">
        <v>764</v>
      </c>
      <c r="B2162">
        <v>3</v>
      </c>
      <c r="C2162">
        <v>81</v>
      </c>
      <c r="D2162" t="str">
        <f>VLOOKUP(B2162, Products!$A$2:$C$100, 2, FALSE)</f>
        <v>Surly Wednesday Frameset - 2016</v>
      </c>
      <c r="E2162">
        <v>2</v>
      </c>
      <c r="F2162">
        <v>1099.99</v>
      </c>
      <c r="G2162">
        <v>7.0000000000000007E-2</v>
      </c>
      <c r="H2162">
        <v>76.999300000000005</v>
      </c>
      <c r="I2162">
        <f>order_items[[#This Row],[list_price]]-order_items[[#This Row],[Discounted_price]]</f>
        <v>1022.9907000000001</v>
      </c>
      <c r="J2162">
        <f>VLOOKUP(B2162, Products!$A$2:$E$100, 3, FALSE)</f>
        <v>8</v>
      </c>
      <c r="K2162">
        <f>VLOOKUP(B2162, Products!$A$2:$F$100, 4, FALSE)</f>
        <v>6</v>
      </c>
    </row>
    <row r="2163" spans="1:11" x14ac:dyDescent="0.3">
      <c r="A2163">
        <v>765</v>
      </c>
      <c r="B2163">
        <v>1</v>
      </c>
      <c r="C2163">
        <v>28</v>
      </c>
      <c r="D2163" t="str">
        <f>VLOOKUP(B2163, Products!$A$2:$C$100, 2, FALSE)</f>
        <v>Trek 820 - 2016</v>
      </c>
      <c r="E2163">
        <v>2</v>
      </c>
      <c r="F2163">
        <v>2499.9899999999998</v>
      </c>
      <c r="G2163">
        <v>0.2</v>
      </c>
      <c r="H2163">
        <v>499.99799999999999</v>
      </c>
      <c r="I2163">
        <f>order_items[[#This Row],[list_price]]-order_items[[#This Row],[Discounted_price]]</f>
        <v>1999.9919999999997</v>
      </c>
      <c r="J2163">
        <f>VLOOKUP(B2163, Products!$A$2:$E$100, 3, FALSE)</f>
        <v>9</v>
      </c>
      <c r="K2163">
        <f>VLOOKUP(B2163, Products!$A$2:$F$100, 4, FALSE)</f>
        <v>6</v>
      </c>
    </row>
    <row r="2164" spans="1:11" x14ac:dyDescent="0.3">
      <c r="A2164">
        <v>765</v>
      </c>
      <c r="B2164">
        <v>2</v>
      </c>
      <c r="C2164">
        <v>12</v>
      </c>
      <c r="D2164" t="str">
        <f>VLOOKUP(B2164, Products!$A$2:$C$100, 2, FALSE)</f>
        <v>Ritchey Timberwolf Frameset - 2016</v>
      </c>
      <c r="E2164">
        <v>1</v>
      </c>
      <c r="F2164">
        <v>549.99</v>
      </c>
      <c r="G2164">
        <v>7.0000000000000007E-2</v>
      </c>
      <c r="H2164">
        <v>38.499300000000005</v>
      </c>
      <c r="I2164">
        <f>order_items[[#This Row],[list_price]]-order_items[[#This Row],[Discounted_price]]</f>
        <v>511.4907</v>
      </c>
      <c r="J2164">
        <f>VLOOKUP(B2164, Products!$A$2:$E$100, 3, FALSE)</f>
        <v>5</v>
      </c>
      <c r="K2164">
        <f>VLOOKUP(B2164, Products!$A$2:$F$100, 4, FALSE)</f>
        <v>6</v>
      </c>
    </row>
    <row r="2165" spans="1:11" x14ac:dyDescent="0.3">
      <c r="A2165">
        <v>765</v>
      </c>
      <c r="B2165">
        <v>3</v>
      </c>
      <c r="C2165">
        <v>25</v>
      </c>
      <c r="D2165" t="str">
        <f>VLOOKUP(B2165, Products!$A$2:$C$100, 2, FALSE)</f>
        <v>Surly Wednesday Frameset - 2016</v>
      </c>
      <c r="E2165">
        <v>1</v>
      </c>
      <c r="F2165">
        <v>499.99</v>
      </c>
      <c r="G2165">
        <v>0.2</v>
      </c>
      <c r="H2165">
        <v>99.998000000000005</v>
      </c>
      <c r="I2165">
        <f>order_items[[#This Row],[list_price]]-order_items[[#This Row],[Discounted_price]]</f>
        <v>399.99200000000002</v>
      </c>
      <c r="J2165">
        <f>VLOOKUP(B2165, Products!$A$2:$E$100, 3, FALSE)</f>
        <v>8</v>
      </c>
      <c r="K2165">
        <f>VLOOKUP(B2165, Products!$A$2:$F$100, 4, FALSE)</f>
        <v>6</v>
      </c>
    </row>
    <row r="2166" spans="1:11" x14ac:dyDescent="0.3">
      <c r="A2166">
        <v>765</v>
      </c>
      <c r="B2166">
        <v>4</v>
      </c>
      <c r="C2166">
        <v>53</v>
      </c>
      <c r="D2166" t="str">
        <f>VLOOKUP(B2166, Products!$A$2:$C$100, 2, FALSE)</f>
        <v>Trek Fuel EX 8 29 - 2016</v>
      </c>
      <c r="E2166">
        <v>1</v>
      </c>
      <c r="F2166">
        <v>749.99</v>
      </c>
      <c r="G2166">
        <v>0.2</v>
      </c>
      <c r="H2166">
        <v>149.99800000000002</v>
      </c>
      <c r="I2166">
        <f>order_items[[#This Row],[list_price]]-order_items[[#This Row],[Discounted_price]]</f>
        <v>599.99199999999996</v>
      </c>
      <c r="J2166">
        <f>VLOOKUP(B2166, Products!$A$2:$E$100, 3, FALSE)</f>
        <v>9</v>
      </c>
      <c r="K2166">
        <f>VLOOKUP(B2166, Products!$A$2:$F$100, 4, FALSE)</f>
        <v>6</v>
      </c>
    </row>
    <row r="2167" spans="1:11" x14ac:dyDescent="0.3">
      <c r="A2167">
        <v>765</v>
      </c>
      <c r="B2167">
        <v>5</v>
      </c>
      <c r="C2167">
        <v>65</v>
      </c>
      <c r="D2167" t="str">
        <f>VLOOKUP(B2167, Products!$A$2:$C$100, 2, FALSE)</f>
        <v>Heller Shagamaw Frame - 2016</v>
      </c>
      <c r="E2167">
        <v>1</v>
      </c>
      <c r="F2167">
        <v>346.99</v>
      </c>
      <c r="G2167">
        <v>0.05</v>
      </c>
      <c r="H2167">
        <v>17.349500000000003</v>
      </c>
      <c r="I2167">
        <f>order_items[[#This Row],[list_price]]-order_items[[#This Row],[Discounted_price]]</f>
        <v>329.64050000000003</v>
      </c>
      <c r="J2167">
        <f>VLOOKUP(B2167, Products!$A$2:$E$100, 3, FALSE)</f>
        <v>3</v>
      </c>
      <c r="K2167">
        <f>VLOOKUP(B2167, Products!$A$2:$F$100, 4, FALSE)</f>
        <v>6</v>
      </c>
    </row>
    <row r="2168" spans="1:11" x14ac:dyDescent="0.3">
      <c r="A2168">
        <v>766</v>
      </c>
      <c r="B2168">
        <v>1</v>
      </c>
      <c r="C2168">
        <v>111</v>
      </c>
      <c r="D2168" t="str">
        <f>VLOOKUP(B2168, Products!$A$2:$C$100, 2, FALSE)</f>
        <v>Trek 820 - 2016</v>
      </c>
      <c r="E2168">
        <v>1</v>
      </c>
      <c r="F2168">
        <v>470.99</v>
      </c>
      <c r="G2168">
        <v>0.2</v>
      </c>
      <c r="H2168">
        <v>94.198000000000008</v>
      </c>
      <c r="I2168">
        <f>order_items[[#This Row],[list_price]]-order_items[[#This Row],[Discounted_price]]</f>
        <v>376.79200000000003</v>
      </c>
      <c r="J2168">
        <f>VLOOKUP(B2168, Products!$A$2:$E$100, 3, FALSE)</f>
        <v>9</v>
      </c>
      <c r="K2168">
        <f>VLOOKUP(B2168, Products!$A$2:$F$100, 4, FALSE)</f>
        <v>6</v>
      </c>
    </row>
    <row r="2169" spans="1:11" x14ac:dyDescent="0.3">
      <c r="A2169">
        <v>767</v>
      </c>
      <c r="B2169">
        <v>1</v>
      </c>
      <c r="C2169">
        <v>63</v>
      </c>
      <c r="D2169" t="str">
        <f>VLOOKUP(B2169, Products!$A$2:$C$100, 2, FALSE)</f>
        <v>Trek 820 - 2016</v>
      </c>
      <c r="E2169">
        <v>1</v>
      </c>
      <c r="F2169">
        <v>3499.99</v>
      </c>
      <c r="G2169">
        <v>0.1</v>
      </c>
      <c r="H2169">
        <v>349.99900000000002</v>
      </c>
      <c r="I2169">
        <f>order_items[[#This Row],[list_price]]-order_items[[#This Row],[Discounted_price]]</f>
        <v>3149.991</v>
      </c>
      <c r="J2169">
        <f>VLOOKUP(B2169, Products!$A$2:$E$100, 3, FALSE)</f>
        <v>9</v>
      </c>
      <c r="K2169">
        <f>VLOOKUP(B2169, Products!$A$2:$F$100, 4, FALSE)</f>
        <v>6</v>
      </c>
    </row>
    <row r="2170" spans="1:11" x14ac:dyDescent="0.3">
      <c r="A2170">
        <v>767</v>
      </c>
      <c r="B2170">
        <v>2</v>
      </c>
      <c r="C2170">
        <v>29</v>
      </c>
      <c r="D2170" t="str">
        <f>VLOOKUP(B2170, Products!$A$2:$C$100, 2, FALSE)</f>
        <v>Ritchey Timberwolf Frameset - 2016</v>
      </c>
      <c r="E2170">
        <v>1</v>
      </c>
      <c r="F2170">
        <v>999.99</v>
      </c>
      <c r="G2170">
        <v>7.0000000000000007E-2</v>
      </c>
      <c r="H2170">
        <v>69.999300000000005</v>
      </c>
      <c r="I2170">
        <f>order_items[[#This Row],[list_price]]-order_items[[#This Row],[Discounted_price]]</f>
        <v>929.99070000000006</v>
      </c>
      <c r="J2170">
        <f>VLOOKUP(B2170, Products!$A$2:$E$100, 3, FALSE)</f>
        <v>5</v>
      </c>
      <c r="K2170">
        <f>VLOOKUP(B2170, Products!$A$2:$F$100, 4, FALSE)</f>
        <v>6</v>
      </c>
    </row>
    <row r="2171" spans="1:11" x14ac:dyDescent="0.3">
      <c r="A2171">
        <v>767</v>
      </c>
      <c r="B2171">
        <v>3</v>
      </c>
      <c r="C2171">
        <v>41</v>
      </c>
      <c r="D2171" t="str">
        <f>VLOOKUP(B2171, Products!$A$2:$C$100, 2, FALSE)</f>
        <v>Surly Wednesday Frameset - 2016</v>
      </c>
      <c r="E2171">
        <v>2</v>
      </c>
      <c r="F2171">
        <v>1469.99</v>
      </c>
      <c r="G2171">
        <v>0.05</v>
      </c>
      <c r="H2171">
        <v>73.499499999999998</v>
      </c>
      <c r="I2171">
        <f>order_items[[#This Row],[list_price]]-order_items[[#This Row],[Discounted_price]]</f>
        <v>1396.4905000000001</v>
      </c>
      <c r="J2171">
        <f>VLOOKUP(B2171, Products!$A$2:$E$100, 3, FALSE)</f>
        <v>8</v>
      </c>
      <c r="K2171">
        <f>VLOOKUP(B2171, Products!$A$2:$F$100, 4, FALSE)</f>
        <v>6</v>
      </c>
    </row>
    <row r="2172" spans="1:11" x14ac:dyDescent="0.3">
      <c r="A2172">
        <v>767</v>
      </c>
      <c r="B2172">
        <v>4</v>
      </c>
      <c r="C2172">
        <v>77</v>
      </c>
      <c r="D2172" t="str">
        <f>VLOOKUP(B2172, Products!$A$2:$C$100, 2, FALSE)</f>
        <v>Trek Fuel EX 8 29 - 2016</v>
      </c>
      <c r="E2172">
        <v>2</v>
      </c>
      <c r="F2172">
        <v>799.99</v>
      </c>
      <c r="G2172">
        <v>0.05</v>
      </c>
      <c r="H2172">
        <v>39.999500000000005</v>
      </c>
      <c r="I2172">
        <f>order_items[[#This Row],[list_price]]-order_items[[#This Row],[Discounted_price]]</f>
        <v>759.9905</v>
      </c>
      <c r="J2172">
        <f>VLOOKUP(B2172, Products!$A$2:$E$100, 3, FALSE)</f>
        <v>9</v>
      </c>
      <c r="K2172">
        <f>VLOOKUP(B2172, Products!$A$2:$F$100, 4, FALSE)</f>
        <v>6</v>
      </c>
    </row>
    <row r="2173" spans="1:11" x14ac:dyDescent="0.3">
      <c r="A2173">
        <v>768</v>
      </c>
      <c r="B2173">
        <v>1</v>
      </c>
      <c r="C2173">
        <v>31</v>
      </c>
      <c r="D2173" t="str">
        <f>VLOOKUP(B2173, Products!$A$2:$C$100, 2, FALSE)</f>
        <v>Trek 820 - 2016</v>
      </c>
      <c r="E2173">
        <v>1</v>
      </c>
      <c r="F2173">
        <v>1632.99</v>
      </c>
      <c r="G2173">
        <v>0.2</v>
      </c>
      <c r="H2173">
        <v>326.59800000000001</v>
      </c>
      <c r="I2173">
        <f>order_items[[#This Row],[list_price]]-order_items[[#This Row],[Discounted_price]]</f>
        <v>1306.3920000000001</v>
      </c>
      <c r="J2173">
        <f>VLOOKUP(B2173, Products!$A$2:$E$100, 3, FALSE)</f>
        <v>9</v>
      </c>
      <c r="K2173">
        <f>VLOOKUP(B2173, Products!$A$2:$F$100, 4, FALSE)</f>
        <v>6</v>
      </c>
    </row>
    <row r="2174" spans="1:11" x14ac:dyDescent="0.3">
      <c r="A2174">
        <v>768</v>
      </c>
      <c r="B2174">
        <v>2</v>
      </c>
      <c r="C2174">
        <v>76</v>
      </c>
      <c r="D2174" t="str">
        <f>VLOOKUP(B2174, Products!$A$2:$C$100, 2, FALSE)</f>
        <v>Ritchey Timberwolf Frameset - 2016</v>
      </c>
      <c r="E2174">
        <v>1</v>
      </c>
      <c r="F2174">
        <v>299.99</v>
      </c>
      <c r="G2174">
        <v>0.2</v>
      </c>
      <c r="H2174">
        <v>59.998000000000005</v>
      </c>
      <c r="I2174">
        <f>order_items[[#This Row],[list_price]]-order_items[[#This Row],[Discounted_price]]</f>
        <v>239.99200000000002</v>
      </c>
      <c r="J2174">
        <f>VLOOKUP(B2174, Products!$A$2:$E$100, 3, FALSE)</f>
        <v>5</v>
      </c>
      <c r="K2174">
        <f>VLOOKUP(B2174, Products!$A$2:$F$100, 4, FALSE)</f>
        <v>6</v>
      </c>
    </row>
    <row r="2175" spans="1:11" x14ac:dyDescent="0.3">
      <c r="A2175">
        <v>769</v>
      </c>
      <c r="B2175">
        <v>1</v>
      </c>
      <c r="C2175">
        <v>8</v>
      </c>
      <c r="D2175" t="str">
        <f>VLOOKUP(B2175, Products!$A$2:$C$100, 2, FALSE)</f>
        <v>Trek 820 - 2016</v>
      </c>
      <c r="E2175">
        <v>1</v>
      </c>
      <c r="F2175">
        <v>1799.99</v>
      </c>
      <c r="G2175">
        <v>0.1</v>
      </c>
      <c r="H2175">
        <v>179.99900000000002</v>
      </c>
      <c r="I2175">
        <f>order_items[[#This Row],[list_price]]-order_items[[#This Row],[Discounted_price]]</f>
        <v>1619.991</v>
      </c>
      <c r="J2175">
        <f>VLOOKUP(B2175, Products!$A$2:$E$100, 3, FALSE)</f>
        <v>9</v>
      </c>
      <c r="K2175">
        <f>VLOOKUP(B2175, Products!$A$2:$F$100, 4, FALSE)</f>
        <v>6</v>
      </c>
    </row>
    <row r="2176" spans="1:11" x14ac:dyDescent="0.3">
      <c r="A2176">
        <v>769</v>
      </c>
      <c r="B2176">
        <v>2</v>
      </c>
      <c r="C2176">
        <v>6</v>
      </c>
      <c r="D2176" t="str">
        <f>VLOOKUP(B2176, Products!$A$2:$C$100, 2, FALSE)</f>
        <v>Ritchey Timberwolf Frameset - 2016</v>
      </c>
      <c r="E2176">
        <v>2</v>
      </c>
      <c r="F2176">
        <v>469.99</v>
      </c>
      <c r="G2176">
        <v>0.05</v>
      </c>
      <c r="H2176">
        <v>23.499500000000001</v>
      </c>
      <c r="I2176">
        <f>order_items[[#This Row],[list_price]]-order_items[[#This Row],[Discounted_price]]</f>
        <v>446.4905</v>
      </c>
      <c r="J2176">
        <f>VLOOKUP(B2176, Products!$A$2:$E$100, 3, FALSE)</f>
        <v>5</v>
      </c>
      <c r="K2176">
        <f>VLOOKUP(B2176, Products!$A$2:$F$100, 4, FALSE)</f>
        <v>6</v>
      </c>
    </row>
    <row r="2177" spans="1:11" x14ac:dyDescent="0.3">
      <c r="A2177">
        <v>769</v>
      </c>
      <c r="B2177">
        <v>3</v>
      </c>
      <c r="C2177">
        <v>36</v>
      </c>
      <c r="D2177" t="str">
        <f>VLOOKUP(B2177, Products!$A$2:$C$100, 2, FALSE)</f>
        <v>Surly Wednesday Frameset - 2016</v>
      </c>
      <c r="E2177">
        <v>2</v>
      </c>
      <c r="F2177">
        <v>832.99</v>
      </c>
      <c r="G2177">
        <v>7.0000000000000007E-2</v>
      </c>
      <c r="H2177">
        <v>58.309300000000007</v>
      </c>
      <c r="I2177">
        <f>order_items[[#This Row],[list_price]]-order_items[[#This Row],[Discounted_price]]</f>
        <v>774.6807</v>
      </c>
      <c r="J2177">
        <f>VLOOKUP(B2177, Products!$A$2:$E$100, 3, FALSE)</f>
        <v>8</v>
      </c>
      <c r="K2177">
        <f>VLOOKUP(B2177, Products!$A$2:$F$100, 4, FALSE)</f>
        <v>6</v>
      </c>
    </row>
    <row r="2178" spans="1:11" x14ac:dyDescent="0.3">
      <c r="A2178">
        <v>770</v>
      </c>
      <c r="B2178">
        <v>1</v>
      </c>
      <c r="C2178">
        <v>110</v>
      </c>
      <c r="D2178" t="str">
        <f>VLOOKUP(B2178, Products!$A$2:$C$100, 2, FALSE)</f>
        <v>Trek 820 - 2016</v>
      </c>
      <c r="E2178">
        <v>1</v>
      </c>
      <c r="F2178">
        <v>470.99</v>
      </c>
      <c r="G2178">
        <v>0.05</v>
      </c>
      <c r="H2178">
        <v>23.549500000000002</v>
      </c>
      <c r="I2178">
        <f>order_items[[#This Row],[list_price]]-order_items[[#This Row],[Discounted_price]]</f>
        <v>447.44049999999999</v>
      </c>
      <c r="J2178">
        <f>VLOOKUP(B2178, Products!$A$2:$E$100, 3, FALSE)</f>
        <v>9</v>
      </c>
      <c r="K2178">
        <f>VLOOKUP(B2178, Products!$A$2:$F$100, 4, FALSE)</f>
        <v>6</v>
      </c>
    </row>
    <row r="2179" spans="1:11" x14ac:dyDescent="0.3">
      <c r="A2179">
        <v>770</v>
      </c>
      <c r="B2179">
        <v>2</v>
      </c>
      <c r="C2179">
        <v>42</v>
      </c>
      <c r="D2179" t="str">
        <f>VLOOKUP(B2179, Products!$A$2:$C$100, 2, FALSE)</f>
        <v>Ritchey Timberwolf Frameset - 2016</v>
      </c>
      <c r="E2179">
        <v>1</v>
      </c>
      <c r="F2179">
        <v>2299.9899999999998</v>
      </c>
      <c r="G2179">
        <v>0.2</v>
      </c>
      <c r="H2179">
        <v>459.99799999999999</v>
      </c>
      <c r="I2179">
        <f>order_items[[#This Row],[list_price]]-order_items[[#This Row],[Discounted_price]]</f>
        <v>1839.9919999999997</v>
      </c>
      <c r="J2179">
        <f>VLOOKUP(B2179, Products!$A$2:$E$100, 3, FALSE)</f>
        <v>5</v>
      </c>
      <c r="K2179">
        <f>VLOOKUP(B2179, Products!$A$2:$F$100, 4, FALSE)</f>
        <v>6</v>
      </c>
    </row>
    <row r="2180" spans="1:11" x14ac:dyDescent="0.3">
      <c r="A2180">
        <v>770</v>
      </c>
      <c r="B2180">
        <v>3</v>
      </c>
      <c r="C2180">
        <v>103</v>
      </c>
      <c r="D2180" t="str">
        <f>VLOOKUP(B2180, Products!$A$2:$C$100, 2, FALSE)</f>
        <v>Surly Wednesday Frameset - 2016</v>
      </c>
      <c r="E2180">
        <v>1</v>
      </c>
      <c r="F2180">
        <v>551.99</v>
      </c>
      <c r="G2180">
        <v>0.2</v>
      </c>
      <c r="H2180">
        <v>110.39800000000001</v>
      </c>
      <c r="I2180">
        <f>order_items[[#This Row],[list_price]]-order_items[[#This Row],[Discounted_price]]</f>
        <v>441.59199999999998</v>
      </c>
      <c r="J2180">
        <f>VLOOKUP(B2180, Products!$A$2:$E$100, 3, FALSE)</f>
        <v>8</v>
      </c>
      <c r="K2180">
        <f>VLOOKUP(B2180, Products!$A$2:$F$100, 4, FALSE)</f>
        <v>6</v>
      </c>
    </row>
    <row r="2181" spans="1:11" x14ac:dyDescent="0.3">
      <c r="A2181">
        <v>770</v>
      </c>
      <c r="B2181">
        <v>4</v>
      </c>
      <c r="C2181">
        <v>11</v>
      </c>
      <c r="D2181" t="str">
        <f>VLOOKUP(B2181, Products!$A$2:$C$100, 2, FALSE)</f>
        <v>Trek Fuel EX 8 29 - 2016</v>
      </c>
      <c r="E2181">
        <v>2</v>
      </c>
      <c r="F2181">
        <v>1680.99</v>
      </c>
      <c r="G2181">
        <v>0.05</v>
      </c>
      <c r="H2181">
        <v>84.049500000000009</v>
      </c>
      <c r="I2181">
        <f>order_items[[#This Row],[list_price]]-order_items[[#This Row],[Discounted_price]]</f>
        <v>1596.9404999999999</v>
      </c>
      <c r="J2181">
        <f>VLOOKUP(B2181, Products!$A$2:$E$100, 3, FALSE)</f>
        <v>9</v>
      </c>
      <c r="K2181">
        <f>VLOOKUP(B2181, Products!$A$2:$F$100, 4, FALSE)</f>
        <v>6</v>
      </c>
    </row>
    <row r="2182" spans="1:11" x14ac:dyDescent="0.3">
      <c r="A2182">
        <v>771</v>
      </c>
      <c r="B2182">
        <v>1</v>
      </c>
      <c r="C2182">
        <v>13</v>
      </c>
      <c r="D2182" t="str">
        <f>VLOOKUP(B2182, Products!$A$2:$C$100, 2, FALSE)</f>
        <v>Trek 820 - 2016</v>
      </c>
      <c r="E2182">
        <v>2</v>
      </c>
      <c r="F2182">
        <v>269.99</v>
      </c>
      <c r="G2182">
        <v>0.2</v>
      </c>
      <c r="H2182">
        <v>53.998000000000005</v>
      </c>
      <c r="I2182">
        <f>order_items[[#This Row],[list_price]]-order_items[[#This Row],[Discounted_price]]</f>
        <v>215.99200000000002</v>
      </c>
      <c r="J2182">
        <f>VLOOKUP(B2182, Products!$A$2:$E$100, 3, FALSE)</f>
        <v>9</v>
      </c>
      <c r="K2182">
        <f>VLOOKUP(B2182, Products!$A$2:$F$100, 4, FALSE)</f>
        <v>6</v>
      </c>
    </row>
    <row r="2183" spans="1:11" x14ac:dyDescent="0.3">
      <c r="A2183">
        <v>771</v>
      </c>
      <c r="B2183">
        <v>2</v>
      </c>
      <c r="C2183">
        <v>88</v>
      </c>
      <c r="D2183" t="str">
        <f>VLOOKUP(B2183, Products!$A$2:$C$100, 2, FALSE)</f>
        <v>Ritchey Timberwolf Frameset - 2016</v>
      </c>
      <c r="E2183">
        <v>1</v>
      </c>
      <c r="F2183">
        <v>189.99</v>
      </c>
      <c r="G2183">
        <v>0.2</v>
      </c>
      <c r="H2183">
        <v>37.998000000000005</v>
      </c>
      <c r="I2183">
        <f>order_items[[#This Row],[list_price]]-order_items[[#This Row],[Discounted_price]]</f>
        <v>151.99200000000002</v>
      </c>
      <c r="J2183">
        <f>VLOOKUP(B2183, Products!$A$2:$E$100, 3, FALSE)</f>
        <v>5</v>
      </c>
      <c r="K2183">
        <f>VLOOKUP(B2183, Products!$A$2:$F$100, 4, FALSE)</f>
        <v>6</v>
      </c>
    </row>
    <row r="2184" spans="1:11" x14ac:dyDescent="0.3">
      <c r="A2184">
        <v>772</v>
      </c>
      <c r="B2184">
        <v>1</v>
      </c>
      <c r="C2184">
        <v>103</v>
      </c>
      <c r="D2184" t="str">
        <f>VLOOKUP(B2184, Products!$A$2:$C$100, 2, FALSE)</f>
        <v>Trek 820 - 2016</v>
      </c>
      <c r="E2184">
        <v>1</v>
      </c>
      <c r="F2184">
        <v>551.99</v>
      </c>
      <c r="G2184">
        <v>7.0000000000000007E-2</v>
      </c>
      <c r="H2184">
        <v>38.639300000000006</v>
      </c>
      <c r="I2184">
        <f>order_items[[#This Row],[list_price]]-order_items[[#This Row],[Discounted_price]]</f>
        <v>513.35069999999996</v>
      </c>
      <c r="J2184">
        <f>VLOOKUP(B2184, Products!$A$2:$E$100, 3, FALSE)</f>
        <v>9</v>
      </c>
      <c r="K2184">
        <f>VLOOKUP(B2184, Products!$A$2:$F$100, 4, FALSE)</f>
        <v>6</v>
      </c>
    </row>
    <row r="2185" spans="1:11" x14ac:dyDescent="0.3">
      <c r="A2185">
        <v>773</v>
      </c>
      <c r="B2185">
        <v>1</v>
      </c>
      <c r="C2185">
        <v>92</v>
      </c>
      <c r="D2185" t="str">
        <f>VLOOKUP(B2185, Products!$A$2:$C$100, 2, FALSE)</f>
        <v>Trek 820 - 2016</v>
      </c>
      <c r="E2185">
        <v>1</v>
      </c>
      <c r="F2185">
        <v>209.99</v>
      </c>
      <c r="G2185">
        <v>0.1</v>
      </c>
      <c r="H2185">
        <v>20.999000000000002</v>
      </c>
      <c r="I2185">
        <f>order_items[[#This Row],[list_price]]-order_items[[#This Row],[Discounted_price]]</f>
        <v>188.99100000000001</v>
      </c>
      <c r="J2185">
        <f>VLOOKUP(B2185, Products!$A$2:$E$100, 3, FALSE)</f>
        <v>9</v>
      </c>
      <c r="K2185">
        <f>VLOOKUP(B2185, Products!$A$2:$F$100, 4, FALSE)</f>
        <v>6</v>
      </c>
    </row>
    <row r="2186" spans="1:11" x14ac:dyDescent="0.3">
      <c r="A2186">
        <v>773</v>
      </c>
      <c r="B2186">
        <v>2</v>
      </c>
      <c r="C2186">
        <v>14</v>
      </c>
      <c r="D2186" t="str">
        <f>VLOOKUP(B2186, Products!$A$2:$C$100, 2, FALSE)</f>
        <v>Ritchey Timberwolf Frameset - 2016</v>
      </c>
      <c r="E2186">
        <v>1</v>
      </c>
      <c r="F2186">
        <v>269.99</v>
      </c>
      <c r="G2186">
        <v>0.05</v>
      </c>
      <c r="H2186">
        <v>13.499500000000001</v>
      </c>
      <c r="I2186">
        <f>order_items[[#This Row],[list_price]]-order_items[[#This Row],[Discounted_price]]</f>
        <v>256.4905</v>
      </c>
      <c r="J2186">
        <f>VLOOKUP(B2186, Products!$A$2:$E$100, 3, FALSE)</f>
        <v>5</v>
      </c>
      <c r="K2186">
        <f>VLOOKUP(B2186, Products!$A$2:$F$100, 4, FALSE)</f>
        <v>6</v>
      </c>
    </row>
    <row r="2187" spans="1:11" x14ac:dyDescent="0.3">
      <c r="A2187">
        <v>773</v>
      </c>
      <c r="B2187">
        <v>3</v>
      </c>
      <c r="C2187">
        <v>17</v>
      </c>
      <c r="D2187" t="str">
        <f>VLOOKUP(B2187, Products!$A$2:$C$100, 2, FALSE)</f>
        <v>Surly Wednesday Frameset - 2016</v>
      </c>
      <c r="E2187">
        <v>2</v>
      </c>
      <c r="F2187">
        <v>429</v>
      </c>
      <c r="G2187">
        <v>0.2</v>
      </c>
      <c r="H2187">
        <v>85.800000000000011</v>
      </c>
      <c r="I2187">
        <f>order_items[[#This Row],[list_price]]-order_items[[#This Row],[Discounted_price]]</f>
        <v>343.2</v>
      </c>
      <c r="J2187">
        <f>VLOOKUP(B2187, Products!$A$2:$E$100, 3, FALSE)</f>
        <v>8</v>
      </c>
      <c r="K2187">
        <f>VLOOKUP(B2187, Products!$A$2:$F$100, 4, FALSE)</f>
        <v>6</v>
      </c>
    </row>
    <row r="2188" spans="1:11" x14ac:dyDescent="0.3">
      <c r="A2188">
        <v>773</v>
      </c>
      <c r="B2188">
        <v>4</v>
      </c>
      <c r="C2188">
        <v>33</v>
      </c>
      <c r="D2188" t="str">
        <f>VLOOKUP(B2188, Products!$A$2:$C$100, 2, FALSE)</f>
        <v>Trek Fuel EX 8 29 - 2016</v>
      </c>
      <c r="E2188">
        <v>2</v>
      </c>
      <c r="F2188">
        <v>469.99</v>
      </c>
      <c r="G2188">
        <v>7.0000000000000007E-2</v>
      </c>
      <c r="H2188">
        <v>32.899300000000004</v>
      </c>
      <c r="I2188">
        <f>order_items[[#This Row],[list_price]]-order_items[[#This Row],[Discounted_price]]</f>
        <v>437.09070000000003</v>
      </c>
      <c r="J2188">
        <f>VLOOKUP(B2188, Products!$A$2:$E$100, 3, FALSE)</f>
        <v>9</v>
      </c>
      <c r="K2188">
        <f>VLOOKUP(B2188, Products!$A$2:$F$100, 4, FALSE)</f>
        <v>6</v>
      </c>
    </row>
    <row r="2189" spans="1:11" x14ac:dyDescent="0.3">
      <c r="A2189">
        <v>774</v>
      </c>
      <c r="B2189">
        <v>1</v>
      </c>
      <c r="C2189">
        <v>65</v>
      </c>
      <c r="D2189" t="str">
        <f>VLOOKUP(B2189, Products!$A$2:$C$100, 2, FALSE)</f>
        <v>Trek 820 - 2016</v>
      </c>
      <c r="E2189">
        <v>1</v>
      </c>
      <c r="F2189">
        <v>346.99</v>
      </c>
      <c r="G2189">
        <v>0.05</v>
      </c>
      <c r="H2189">
        <v>17.349500000000003</v>
      </c>
      <c r="I2189">
        <f>order_items[[#This Row],[list_price]]-order_items[[#This Row],[Discounted_price]]</f>
        <v>329.64050000000003</v>
      </c>
      <c r="J2189">
        <f>VLOOKUP(B2189, Products!$A$2:$E$100, 3, FALSE)</f>
        <v>9</v>
      </c>
      <c r="K2189">
        <f>VLOOKUP(B2189, Products!$A$2:$F$100, 4, FALSE)</f>
        <v>6</v>
      </c>
    </row>
    <row r="2190" spans="1:11" x14ac:dyDescent="0.3">
      <c r="A2190">
        <v>774</v>
      </c>
      <c r="B2190">
        <v>2</v>
      </c>
      <c r="C2190">
        <v>36</v>
      </c>
      <c r="D2190" t="str">
        <f>VLOOKUP(B2190, Products!$A$2:$C$100, 2, FALSE)</f>
        <v>Ritchey Timberwolf Frameset - 2016</v>
      </c>
      <c r="E2190">
        <v>2</v>
      </c>
      <c r="F2190">
        <v>832.99</v>
      </c>
      <c r="G2190">
        <v>0.05</v>
      </c>
      <c r="H2190">
        <v>41.649500000000003</v>
      </c>
      <c r="I2190">
        <f>order_items[[#This Row],[list_price]]-order_items[[#This Row],[Discounted_price]]</f>
        <v>791.34050000000002</v>
      </c>
      <c r="J2190">
        <f>VLOOKUP(B2190, Products!$A$2:$E$100, 3, FALSE)</f>
        <v>5</v>
      </c>
      <c r="K2190">
        <f>VLOOKUP(B2190, Products!$A$2:$F$100, 4, FALSE)</f>
        <v>6</v>
      </c>
    </row>
    <row r="2191" spans="1:11" x14ac:dyDescent="0.3">
      <c r="A2191">
        <v>774</v>
      </c>
      <c r="B2191">
        <v>3</v>
      </c>
      <c r="C2191">
        <v>20</v>
      </c>
      <c r="D2191" t="str">
        <f>VLOOKUP(B2191, Products!$A$2:$C$100, 2, FALSE)</f>
        <v>Surly Wednesday Frameset - 2016</v>
      </c>
      <c r="E2191">
        <v>1</v>
      </c>
      <c r="F2191">
        <v>599.99</v>
      </c>
      <c r="G2191">
        <v>0.2</v>
      </c>
      <c r="H2191">
        <v>119.998</v>
      </c>
      <c r="I2191">
        <f>order_items[[#This Row],[list_price]]-order_items[[#This Row],[Discounted_price]]</f>
        <v>479.99200000000002</v>
      </c>
      <c r="J2191">
        <f>VLOOKUP(B2191, Products!$A$2:$E$100, 3, FALSE)</f>
        <v>8</v>
      </c>
      <c r="K2191">
        <f>VLOOKUP(B2191, Products!$A$2:$F$100, 4, FALSE)</f>
        <v>6</v>
      </c>
    </row>
    <row r="2192" spans="1:11" x14ac:dyDescent="0.3">
      <c r="A2192">
        <v>774</v>
      </c>
      <c r="B2192">
        <v>4</v>
      </c>
      <c r="C2192">
        <v>73</v>
      </c>
      <c r="D2192" t="str">
        <f>VLOOKUP(B2192, Products!$A$2:$C$100, 2, FALSE)</f>
        <v>Trek Fuel EX 8 29 - 2016</v>
      </c>
      <c r="E2192">
        <v>1</v>
      </c>
      <c r="F2192">
        <v>749.99</v>
      </c>
      <c r="G2192">
        <v>0.05</v>
      </c>
      <c r="H2192">
        <v>37.499500000000005</v>
      </c>
      <c r="I2192">
        <f>order_items[[#This Row],[list_price]]-order_items[[#This Row],[Discounted_price]]</f>
        <v>712.4905</v>
      </c>
      <c r="J2192">
        <f>VLOOKUP(B2192, Products!$A$2:$E$100, 3, FALSE)</f>
        <v>9</v>
      </c>
      <c r="K2192">
        <f>VLOOKUP(B2192, Products!$A$2:$F$100, 4, FALSE)</f>
        <v>6</v>
      </c>
    </row>
    <row r="2193" spans="1:11" x14ac:dyDescent="0.3">
      <c r="A2193">
        <v>774</v>
      </c>
      <c r="B2193">
        <v>5</v>
      </c>
      <c r="C2193">
        <v>58</v>
      </c>
      <c r="D2193" t="str">
        <f>VLOOKUP(B2193, Products!$A$2:$C$100, 2, FALSE)</f>
        <v>Heller Shagamaw Frame - 2016</v>
      </c>
      <c r="E2193">
        <v>2</v>
      </c>
      <c r="F2193">
        <v>4999.99</v>
      </c>
      <c r="G2193">
        <v>0.1</v>
      </c>
      <c r="H2193">
        <v>499.99900000000002</v>
      </c>
      <c r="I2193">
        <f>order_items[[#This Row],[list_price]]-order_items[[#This Row],[Discounted_price]]</f>
        <v>4499.991</v>
      </c>
      <c r="J2193">
        <f>VLOOKUP(B2193, Products!$A$2:$E$100, 3, FALSE)</f>
        <v>3</v>
      </c>
      <c r="K2193">
        <f>VLOOKUP(B2193, Products!$A$2:$F$100, 4, FALSE)</f>
        <v>6</v>
      </c>
    </row>
    <row r="2194" spans="1:11" x14ac:dyDescent="0.3">
      <c r="A2194">
        <v>775</v>
      </c>
      <c r="B2194">
        <v>1</v>
      </c>
      <c r="C2194">
        <v>39</v>
      </c>
      <c r="D2194" t="str">
        <f>VLOOKUP(B2194, Products!$A$2:$C$100, 2, FALSE)</f>
        <v>Trek 820 - 2016</v>
      </c>
      <c r="E2194">
        <v>1</v>
      </c>
      <c r="F2194">
        <v>1499.99</v>
      </c>
      <c r="G2194">
        <v>7.0000000000000007E-2</v>
      </c>
      <c r="H2194">
        <v>104.99930000000001</v>
      </c>
      <c r="I2194">
        <f>order_items[[#This Row],[list_price]]-order_items[[#This Row],[Discounted_price]]</f>
        <v>1394.9907000000001</v>
      </c>
      <c r="J2194">
        <f>VLOOKUP(B2194, Products!$A$2:$E$100, 3, FALSE)</f>
        <v>9</v>
      </c>
      <c r="K2194">
        <f>VLOOKUP(B2194, Products!$A$2:$F$100, 4, FALSE)</f>
        <v>6</v>
      </c>
    </row>
    <row r="2195" spans="1:11" x14ac:dyDescent="0.3">
      <c r="A2195">
        <v>776</v>
      </c>
      <c r="B2195">
        <v>1</v>
      </c>
      <c r="C2195">
        <v>28</v>
      </c>
      <c r="D2195" t="str">
        <f>VLOOKUP(B2195, Products!$A$2:$C$100, 2, FALSE)</f>
        <v>Trek 820 - 2016</v>
      </c>
      <c r="E2195">
        <v>1</v>
      </c>
      <c r="F2195">
        <v>2499.9899999999998</v>
      </c>
      <c r="G2195">
        <v>0.2</v>
      </c>
      <c r="H2195">
        <v>499.99799999999999</v>
      </c>
      <c r="I2195">
        <f>order_items[[#This Row],[list_price]]-order_items[[#This Row],[Discounted_price]]</f>
        <v>1999.9919999999997</v>
      </c>
      <c r="J2195">
        <f>VLOOKUP(B2195, Products!$A$2:$E$100, 3, FALSE)</f>
        <v>9</v>
      </c>
      <c r="K2195">
        <f>VLOOKUP(B2195, Products!$A$2:$F$100, 4, FALSE)</f>
        <v>6</v>
      </c>
    </row>
    <row r="2196" spans="1:11" x14ac:dyDescent="0.3">
      <c r="A2196">
        <v>776</v>
      </c>
      <c r="B2196">
        <v>2</v>
      </c>
      <c r="C2196">
        <v>42</v>
      </c>
      <c r="D2196" t="str">
        <f>VLOOKUP(B2196, Products!$A$2:$C$100, 2, FALSE)</f>
        <v>Ritchey Timberwolf Frameset - 2016</v>
      </c>
      <c r="E2196">
        <v>2</v>
      </c>
      <c r="F2196">
        <v>2299.9899999999998</v>
      </c>
      <c r="G2196">
        <v>0.2</v>
      </c>
      <c r="H2196">
        <v>459.99799999999999</v>
      </c>
      <c r="I2196">
        <f>order_items[[#This Row],[list_price]]-order_items[[#This Row],[Discounted_price]]</f>
        <v>1839.9919999999997</v>
      </c>
      <c r="J2196">
        <f>VLOOKUP(B2196, Products!$A$2:$E$100, 3, FALSE)</f>
        <v>5</v>
      </c>
      <c r="K2196">
        <f>VLOOKUP(B2196, Products!$A$2:$F$100, 4, FALSE)</f>
        <v>6</v>
      </c>
    </row>
    <row r="2197" spans="1:11" x14ac:dyDescent="0.3">
      <c r="A2197">
        <v>776</v>
      </c>
      <c r="B2197">
        <v>3</v>
      </c>
      <c r="C2197">
        <v>71</v>
      </c>
      <c r="D2197" t="str">
        <f>VLOOKUP(B2197, Products!$A$2:$C$100, 2, FALSE)</f>
        <v>Surly Wednesday Frameset - 2016</v>
      </c>
      <c r="E2197">
        <v>1</v>
      </c>
      <c r="F2197">
        <v>416.99</v>
      </c>
      <c r="G2197">
        <v>0.1</v>
      </c>
      <c r="H2197">
        <v>41.699000000000005</v>
      </c>
      <c r="I2197">
        <f>order_items[[#This Row],[list_price]]-order_items[[#This Row],[Discounted_price]]</f>
        <v>375.291</v>
      </c>
      <c r="J2197">
        <f>VLOOKUP(B2197, Products!$A$2:$E$100, 3, FALSE)</f>
        <v>8</v>
      </c>
      <c r="K2197">
        <f>VLOOKUP(B2197, Products!$A$2:$F$100, 4, FALSE)</f>
        <v>6</v>
      </c>
    </row>
    <row r="2198" spans="1:11" x14ac:dyDescent="0.3">
      <c r="A2198">
        <v>776</v>
      </c>
      <c r="B2198">
        <v>4</v>
      </c>
      <c r="C2198">
        <v>35</v>
      </c>
      <c r="D2198" t="str">
        <f>VLOOKUP(B2198, Products!$A$2:$C$100, 2, FALSE)</f>
        <v>Trek Fuel EX 8 29 - 2016</v>
      </c>
      <c r="E2198">
        <v>1</v>
      </c>
      <c r="F2198">
        <v>832.99</v>
      </c>
      <c r="G2198">
        <v>0.1</v>
      </c>
      <c r="H2198">
        <v>83.299000000000007</v>
      </c>
      <c r="I2198">
        <f>order_items[[#This Row],[list_price]]-order_items[[#This Row],[Discounted_price]]</f>
        <v>749.69100000000003</v>
      </c>
      <c r="J2198">
        <f>VLOOKUP(B2198, Products!$A$2:$E$100, 3, FALSE)</f>
        <v>9</v>
      </c>
      <c r="K2198">
        <f>VLOOKUP(B2198, Products!$A$2:$F$100, 4, FALSE)</f>
        <v>6</v>
      </c>
    </row>
    <row r="2199" spans="1:11" x14ac:dyDescent="0.3">
      <c r="A2199">
        <v>777</v>
      </c>
      <c r="B2199">
        <v>1</v>
      </c>
      <c r="C2199">
        <v>5</v>
      </c>
      <c r="D2199" t="str">
        <f>VLOOKUP(B2199, Products!$A$2:$C$100, 2, FALSE)</f>
        <v>Trek 820 - 2016</v>
      </c>
      <c r="E2199">
        <v>1</v>
      </c>
      <c r="F2199">
        <v>1320.99</v>
      </c>
      <c r="G2199">
        <v>0.2</v>
      </c>
      <c r="H2199">
        <v>264.19800000000004</v>
      </c>
      <c r="I2199">
        <f>order_items[[#This Row],[list_price]]-order_items[[#This Row],[Discounted_price]]</f>
        <v>1056.7919999999999</v>
      </c>
      <c r="J2199">
        <f>VLOOKUP(B2199, Products!$A$2:$E$100, 3, FALSE)</f>
        <v>9</v>
      </c>
      <c r="K2199">
        <f>VLOOKUP(B2199, Products!$A$2:$F$100, 4, FALSE)</f>
        <v>6</v>
      </c>
    </row>
    <row r="2200" spans="1:11" x14ac:dyDescent="0.3">
      <c r="A2200">
        <v>777</v>
      </c>
      <c r="B2200">
        <v>2</v>
      </c>
      <c r="C2200">
        <v>7</v>
      </c>
      <c r="D2200" t="str">
        <f>VLOOKUP(B2200, Products!$A$2:$C$100, 2, FALSE)</f>
        <v>Ritchey Timberwolf Frameset - 2016</v>
      </c>
      <c r="E2200">
        <v>2</v>
      </c>
      <c r="F2200">
        <v>3999.99</v>
      </c>
      <c r="G2200">
        <v>0.2</v>
      </c>
      <c r="H2200">
        <v>799.99800000000005</v>
      </c>
      <c r="I2200">
        <f>order_items[[#This Row],[list_price]]-order_items[[#This Row],[Discounted_price]]</f>
        <v>3199.9919999999997</v>
      </c>
      <c r="J2200">
        <f>VLOOKUP(B2200, Products!$A$2:$E$100, 3, FALSE)</f>
        <v>5</v>
      </c>
      <c r="K2200">
        <f>VLOOKUP(B2200, Products!$A$2:$F$100, 4, FALSE)</f>
        <v>6</v>
      </c>
    </row>
    <row r="2201" spans="1:11" x14ac:dyDescent="0.3">
      <c r="A2201">
        <v>777</v>
      </c>
      <c r="B2201">
        <v>3</v>
      </c>
      <c r="C2201">
        <v>2</v>
      </c>
      <c r="D2201" t="str">
        <f>VLOOKUP(B2201, Products!$A$2:$C$100, 2, FALSE)</f>
        <v>Surly Wednesday Frameset - 2016</v>
      </c>
      <c r="E2201">
        <v>1</v>
      </c>
      <c r="F2201">
        <v>749.99</v>
      </c>
      <c r="G2201">
        <v>0.2</v>
      </c>
      <c r="H2201">
        <v>149.99800000000002</v>
      </c>
      <c r="I2201">
        <f>order_items[[#This Row],[list_price]]-order_items[[#This Row],[Discounted_price]]</f>
        <v>599.99199999999996</v>
      </c>
      <c r="J2201">
        <f>VLOOKUP(B2201, Products!$A$2:$E$100, 3, FALSE)</f>
        <v>8</v>
      </c>
      <c r="K2201">
        <f>VLOOKUP(B2201, Products!$A$2:$F$100, 4, FALSE)</f>
        <v>6</v>
      </c>
    </row>
    <row r="2202" spans="1:11" x14ac:dyDescent="0.3">
      <c r="A2202">
        <v>778</v>
      </c>
      <c r="B2202">
        <v>1</v>
      </c>
      <c r="C2202">
        <v>64</v>
      </c>
      <c r="D2202" t="str">
        <f>VLOOKUP(B2202, Products!$A$2:$C$100, 2, FALSE)</f>
        <v>Trek 820 - 2016</v>
      </c>
      <c r="E2202">
        <v>1</v>
      </c>
      <c r="F2202">
        <v>489.99</v>
      </c>
      <c r="G2202">
        <v>0.1</v>
      </c>
      <c r="H2202">
        <v>48.999000000000002</v>
      </c>
      <c r="I2202">
        <f>order_items[[#This Row],[list_price]]-order_items[[#This Row],[Discounted_price]]</f>
        <v>440.99099999999999</v>
      </c>
      <c r="J2202">
        <f>VLOOKUP(B2202, Products!$A$2:$E$100, 3, FALSE)</f>
        <v>9</v>
      </c>
      <c r="K2202">
        <f>VLOOKUP(B2202, Products!$A$2:$F$100, 4, FALSE)</f>
        <v>6</v>
      </c>
    </row>
    <row r="2203" spans="1:11" x14ac:dyDescent="0.3">
      <c r="A2203">
        <v>778</v>
      </c>
      <c r="B2203">
        <v>2</v>
      </c>
      <c r="C2203">
        <v>85</v>
      </c>
      <c r="D2203" t="str">
        <f>VLOOKUP(B2203, Products!$A$2:$C$100, 2, FALSE)</f>
        <v>Ritchey Timberwolf Frameset - 2016</v>
      </c>
      <c r="E2203">
        <v>1</v>
      </c>
      <c r="F2203">
        <v>329.99</v>
      </c>
      <c r="G2203">
        <v>0.05</v>
      </c>
      <c r="H2203">
        <v>16.499500000000001</v>
      </c>
      <c r="I2203">
        <f>order_items[[#This Row],[list_price]]-order_items[[#This Row],[Discounted_price]]</f>
        <v>313.4905</v>
      </c>
      <c r="J2203">
        <f>VLOOKUP(B2203, Products!$A$2:$E$100, 3, FALSE)</f>
        <v>5</v>
      </c>
      <c r="K2203">
        <f>VLOOKUP(B2203, Products!$A$2:$F$100, 4, FALSE)</f>
        <v>6</v>
      </c>
    </row>
    <row r="2204" spans="1:11" x14ac:dyDescent="0.3">
      <c r="A2204">
        <v>779</v>
      </c>
      <c r="B2204">
        <v>1</v>
      </c>
      <c r="C2204">
        <v>101</v>
      </c>
      <c r="D2204" t="str">
        <f>VLOOKUP(B2204, Products!$A$2:$C$100, 2, FALSE)</f>
        <v>Trek 820 - 2016</v>
      </c>
      <c r="E2204">
        <v>1</v>
      </c>
      <c r="F2204">
        <v>339.99</v>
      </c>
      <c r="G2204">
        <v>0.05</v>
      </c>
      <c r="H2204">
        <v>16.999500000000001</v>
      </c>
      <c r="I2204">
        <f>order_items[[#This Row],[list_price]]-order_items[[#This Row],[Discounted_price]]</f>
        <v>322.9905</v>
      </c>
      <c r="J2204">
        <f>VLOOKUP(B2204, Products!$A$2:$E$100, 3, FALSE)</f>
        <v>9</v>
      </c>
      <c r="K2204">
        <f>VLOOKUP(B2204, Products!$A$2:$F$100, 4, FALSE)</f>
        <v>6</v>
      </c>
    </row>
    <row r="2205" spans="1:11" x14ac:dyDescent="0.3">
      <c r="A2205">
        <v>779</v>
      </c>
      <c r="B2205">
        <v>2</v>
      </c>
      <c r="C2205">
        <v>90</v>
      </c>
      <c r="D2205" t="str">
        <f>VLOOKUP(B2205, Products!$A$2:$C$100, 2, FALSE)</f>
        <v>Ritchey Timberwolf Frameset - 2016</v>
      </c>
      <c r="E2205">
        <v>2</v>
      </c>
      <c r="F2205">
        <v>209.99</v>
      </c>
      <c r="G2205">
        <v>0.2</v>
      </c>
      <c r="H2205">
        <v>41.998000000000005</v>
      </c>
      <c r="I2205">
        <f>order_items[[#This Row],[list_price]]-order_items[[#This Row],[Discounted_price]]</f>
        <v>167.99200000000002</v>
      </c>
      <c r="J2205">
        <f>VLOOKUP(B2205, Products!$A$2:$E$100, 3, FALSE)</f>
        <v>5</v>
      </c>
      <c r="K2205">
        <f>VLOOKUP(B2205, Products!$A$2:$F$100, 4, FALSE)</f>
        <v>6</v>
      </c>
    </row>
    <row r="2206" spans="1:11" x14ac:dyDescent="0.3">
      <c r="A2206">
        <v>779</v>
      </c>
      <c r="B2206">
        <v>3</v>
      </c>
      <c r="C2206">
        <v>47</v>
      </c>
      <c r="D2206" t="str">
        <f>VLOOKUP(B2206, Products!$A$2:$C$100, 2, FALSE)</f>
        <v>Surly Wednesday Frameset - 2016</v>
      </c>
      <c r="E2206">
        <v>1</v>
      </c>
      <c r="F2206">
        <v>5299.99</v>
      </c>
      <c r="G2206">
        <v>0.2</v>
      </c>
      <c r="H2206">
        <v>1059.998</v>
      </c>
      <c r="I2206">
        <f>order_items[[#This Row],[list_price]]-order_items[[#This Row],[Discounted_price]]</f>
        <v>4239.9920000000002</v>
      </c>
      <c r="J2206">
        <f>VLOOKUP(B2206, Products!$A$2:$E$100, 3, FALSE)</f>
        <v>8</v>
      </c>
      <c r="K2206">
        <f>VLOOKUP(B2206, Products!$A$2:$F$100, 4, FALSE)</f>
        <v>6</v>
      </c>
    </row>
    <row r="2207" spans="1:11" x14ac:dyDescent="0.3">
      <c r="A2207">
        <v>779</v>
      </c>
      <c r="B2207">
        <v>4</v>
      </c>
      <c r="C2207">
        <v>8</v>
      </c>
      <c r="D2207" t="str">
        <f>VLOOKUP(B2207, Products!$A$2:$C$100, 2, FALSE)</f>
        <v>Trek Fuel EX 8 29 - 2016</v>
      </c>
      <c r="E2207">
        <v>1</v>
      </c>
      <c r="F2207">
        <v>1799.99</v>
      </c>
      <c r="G2207">
        <v>0.2</v>
      </c>
      <c r="H2207">
        <v>359.99800000000005</v>
      </c>
      <c r="I2207">
        <f>order_items[[#This Row],[list_price]]-order_items[[#This Row],[Discounted_price]]</f>
        <v>1439.992</v>
      </c>
      <c r="J2207">
        <f>VLOOKUP(B2207, Products!$A$2:$E$100, 3, FALSE)</f>
        <v>9</v>
      </c>
      <c r="K2207">
        <f>VLOOKUP(B2207, Products!$A$2:$F$100, 4, FALSE)</f>
        <v>6</v>
      </c>
    </row>
    <row r="2208" spans="1:11" x14ac:dyDescent="0.3">
      <c r="A2208">
        <v>779</v>
      </c>
      <c r="B2208">
        <v>5</v>
      </c>
      <c r="C2208">
        <v>85</v>
      </c>
      <c r="D2208" t="str">
        <f>VLOOKUP(B2208, Products!$A$2:$C$100, 2, FALSE)</f>
        <v>Heller Shagamaw Frame - 2016</v>
      </c>
      <c r="E2208">
        <v>1</v>
      </c>
      <c r="F2208">
        <v>329.99</v>
      </c>
      <c r="G2208">
        <v>0.2</v>
      </c>
      <c r="H2208">
        <v>65.998000000000005</v>
      </c>
      <c r="I2208">
        <f>order_items[[#This Row],[list_price]]-order_items[[#This Row],[Discounted_price]]</f>
        <v>263.99200000000002</v>
      </c>
      <c r="J2208">
        <f>VLOOKUP(B2208, Products!$A$2:$E$100, 3, FALSE)</f>
        <v>3</v>
      </c>
      <c r="K2208">
        <f>VLOOKUP(B2208, Products!$A$2:$F$100, 4, FALSE)</f>
        <v>6</v>
      </c>
    </row>
    <row r="2209" spans="1:11" x14ac:dyDescent="0.3">
      <c r="A2209">
        <v>780</v>
      </c>
      <c r="B2209">
        <v>1</v>
      </c>
      <c r="C2209">
        <v>32</v>
      </c>
      <c r="D2209" t="str">
        <f>VLOOKUP(B2209, Products!$A$2:$C$100, 2, FALSE)</f>
        <v>Trek 820 - 2016</v>
      </c>
      <c r="E2209">
        <v>1</v>
      </c>
      <c r="F2209">
        <v>469.99</v>
      </c>
      <c r="G2209">
        <v>0.1</v>
      </c>
      <c r="H2209">
        <v>46.999000000000002</v>
      </c>
      <c r="I2209">
        <f>order_items[[#This Row],[list_price]]-order_items[[#This Row],[Discounted_price]]</f>
        <v>422.99099999999999</v>
      </c>
      <c r="J2209">
        <f>VLOOKUP(B2209, Products!$A$2:$E$100, 3, FALSE)</f>
        <v>9</v>
      </c>
      <c r="K2209">
        <f>VLOOKUP(B2209, Products!$A$2:$F$100, 4, FALSE)</f>
        <v>6</v>
      </c>
    </row>
    <row r="2210" spans="1:11" x14ac:dyDescent="0.3">
      <c r="A2210">
        <v>781</v>
      </c>
      <c r="B2210">
        <v>1</v>
      </c>
      <c r="C2210">
        <v>109</v>
      </c>
      <c r="D2210" t="str">
        <f>VLOOKUP(B2210, Products!$A$2:$C$100, 2, FALSE)</f>
        <v>Trek 820 - 2016</v>
      </c>
      <c r="E2210">
        <v>2</v>
      </c>
      <c r="F2210">
        <v>416.99</v>
      </c>
      <c r="G2210">
        <v>0.05</v>
      </c>
      <c r="H2210">
        <v>20.849500000000003</v>
      </c>
      <c r="I2210">
        <f>order_items[[#This Row],[list_price]]-order_items[[#This Row],[Discounted_price]]</f>
        <v>396.14050000000003</v>
      </c>
      <c r="J2210">
        <f>VLOOKUP(B2210, Products!$A$2:$E$100, 3, FALSE)</f>
        <v>9</v>
      </c>
      <c r="K2210">
        <f>VLOOKUP(B2210, Products!$A$2:$F$100, 4, FALSE)</f>
        <v>6</v>
      </c>
    </row>
    <row r="2211" spans="1:11" x14ac:dyDescent="0.3">
      <c r="A2211">
        <v>781</v>
      </c>
      <c r="B2211">
        <v>2</v>
      </c>
      <c r="C2211">
        <v>7</v>
      </c>
      <c r="D2211" t="str">
        <f>VLOOKUP(B2211, Products!$A$2:$C$100, 2, FALSE)</f>
        <v>Ritchey Timberwolf Frameset - 2016</v>
      </c>
      <c r="E2211">
        <v>2</v>
      </c>
      <c r="F2211">
        <v>3999.99</v>
      </c>
      <c r="G2211">
        <v>0.2</v>
      </c>
      <c r="H2211">
        <v>799.99800000000005</v>
      </c>
      <c r="I2211">
        <f>order_items[[#This Row],[list_price]]-order_items[[#This Row],[Discounted_price]]</f>
        <v>3199.9919999999997</v>
      </c>
      <c r="J2211">
        <f>VLOOKUP(B2211, Products!$A$2:$E$100, 3, FALSE)</f>
        <v>5</v>
      </c>
      <c r="K2211">
        <f>VLOOKUP(B2211, Products!$A$2:$F$100, 4, FALSE)</f>
        <v>6</v>
      </c>
    </row>
    <row r="2212" spans="1:11" x14ac:dyDescent="0.3">
      <c r="A2212">
        <v>781</v>
      </c>
      <c r="B2212">
        <v>3</v>
      </c>
      <c r="C2212">
        <v>57</v>
      </c>
      <c r="D2212" t="str">
        <f>VLOOKUP(B2212, Products!$A$2:$C$100, 2, FALSE)</f>
        <v>Surly Wednesday Frameset - 2016</v>
      </c>
      <c r="E2212">
        <v>2</v>
      </c>
      <c r="F2212">
        <v>1999.99</v>
      </c>
      <c r="G2212">
        <v>0.1</v>
      </c>
      <c r="H2212">
        <v>199.99900000000002</v>
      </c>
      <c r="I2212">
        <f>order_items[[#This Row],[list_price]]-order_items[[#This Row],[Discounted_price]]</f>
        <v>1799.991</v>
      </c>
      <c r="J2212">
        <f>VLOOKUP(B2212, Products!$A$2:$E$100, 3, FALSE)</f>
        <v>8</v>
      </c>
      <c r="K2212">
        <f>VLOOKUP(B2212, Products!$A$2:$F$100, 4, FALSE)</f>
        <v>6</v>
      </c>
    </row>
    <row r="2213" spans="1:11" x14ac:dyDescent="0.3">
      <c r="A2213">
        <v>782</v>
      </c>
      <c r="B2213">
        <v>1</v>
      </c>
      <c r="C2213">
        <v>20</v>
      </c>
      <c r="D2213" t="str">
        <f>VLOOKUP(B2213, Products!$A$2:$C$100, 2, FALSE)</f>
        <v>Trek 820 - 2016</v>
      </c>
      <c r="E2213">
        <v>2</v>
      </c>
      <c r="F2213">
        <v>599.99</v>
      </c>
      <c r="G2213">
        <v>7.0000000000000007E-2</v>
      </c>
      <c r="H2213">
        <v>41.999300000000005</v>
      </c>
      <c r="I2213">
        <f>order_items[[#This Row],[list_price]]-order_items[[#This Row],[Discounted_price]]</f>
        <v>557.99070000000006</v>
      </c>
      <c r="J2213">
        <f>VLOOKUP(B2213, Products!$A$2:$E$100, 3, FALSE)</f>
        <v>9</v>
      </c>
      <c r="K2213">
        <f>VLOOKUP(B2213, Products!$A$2:$F$100, 4, FALSE)</f>
        <v>6</v>
      </c>
    </row>
    <row r="2214" spans="1:11" x14ac:dyDescent="0.3">
      <c r="A2214">
        <v>782</v>
      </c>
      <c r="B2214">
        <v>2</v>
      </c>
      <c r="C2214">
        <v>57</v>
      </c>
      <c r="D2214" t="str">
        <f>VLOOKUP(B2214, Products!$A$2:$C$100, 2, FALSE)</f>
        <v>Ritchey Timberwolf Frameset - 2016</v>
      </c>
      <c r="E2214">
        <v>1</v>
      </c>
      <c r="F2214">
        <v>1999.99</v>
      </c>
      <c r="G2214">
        <v>7.0000000000000007E-2</v>
      </c>
      <c r="H2214">
        <v>139.99930000000001</v>
      </c>
      <c r="I2214">
        <f>order_items[[#This Row],[list_price]]-order_items[[#This Row],[Discounted_price]]</f>
        <v>1859.9907000000001</v>
      </c>
      <c r="J2214">
        <f>VLOOKUP(B2214, Products!$A$2:$E$100, 3, FALSE)</f>
        <v>5</v>
      </c>
      <c r="K2214">
        <f>VLOOKUP(B2214, Products!$A$2:$F$100, 4, FALSE)</f>
        <v>6</v>
      </c>
    </row>
    <row r="2215" spans="1:11" x14ac:dyDescent="0.3">
      <c r="A2215">
        <v>782</v>
      </c>
      <c r="B2215">
        <v>3</v>
      </c>
      <c r="C2215">
        <v>99</v>
      </c>
      <c r="D2215" t="str">
        <f>VLOOKUP(B2215, Products!$A$2:$C$100, 2, FALSE)</f>
        <v>Surly Wednesday Frameset - 2016</v>
      </c>
      <c r="E2215">
        <v>1</v>
      </c>
      <c r="F2215">
        <v>299.99</v>
      </c>
      <c r="G2215">
        <v>7.0000000000000007E-2</v>
      </c>
      <c r="H2215">
        <v>20.999300000000002</v>
      </c>
      <c r="I2215">
        <f>order_items[[#This Row],[list_price]]-order_items[[#This Row],[Discounted_price]]</f>
        <v>278.9907</v>
      </c>
      <c r="J2215">
        <f>VLOOKUP(B2215, Products!$A$2:$E$100, 3, FALSE)</f>
        <v>8</v>
      </c>
      <c r="K2215">
        <f>VLOOKUP(B2215, Products!$A$2:$F$100, 4, FALSE)</f>
        <v>6</v>
      </c>
    </row>
    <row r="2216" spans="1:11" x14ac:dyDescent="0.3">
      <c r="A2216">
        <v>782</v>
      </c>
      <c r="B2216">
        <v>4</v>
      </c>
      <c r="C2216">
        <v>16</v>
      </c>
      <c r="D2216" t="str">
        <f>VLOOKUP(B2216, Products!$A$2:$C$100, 2, FALSE)</f>
        <v>Trek Fuel EX 8 29 - 2016</v>
      </c>
      <c r="E2216">
        <v>2</v>
      </c>
      <c r="F2216">
        <v>599.99</v>
      </c>
      <c r="G2216">
        <v>0.2</v>
      </c>
      <c r="H2216">
        <v>119.998</v>
      </c>
      <c r="I2216">
        <f>order_items[[#This Row],[list_price]]-order_items[[#This Row],[Discounted_price]]</f>
        <v>479.99200000000002</v>
      </c>
      <c r="J2216">
        <f>VLOOKUP(B2216, Products!$A$2:$E$100, 3, FALSE)</f>
        <v>9</v>
      </c>
      <c r="K2216">
        <f>VLOOKUP(B2216, Products!$A$2:$F$100, 4, FALSE)</f>
        <v>6</v>
      </c>
    </row>
    <row r="2217" spans="1:11" x14ac:dyDescent="0.3">
      <c r="A2217">
        <v>783</v>
      </c>
      <c r="B2217">
        <v>1</v>
      </c>
      <c r="C2217">
        <v>92</v>
      </c>
      <c r="D2217" t="str">
        <f>VLOOKUP(B2217, Products!$A$2:$C$100, 2, FALSE)</f>
        <v>Trek 820 - 2016</v>
      </c>
      <c r="E2217">
        <v>1</v>
      </c>
      <c r="F2217">
        <v>209.99</v>
      </c>
      <c r="G2217">
        <v>0.2</v>
      </c>
      <c r="H2217">
        <v>41.998000000000005</v>
      </c>
      <c r="I2217">
        <f>order_items[[#This Row],[list_price]]-order_items[[#This Row],[Discounted_price]]</f>
        <v>167.99200000000002</v>
      </c>
      <c r="J2217">
        <f>VLOOKUP(B2217, Products!$A$2:$E$100, 3, FALSE)</f>
        <v>9</v>
      </c>
      <c r="K2217">
        <f>VLOOKUP(B2217, Products!$A$2:$F$100, 4, FALSE)</f>
        <v>6</v>
      </c>
    </row>
    <row r="2218" spans="1:11" x14ac:dyDescent="0.3">
      <c r="A2218">
        <v>783</v>
      </c>
      <c r="B2218">
        <v>2</v>
      </c>
      <c r="C2218">
        <v>22</v>
      </c>
      <c r="D2218" t="str">
        <f>VLOOKUP(B2218, Products!$A$2:$C$100, 2, FALSE)</f>
        <v>Ritchey Timberwolf Frameset - 2016</v>
      </c>
      <c r="E2218">
        <v>2</v>
      </c>
      <c r="F2218">
        <v>269.99</v>
      </c>
      <c r="G2218">
        <v>0.05</v>
      </c>
      <c r="H2218">
        <v>13.499500000000001</v>
      </c>
      <c r="I2218">
        <f>order_items[[#This Row],[list_price]]-order_items[[#This Row],[Discounted_price]]</f>
        <v>256.4905</v>
      </c>
      <c r="J2218">
        <f>VLOOKUP(B2218, Products!$A$2:$E$100, 3, FALSE)</f>
        <v>5</v>
      </c>
      <c r="K2218">
        <f>VLOOKUP(B2218, Products!$A$2:$F$100, 4, FALSE)</f>
        <v>6</v>
      </c>
    </row>
    <row r="2219" spans="1:11" x14ac:dyDescent="0.3">
      <c r="A2219">
        <v>783</v>
      </c>
      <c r="B2219">
        <v>3</v>
      </c>
      <c r="C2219">
        <v>94</v>
      </c>
      <c r="D2219" t="str">
        <f>VLOOKUP(B2219, Products!$A$2:$C$100, 2, FALSE)</f>
        <v>Surly Wednesday Frameset - 2016</v>
      </c>
      <c r="E2219">
        <v>1</v>
      </c>
      <c r="F2219">
        <v>249.99</v>
      </c>
      <c r="G2219">
        <v>0.05</v>
      </c>
      <c r="H2219">
        <v>12.499500000000001</v>
      </c>
      <c r="I2219">
        <f>order_items[[#This Row],[list_price]]-order_items[[#This Row],[Discounted_price]]</f>
        <v>237.4905</v>
      </c>
      <c r="J2219">
        <f>VLOOKUP(B2219, Products!$A$2:$E$100, 3, FALSE)</f>
        <v>8</v>
      </c>
      <c r="K2219">
        <f>VLOOKUP(B2219, Products!$A$2:$F$100, 4, FALSE)</f>
        <v>6</v>
      </c>
    </row>
    <row r="2220" spans="1:11" x14ac:dyDescent="0.3">
      <c r="A2220">
        <v>783</v>
      </c>
      <c r="B2220">
        <v>4</v>
      </c>
      <c r="C2220">
        <v>29</v>
      </c>
      <c r="D2220" t="str">
        <f>VLOOKUP(B2220, Products!$A$2:$C$100, 2, FALSE)</f>
        <v>Trek Fuel EX 8 29 - 2016</v>
      </c>
      <c r="E2220">
        <v>1</v>
      </c>
      <c r="F2220">
        <v>999.99</v>
      </c>
      <c r="G2220">
        <v>0.1</v>
      </c>
      <c r="H2220">
        <v>99.999000000000009</v>
      </c>
      <c r="I2220">
        <f>order_items[[#This Row],[list_price]]-order_items[[#This Row],[Discounted_price]]</f>
        <v>899.99099999999999</v>
      </c>
      <c r="J2220">
        <f>VLOOKUP(B2220, Products!$A$2:$E$100, 3, FALSE)</f>
        <v>9</v>
      </c>
      <c r="K2220">
        <f>VLOOKUP(B2220, Products!$A$2:$F$100, 4, FALSE)</f>
        <v>6</v>
      </c>
    </row>
    <row r="2221" spans="1:11" x14ac:dyDescent="0.3">
      <c r="A2221">
        <v>784</v>
      </c>
      <c r="B2221">
        <v>1</v>
      </c>
      <c r="C2221">
        <v>22</v>
      </c>
      <c r="D2221" t="str">
        <f>VLOOKUP(B2221, Products!$A$2:$C$100, 2, FALSE)</f>
        <v>Trek 820 - 2016</v>
      </c>
      <c r="E2221">
        <v>1</v>
      </c>
      <c r="F2221">
        <v>269.99</v>
      </c>
      <c r="G2221">
        <v>7.0000000000000007E-2</v>
      </c>
      <c r="H2221">
        <v>18.899300000000004</v>
      </c>
      <c r="I2221">
        <f>order_items[[#This Row],[list_price]]-order_items[[#This Row],[Discounted_price]]</f>
        <v>251.0907</v>
      </c>
      <c r="J2221">
        <f>VLOOKUP(B2221, Products!$A$2:$E$100, 3, FALSE)</f>
        <v>9</v>
      </c>
      <c r="K2221">
        <f>VLOOKUP(B2221, Products!$A$2:$F$100, 4, FALSE)</f>
        <v>6</v>
      </c>
    </row>
    <row r="2222" spans="1:11" x14ac:dyDescent="0.3">
      <c r="A2222">
        <v>784</v>
      </c>
      <c r="B2222">
        <v>2</v>
      </c>
      <c r="C2222">
        <v>72</v>
      </c>
      <c r="D2222" t="str">
        <f>VLOOKUP(B2222, Products!$A$2:$C$100, 2, FALSE)</f>
        <v>Ritchey Timberwolf Frameset - 2016</v>
      </c>
      <c r="E2222">
        <v>2</v>
      </c>
      <c r="F2222">
        <v>619.99</v>
      </c>
      <c r="G2222">
        <v>0.1</v>
      </c>
      <c r="H2222">
        <v>61.999000000000002</v>
      </c>
      <c r="I2222">
        <f>order_items[[#This Row],[list_price]]-order_items[[#This Row],[Discounted_price]]</f>
        <v>557.99099999999999</v>
      </c>
      <c r="J2222">
        <f>VLOOKUP(B2222, Products!$A$2:$E$100, 3, FALSE)</f>
        <v>5</v>
      </c>
      <c r="K2222">
        <f>VLOOKUP(B2222, Products!$A$2:$F$100, 4, FALSE)</f>
        <v>6</v>
      </c>
    </row>
    <row r="2223" spans="1:11" x14ac:dyDescent="0.3">
      <c r="A2223">
        <v>784</v>
      </c>
      <c r="B2223">
        <v>3</v>
      </c>
      <c r="C2223">
        <v>16</v>
      </c>
      <c r="D2223" t="str">
        <f>VLOOKUP(B2223, Products!$A$2:$C$100, 2, FALSE)</f>
        <v>Surly Wednesday Frameset - 2016</v>
      </c>
      <c r="E2223">
        <v>1</v>
      </c>
      <c r="F2223">
        <v>599.99</v>
      </c>
      <c r="G2223">
        <v>0.2</v>
      </c>
      <c r="H2223">
        <v>119.998</v>
      </c>
      <c r="I2223">
        <f>order_items[[#This Row],[list_price]]-order_items[[#This Row],[Discounted_price]]</f>
        <v>479.99200000000002</v>
      </c>
      <c r="J2223">
        <f>VLOOKUP(B2223, Products!$A$2:$E$100, 3, FALSE)</f>
        <v>8</v>
      </c>
      <c r="K2223">
        <f>VLOOKUP(B2223, Products!$A$2:$F$100, 4, FALSE)</f>
        <v>6</v>
      </c>
    </row>
    <row r="2224" spans="1:11" x14ac:dyDescent="0.3">
      <c r="A2224">
        <v>785</v>
      </c>
      <c r="B2224">
        <v>1</v>
      </c>
      <c r="C2224">
        <v>59</v>
      </c>
      <c r="D2224" t="str">
        <f>VLOOKUP(B2224, Products!$A$2:$C$100, 2, FALSE)</f>
        <v>Trek 820 - 2016</v>
      </c>
      <c r="E2224">
        <v>2</v>
      </c>
      <c r="F2224">
        <v>2599.9899999999998</v>
      </c>
      <c r="G2224">
        <v>0.2</v>
      </c>
      <c r="H2224">
        <v>519.99799999999993</v>
      </c>
      <c r="I2224">
        <f>order_items[[#This Row],[list_price]]-order_items[[#This Row],[Discounted_price]]</f>
        <v>2079.9919999999997</v>
      </c>
      <c r="J2224">
        <f>VLOOKUP(B2224, Products!$A$2:$E$100, 3, FALSE)</f>
        <v>9</v>
      </c>
      <c r="K2224">
        <f>VLOOKUP(B2224, Products!$A$2:$F$100, 4, FALSE)</f>
        <v>6</v>
      </c>
    </row>
    <row r="2225" spans="1:11" x14ac:dyDescent="0.3">
      <c r="A2225">
        <v>785</v>
      </c>
      <c r="B2225">
        <v>2</v>
      </c>
      <c r="C2225">
        <v>40</v>
      </c>
      <c r="D2225" t="str">
        <f>VLOOKUP(B2225, Products!$A$2:$C$100, 2, FALSE)</f>
        <v>Ritchey Timberwolf Frameset - 2016</v>
      </c>
      <c r="E2225">
        <v>1</v>
      </c>
      <c r="F2225">
        <v>4999.99</v>
      </c>
      <c r="G2225">
        <v>7.0000000000000007E-2</v>
      </c>
      <c r="H2225">
        <v>349.99930000000001</v>
      </c>
      <c r="I2225">
        <f>order_items[[#This Row],[list_price]]-order_items[[#This Row],[Discounted_price]]</f>
        <v>4649.9906999999994</v>
      </c>
      <c r="J2225">
        <f>VLOOKUP(B2225, Products!$A$2:$E$100, 3, FALSE)</f>
        <v>5</v>
      </c>
      <c r="K2225">
        <f>VLOOKUP(B2225, Products!$A$2:$F$100, 4, FALSE)</f>
        <v>6</v>
      </c>
    </row>
    <row r="2226" spans="1:11" x14ac:dyDescent="0.3">
      <c r="A2226">
        <v>785</v>
      </c>
      <c r="B2226">
        <v>3</v>
      </c>
      <c r="C2226">
        <v>25</v>
      </c>
      <c r="D2226" t="str">
        <f>VLOOKUP(B2226, Products!$A$2:$C$100, 2, FALSE)</f>
        <v>Surly Wednesday Frameset - 2016</v>
      </c>
      <c r="E2226">
        <v>1</v>
      </c>
      <c r="F2226">
        <v>499.99</v>
      </c>
      <c r="G2226">
        <v>7.0000000000000007E-2</v>
      </c>
      <c r="H2226">
        <v>34.999300000000005</v>
      </c>
      <c r="I2226">
        <f>order_items[[#This Row],[list_price]]-order_items[[#This Row],[Discounted_price]]</f>
        <v>464.9907</v>
      </c>
      <c r="J2226">
        <f>VLOOKUP(B2226, Products!$A$2:$E$100, 3, FALSE)</f>
        <v>8</v>
      </c>
      <c r="K2226">
        <f>VLOOKUP(B2226, Products!$A$2:$F$100, 4, FALSE)</f>
        <v>6</v>
      </c>
    </row>
    <row r="2227" spans="1:11" x14ac:dyDescent="0.3">
      <c r="A2227">
        <v>786</v>
      </c>
      <c r="B2227">
        <v>1</v>
      </c>
      <c r="C2227">
        <v>80</v>
      </c>
      <c r="D2227" t="str">
        <f>VLOOKUP(B2227, Products!$A$2:$C$100, 2, FALSE)</f>
        <v>Trek 820 - 2016</v>
      </c>
      <c r="E2227">
        <v>1</v>
      </c>
      <c r="F2227">
        <v>761.99</v>
      </c>
      <c r="G2227">
        <v>0.05</v>
      </c>
      <c r="H2227">
        <v>38.099499999999999</v>
      </c>
      <c r="I2227">
        <f>order_items[[#This Row],[list_price]]-order_items[[#This Row],[Discounted_price]]</f>
        <v>723.89049999999997</v>
      </c>
      <c r="J2227">
        <f>VLOOKUP(B2227, Products!$A$2:$E$100, 3, FALSE)</f>
        <v>9</v>
      </c>
      <c r="K2227">
        <f>VLOOKUP(B2227, Products!$A$2:$F$100, 4, FALSE)</f>
        <v>6</v>
      </c>
    </row>
    <row r="2228" spans="1:11" x14ac:dyDescent="0.3">
      <c r="A2228">
        <v>787</v>
      </c>
      <c r="B2228">
        <v>1</v>
      </c>
      <c r="C2228">
        <v>51</v>
      </c>
      <c r="D2228" t="str">
        <f>VLOOKUP(B2228, Products!$A$2:$C$100, 2, FALSE)</f>
        <v>Trek 820 - 2016</v>
      </c>
      <c r="E2228">
        <v>2</v>
      </c>
      <c r="F2228">
        <v>6499.99</v>
      </c>
      <c r="G2228">
        <v>7.0000000000000007E-2</v>
      </c>
      <c r="H2228">
        <v>454.99930000000001</v>
      </c>
      <c r="I2228">
        <f>order_items[[#This Row],[list_price]]-order_items[[#This Row],[Discounted_price]]</f>
        <v>6044.9906999999994</v>
      </c>
      <c r="J2228">
        <f>VLOOKUP(B2228, Products!$A$2:$E$100, 3, FALSE)</f>
        <v>9</v>
      </c>
      <c r="K2228">
        <f>VLOOKUP(B2228, Products!$A$2:$F$100, 4, FALSE)</f>
        <v>6</v>
      </c>
    </row>
    <row r="2229" spans="1:11" x14ac:dyDescent="0.3">
      <c r="A2229">
        <v>787</v>
      </c>
      <c r="B2229">
        <v>2</v>
      </c>
      <c r="C2229">
        <v>66</v>
      </c>
      <c r="D2229" t="str">
        <f>VLOOKUP(B2229, Products!$A$2:$C$100, 2, FALSE)</f>
        <v>Ritchey Timberwolf Frameset - 2016</v>
      </c>
      <c r="E2229">
        <v>2</v>
      </c>
      <c r="F2229">
        <v>250.99</v>
      </c>
      <c r="G2229">
        <v>0.1</v>
      </c>
      <c r="H2229">
        <v>25.099000000000004</v>
      </c>
      <c r="I2229">
        <f>order_items[[#This Row],[list_price]]-order_items[[#This Row],[Discounted_price]]</f>
        <v>225.89100000000002</v>
      </c>
      <c r="J2229">
        <f>VLOOKUP(B2229, Products!$A$2:$E$100, 3, FALSE)</f>
        <v>5</v>
      </c>
      <c r="K2229">
        <f>VLOOKUP(B2229, Products!$A$2:$F$100, 4, FALSE)</f>
        <v>6</v>
      </c>
    </row>
    <row r="2230" spans="1:11" x14ac:dyDescent="0.3">
      <c r="A2230">
        <v>788</v>
      </c>
      <c r="B2230">
        <v>1</v>
      </c>
      <c r="C2230">
        <v>48</v>
      </c>
      <c r="D2230" t="str">
        <f>VLOOKUP(B2230, Products!$A$2:$C$100, 2, FALSE)</f>
        <v>Trek 820 - 2016</v>
      </c>
      <c r="E2230">
        <v>1</v>
      </c>
      <c r="F2230">
        <v>1499.99</v>
      </c>
      <c r="G2230">
        <v>0.2</v>
      </c>
      <c r="H2230">
        <v>299.99799999999999</v>
      </c>
      <c r="I2230">
        <f>order_items[[#This Row],[list_price]]-order_items[[#This Row],[Discounted_price]]</f>
        <v>1199.992</v>
      </c>
      <c r="J2230">
        <f>VLOOKUP(B2230, Products!$A$2:$E$100, 3, FALSE)</f>
        <v>9</v>
      </c>
      <c r="K2230">
        <f>VLOOKUP(B2230, Products!$A$2:$F$100, 4, FALSE)</f>
        <v>6</v>
      </c>
    </row>
    <row r="2231" spans="1:11" x14ac:dyDescent="0.3">
      <c r="A2231">
        <v>788</v>
      </c>
      <c r="B2231">
        <v>2</v>
      </c>
      <c r="C2231">
        <v>19</v>
      </c>
      <c r="D2231" t="str">
        <f>VLOOKUP(B2231, Products!$A$2:$C$100, 2, FALSE)</f>
        <v>Ritchey Timberwolf Frameset - 2016</v>
      </c>
      <c r="E2231">
        <v>1</v>
      </c>
      <c r="F2231">
        <v>449</v>
      </c>
      <c r="G2231">
        <v>0.1</v>
      </c>
      <c r="H2231">
        <v>44.900000000000006</v>
      </c>
      <c r="I2231">
        <f>order_items[[#This Row],[list_price]]-order_items[[#This Row],[Discounted_price]]</f>
        <v>404.1</v>
      </c>
      <c r="J2231">
        <f>VLOOKUP(B2231, Products!$A$2:$E$100, 3, FALSE)</f>
        <v>5</v>
      </c>
      <c r="K2231">
        <f>VLOOKUP(B2231, Products!$A$2:$F$100, 4, FALSE)</f>
        <v>6</v>
      </c>
    </row>
    <row r="2232" spans="1:11" x14ac:dyDescent="0.3">
      <c r="A2232">
        <v>788</v>
      </c>
      <c r="B2232">
        <v>3</v>
      </c>
      <c r="C2232">
        <v>13</v>
      </c>
      <c r="D2232" t="str">
        <f>VLOOKUP(B2232, Products!$A$2:$C$100, 2, FALSE)</f>
        <v>Surly Wednesday Frameset - 2016</v>
      </c>
      <c r="E2232">
        <v>1</v>
      </c>
      <c r="F2232">
        <v>269.99</v>
      </c>
      <c r="G2232">
        <v>0.05</v>
      </c>
      <c r="H2232">
        <v>13.499500000000001</v>
      </c>
      <c r="I2232">
        <f>order_items[[#This Row],[list_price]]-order_items[[#This Row],[Discounted_price]]</f>
        <v>256.4905</v>
      </c>
      <c r="J2232">
        <f>VLOOKUP(B2232, Products!$A$2:$E$100, 3, FALSE)</f>
        <v>8</v>
      </c>
      <c r="K2232">
        <f>VLOOKUP(B2232, Products!$A$2:$F$100, 4, FALSE)</f>
        <v>6</v>
      </c>
    </row>
    <row r="2233" spans="1:11" x14ac:dyDescent="0.3">
      <c r="A2233">
        <v>789</v>
      </c>
      <c r="B2233">
        <v>1</v>
      </c>
      <c r="C2233">
        <v>100</v>
      </c>
      <c r="D2233" t="str">
        <f>VLOOKUP(B2233, Products!$A$2:$C$100, 2, FALSE)</f>
        <v>Trek 820 - 2016</v>
      </c>
      <c r="E2233">
        <v>2</v>
      </c>
      <c r="F2233">
        <v>489.99</v>
      </c>
      <c r="G2233">
        <v>0.2</v>
      </c>
      <c r="H2233">
        <v>97.998000000000005</v>
      </c>
      <c r="I2233">
        <f>order_items[[#This Row],[list_price]]-order_items[[#This Row],[Discounted_price]]</f>
        <v>391.99200000000002</v>
      </c>
      <c r="J2233">
        <f>VLOOKUP(B2233, Products!$A$2:$E$100, 3, FALSE)</f>
        <v>9</v>
      </c>
      <c r="K2233">
        <f>VLOOKUP(B2233, Products!$A$2:$F$100, 4, FALSE)</f>
        <v>6</v>
      </c>
    </row>
    <row r="2234" spans="1:11" x14ac:dyDescent="0.3">
      <c r="A2234">
        <v>789</v>
      </c>
      <c r="B2234">
        <v>2</v>
      </c>
      <c r="C2234">
        <v>93</v>
      </c>
      <c r="D2234" t="str">
        <f>VLOOKUP(B2234, Products!$A$2:$C$100, 2, FALSE)</f>
        <v>Ritchey Timberwolf Frameset - 2016</v>
      </c>
      <c r="E2234">
        <v>2</v>
      </c>
      <c r="F2234">
        <v>209.99</v>
      </c>
      <c r="G2234">
        <v>7.0000000000000007E-2</v>
      </c>
      <c r="H2234">
        <v>14.699300000000003</v>
      </c>
      <c r="I2234">
        <f>order_items[[#This Row],[list_price]]-order_items[[#This Row],[Discounted_price]]</f>
        <v>195.29070000000002</v>
      </c>
      <c r="J2234">
        <f>VLOOKUP(B2234, Products!$A$2:$E$100, 3, FALSE)</f>
        <v>5</v>
      </c>
      <c r="K2234">
        <f>VLOOKUP(B2234, Products!$A$2:$F$100, 4, FALSE)</f>
        <v>6</v>
      </c>
    </row>
    <row r="2235" spans="1:11" x14ac:dyDescent="0.3">
      <c r="A2235">
        <v>790</v>
      </c>
      <c r="B2235">
        <v>1</v>
      </c>
      <c r="C2235">
        <v>62</v>
      </c>
      <c r="D2235" t="str">
        <f>VLOOKUP(B2235, Products!$A$2:$C$100, 2, FALSE)</f>
        <v>Trek 820 - 2016</v>
      </c>
      <c r="E2235">
        <v>2</v>
      </c>
      <c r="F2235">
        <v>3499.99</v>
      </c>
      <c r="G2235">
        <v>7.0000000000000007E-2</v>
      </c>
      <c r="H2235">
        <v>244.99930000000001</v>
      </c>
      <c r="I2235">
        <f>order_items[[#This Row],[list_price]]-order_items[[#This Row],[Discounted_price]]</f>
        <v>3254.9906999999998</v>
      </c>
      <c r="J2235">
        <f>VLOOKUP(B2235, Products!$A$2:$E$100, 3, FALSE)</f>
        <v>9</v>
      </c>
      <c r="K2235">
        <f>VLOOKUP(B2235, Products!$A$2:$F$100, 4, FALSE)</f>
        <v>6</v>
      </c>
    </row>
    <row r="2236" spans="1:11" x14ac:dyDescent="0.3">
      <c r="A2236">
        <v>790</v>
      </c>
      <c r="B2236">
        <v>2</v>
      </c>
      <c r="C2236">
        <v>91</v>
      </c>
      <c r="D2236" t="str">
        <f>VLOOKUP(B2236, Products!$A$2:$C$100, 2, FALSE)</f>
        <v>Ritchey Timberwolf Frameset - 2016</v>
      </c>
      <c r="E2236">
        <v>1</v>
      </c>
      <c r="F2236">
        <v>349.99</v>
      </c>
      <c r="G2236">
        <v>0.1</v>
      </c>
      <c r="H2236">
        <v>34.999000000000002</v>
      </c>
      <c r="I2236">
        <f>order_items[[#This Row],[list_price]]-order_items[[#This Row],[Discounted_price]]</f>
        <v>314.99099999999999</v>
      </c>
      <c r="J2236">
        <f>VLOOKUP(B2236, Products!$A$2:$E$100, 3, FALSE)</f>
        <v>5</v>
      </c>
      <c r="K2236">
        <f>VLOOKUP(B2236, Products!$A$2:$F$100, 4, FALSE)</f>
        <v>6</v>
      </c>
    </row>
    <row r="2237" spans="1:11" x14ac:dyDescent="0.3">
      <c r="A2237">
        <v>791</v>
      </c>
      <c r="B2237">
        <v>1</v>
      </c>
      <c r="C2237">
        <v>54</v>
      </c>
      <c r="D2237" t="str">
        <f>VLOOKUP(B2237, Products!$A$2:$C$100, 2, FALSE)</f>
        <v>Trek 820 - 2016</v>
      </c>
      <c r="E2237">
        <v>1</v>
      </c>
      <c r="F2237">
        <v>3199.99</v>
      </c>
      <c r="G2237">
        <v>0.2</v>
      </c>
      <c r="H2237">
        <v>639.99800000000005</v>
      </c>
      <c r="I2237">
        <f>order_items[[#This Row],[list_price]]-order_items[[#This Row],[Discounted_price]]</f>
        <v>2559.9919999999997</v>
      </c>
      <c r="J2237">
        <f>VLOOKUP(B2237, Products!$A$2:$E$100, 3, FALSE)</f>
        <v>9</v>
      </c>
      <c r="K2237">
        <f>VLOOKUP(B2237, Products!$A$2:$F$100, 4, FALSE)</f>
        <v>6</v>
      </c>
    </row>
    <row r="2238" spans="1:11" x14ac:dyDescent="0.3">
      <c r="A2238">
        <v>791</v>
      </c>
      <c r="B2238">
        <v>2</v>
      </c>
      <c r="C2238">
        <v>25</v>
      </c>
      <c r="D2238" t="str">
        <f>VLOOKUP(B2238, Products!$A$2:$C$100, 2, FALSE)</f>
        <v>Ritchey Timberwolf Frameset - 2016</v>
      </c>
      <c r="E2238">
        <v>2</v>
      </c>
      <c r="F2238">
        <v>499.99</v>
      </c>
      <c r="G2238">
        <v>7.0000000000000007E-2</v>
      </c>
      <c r="H2238">
        <v>34.999300000000005</v>
      </c>
      <c r="I2238">
        <f>order_items[[#This Row],[list_price]]-order_items[[#This Row],[Discounted_price]]</f>
        <v>464.9907</v>
      </c>
      <c r="J2238">
        <f>VLOOKUP(B2238, Products!$A$2:$E$100, 3, FALSE)</f>
        <v>5</v>
      </c>
      <c r="K2238">
        <f>VLOOKUP(B2238, Products!$A$2:$F$100, 4, FALSE)</f>
        <v>6</v>
      </c>
    </row>
    <row r="2239" spans="1:11" x14ac:dyDescent="0.3">
      <c r="A2239">
        <v>792</v>
      </c>
      <c r="B2239">
        <v>1</v>
      </c>
      <c r="C2239">
        <v>16</v>
      </c>
      <c r="D2239" t="str">
        <f>VLOOKUP(B2239, Products!$A$2:$C$100, 2, FALSE)</f>
        <v>Trek 820 - 2016</v>
      </c>
      <c r="E2239">
        <v>2</v>
      </c>
      <c r="F2239">
        <v>599.99</v>
      </c>
      <c r="G2239">
        <v>0.2</v>
      </c>
      <c r="H2239">
        <v>119.998</v>
      </c>
      <c r="I2239">
        <f>order_items[[#This Row],[list_price]]-order_items[[#This Row],[Discounted_price]]</f>
        <v>479.99200000000002</v>
      </c>
      <c r="J2239">
        <f>VLOOKUP(B2239, Products!$A$2:$E$100, 3, FALSE)</f>
        <v>9</v>
      </c>
      <c r="K2239">
        <f>VLOOKUP(B2239, Products!$A$2:$F$100, 4, FALSE)</f>
        <v>6</v>
      </c>
    </row>
    <row r="2240" spans="1:11" x14ac:dyDescent="0.3">
      <c r="A2240">
        <v>792</v>
      </c>
      <c r="B2240">
        <v>2</v>
      </c>
      <c r="C2240">
        <v>39</v>
      </c>
      <c r="D2240" t="str">
        <f>VLOOKUP(B2240, Products!$A$2:$C$100, 2, FALSE)</f>
        <v>Ritchey Timberwolf Frameset - 2016</v>
      </c>
      <c r="E2240">
        <v>1</v>
      </c>
      <c r="F2240">
        <v>1499.99</v>
      </c>
      <c r="G2240">
        <v>0.2</v>
      </c>
      <c r="H2240">
        <v>299.99799999999999</v>
      </c>
      <c r="I2240">
        <f>order_items[[#This Row],[list_price]]-order_items[[#This Row],[Discounted_price]]</f>
        <v>1199.992</v>
      </c>
      <c r="J2240">
        <f>VLOOKUP(B2240, Products!$A$2:$E$100, 3, FALSE)</f>
        <v>5</v>
      </c>
      <c r="K2240">
        <f>VLOOKUP(B2240, Products!$A$2:$F$100, 4, FALSE)</f>
        <v>6</v>
      </c>
    </row>
    <row r="2241" spans="1:11" x14ac:dyDescent="0.3">
      <c r="A2241">
        <v>792</v>
      </c>
      <c r="B2241">
        <v>3</v>
      </c>
      <c r="C2241">
        <v>56</v>
      </c>
      <c r="D2241" t="str">
        <f>VLOOKUP(B2241, Products!$A$2:$C$100, 2, FALSE)</f>
        <v>Surly Wednesday Frameset - 2016</v>
      </c>
      <c r="E2241">
        <v>1</v>
      </c>
      <c r="F2241">
        <v>5499.99</v>
      </c>
      <c r="G2241">
        <v>0.2</v>
      </c>
      <c r="H2241">
        <v>1099.998</v>
      </c>
      <c r="I2241">
        <f>order_items[[#This Row],[list_price]]-order_items[[#This Row],[Discounted_price]]</f>
        <v>4399.9920000000002</v>
      </c>
      <c r="J2241">
        <f>VLOOKUP(B2241, Products!$A$2:$E$100, 3, FALSE)</f>
        <v>8</v>
      </c>
      <c r="K2241">
        <f>VLOOKUP(B2241, Products!$A$2:$F$100, 4, FALSE)</f>
        <v>6</v>
      </c>
    </row>
    <row r="2242" spans="1:11" x14ac:dyDescent="0.3">
      <c r="A2242">
        <v>792</v>
      </c>
      <c r="B2242">
        <v>4</v>
      </c>
      <c r="C2242">
        <v>30</v>
      </c>
      <c r="D2242" t="str">
        <f>VLOOKUP(B2242, Products!$A$2:$C$100, 2, FALSE)</f>
        <v>Trek Fuel EX 8 29 - 2016</v>
      </c>
      <c r="E2242">
        <v>1</v>
      </c>
      <c r="F2242">
        <v>999.99</v>
      </c>
      <c r="G2242">
        <v>0.05</v>
      </c>
      <c r="H2242">
        <v>49.999500000000005</v>
      </c>
      <c r="I2242">
        <f>order_items[[#This Row],[list_price]]-order_items[[#This Row],[Discounted_price]]</f>
        <v>949.9905</v>
      </c>
      <c r="J2242">
        <f>VLOOKUP(B2242, Products!$A$2:$E$100, 3, FALSE)</f>
        <v>9</v>
      </c>
      <c r="K2242">
        <f>VLOOKUP(B2242, Products!$A$2:$F$100, 4, FALSE)</f>
        <v>6</v>
      </c>
    </row>
    <row r="2243" spans="1:11" x14ac:dyDescent="0.3">
      <c r="A2243">
        <v>792</v>
      </c>
      <c r="B2243">
        <v>5</v>
      </c>
      <c r="C2243">
        <v>2</v>
      </c>
      <c r="D2243" t="str">
        <f>VLOOKUP(B2243, Products!$A$2:$C$100, 2, FALSE)</f>
        <v>Heller Shagamaw Frame - 2016</v>
      </c>
      <c r="E2243">
        <v>1</v>
      </c>
      <c r="F2243">
        <v>749.99</v>
      </c>
      <c r="G2243">
        <v>0.2</v>
      </c>
      <c r="H2243">
        <v>149.99800000000002</v>
      </c>
      <c r="I2243">
        <f>order_items[[#This Row],[list_price]]-order_items[[#This Row],[Discounted_price]]</f>
        <v>599.99199999999996</v>
      </c>
      <c r="J2243">
        <f>VLOOKUP(B2243, Products!$A$2:$E$100, 3, FALSE)</f>
        <v>3</v>
      </c>
      <c r="K2243">
        <f>VLOOKUP(B2243, Products!$A$2:$F$100, 4, FALSE)</f>
        <v>6</v>
      </c>
    </row>
    <row r="2244" spans="1:11" x14ac:dyDescent="0.3">
      <c r="A2244">
        <v>793</v>
      </c>
      <c r="B2244">
        <v>1</v>
      </c>
      <c r="C2244">
        <v>60</v>
      </c>
      <c r="D2244" t="str">
        <f>VLOOKUP(B2244, Products!$A$2:$C$100, 2, FALSE)</f>
        <v>Trek 820 - 2016</v>
      </c>
      <c r="E2244">
        <v>1</v>
      </c>
      <c r="F2244">
        <v>1559.99</v>
      </c>
      <c r="G2244">
        <v>0.05</v>
      </c>
      <c r="H2244">
        <v>77.999500000000012</v>
      </c>
      <c r="I2244">
        <f>order_items[[#This Row],[list_price]]-order_items[[#This Row],[Discounted_price]]</f>
        <v>1481.9904999999999</v>
      </c>
      <c r="J2244">
        <f>VLOOKUP(B2244, Products!$A$2:$E$100, 3, FALSE)</f>
        <v>9</v>
      </c>
      <c r="K2244">
        <f>VLOOKUP(B2244, Products!$A$2:$F$100, 4, FALSE)</f>
        <v>6</v>
      </c>
    </row>
    <row r="2245" spans="1:11" x14ac:dyDescent="0.3">
      <c r="A2245">
        <v>793</v>
      </c>
      <c r="B2245">
        <v>2</v>
      </c>
      <c r="C2245">
        <v>95</v>
      </c>
      <c r="D2245" t="str">
        <f>VLOOKUP(B2245, Products!$A$2:$C$100, 2, FALSE)</f>
        <v>Ritchey Timberwolf Frameset - 2016</v>
      </c>
      <c r="E2245">
        <v>2</v>
      </c>
      <c r="F2245">
        <v>299.99</v>
      </c>
      <c r="G2245">
        <v>0.05</v>
      </c>
      <c r="H2245">
        <v>14.999500000000001</v>
      </c>
      <c r="I2245">
        <f>order_items[[#This Row],[list_price]]-order_items[[#This Row],[Discounted_price]]</f>
        <v>284.9905</v>
      </c>
      <c r="J2245">
        <f>VLOOKUP(B2245, Products!$A$2:$E$100, 3, FALSE)</f>
        <v>5</v>
      </c>
      <c r="K2245">
        <f>VLOOKUP(B2245, Products!$A$2:$F$100, 4, FALSE)</f>
        <v>6</v>
      </c>
    </row>
    <row r="2246" spans="1:11" x14ac:dyDescent="0.3">
      <c r="A2246">
        <v>793</v>
      </c>
      <c r="B2246">
        <v>3</v>
      </c>
      <c r="C2246">
        <v>75</v>
      </c>
      <c r="D2246" t="str">
        <f>VLOOKUP(B2246, Products!$A$2:$C$100, 2, FALSE)</f>
        <v>Surly Wednesday Frameset - 2016</v>
      </c>
      <c r="E2246">
        <v>2</v>
      </c>
      <c r="F2246">
        <v>599.99</v>
      </c>
      <c r="G2246">
        <v>0.05</v>
      </c>
      <c r="H2246">
        <v>29.999500000000001</v>
      </c>
      <c r="I2246">
        <f>order_items[[#This Row],[list_price]]-order_items[[#This Row],[Discounted_price]]</f>
        <v>569.9905</v>
      </c>
      <c r="J2246">
        <f>VLOOKUP(B2246, Products!$A$2:$E$100, 3, FALSE)</f>
        <v>8</v>
      </c>
      <c r="K2246">
        <f>VLOOKUP(B2246, Products!$A$2:$F$100, 4, FALSE)</f>
        <v>6</v>
      </c>
    </row>
    <row r="2247" spans="1:11" x14ac:dyDescent="0.3">
      <c r="A2247">
        <v>794</v>
      </c>
      <c r="B2247">
        <v>1</v>
      </c>
      <c r="C2247">
        <v>41</v>
      </c>
      <c r="D2247" t="str">
        <f>VLOOKUP(B2247, Products!$A$2:$C$100, 2, FALSE)</f>
        <v>Trek 820 - 2016</v>
      </c>
      <c r="E2247">
        <v>2</v>
      </c>
      <c r="F2247">
        <v>1469.99</v>
      </c>
      <c r="G2247">
        <v>0.05</v>
      </c>
      <c r="H2247">
        <v>73.499499999999998</v>
      </c>
      <c r="I2247">
        <f>order_items[[#This Row],[list_price]]-order_items[[#This Row],[Discounted_price]]</f>
        <v>1396.4905000000001</v>
      </c>
      <c r="J2247">
        <f>VLOOKUP(B2247, Products!$A$2:$E$100, 3, FALSE)</f>
        <v>9</v>
      </c>
      <c r="K2247">
        <f>VLOOKUP(B2247, Products!$A$2:$F$100, 4, FALSE)</f>
        <v>6</v>
      </c>
    </row>
    <row r="2248" spans="1:11" x14ac:dyDescent="0.3">
      <c r="A2248">
        <v>794</v>
      </c>
      <c r="B2248">
        <v>2</v>
      </c>
      <c r="C2248">
        <v>68</v>
      </c>
      <c r="D2248" t="str">
        <f>VLOOKUP(B2248, Products!$A$2:$C$100, 2, FALSE)</f>
        <v>Ritchey Timberwolf Frameset - 2016</v>
      </c>
      <c r="E2248">
        <v>1</v>
      </c>
      <c r="F2248">
        <v>449.99</v>
      </c>
      <c r="G2248">
        <v>0.2</v>
      </c>
      <c r="H2248">
        <v>89.998000000000005</v>
      </c>
      <c r="I2248">
        <f>order_items[[#This Row],[list_price]]-order_items[[#This Row],[Discounted_price]]</f>
        <v>359.99200000000002</v>
      </c>
      <c r="J2248">
        <f>VLOOKUP(B2248, Products!$A$2:$E$100, 3, FALSE)</f>
        <v>5</v>
      </c>
      <c r="K2248">
        <f>VLOOKUP(B2248, Products!$A$2:$F$100, 4, FALSE)</f>
        <v>6</v>
      </c>
    </row>
    <row r="2249" spans="1:11" x14ac:dyDescent="0.3">
      <c r="A2249">
        <v>794</v>
      </c>
      <c r="B2249">
        <v>3</v>
      </c>
      <c r="C2249">
        <v>17</v>
      </c>
      <c r="D2249" t="str">
        <f>VLOOKUP(B2249, Products!$A$2:$C$100, 2, FALSE)</f>
        <v>Surly Wednesday Frameset - 2016</v>
      </c>
      <c r="E2249">
        <v>1</v>
      </c>
      <c r="F2249">
        <v>429</v>
      </c>
      <c r="G2249">
        <v>7.0000000000000007E-2</v>
      </c>
      <c r="H2249">
        <v>30.03</v>
      </c>
      <c r="I2249">
        <f>order_items[[#This Row],[list_price]]-order_items[[#This Row],[Discounted_price]]</f>
        <v>398.97</v>
      </c>
      <c r="J2249">
        <f>VLOOKUP(B2249, Products!$A$2:$E$100, 3, FALSE)</f>
        <v>8</v>
      </c>
      <c r="K2249">
        <f>VLOOKUP(B2249, Products!$A$2:$F$100, 4, FALSE)</f>
        <v>6</v>
      </c>
    </row>
    <row r="2250" spans="1:11" x14ac:dyDescent="0.3">
      <c r="A2250">
        <v>794</v>
      </c>
      <c r="B2250">
        <v>4</v>
      </c>
      <c r="C2250">
        <v>28</v>
      </c>
      <c r="D2250" t="str">
        <f>VLOOKUP(B2250, Products!$A$2:$C$100, 2, FALSE)</f>
        <v>Trek Fuel EX 8 29 - 2016</v>
      </c>
      <c r="E2250">
        <v>1</v>
      </c>
      <c r="F2250">
        <v>2499.9899999999998</v>
      </c>
      <c r="G2250">
        <v>0.1</v>
      </c>
      <c r="H2250">
        <v>249.999</v>
      </c>
      <c r="I2250">
        <f>order_items[[#This Row],[list_price]]-order_items[[#This Row],[Discounted_price]]</f>
        <v>2249.991</v>
      </c>
      <c r="J2250">
        <f>VLOOKUP(B2250, Products!$A$2:$E$100, 3, FALSE)</f>
        <v>9</v>
      </c>
      <c r="K2250">
        <f>VLOOKUP(B2250, Products!$A$2:$F$100, 4, FALSE)</f>
        <v>6</v>
      </c>
    </row>
    <row r="2251" spans="1:11" x14ac:dyDescent="0.3">
      <c r="A2251">
        <v>795</v>
      </c>
      <c r="B2251">
        <v>1</v>
      </c>
      <c r="C2251">
        <v>95</v>
      </c>
      <c r="D2251" t="str">
        <f>VLOOKUP(B2251, Products!$A$2:$C$100, 2, FALSE)</f>
        <v>Trek 820 - 2016</v>
      </c>
      <c r="E2251">
        <v>2</v>
      </c>
      <c r="F2251">
        <v>299.99</v>
      </c>
      <c r="G2251">
        <v>0.05</v>
      </c>
      <c r="H2251">
        <v>14.999500000000001</v>
      </c>
      <c r="I2251">
        <f>order_items[[#This Row],[list_price]]-order_items[[#This Row],[Discounted_price]]</f>
        <v>284.9905</v>
      </c>
      <c r="J2251">
        <f>VLOOKUP(B2251, Products!$A$2:$E$100, 3, FALSE)</f>
        <v>9</v>
      </c>
      <c r="K2251">
        <f>VLOOKUP(B2251, Products!$A$2:$F$100, 4, FALSE)</f>
        <v>6</v>
      </c>
    </row>
    <row r="2252" spans="1:11" x14ac:dyDescent="0.3">
      <c r="A2252">
        <v>795</v>
      </c>
      <c r="B2252">
        <v>2</v>
      </c>
      <c r="C2252">
        <v>99</v>
      </c>
      <c r="D2252" t="str">
        <f>VLOOKUP(B2252, Products!$A$2:$C$100, 2, FALSE)</f>
        <v>Ritchey Timberwolf Frameset - 2016</v>
      </c>
      <c r="E2252">
        <v>2</v>
      </c>
      <c r="F2252">
        <v>299.99</v>
      </c>
      <c r="G2252">
        <v>0.05</v>
      </c>
      <c r="H2252">
        <v>14.999500000000001</v>
      </c>
      <c r="I2252">
        <f>order_items[[#This Row],[list_price]]-order_items[[#This Row],[Discounted_price]]</f>
        <v>284.9905</v>
      </c>
      <c r="J2252">
        <f>VLOOKUP(B2252, Products!$A$2:$E$100, 3, FALSE)</f>
        <v>5</v>
      </c>
      <c r="K2252">
        <f>VLOOKUP(B2252, Products!$A$2:$F$100, 4, FALSE)</f>
        <v>6</v>
      </c>
    </row>
    <row r="2253" spans="1:11" x14ac:dyDescent="0.3">
      <c r="A2253">
        <v>796</v>
      </c>
      <c r="B2253">
        <v>1</v>
      </c>
      <c r="C2253">
        <v>6</v>
      </c>
      <c r="D2253" t="str">
        <f>VLOOKUP(B2253, Products!$A$2:$C$100, 2, FALSE)</f>
        <v>Trek 820 - 2016</v>
      </c>
      <c r="E2253">
        <v>2</v>
      </c>
      <c r="F2253">
        <v>469.99</v>
      </c>
      <c r="G2253">
        <v>0.2</v>
      </c>
      <c r="H2253">
        <v>93.998000000000005</v>
      </c>
      <c r="I2253">
        <f>order_items[[#This Row],[list_price]]-order_items[[#This Row],[Discounted_price]]</f>
        <v>375.99200000000002</v>
      </c>
      <c r="J2253">
        <f>VLOOKUP(B2253, Products!$A$2:$E$100, 3, FALSE)</f>
        <v>9</v>
      </c>
      <c r="K2253">
        <f>VLOOKUP(B2253, Products!$A$2:$F$100, 4, FALSE)</f>
        <v>6</v>
      </c>
    </row>
    <row r="2254" spans="1:11" x14ac:dyDescent="0.3">
      <c r="A2254">
        <v>797</v>
      </c>
      <c r="B2254">
        <v>1</v>
      </c>
      <c r="C2254">
        <v>11</v>
      </c>
      <c r="D2254" t="str">
        <f>VLOOKUP(B2254, Products!$A$2:$C$100, 2, FALSE)</f>
        <v>Trek 820 - 2016</v>
      </c>
      <c r="E2254">
        <v>1</v>
      </c>
      <c r="F2254">
        <v>1680.99</v>
      </c>
      <c r="G2254">
        <v>7.0000000000000007E-2</v>
      </c>
      <c r="H2254">
        <v>117.66930000000001</v>
      </c>
      <c r="I2254">
        <f>order_items[[#This Row],[list_price]]-order_items[[#This Row],[Discounted_price]]</f>
        <v>1563.3207</v>
      </c>
      <c r="J2254">
        <f>VLOOKUP(B2254, Products!$A$2:$E$100, 3, FALSE)</f>
        <v>9</v>
      </c>
      <c r="K2254">
        <f>VLOOKUP(B2254, Products!$A$2:$F$100, 4, FALSE)</f>
        <v>6</v>
      </c>
    </row>
    <row r="2255" spans="1:11" x14ac:dyDescent="0.3">
      <c r="A2255">
        <v>797</v>
      </c>
      <c r="B2255">
        <v>2</v>
      </c>
      <c r="C2255">
        <v>69</v>
      </c>
      <c r="D2255" t="str">
        <f>VLOOKUP(B2255, Products!$A$2:$C$100, 2, FALSE)</f>
        <v>Ritchey Timberwolf Frameset - 2016</v>
      </c>
      <c r="E2255">
        <v>1</v>
      </c>
      <c r="F2255">
        <v>416.99</v>
      </c>
      <c r="G2255">
        <v>0.05</v>
      </c>
      <c r="H2255">
        <v>20.849500000000003</v>
      </c>
      <c r="I2255">
        <f>order_items[[#This Row],[list_price]]-order_items[[#This Row],[Discounted_price]]</f>
        <v>396.14050000000003</v>
      </c>
      <c r="J2255">
        <f>VLOOKUP(B2255, Products!$A$2:$E$100, 3, FALSE)</f>
        <v>5</v>
      </c>
      <c r="K2255">
        <f>VLOOKUP(B2255, Products!$A$2:$F$100, 4, FALSE)</f>
        <v>6</v>
      </c>
    </row>
    <row r="2256" spans="1:11" x14ac:dyDescent="0.3">
      <c r="A2256">
        <v>797</v>
      </c>
      <c r="B2256">
        <v>3</v>
      </c>
      <c r="C2256">
        <v>74</v>
      </c>
      <c r="D2256" t="str">
        <f>VLOOKUP(B2256, Products!$A$2:$C$100, 2, FALSE)</f>
        <v>Surly Wednesday Frameset - 2016</v>
      </c>
      <c r="E2256">
        <v>1</v>
      </c>
      <c r="F2256">
        <v>439.99</v>
      </c>
      <c r="G2256">
        <v>0.1</v>
      </c>
      <c r="H2256">
        <v>43.999000000000002</v>
      </c>
      <c r="I2256">
        <f>order_items[[#This Row],[list_price]]-order_items[[#This Row],[Discounted_price]]</f>
        <v>395.99099999999999</v>
      </c>
      <c r="J2256">
        <f>VLOOKUP(B2256, Products!$A$2:$E$100, 3, FALSE)</f>
        <v>8</v>
      </c>
      <c r="K2256">
        <f>VLOOKUP(B2256, Products!$A$2:$F$100, 4, FALSE)</f>
        <v>6</v>
      </c>
    </row>
    <row r="2257" spans="1:11" x14ac:dyDescent="0.3">
      <c r="A2257">
        <v>797</v>
      </c>
      <c r="B2257">
        <v>4</v>
      </c>
      <c r="C2257">
        <v>54</v>
      </c>
      <c r="D2257" t="str">
        <f>VLOOKUP(B2257, Products!$A$2:$C$100, 2, FALSE)</f>
        <v>Trek Fuel EX 8 29 - 2016</v>
      </c>
      <c r="E2257">
        <v>2</v>
      </c>
      <c r="F2257">
        <v>3199.99</v>
      </c>
      <c r="G2257">
        <v>0.05</v>
      </c>
      <c r="H2257">
        <v>159.99950000000001</v>
      </c>
      <c r="I2257">
        <f>order_items[[#This Row],[list_price]]-order_items[[#This Row],[Discounted_price]]</f>
        <v>3039.9904999999999</v>
      </c>
      <c r="J2257">
        <f>VLOOKUP(B2257, Products!$A$2:$E$100, 3, FALSE)</f>
        <v>9</v>
      </c>
      <c r="K2257">
        <f>VLOOKUP(B2257, Products!$A$2:$F$100, 4, FALSE)</f>
        <v>6</v>
      </c>
    </row>
    <row r="2258" spans="1:11" x14ac:dyDescent="0.3">
      <c r="A2258">
        <v>797</v>
      </c>
      <c r="B2258">
        <v>5</v>
      </c>
      <c r="C2258">
        <v>62</v>
      </c>
      <c r="D2258" t="str">
        <f>VLOOKUP(B2258, Products!$A$2:$C$100, 2, FALSE)</f>
        <v>Heller Shagamaw Frame - 2016</v>
      </c>
      <c r="E2258">
        <v>2</v>
      </c>
      <c r="F2258">
        <v>3499.99</v>
      </c>
      <c r="G2258">
        <v>0.1</v>
      </c>
      <c r="H2258">
        <v>349.99900000000002</v>
      </c>
      <c r="I2258">
        <f>order_items[[#This Row],[list_price]]-order_items[[#This Row],[Discounted_price]]</f>
        <v>3149.991</v>
      </c>
      <c r="J2258">
        <f>VLOOKUP(B2258, Products!$A$2:$E$100, 3, FALSE)</f>
        <v>3</v>
      </c>
      <c r="K2258">
        <f>VLOOKUP(B2258, Products!$A$2:$F$100, 4, FALSE)</f>
        <v>6</v>
      </c>
    </row>
    <row r="2259" spans="1:11" x14ac:dyDescent="0.3">
      <c r="A2259">
        <v>798</v>
      </c>
      <c r="B2259">
        <v>1</v>
      </c>
      <c r="C2259">
        <v>23</v>
      </c>
      <c r="D2259" t="str">
        <f>VLOOKUP(B2259, Products!$A$2:$C$100, 2, FALSE)</f>
        <v>Trek 820 - 2016</v>
      </c>
      <c r="E2259">
        <v>1</v>
      </c>
      <c r="F2259">
        <v>299.99</v>
      </c>
      <c r="G2259">
        <v>0.1</v>
      </c>
      <c r="H2259">
        <v>29.999000000000002</v>
      </c>
      <c r="I2259">
        <f>order_items[[#This Row],[list_price]]-order_items[[#This Row],[Discounted_price]]</f>
        <v>269.99099999999999</v>
      </c>
      <c r="J2259">
        <f>VLOOKUP(B2259, Products!$A$2:$E$100, 3, FALSE)</f>
        <v>9</v>
      </c>
      <c r="K2259">
        <f>VLOOKUP(B2259, Products!$A$2:$F$100, 4, FALSE)</f>
        <v>6</v>
      </c>
    </row>
    <row r="2260" spans="1:11" x14ac:dyDescent="0.3">
      <c r="A2260">
        <v>798</v>
      </c>
      <c r="B2260">
        <v>2</v>
      </c>
      <c r="C2260">
        <v>90</v>
      </c>
      <c r="D2260" t="str">
        <f>VLOOKUP(B2260, Products!$A$2:$C$100, 2, FALSE)</f>
        <v>Ritchey Timberwolf Frameset - 2016</v>
      </c>
      <c r="E2260">
        <v>1</v>
      </c>
      <c r="F2260">
        <v>209.99</v>
      </c>
      <c r="G2260">
        <v>0.05</v>
      </c>
      <c r="H2260">
        <v>10.499500000000001</v>
      </c>
      <c r="I2260">
        <f>order_items[[#This Row],[list_price]]-order_items[[#This Row],[Discounted_price]]</f>
        <v>199.4905</v>
      </c>
      <c r="J2260">
        <f>VLOOKUP(B2260, Products!$A$2:$E$100, 3, FALSE)</f>
        <v>5</v>
      </c>
      <c r="K2260">
        <f>VLOOKUP(B2260, Products!$A$2:$F$100, 4, FALSE)</f>
        <v>6</v>
      </c>
    </row>
    <row r="2261" spans="1:11" x14ac:dyDescent="0.3">
      <c r="A2261">
        <v>798</v>
      </c>
      <c r="B2261">
        <v>3</v>
      </c>
      <c r="C2261">
        <v>91</v>
      </c>
      <c r="D2261" t="str">
        <f>VLOOKUP(B2261, Products!$A$2:$C$100, 2, FALSE)</f>
        <v>Surly Wednesday Frameset - 2016</v>
      </c>
      <c r="E2261">
        <v>2</v>
      </c>
      <c r="F2261">
        <v>349.99</v>
      </c>
      <c r="G2261">
        <v>7.0000000000000007E-2</v>
      </c>
      <c r="H2261">
        <v>24.499300000000002</v>
      </c>
      <c r="I2261">
        <f>order_items[[#This Row],[list_price]]-order_items[[#This Row],[Discounted_price]]</f>
        <v>325.4907</v>
      </c>
      <c r="J2261">
        <f>VLOOKUP(B2261, Products!$A$2:$E$100, 3, FALSE)</f>
        <v>8</v>
      </c>
      <c r="K2261">
        <f>VLOOKUP(B2261, Products!$A$2:$F$100, 4, FALSE)</f>
        <v>6</v>
      </c>
    </row>
    <row r="2262" spans="1:11" x14ac:dyDescent="0.3">
      <c r="A2262">
        <v>798</v>
      </c>
      <c r="B2262">
        <v>4</v>
      </c>
      <c r="C2262">
        <v>42</v>
      </c>
      <c r="D2262" t="str">
        <f>VLOOKUP(B2262, Products!$A$2:$C$100, 2, FALSE)</f>
        <v>Trek Fuel EX 8 29 - 2016</v>
      </c>
      <c r="E2262">
        <v>1</v>
      </c>
      <c r="F2262">
        <v>2299.9899999999998</v>
      </c>
      <c r="G2262">
        <v>0.2</v>
      </c>
      <c r="H2262">
        <v>459.99799999999999</v>
      </c>
      <c r="I2262">
        <f>order_items[[#This Row],[list_price]]-order_items[[#This Row],[Discounted_price]]</f>
        <v>1839.9919999999997</v>
      </c>
      <c r="J2262">
        <f>VLOOKUP(B2262, Products!$A$2:$E$100, 3, FALSE)</f>
        <v>9</v>
      </c>
      <c r="K2262">
        <f>VLOOKUP(B2262, Products!$A$2:$F$100, 4, FALSE)</f>
        <v>6</v>
      </c>
    </row>
    <row r="2263" spans="1:11" x14ac:dyDescent="0.3">
      <c r="A2263">
        <v>798</v>
      </c>
      <c r="B2263">
        <v>5</v>
      </c>
      <c r="C2263">
        <v>26</v>
      </c>
      <c r="D2263" t="str">
        <f>VLOOKUP(B2263, Products!$A$2:$C$100, 2, FALSE)</f>
        <v>Heller Shagamaw Frame - 2016</v>
      </c>
      <c r="E2263">
        <v>2</v>
      </c>
      <c r="F2263">
        <v>599.99</v>
      </c>
      <c r="G2263">
        <v>0.05</v>
      </c>
      <c r="H2263">
        <v>29.999500000000001</v>
      </c>
      <c r="I2263">
        <f>order_items[[#This Row],[list_price]]-order_items[[#This Row],[Discounted_price]]</f>
        <v>569.9905</v>
      </c>
      <c r="J2263">
        <f>VLOOKUP(B2263, Products!$A$2:$E$100, 3, FALSE)</f>
        <v>3</v>
      </c>
      <c r="K2263">
        <f>VLOOKUP(B2263, Products!$A$2:$F$100, 4, FALSE)</f>
        <v>6</v>
      </c>
    </row>
    <row r="2264" spans="1:11" x14ac:dyDescent="0.3">
      <c r="A2264">
        <v>799</v>
      </c>
      <c r="B2264">
        <v>1</v>
      </c>
      <c r="C2264">
        <v>5</v>
      </c>
      <c r="D2264" t="str">
        <f>VLOOKUP(B2264, Products!$A$2:$C$100, 2, FALSE)</f>
        <v>Trek 820 - 2016</v>
      </c>
      <c r="E2264">
        <v>2</v>
      </c>
      <c r="F2264">
        <v>1320.99</v>
      </c>
      <c r="G2264">
        <v>0.1</v>
      </c>
      <c r="H2264">
        <v>132.09900000000002</v>
      </c>
      <c r="I2264">
        <f>order_items[[#This Row],[list_price]]-order_items[[#This Row],[Discounted_price]]</f>
        <v>1188.8910000000001</v>
      </c>
      <c r="J2264">
        <f>VLOOKUP(B2264, Products!$A$2:$E$100, 3, FALSE)</f>
        <v>9</v>
      </c>
      <c r="K2264">
        <f>VLOOKUP(B2264, Products!$A$2:$F$100, 4, FALSE)</f>
        <v>6</v>
      </c>
    </row>
    <row r="2265" spans="1:11" x14ac:dyDescent="0.3">
      <c r="A2265">
        <v>799</v>
      </c>
      <c r="B2265">
        <v>2</v>
      </c>
      <c r="C2265">
        <v>34</v>
      </c>
      <c r="D2265" t="str">
        <f>VLOOKUP(B2265, Products!$A$2:$C$100, 2, FALSE)</f>
        <v>Ritchey Timberwolf Frameset - 2016</v>
      </c>
      <c r="E2265">
        <v>2</v>
      </c>
      <c r="F2265">
        <v>469.99</v>
      </c>
      <c r="G2265">
        <v>0.05</v>
      </c>
      <c r="H2265">
        <v>23.499500000000001</v>
      </c>
      <c r="I2265">
        <f>order_items[[#This Row],[list_price]]-order_items[[#This Row],[Discounted_price]]</f>
        <v>446.4905</v>
      </c>
      <c r="J2265">
        <f>VLOOKUP(B2265, Products!$A$2:$E$100, 3, FALSE)</f>
        <v>5</v>
      </c>
      <c r="K2265">
        <f>VLOOKUP(B2265, Products!$A$2:$F$100, 4, FALSE)</f>
        <v>6</v>
      </c>
    </row>
    <row r="2266" spans="1:11" x14ac:dyDescent="0.3">
      <c r="A2266">
        <v>799</v>
      </c>
      <c r="B2266">
        <v>3</v>
      </c>
      <c r="C2266">
        <v>29</v>
      </c>
      <c r="D2266" t="str">
        <f>VLOOKUP(B2266, Products!$A$2:$C$100, 2, FALSE)</f>
        <v>Surly Wednesday Frameset - 2016</v>
      </c>
      <c r="E2266">
        <v>2</v>
      </c>
      <c r="F2266">
        <v>999.99</v>
      </c>
      <c r="G2266">
        <v>7.0000000000000007E-2</v>
      </c>
      <c r="H2266">
        <v>69.999300000000005</v>
      </c>
      <c r="I2266">
        <f>order_items[[#This Row],[list_price]]-order_items[[#This Row],[Discounted_price]]</f>
        <v>929.99070000000006</v>
      </c>
      <c r="J2266">
        <f>VLOOKUP(B2266, Products!$A$2:$E$100, 3, FALSE)</f>
        <v>8</v>
      </c>
      <c r="K2266">
        <f>VLOOKUP(B2266, Products!$A$2:$F$100, 4, FALSE)</f>
        <v>6</v>
      </c>
    </row>
    <row r="2267" spans="1:11" x14ac:dyDescent="0.3">
      <c r="A2267">
        <v>799</v>
      </c>
      <c r="B2267">
        <v>4</v>
      </c>
      <c r="C2267">
        <v>63</v>
      </c>
      <c r="D2267" t="str">
        <f>VLOOKUP(B2267, Products!$A$2:$C$100, 2, FALSE)</f>
        <v>Trek Fuel EX 8 29 - 2016</v>
      </c>
      <c r="E2267">
        <v>1</v>
      </c>
      <c r="F2267">
        <v>3499.99</v>
      </c>
      <c r="G2267">
        <v>0.1</v>
      </c>
      <c r="H2267">
        <v>349.99900000000002</v>
      </c>
      <c r="I2267">
        <f>order_items[[#This Row],[list_price]]-order_items[[#This Row],[Discounted_price]]</f>
        <v>3149.991</v>
      </c>
      <c r="J2267">
        <f>VLOOKUP(B2267, Products!$A$2:$E$100, 3, FALSE)</f>
        <v>9</v>
      </c>
      <c r="K2267">
        <f>VLOOKUP(B2267, Products!$A$2:$F$100, 4, FALSE)</f>
        <v>6</v>
      </c>
    </row>
    <row r="2268" spans="1:11" x14ac:dyDescent="0.3">
      <c r="A2268">
        <v>799</v>
      </c>
      <c r="B2268">
        <v>5</v>
      </c>
      <c r="C2268">
        <v>58</v>
      </c>
      <c r="D2268" t="str">
        <f>VLOOKUP(B2268, Products!$A$2:$C$100, 2, FALSE)</f>
        <v>Heller Shagamaw Frame - 2016</v>
      </c>
      <c r="E2268">
        <v>2</v>
      </c>
      <c r="F2268">
        <v>4999.99</v>
      </c>
      <c r="G2268">
        <v>7.0000000000000007E-2</v>
      </c>
      <c r="H2268">
        <v>349.99930000000001</v>
      </c>
      <c r="I2268">
        <f>order_items[[#This Row],[list_price]]-order_items[[#This Row],[Discounted_price]]</f>
        <v>4649.9906999999994</v>
      </c>
      <c r="J2268">
        <f>VLOOKUP(B2268, Products!$A$2:$E$100, 3, FALSE)</f>
        <v>3</v>
      </c>
      <c r="K2268">
        <f>VLOOKUP(B2268, Products!$A$2:$F$100, 4, FALSE)</f>
        <v>6</v>
      </c>
    </row>
    <row r="2269" spans="1:11" x14ac:dyDescent="0.3">
      <c r="A2269">
        <v>800</v>
      </c>
      <c r="B2269">
        <v>1</v>
      </c>
      <c r="C2269">
        <v>65</v>
      </c>
      <c r="D2269" t="str">
        <f>VLOOKUP(B2269, Products!$A$2:$C$100, 2, FALSE)</f>
        <v>Trek 820 - 2016</v>
      </c>
      <c r="E2269">
        <v>2</v>
      </c>
      <c r="F2269">
        <v>346.99</v>
      </c>
      <c r="G2269">
        <v>0.1</v>
      </c>
      <c r="H2269">
        <v>34.699000000000005</v>
      </c>
      <c r="I2269">
        <f>order_items[[#This Row],[list_price]]-order_items[[#This Row],[Discounted_price]]</f>
        <v>312.291</v>
      </c>
      <c r="J2269">
        <f>VLOOKUP(B2269, Products!$A$2:$E$100, 3, FALSE)</f>
        <v>9</v>
      </c>
      <c r="K2269">
        <f>VLOOKUP(B2269, Products!$A$2:$F$100, 4, FALSE)</f>
        <v>6</v>
      </c>
    </row>
    <row r="2270" spans="1:11" x14ac:dyDescent="0.3">
      <c r="A2270">
        <v>800</v>
      </c>
      <c r="B2270">
        <v>2</v>
      </c>
      <c r="C2270">
        <v>54</v>
      </c>
      <c r="D2270" t="str">
        <f>VLOOKUP(B2270, Products!$A$2:$C$100, 2, FALSE)</f>
        <v>Ritchey Timberwolf Frameset - 2016</v>
      </c>
      <c r="E2270">
        <v>1</v>
      </c>
      <c r="F2270">
        <v>3199.99</v>
      </c>
      <c r="G2270">
        <v>7.0000000000000007E-2</v>
      </c>
      <c r="H2270">
        <v>223.99930000000001</v>
      </c>
      <c r="I2270">
        <f>order_items[[#This Row],[list_price]]-order_items[[#This Row],[Discounted_price]]</f>
        <v>2975.9906999999998</v>
      </c>
      <c r="J2270">
        <f>VLOOKUP(B2270, Products!$A$2:$E$100, 3, FALSE)</f>
        <v>5</v>
      </c>
      <c r="K2270">
        <f>VLOOKUP(B2270, Products!$A$2:$F$100, 4, FALSE)</f>
        <v>6</v>
      </c>
    </row>
    <row r="2271" spans="1:11" x14ac:dyDescent="0.3">
      <c r="A2271">
        <v>800</v>
      </c>
      <c r="B2271">
        <v>3</v>
      </c>
      <c r="C2271">
        <v>6</v>
      </c>
      <c r="D2271" t="str">
        <f>VLOOKUP(B2271, Products!$A$2:$C$100, 2, FALSE)</f>
        <v>Surly Wednesday Frameset - 2016</v>
      </c>
      <c r="E2271">
        <v>2</v>
      </c>
      <c r="F2271">
        <v>469.99</v>
      </c>
      <c r="G2271">
        <v>0.05</v>
      </c>
      <c r="H2271">
        <v>23.499500000000001</v>
      </c>
      <c r="I2271">
        <f>order_items[[#This Row],[list_price]]-order_items[[#This Row],[Discounted_price]]</f>
        <v>446.4905</v>
      </c>
      <c r="J2271">
        <f>VLOOKUP(B2271, Products!$A$2:$E$100, 3, FALSE)</f>
        <v>8</v>
      </c>
      <c r="K2271">
        <f>VLOOKUP(B2271, Products!$A$2:$F$100, 4, FALSE)</f>
        <v>6</v>
      </c>
    </row>
    <row r="2272" spans="1:11" x14ac:dyDescent="0.3">
      <c r="A2272">
        <v>800</v>
      </c>
      <c r="B2272">
        <v>4</v>
      </c>
      <c r="C2272">
        <v>52</v>
      </c>
      <c r="D2272" t="str">
        <f>VLOOKUP(B2272, Products!$A$2:$C$100, 2, FALSE)</f>
        <v>Trek Fuel EX 8 29 - 2016</v>
      </c>
      <c r="E2272">
        <v>1</v>
      </c>
      <c r="F2272">
        <v>875.99</v>
      </c>
      <c r="G2272">
        <v>0.1</v>
      </c>
      <c r="H2272">
        <v>87.599000000000004</v>
      </c>
      <c r="I2272">
        <f>order_items[[#This Row],[list_price]]-order_items[[#This Row],[Discounted_price]]</f>
        <v>788.39099999999996</v>
      </c>
      <c r="J2272">
        <f>VLOOKUP(B2272, Products!$A$2:$E$100, 3, FALSE)</f>
        <v>9</v>
      </c>
      <c r="K2272">
        <f>VLOOKUP(B2272, Products!$A$2:$F$100, 4, FALSE)</f>
        <v>6</v>
      </c>
    </row>
    <row r="2273" spans="1:11" x14ac:dyDescent="0.3">
      <c r="A2273">
        <v>800</v>
      </c>
      <c r="B2273">
        <v>5</v>
      </c>
      <c r="C2273">
        <v>95</v>
      </c>
      <c r="D2273" t="str">
        <f>VLOOKUP(B2273, Products!$A$2:$C$100, 2, FALSE)</f>
        <v>Heller Shagamaw Frame - 2016</v>
      </c>
      <c r="E2273">
        <v>2</v>
      </c>
      <c r="F2273">
        <v>299.99</v>
      </c>
      <c r="G2273">
        <v>0.05</v>
      </c>
      <c r="H2273">
        <v>14.999500000000001</v>
      </c>
      <c r="I2273">
        <f>order_items[[#This Row],[list_price]]-order_items[[#This Row],[Discounted_price]]</f>
        <v>284.9905</v>
      </c>
      <c r="J2273">
        <f>VLOOKUP(B2273, Products!$A$2:$E$100, 3, FALSE)</f>
        <v>3</v>
      </c>
      <c r="K2273">
        <f>VLOOKUP(B2273, Products!$A$2:$F$100, 4, FALSE)</f>
        <v>6</v>
      </c>
    </row>
    <row r="2274" spans="1:11" x14ac:dyDescent="0.3">
      <c r="A2274">
        <v>801</v>
      </c>
      <c r="B2274">
        <v>1</v>
      </c>
      <c r="C2274">
        <v>101</v>
      </c>
      <c r="D2274" t="str">
        <f>VLOOKUP(B2274, Products!$A$2:$C$100, 2, FALSE)</f>
        <v>Trek 820 - 2016</v>
      </c>
      <c r="E2274">
        <v>1</v>
      </c>
      <c r="F2274">
        <v>339.99</v>
      </c>
      <c r="G2274">
        <v>7.0000000000000007E-2</v>
      </c>
      <c r="H2274">
        <v>23.799300000000002</v>
      </c>
      <c r="I2274">
        <f>order_items[[#This Row],[list_price]]-order_items[[#This Row],[Discounted_price]]</f>
        <v>316.19069999999999</v>
      </c>
      <c r="J2274">
        <f>VLOOKUP(B2274, Products!$A$2:$E$100, 3, FALSE)</f>
        <v>9</v>
      </c>
      <c r="K2274">
        <f>VLOOKUP(B2274, Products!$A$2:$F$100, 4, FALSE)</f>
        <v>6</v>
      </c>
    </row>
    <row r="2275" spans="1:11" x14ac:dyDescent="0.3">
      <c r="A2275">
        <v>802</v>
      </c>
      <c r="B2275">
        <v>1</v>
      </c>
      <c r="C2275">
        <v>30</v>
      </c>
      <c r="D2275" t="str">
        <f>VLOOKUP(B2275, Products!$A$2:$C$100, 2, FALSE)</f>
        <v>Trek 820 - 2016</v>
      </c>
      <c r="E2275">
        <v>1</v>
      </c>
      <c r="F2275">
        <v>999.99</v>
      </c>
      <c r="G2275">
        <v>0.05</v>
      </c>
      <c r="H2275">
        <v>49.999500000000005</v>
      </c>
      <c r="I2275">
        <f>order_items[[#This Row],[list_price]]-order_items[[#This Row],[Discounted_price]]</f>
        <v>949.9905</v>
      </c>
      <c r="J2275">
        <f>VLOOKUP(B2275, Products!$A$2:$E$100, 3, FALSE)</f>
        <v>9</v>
      </c>
      <c r="K2275">
        <f>VLOOKUP(B2275, Products!$A$2:$F$100, 4, FALSE)</f>
        <v>6</v>
      </c>
    </row>
    <row r="2276" spans="1:11" x14ac:dyDescent="0.3">
      <c r="A2276">
        <v>802</v>
      </c>
      <c r="B2276">
        <v>2</v>
      </c>
      <c r="C2276">
        <v>36</v>
      </c>
      <c r="D2276" t="str">
        <f>VLOOKUP(B2276, Products!$A$2:$C$100, 2, FALSE)</f>
        <v>Ritchey Timberwolf Frameset - 2016</v>
      </c>
      <c r="E2276">
        <v>2</v>
      </c>
      <c r="F2276">
        <v>832.99</v>
      </c>
      <c r="G2276">
        <v>0.2</v>
      </c>
      <c r="H2276">
        <v>166.59800000000001</v>
      </c>
      <c r="I2276">
        <f>order_items[[#This Row],[list_price]]-order_items[[#This Row],[Discounted_price]]</f>
        <v>666.39200000000005</v>
      </c>
      <c r="J2276">
        <f>VLOOKUP(B2276, Products!$A$2:$E$100, 3, FALSE)</f>
        <v>5</v>
      </c>
      <c r="K2276">
        <f>VLOOKUP(B2276, Products!$A$2:$F$100, 4, FALSE)</f>
        <v>6</v>
      </c>
    </row>
    <row r="2277" spans="1:11" x14ac:dyDescent="0.3">
      <c r="A2277">
        <v>802</v>
      </c>
      <c r="B2277">
        <v>3</v>
      </c>
      <c r="C2277">
        <v>40</v>
      </c>
      <c r="D2277" t="str">
        <f>VLOOKUP(B2277, Products!$A$2:$C$100, 2, FALSE)</f>
        <v>Surly Wednesday Frameset - 2016</v>
      </c>
      <c r="E2277">
        <v>1</v>
      </c>
      <c r="F2277">
        <v>4999.99</v>
      </c>
      <c r="G2277">
        <v>0.1</v>
      </c>
      <c r="H2277">
        <v>499.99900000000002</v>
      </c>
      <c r="I2277">
        <f>order_items[[#This Row],[list_price]]-order_items[[#This Row],[Discounted_price]]</f>
        <v>4499.991</v>
      </c>
      <c r="J2277">
        <f>VLOOKUP(B2277, Products!$A$2:$E$100, 3, FALSE)</f>
        <v>8</v>
      </c>
      <c r="K2277">
        <f>VLOOKUP(B2277, Products!$A$2:$F$100, 4, FALSE)</f>
        <v>6</v>
      </c>
    </row>
    <row r="2278" spans="1:11" x14ac:dyDescent="0.3">
      <c r="A2278">
        <v>802</v>
      </c>
      <c r="B2278">
        <v>4</v>
      </c>
      <c r="C2278">
        <v>28</v>
      </c>
      <c r="D2278" t="str">
        <f>VLOOKUP(B2278, Products!$A$2:$C$100, 2, FALSE)</f>
        <v>Trek Fuel EX 8 29 - 2016</v>
      </c>
      <c r="E2278">
        <v>1</v>
      </c>
      <c r="F2278">
        <v>2499.9899999999998</v>
      </c>
      <c r="G2278">
        <v>0.05</v>
      </c>
      <c r="H2278">
        <v>124.9995</v>
      </c>
      <c r="I2278">
        <f>order_items[[#This Row],[list_price]]-order_items[[#This Row],[Discounted_price]]</f>
        <v>2374.9904999999999</v>
      </c>
      <c r="J2278">
        <f>VLOOKUP(B2278, Products!$A$2:$E$100, 3, FALSE)</f>
        <v>9</v>
      </c>
      <c r="K2278">
        <f>VLOOKUP(B2278, Products!$A$2:$F$100, 4, FALSE)</f>
        <v>6</v>
      </c>
    </row>
    <row r="2279" spans="1:11" x14ac:dyDescent="0.3">
      <c r="A2279">
        <v>803</v>
      </c>
      <c r="B2279">
        <v>1</v>
      </c>
      <c r="C2279">
        <v>111</v>
      </c>
      <c r="D2279" t="str">
        <f>VLOOKUP(B2279, Products!$A$2:$C$100, 2, FALSE)</f>
        <v>Trek 820 - 2016</v>
      </c>
      <c r="E2279">
        <v>1</v>
      </c>
      <c r="F2279">
        <v>470.99</v>
      </c>
      <c r="G2279">
        <v>7.0000000000000007E-2</v>
      </c>
      <c r="H2279">
        <v>32.969300000000004</v>
      </c>
      <c r="I2279">
        <f>order_items[[#This Row],[list_price]]-order_items[[#This Row],[Discounted_price]]</f>
        <v>438.02070000000003</v>
      </c>
      <c r="J2279">
        <f>VLOOKUP(B2279, Products!$A$2:$E$100, 3, FALSE)</f>
        <v>9</v>
      </c>
      <c r="K2279">
        <f>VLOOKUP(B2279, Products!$A$2:$F$100, 4, FALSE)</f>
        <v>6</v>
      </c>
    </row>
    <row r="2280" spans="1:11" x14ac:dyDescent="0.3">
      <c r="A2280">
        <v>803</v>
      </c>
      <c r="B2280">
        <v>2</v>
      </c>
      <c r="C2280">
        <v>52</v>
      </c>
      <c r="D2280" t="str">
        <f>VLOOKUP(B2280, Products!$A$2:$C$100, 2, FALSE)</f>
        <v>Ritchey Timberwolf Frameset - 2016</v>
      </c>
      <c r="E2280">
        <v>2</v>
      </c>
      <c r="F2280">
        <v>875.99</v>
      </c>
      <c r="G2280">
        <v>0.05</v>
      </c>
      <c r="H2280">
        <v>43.799500000000002</v>
      </c>
      <c r="I2280">
        <f>order_items[[#This Row],[list_price]]-order_items[[#This Row],[Discounted_price]]</f>
        <v>832.19050000000004</v>
      </c>
      <c r="J2280">
        <f>VLOOKUP(B2280, Products!$A$2:$E$100, 3, FALSE)</f>
        <v>5</v>
      </c>
      <c r="K2280">
        <f>VLOOKUP(B2280, Products!$A$2:$F$100, 4, FALSE)</f>
        <v>6</v>
      </c>
    </row>
    <row r="2281" spans="1:11" x14ac:dyDescent="0.3">
      <c r="A2281">
        <v>803</v>
      </c>
      <c r="B2281">
        <v>3</v>
      </c>
      <c r="C2281">
        <v>102</v>
      </c>
      <c r="D2281" t="str">
        <f>VLOOKUP(B2281, Products!$A$2:$C$100, 2, FALSE)</f>
        <v>Surly Wednesday Frameset - 2016</v>
      </c>
      <c r="E2281">
        <v>1</v>
      </c>
      <c r="F2281">
        <v>489.99</v>
      </c>
      <c r="G2281">
        <v>7.0000000000000007E-2</v>
      </c>
      <c r="H2281">
        <v>34.299300000000002</v>
      </c>
      <c r="I2281">
        <f>order_items[[#This Row],[list_price]]-order_items[[#This Row],[Discounted_price]]</f>
        <v>455.69069999999999</v>
      </c>
      <c r="J2281">
        <f>VLOOKUP(B2281, Products!$A$2:$E$100, 3, FALSE)</f>
        <v>8</v>
      </c>
      <c r="K2281">
        <f>VLOOKUP(B2281, Products!$A$2:$F$100, 4, FALSE)</f>
        <v>6</v>
      </c>
    </row>
    <row r="2282" spans="1:11" x14ac:dyDescent="0.3">
      <c r="A2282">
        <v>803</v>
      </c>
      <c r="B2282">
        <v>4</v>
      </c>
      <c r="C2282">
        <v>83</v>
      </c>
      <c r="D2282" t="str">
        <f>VLOOKUP(B2282, Products!$A$2:$C$100, 2, FALSE)</f>
        <v>Trek Fuel EX 8 29 - 2016</v>
      </c>
      <c r="E2282">
        <v>2</v>
      </c>
      <c r="F2282">
        <v>149.99</v>
      </c>
      <c r="G2282">
        <v>0.05</v>
      </c>
      <c r="H2282">
        <v>7.4995000000000012</v>
      </c>
      <c r="I2282">
        <f>order_items[[#This Row],[list_price]]-order_items[[#This Row],[Discounted_price]]</f>
        <v>142.4905</v>
      </c>
      <c r="J2282">
        <f>VLOOKUP(B2282, Products!$A$2:$E$100, 3, FALSE)</f>
        <v>9</v>
      </c>
      <c r="K2282">
        <f>VLOOKUP(B2282, Products!$A$2:$F$100, 4, FALSE)</f>
        <v>6</v>
      </c>
    </row>
    <row r="2283" spans="1:11" x14ac:dyDescent="0.3">
      <c r="A2283">
        <v>804</v>
      </c>
      <c r="B2283">
        <v>1</v>
      </c>
      <c r="C2283">
        <v>89</v>
      </c>
      <c r="D2283" t="str">
        <f>VLOOKUP(B2283, Products!$A$2:$C$100, 2, FALSE)</f>
        <v>Trek 820 - 2016</v>
      </c>
      <c r="E2283">
        <v>2</v>
      </c>
      <c r="F2283">
        <v>209.99</v>
      </c>
      <c r="G2283">
        <v>0.2</v>
      </c>
      <c r="H2283">
        <v>41.998000000000005</v>
      </c>
      <c r="I2283">
        <f>order_items[[#This Row],[list_price]]-order_items[[#This Row],[Discounted_price]]</f>
        <v>167.99200000000002</v>
      </c>
      <c r="J2283">
        <f>VLOOKUP(B2283, Products!$A$2:$E$100, 3, FALSE)</f>
        <v>9</v>
      </c>
      <c r="K2283">
        <f>VLOOKUP(B2283, Products!$A$2:$F$100, 4, FALSE)</f>
        <v>6</v>
      </c>
    </row>
    <row r="2284" spans="1:11" x14ac:dyDescent="0.3">
      <c r="A2284">
        <v>804</v>
      </c>
      <c r="B2284">
        <v>2</v>
      </c>
      <c r="C2284">
        <v>53</v>
      </c>
      <c r="D2284" t="str">
        <f>VLOOKUP(B2284, Products!$A$2:$C$100, 2, FALSE)</f>
        <v>Ritchey Timberwolf Frameset - 2016</v>
      </c>
      <c r="E2284">
        <v>1</v>
      </c>
      <c r="F2284">
        <v>749.99</v>
      </c>
      <c r="G2284">
        <v>7.0000000000000007E-2</v>
      </c>
      <c r="H2284">
        <v>52.499300000000005</v>
      </c>
      <c r="I2284">
        <f>order_items[[#This Row],[list_price]]-order_items[[#This Row],[Discounted_price]]</f>
        <v>697.49070000000006</v>
      </c>
      <c r="J2284">
        <f>VLOOKUP(B2284, Products!$A$2:$E$100, 3, FALSE)</f>
        <v>5</v>
      </c>
      <c r="K2284">
        <f>VLOOKUP(B2284, Products!$A$2:$F$100, 4, FALSE)</f>
        <v>6</v>
      </c>
    </row>
    <row r="2285" spans="1:11" x14ac:dyDescent="0.3">
      <c r="A2285">
        <v>804</v>
      </c>
      <c r="B2285">
        <v>3</v>
      </c>
      <c r="C2285">
        <v>50</v>
      </c>
      <c r="D2285" t="str">
        <f>VLOOKUP(B2285, Products!$A$2:$C$100, 2, FALSE)</f>
        <v>Surly Wednesday Frameset - 2016</v>
      </c>
      <c r="E2285">
        <v>2</v>
      </c>
      <c r="F2285">
        <v>5999.99</v>
      </c>
      <c r="G2285">
        <v>0.05</v>
      </c>
      <c r="H2285">
        <v>299.99950000000001</v>
      </c>
      <c r="I2285">
        <f>order_items[[#This Row],[list_price]]-order_items[[#This Row],[Discounted_price]]</f>
        <v>5699.9904999999999</v>
      </c>
      <c r="J2285">
        <f>VLOOKUP(B2285, Products!$A$2:$E$100, 3, FALSE)</f>
        <v>8</v>
      </c>
      <c r="K2285">
        <f>VLOOKUP(B2285, Products!$A$2:$F$100, 4, FALSE)</f>
        <v>6</v>
      </c>
    </row>
    <row r="2286" spans="1:11" x14ac:dyDescent="0.3">
      <c r="A2286">
        <v>805</v>
      </c>
      <c r="B2286">
        <v>1</v>
      </c>
      <c r="C2286">
        <v>24</v>
      </c>
      <c r="D2286" t="str">
        <f>VLOOKUP(B2286, Products!$A$2:$C$100, 2, FALSE)</f>
        <v>Trek 820 - 2016</v>
      </c>
      <c r="E2286">
        <v>1</v>
      </c>
      <c r="F2286">
        <v>549.99</v>
      </c>
      <c r="G2286">
        <v>0.05</v>
      </c>
      <c r="H2286">
        <v>27.499500000000001</v>
      </c>
      <c r="I2286">
        <f>order_items[[#This Row],[list_price]]-order_items[[#This Row],[Discounted_price]]</f>
        <v>522.4905</v>
      </c>
      <c r="J2286">
        <f>VLOOKUP(B2286, Products!$A$2:$E$100, 3, FALSE)</f>
        <v>9</v>
      </c>
      <c r="K2286">
        <f>VLOOKUP(B2286, Products!$A$2:$F$100, 4, FALSE)</f>
        <v>6</v>
      </c>
    </row>
    <row r="2287" spans="1:11" x14ac:dyDescent="0.3">
      <c r="A2287">
        <v>805</v>
      </c>
      <c r="B2287">
        <v>2</v>
      </c>
      <c r="C2287">
        <v>33</v>
      </c>
      <c r="D2287" t="str">
        <f>VLOOKUP(B2287, Products!$A$2:$C$100, 2, FALSE)</f>
        <v>Ritchey Timberwolf Frameset - 2016</v>
      </c>
      <c r="E2287">
        <v>2</v>
      </c>
      <c r="F2287">
        <v>469.99</v>
      </c>
      <c r="G2287">
        <v>0.2</v>
      </c>
      <c r="H2287">
        <v>93.998000000000005</v>
      </c>
      <c r="I2287">
        <f>order_items[[#This Row],[list_price]]-order_items[[#This Row],[Discounted_price]]</f>
        <v>375.99200000000002</v>
      </c>
      <c r="J2287">
        <f>VLOOKUP(B2287, Products!$A$2:$E$100, 3, FALSE)</f>
        <v>5</v>
      </c>
      <c r="K2287">
        <f>VLOOKUP(B2287, Products!$A$2:$F$100, 4, FALSE)</f>
        <v>6</v>
      </c>
    </row>
    <row r="2288" spans="1:11" x14ac:dyDescent="0.3">
      <c r="A2288">
        <v>805</v>
      </c>
      <c r="B2288">
        <v>3</v>
      </c>
      <c r="C2288">
        <v>62</v>
      </c>
      <c r="D2288" t="str">
        <f>VLOOKUP(B2288, Products!$A$2:$C$100, 2, FALSE)</f>
        <v>Surly Wednesday Frameset - 2016</v>
      </c>
      <c r="E2288">
        <v>2</v>
      </c>
      <c r="F2288">
        <v>3499.99</v>
      </c>
      <c r="G2288">
        <v>0.2</v>
      </c>
      <c r="H2288">
        <v>699.99800000000005</v>
      </c>
      <c r="I2288">
        <f>order_items[[#This Row],[list_price]]-order_items[[#This Row],[Discounted_price]]</f>
        <v>2799.9919999999997</v>
      </c>
      <c r="J2288">
        <f>VLOOKUP(B2288, Products!$A$2:$E$100, 3, FALSE)</f>
        <v>8</v>
      </c>
      <c r="K2288">
        <f>VLOOKUP(B2288, Products!$A$2:$F$100, 4, FALSE)</f>
        <v>6</v>
      </c>
    </row>
    <row r="2289" spans="1:11" x14ac:dyDescent="0.3">
      <c r="A2289">
        <v>805</v>
      </c>
      <c r="B2289">
        <v>4</v>
      </c>
      <c r="C2289">
        <v>32</v>
      </c>
      <c r="D2289" t="str">
        <f>VLOOKUP(B2289, Products!$A$2:$C$100, 2, FALSE)</f>
        <v>Trek Fuel EX 8 29 - 2016</v>
      </c>
      <c r="E2289">
        <v>1</v>
      </c>
      <c r="F2289">
        <v>469.99</v>
      </c>
      <c r="G2289">
        <v>7.0000000000000007E-2</v>
      </c>
      <c r="H2289">
        <v>32.899300000000004</v>
      </c>
      <c r="I2289">
        <f>order_items[[#This Row],[list_price]]-order_items[[#This Row],[Discounted_price]]</f>
        <v>437.09070000000003</v>
      </c>
      <c r="J2289">
        <f>VLOOKUP(B2289, Products!$A$2:$E$100, 3, FALSE)</f>
        <v>9</v>
      </c>
      <c r="K2289">
        <f>VLOOKUP(B2289, Products!$A$2:$F$100, 4, FALSE)</f>
        <v>6</v>
      </c>
    </row>
    <row r="2290" spans="1:11" x14ac:dyDescent="0.3">
      <c r="A2290">
        <v>805</v>
      </c>
      <c r="B2290">
        <v>5</v>
      </c>
      <c r="C2290">
        <v>6</v>
      </c>
      <c r="D2290" t="str">
        <f>VLOOKUP(B2290, Products!$A$2:$C$100, 2, FALSE)</f>
        <v>Heller Shagamaw Frame - 2016</v>
      </c>
      <c r="E2290">
        <v>2</v>
      </c>
      <c r="F2290">
        <v>469.99</v>
      </c>
      <c r="G2290">
        <v>0.05</v>
      </c>
      <c r="H2290">
        <v>23.499500000000001</v>
      </c>
      <c r="I2290">
        <f>order_items[[#This Row],[list_price]]-order_items[[#This Row],[Discounted_price]]</f>
        <v>446.4905</v>
      </c>
      <c r="J2290">
        <f>VLOOKUP(B2290, Products!$A$2:$E$100, 3, FALSE)</f>
        <v>3</v>
      </c>
      <c r="K2290">
        <f>VLOOKUP(B2290, Products!$A$2:$F$100, 4, FALSE)</f>
        <v>6</v>
      </c>
    </row>
    <row r="2291" spans="1:11" x14ac:dyDescent="0.3">
      <c r="A2291">
        <v>806</v>
      </c>
      <c r="B2291">
        <v>1</v>
      </c>
      <c r="C2291">
        <v>93</v>
      </c>
      <c r="D2291" t="str">
        <f>VLOOKUP(B2291, Products!$A$2:$C$100, 2, FALSE)</f>
        <v>Trek 820 - 2016</v>
      </c>
      <c r="E2291">
        <v>2</v>
      </c>
      <c r="F2291">
        <v>209.99</v>
      </c>
      <c r="G2291">
        <v>0.1</v>
      </c>
      <c r="H2291">
        <v>20.999000000000002</v>
      </c>
      <c r="I2291">
        <f>order_items[[#This Row],[list_price]]-order_items[[#This Row],[Discounted_price]]</f>
        <v>188.99100000000001</v>
      </c>
      <c r="J2291">
        <f>VLOOKUP(B2291, Products!$A$2:$E$100, 3, FALSE)</f>
        <v>9</v>
      </c>
      <c r="K2291">
        <f>VLOOKUP(B2291, Products!$A$2:$F$100, 4, FALSE)</f>
        <v>6</v>
      </c>
    </row>
    <row r="2292" spans="1:11" x14ac:dyDescent="0.3">
      <c r="A2292">
        <v>806</v>
      </c>
      <c r="B2292">
        <v>2</v>
      </c>
      <c r="C2292">
        <v>97</v>
      </c>
      <c r="D2292" t="str">
        <f>VLOOKUP(B2292, Products!$A$2:$C$100, 2, FALSE)</f>
        <v>Ritchey Timberwolf Frameset - 2016</v>
      </c>
      <c r="E2292">
        <v>1</v>
      </c>
      <c r="F2292">
        <v>349.99</v>
      </c>
      <c r="G2292">
        <v>0.2</v>
      </c>
      <c r="H2292">
        <v>69.998000000000005</v>
      </c>
      <c r="I2292">
        <f>order_items[[#This Row],[list_price]]-order_items[[#This Row],[Discounted_price]]</f>
        <v>279.99200000000002</v>
      </c>
      <c r="J2292">
        <f>VLOOKUP(B2292, Products!$A$2:$E$100, 3, FALSE)</f>
        <v>5</v>
      </c>
      <c r="K2292">
        <f>VLOOKUP(B2292, Products!$A$2:$F$100, 4, FALSE)</f>
        <v>6</v>
      </c>
    </row>
    <row r="2293" spans="1:11" x14ac:dyDescent="0.3">
      <c r="A2293">
        <v>806</v>
      </c>
      <c r="B2293">
        <v>3</v>
      </c>
      <c r="C2293">
        <v>77</v>
      </c>
      <c r="D2293" t="str">
        <f>VLOOKUP(B2293, Products!$A$2:$C$100, 2, FALSE)</f>
        <v>Surly Wednesday Frameset - 2016</v>
      </c>
      <c r="E2293">
        <v>2</v>
      </c>
      <c r="F2293">
        <v>799.99</v>
      </c>
      <c r="G2293">
        <v>0.1</v>
      </c>
      <c r="H2293">
        <v>79.999000000000009</v>
      </c>
      <c r="I2293">
        <f>order_items[[#This Row],[list_price]]-order_items[[#This Row],[Discounted_price]]</f>
        <v>719.99099999999999</v>
      </c>
      <c r="J2293">
        <f>VLOOKUP(B2293, Products!$A$2:$E$100, 3, FALSE)</f>
        <v>8</v>
      </c>
      <c r="K2293">
        <f>VLOOKUP(B2293, Products!$A$2:$F$100, 4, FALSE)</f>
        <v>6</v>
      </c>
    </row>
    <row r="2294" spans="1:11" x14ac:dyDescent="0.3">
      <c r="A2294">
        <v>806</v>
      </c>
      <c r="B2294">
        <v>4</v>
      </c>
      <c r="C2294">
        <v>82</v>
      </c>
      <c r="D2294" t="str">
        <f>VLOOKUP(B2294, Products!$A$2:$C$100, 2, FALSE)</f>
        <v>Trek Fuel EX 8 29 - 2016</v>
      </c>
      <c r="E2294">
        <v>2</v>
      </c>
      <c r="F2294">
        <v>659.99</v>
      </c>
      <c r="G2294">
        <v>0.2</v>
      </c>
      <c r="H2294">
        <v>131.99800000000002</v>
      </c>
      <c r="I2294">
        <f>order_items[[#This Row],[list_price]]-order_items[[#This Row],[Discounted_price]]</f>
        <v>527.99199999999996</v>
      </c>
      <c r="J2294">
        <f>VLOOKUP(B2294, Products!$A$2:$E$100, 3, FALSE)</f>
        <v>9</v>
      </c>
      <c r="K2294">
        <f>VLOOKUP(B2294, Products!$A$2:$F$100, 4, FALSE)</f>
        <v>6</v>
      </c>
    </row>
    <row r="2295" spans="1:11" x14ac:dyDescent="0.3">
      <c r="A2295">
        <v>806</v>
      </c>
      <c r="B2295">
        <v>5</v>
      </c>
      <c r="C2295">
        <v>91</v>
      </c>
      <c r="D2295" t="str">
        <f>VLOOKUP(B2295, Products!$A$2:$C$100, 2, FALSE)</f>
        <v>Heller Shagamaw Frame - 2016</v>
      </c>
      <c r="E2295">
        <v>2</v>
      </c>
      <c r="F2295">
        <v>349.99</v>
      </c>
      <c r="G2295">
        <v>7.0000000000000007E-2</v>
      </c>
      <c r="H2295">
        <v>24.499300000000002</v>
      </c>
      <c r="I2295">
        <f>order_items[[#This Row],[list_price]]-order_items[[#This Row],[Discounted_price]]</f>
        <v>325.4907</v>
      </c>
      <c r="J2295">
        <f>VLOOKUP(B2295, Products!$A$2:$E$100, 3, FALSE)</f>
        <v>3</v>
      </c>
      <c r="K2295">
        <f>VLOOKUP(B2295, Products!$A$2:$F$100, 4, FALSE)</f>
        <v>6</v>
      </c>
    </row>
    <row r="2296" spans="1:11" x14ac:dyDescent="0.3">
      <c r="A2296">
        <v>807</v>
      </c>
      <c r="B2296">
        <v>1</v>
      </c>
      <c r="C2296">
        <v>21</v>
      </c>
      <c r="D2296" t="str">
        <f>VLOOKUP(B2296, Products!$A$2:$C$100, 2, FALSE)</f>
        <v>Trek 820 - 2016</v>
      </c>
      <c r="E2296">
        <v>2</v>
      </c>
      <c r="F2296">
        <v>269.99</v>
      </c>
      <c r="G2296">
        <v>0.2</v>
      </c>
      <c r="H2296">
        <v>53.998000000000005</v>
      </c>
      <c r="I2296">
        <f>order_items[[#This Row],[list_price]]-order_items[[#This Row],[Discounted_price]]</f>
        <v>215.99200000000002</v>
      </c>
      <c r="J2296">
        <f>VLOOKUP(B2296, Products!$A$2:$E$100, 3, FALSE)</f>
        <v>9</v>
      </c>
      <c r="K2296">
        <f>VLOOKUP(B2296, Products!$A$2:$F$100, 4, FALSE)</f>
        <v>6</v>
      </c>
    </row>
    <row r="2297" spans="1:11" x14ac:dyDescent="0.3">
      <c r="A2297">
        <v>807</v>
      </c>
      <c r="B2297">
        <v>2</v>
      </c>
      <c r="C2297">
        <v>6</v>
      </c>
      <c r="D2297" t="str">
        <f>VLOOKUP(B2297, Products!$A$2:$C$100, 2, FALSE)</f>
        <v>Ritchey Timberwolf Frameset - 2016</v>
      </c>
      <c r="E2297">
        <v>1</v>
      </c>
      <c r="F2297">
        <v>469.99</v>
      </c>
      <c r="G2297">
        <v>7.0000000000000007E-2</v>
      </c>
      <c r="H2297">
        <v>32.899300000000004</v>
      </c>
      <c r="I2297">
        <f>order_items[[#This Row],[list_price]]-order_items[[#This Row],[Discounted_price]]</f>
        <v>437.09070000000003</v>
      </c>
      <c r="J2297">
        <f>VLOOKUP(B2297, Products!$A$2:$E$100, 3, FALSE)</f>
        <v>5</v>
      </c>
      <c r="K2297">
        <f>VLOOKUP(B2297, Products!$A$2:$F$100, 4, FALSE)</f>
        <v>6</v>
      </c>
    </row>
    <row r="2298" spans="1:11" x14ac:dyDescent="0.3">
      <c r="A2298">
        <v>807</v>
      </c>
      <c r="B2298">
        <v>3</v>
      </c>
      <c r="C2298">
        <v>3</v>
      </c>
      <c r="D2298" t="str">
        <f>VLOOKUP(B2298, Products!$A$2:$C$100, 2, FALSE)</f>
        <v>Surly Wednesday Frameset - 2016</v>
      </c>
      <c r="E2298">
        <v>2</v>
      </c>
      <c r="F2298">
        <v>999.99</v>
      </c>
      <c r="G2298">
        <v>7.0000000000000007E-2</v>
      </c>
      <c r="H2298">
        <v>69.999300000000005</v>
      </c>
      <c r="I2298">
        <f>order_items[[#This Row],[list_price]]-order_items[[#This Row],[Discounted_price]]</f>
        <v>929.99070000000006</v>
      </c>
      <c r="J2298">
        <f>VLOOKUP(B2298, Products!$A$2:$E$100, 3, FALSE)</f>
        <v>8</v>
      </c>
      <c r="K2298">
        <f>VLOOKUP(B2298, Products!$A$2:$F$100, 4, FALSE)</f>
        <v>6</v>
      </c>
    </row>
    <row r="2299" spans="1:11" x14ac:dyDescent="0.3">
      <c r="A2299">
        <v>807</v>
      </c>
      <c r="B2299">
        <v>4</v>
      </c>
      <c r="C2299">
        <v>9</v>
      </c>
      <c r="D2299" t="str">
        <f>VLOOKUP(B2299, Products!$A$2:$C$100, 2, FALSE)</f>
        <v>Trek Fuel EX 8 29 - 2016</v>
      </c>
      <c r="E2299">
        <v>2</v>
      </c>
      <c r="F2299">
        <v>2999.99</v>
      </c>
      <c r="G2299">
        <v>0.2</v>
      </c>
      <c r="H2299">
        <v>599.99799999999993</v>
      </c>
      <c r="I2299">
        <f>order_items[[#This Row],[list_price]]-order_items[[#This Row],[Discounted_price]]</f>
        <v>2399.9919999999997</v>
      </c>
      <c r="J2299">
        <f>VLOOKUP(B2299, Products!$A$2:$E$100, 3, FALSE)</f>
        <v>9</v>
      </c>
      <c r="K2299">
        <f>VLOOKUP(B2299, Products!$A$2:$F$100, 4, FALSE)</f>
        <v>6</v>
      </c>
    </row>
    <row r="2300" spans="1:11" x14ac:dyDescent="0.3">
      <c r="A2300">
        <v>807</v>
      </c>
      <c r="B2300">
        <v>5</v>
      </c>
      <c r="C2300">
        <v>16</v>
      </c>
      <c r="D2300" t="str">
        <f>VLOOKUP(B2300, Products!$A$2:$C$100, 2, FALSE)</f>
        <v>Heller Shagamaw Frame - 2016</v>
      </c>
      <c r="E2300">
        <v>1</v>
      </c>
      <c r="F2300">
        <v>599.99</v>
      </c>
      <c r="G2300">
        <v>0.2</v>
      </c>
      <c r="H2300">
        <v>119.998</v>
      </c>
      <c r="I2300">
        <f>order_items[[#This Row],[list_price]]-order_items[[#This Row],[Discounted_price]]</f>
        <v>479.99200000000002</v>
      </c>
      <c r="J2300">
        <f>VLOOKUP(B2300, Products!$A$2:$E$100, 3, FALSE)</f>
        <v>3</v>
      </c>
      <c r="K2300">
        <f>VLOOKUP(B2300, Products!$A$2:$F$100, 4, FALSE)</f>
        <v>6</v>
      </c>
    </row>
    <row r="2301" spans="1:11" x14ac:dyDescent="0.3">
      <c r="A2301">
        <v>808</v>
      </c>
      <c r="B2301">
        <v>1</v>
      </c>
      <c r="C2301">
        <v>96</v>
      </c>
      <c r="D2301" t="str">
        <f>VLOOKUP(B2301, Products!$A$2:$C$100, 2, FALSE)</f>
        <v>Trek 820 - 2016</v>
      </c>
      <c r="E2301">
        <v>2</v>
      </c>
      <c r="F2301">
        <v>349.99</v>
      </c>
      <c r="G2301">
        <v>0.05</v>
      </c>
      <c r="H2301">
        <v>17.499500000000001</v>
      </c>
      <c r="I2301">
        <f>order_items[[#This Row],[list_price]]-order_items[[#This Row],[Discounted_price]]</f>
        <v>332.4905</v>
      </c>
      <c r="J2301">
        <f>VLOOKUP(B2301, Products!$A$2:$E$100, 3, FALSE)</f>
        <v>9</v>
      </c>
      <c r="K2301">
        <f>VLOOKUP(B2301, Products!$A$2:$F$100, 4, FALSE)</f>
        <v>6</v>
      </c>
    </row>
    <row r="2302" spans="1:11" x14ac:dyDescent="0.3">
      <c r="A2302">
        <v>808</v>
      </c>
      <c r="B2302">
        <v>2</v>
      </c>
      <c r="C2302">
        <v>18</v>
      </c>
      <c r="D2302" t="str">
        <f>VLOOKUP(B2302, Products!$A$2:$C$100, 2, FALSE)</f>
        <v>Ritchey Timberwolf Frameset - 2016</v>
      </c>
      <c r="E2302">
        <v>1</v>
      </c>
      <c r="F2302">
        <v>449</v>
      </c>
      <c r="G2302">
        <v>0.05</v>
      </c>
      <c r="H2302">
        <v>22.450000000000003</v>
      </c>
      <c r="I2302">
        <f>order_items[[#This Row],[list_price]]-order_items[[#This Row],[Discounted_price]]</f>
        <v>426.55</v>
      </c>
      <c r="J2302">
        <f>VLOOKUP(B2302, Products!$A$2:$E$100, 3, FALSE)</f>
        <v>5</v>
      </c>
      <c r="K2302">
        <f>VLOOKUP(B2302, Products!$A$2:$F$100, 4, FALSE)</f>
        <v>6</v>
      </c>
    </row>
    <row r="2303" spans="1:11" x14ac:dyDescent="0.3">
      <c r="A2303">
        <v>808</v>
      </c>
      <c r="B2303">
        <v>3</v>
      </c>
      <c r="C2303">
        <v>85</v>
      </c>
      <c r="D2303" t="str">
        <f>VLOOKUP(B2303, Products!$A$2:$C$100, 2, FALSE)</f>
        <v>Surly Wednesday Frameset - 2016</v>
      </c>
      <c r="E2303">
        <v>1</v>
      </c>
      <c r="F2303">
        <v>329.99</v>
      </c>
      <c r="G2303">
        <v>0.05</v>
      </c>
      <c r="H2303">
        <v>16.499500000000001</v>
      </c>
      <c r="I2303">
        <f>order_items[[#This Row],[list_price]]-order_items[[#This Row],[Discounted_price]]</f>
        <v>313.4905</v>
      </c>
      <c r="J2303">
        <f>VLOOKUP(B2303, Products!$A$2:$E$100, 3, FALSE)</f>
        <v>8</v>
      </c>
      <c r="K2303">
        <f>VLOOKUP(B2303, Products!$A$2:$F$100, 4, FALSE)</f>
        <v>6</v>
      </c>
    </row>
    <row r="2304" spans="1:11" x14ac:dyDescent="0.3">
      <c r="A2304">
        <v>808</v>
      </c>
      <c r="B2304">
        <v>4</v>
      </c>
      <c r="C2304">
        <v>19</v>
      </c>
      <c r="D2304" t="str">
        <f>VLOOKUP(B2304, Products!$A$2:$C$100, 2, FALSE)</f>
        <v>Trek Fuel EX 8 29 - 2016</v>
      </c>
      <c r="E2304">
        <v>2</v>
      </c>
      <c r="F2304">
        <v>449</v>
      </c>
      <c r="G2304">
        <v>0.05</v>
      </c>
      <c r="H2304">
        <v>22.450000000000003</v>
      </c>
      <c r="I2304">
        <f>order_items[[#This Row],[list_price]]-order_items[[#This Row],[Discounted_price]]</f>
        <v>426.55</v>
      </c>
      <c r="J2304">
        <f>VLOOKUP(B2304, Products!$A$2:$E$100, 3, FALSE)</f>
        <v>9</v>
      </c>
      <c r="K2304">
        <f>VLOOKUP(B2304, Products!$A$2:$F$100, 4, FALSE)</f>
        <v>6</v>
      </c>
    </row>
    <row r="2305" spans="1:11" x14ac:dyDescent="0.3">
      <c r="A2305">
        <v>809</v>
      </c>
      <c r="B2305">
        <v>1</v>
      </c>
      <c r="C2305">
        <v>78</v>
      </c>
      <c r="D2305" t="str">
        <f>VLOOKUP(B2305, Products!$A$2:$C$100, 2, FALSE)</f>
        <v>Trek 820 - 2016</v>
      </c>
      <c r="E2305">
        <v>1</v>
      </c>
      <c r="F2305">
        <v>647.99</v>
      </c>
      <c r="G2305">
        <v>0.1</v>
      </c>
      <c r="H2305">
        <v>64.799000000000007</v>
      </c>
      <c r="I2305">
        <f>order_items[[#This Row],[list_price]]-order_items[[#This Row],[Discounted_price]]</f>
        <v>583.19100000000003</v>
      </c>
      <c r="J2305">
        <f>VLOOKUP(B2305, Products!$A$2:$E$100, 3, FALSE)</f>
        <v>9</v>
      </c>
      <c r="K2305">
        <f>VLOOKUP(B2305, Products!$A$2:$F$100, 4, FALSE)</f>
        <v>6</v>
      </c>
    </row>
    <row r="2306" spans="1:11" x14ac:dyDescent="0.3">
      <c r="A2306">
        <v>809</v>
      </c>
      <c r="B2306">
        <v>2</v>
      </c>
      <c r="C2306">
        <v>26</v>
      </c>
      <c r="D2306" t="str">
        <f>VLOOKUP(B2306, Products!$A$2:$C$100, 2, FALSE)</f>
        <v>Ritchey Timberwolf Frameset - 2016</v>
      </c>
      <c r="E2306">
        <v>1</v>
      </c>
      <c r="F2306">
        <v>599.99</v>
      </c>
      <c r="G2306">
        <v>0.2</v>
      </c>
      <c r="H2306">
        <v>119.998</v>
      </c>
      <c r="I2306">
        <f>order_items[[#This Row],[list_price]]-order_items[[#This Row],[Discounted_price]]</f>
        <v>479.99200000000002</v>
      </c>
      <c r="J2306">
        <f>VLOOKUP(B2306, Products!$A$2:$E$100, 3, FALSE)</f>
        <v>5</v>
      </c>
      <c r="K2306">
        <f>VLOOKUP(B2306, Products!$A$2:$F$100, 4, FALSE)</f>
        <v>6</v>
      </c>
    </row>
    <row r="2307" spans="1:11" x14ac:dyDescent="0.3">
      <c r="A2307">
        <v>809</v>
      </c>
      <c r="B2307">
        <v>3</v>
      </c>
      <c r="C2307">
        <v>92</v>
      </c>
      <c r="D2307" t="str">
        <f>VLOOKUP(B2307, Products!$A$2:$C$100, 2, FALSE)</f>
        <v>Surly Wednesday Frameset - 2016</v>
      </c>
      <c r="E2307">
        <v>2</v>
      </c>
      <c r="F2307">
        <v>209.99</v>
      </c>
      <c r="G2307">
        <v>0.1</v>
      </c>
      <c r="H2307">
        <v>20.999000000000002</v>
      </c>
      <c r="I2307">
        <f>order_items[[#This Row],[list_price]]-order_items[[#This Row],[Discounted_price]]</f>
        <v>188.99100000000001</v>
      </c>
      <c r="J2307">
        <f>VLOOKUP(B2307, Products!$A$2:$E$100, 3, FALSE)</f>
        <v>8</v>
      </c>
      <c r="K2307">
        <f>VLOOKUP(B2307, Products!$A$2:$F$100, 4, FALSE)</f>
        <v>6</v>
      </c>
    </row>
    <row r="2308" spans="1:11" x14ac:dyDescent="0.3">
      <c r="A2308">
        <v>810</v>
      </c>
      <c r="B2308">
        <v>1</v>
      </c>
      <c r="C2308">
        <v>103</v>
      </c>
      <c r="D2308" t="str">
        <f>VLOOKUP(B2308, Products!$A$2:$C$100, 2, FALSE)</f>
        <v>Trek 820 - 2016</v>
      </c>
      <c r="E2308">
        <v>2</v>
      </c>
      <c r="F2308">
        <v>551.99</v>
      </c>
      <c r="G2308">
        <v>0.05</v>
      </c>
      <c r="H2308">
        <v>27.599500000000003</v>
      </c>
      <c r="I2308">
        <f>order_items[[#This Row],[list_price]]-order_items[[#This Row],[Discounted_price]]</f>
        <v>524.39049999999997</v>
      </c>
      <c r="J2308">
        <f>VLOOKUP(B2308, Products!$A$2:$E$100, 3, FALSE)</f>
        <v>9</v>
      </c>
      <c r="K2308">
        <f>VLOOKUP(B2308, Products!$A$2:$F$100, 4, FALSE)</f>
        <v>6</v>
      </c>
    </row>
    <row r="2309" spans="1:11" x14ac:dyDescent="0.3">
      <c r="A2309">
        <v>810</v>
      </c>
      <c r="B2309">
        <v>2</v>
      </c>
      <c r="C2309">
        <v>100</v>
      </c>
      <c r="D2309" t="str">
        <f>VLOOKUP(B2309, Products!$A$2:$C$100, 2, FALSE)</f>
        <v>Ritchey Timberwolf Frameset - 2016</v>
      </c>
      <c r="E2309">
        <v>1</v>
      </c>
      <c r="F2309">
        <v>489.99</v>
      </c>
      <c r="G2309">
        <v>0.2</v>
      </c>
      <c r="H2309">
        <v>97.998000000000005</v>
      </c>
      <c r="I2309">
        <f>order_items[[#This Row],[list_price]]-order_items[[#This Row],[Discounted_price]]</f>
        <v>391.99200000000002</v>
      </c>
      <c r="J2309">
        <f>VLOOKUP(B2309, Products!$A$2:$E$100, 3, FALSE)</f>
        <v>5</v>
      </c>
      <c r="K2309">
        <f>VLOOKUP(B2309, Products!$A$2:$F$100, 4, FALSE)</f>
        <v>6</v>
      </c>
    </row>
    <row r="2310" spans="1:11" x14ac:dyDescent="0.3">
      <c r="A2310">
        <v>810</v>
      </c>
      <c r="B2310">
        <v>3</v>
      </c>
      <c r="C2310">
        <v>56</v>
      </c>
      <c r="D2310" t="str">
        <f>VLOOKUP(B2310, Products!$A$2:$C$100, 2, FALSE)</f>
        <v>Surly Wednesday Frameset - 2016</v>
      </c>
      <c r="E2310">
        <v>1</v>
      </c>
      <c r="F2310">
        <v>5499.99</v>
      </c>
      <c r="G2310">
        <v>0.05</v>
      </c>
      <c r="H2310">
        <v>274.99950000000001</v>
      </c>
      <c r="I2310">
        <f>order_items[[#This Row],[list_price]]-order_items[[#This Row],[Discounted_price]]</f>
        <v>5224.9904999999999</v>
      </c>
      <c r="J2310">
        <f>VLOOKUP(B2310, Products!$A$2:$E$100, 3, FALSE)</f>
        <v>8</v>
      </c>
      <c r="K2310">
        <f>VLOOKUP(B2310, Products!$A$2:$F$100, 4, FALSE)</f>
        <v>6</v>
      </c>
    </row>
    <row r="2311" spans="1:11" x14ac:dyDescent="0.3">
      <c r="A2311">
        <v>810</v>
      </c>
      <c r="B2311">
        <v>4</v>
      </c>
      <c r="C2311">
        <v>22</v>
      </c>
      <c r="D2311" t="str">
        <f>VLOOKUP(B2311, Products!$A$2:$C$100, 2, FALSE)</f>
        <v>Trek Fuel EX 8 29 - 2016</v>
      </c>
      <c r="E2311">
        <v>1</v>
      </c>
      <c r="F2311">
        <v>269.99</v>
      </c>
      <c r="G2311">
        <v>0.2</v>
      </c>
      <c r="H2311">
        <v>53.998000000000005</v>
      </c>
      <c r="I2311">
        <f>order_items[[#This Row],[list_price]]-order_items[[#This Row],[Discounted_price]]</f>
        <v>215.99200000000002</v>
      </c>
      <c r="J2311">
        <f>VLOOKUP(B2311, Products!$A$2:$E$100, 3, FALSE)</f>
        <v>9</v>
      </c>
      <c r="K2311">
        <f>VLOOKUP(B2311, Products!$A$2:$F$100, 4, FALSE)</f>
        <v>6</v>
      </c>
    </row>
    <row r="2312" spans="1:11" x14ac:dyDescent="0.3">
      <c r="A2312">
        <v>811</v>
      </c>
      <c r="B2312">
        <v>1</v>
      </c>
      <c r="C2312">
        <v>45</v>
      </c>
      <c r="D2312" t="str">
        <f>VLOOKUP(B2312, Products!$A$2:$C$100, 2, FALSE)</f>
        <v>Trek 820 - 2016</v>
      </c>
      <c r="E2312">
        <v>2</v>
      </c>
      <c r="F2312">
        <v>869.99</v>
      </c>
      <c r="G2312">
        <v>7.0000000000000007E-2</v>
      </c>
      <c r="H2312">
        <v>60.899300000000004</v>
      </c>
      <c r="I2312">
        <f>order_items[[#This Row],[list_price]]-order_items[[#This Row],[Discounted_price]]</f>
        <v>809.09069999999997</v>
      </c>
      <c r="J2312">
        <f>VLOOKUP(B2312, Products!$A$2:$E$100, 3, FALSE)</f>
        <v>9</v>
      </c>
      <c r="K2312">
        <f>VLOOKUP(B2312, Products!$A$2:$F$100, 4, FALSE)</f>
        <v>6</v>
      </c>
    </row>
    <row r="2313" spans="1:11" x14ac:dyDescent="0.3">
      <c r="A2313">
        <v>811</v>
      </c>
      <c r="B2313">
        <v>2</v>
      </c>
      <c r="C2313">
        <v>54</v>
      </c>
      <c r="D2313" t="str">
        <f>VLOOKUP(B2313, Products!$A$2:$C$100, 2, FALSE)</f>
        <v>Ritchey Timberwolf Frameset - 2016</v>
      </c>
      <c r="E2313">
        <v>1</v>
      </c>
      <c r="F2313">
        <v>3199.99</v>
      </c>
      <c r="G2313">
        <v>0.2</v>
      </c>
      <c r="H2313">
        <v>639.99800000000005</v>
      </c>
      <c r="I2313">
        <f>order_items[[#This Row],[list_price]]-order_items[[#This Row],[Discounted_price]]</f>
        <v>2559.9919999999997</v>
      </c>
      <c r="J2313">
        <f>VLOOKUP(B2313, Products!$A$2:$E$100, 3, FALSE)</f>
        <v>5</v>
      </c>
      <c r="K2313">
        <f>VLOOKUP(B2313, Products!$A$2:$F$100, 4, FALSE)</f>
        <v>6</v>
      </c>
    </row>
    <row r="2314" spans="1:11" x14ac:dyDescent="0.3">
      <c r="A2314">
        <v>811</v>
      </c>
      <c r="B2314">
        <v>3</v>
      </c>
      <c r="C2314">
        <v>70</v>
      </c>
      <c r="D2314" t="str">
        <f>VLOOKUP(B2314, Products!$A$2:$C$100, 2, FALSE)</f>
        <v>Surly Wednesday Frameset - 2016</v>
      </c>
      <c r="E2314">
        <v>1</v>
      </c>
      <c r="F2314">
        <v>659.99</v>
      </c>
      <c r="G2314">
        <v>7.0000000000000007E-2</v>
      </c>
      <c r="H2314">
        <v>46.199300000000008</v>
      </c>
      <c r="I2314">
        <f>order_items[[#This Row],[list_price]]-order_items[[#This Row],[Discounted_price]]</f>
        <v>613.79070000000002</v>
      </c>
      <c r="J2314">
        <f>VLOOKUP(B2314, Products!$A$2:$E$100, 3, FALSE)</f>
        <v>8</v>
      </c>
      <c r="K2314">
        <f>VLOOKUP(B2314, Products!$A$2:$F$100, 4, FALSE)</f>
        <v>6</v>
      </c>
    </row>
    <row r="2315" spans="1:11" x14ac:dyDescent="0.3">
      <c r="A2315">
        <v>811</v>
      </c>
      <c r="B2315">
        <v>4</v>
      </c>
      <c r="C2315">
        <v>66</v>
      </c>
      <c r="D2315" t="str">
        <f>VLOOKUP(B2315, Products!$A$2:$C$100, 2, FALSE)</f>
        <v>Trek Fuel EX 8 29 - 2016</v>
      </c>
      <c r="E2315">
        <v>1</v>
      </c>
      <c r="F2315">
        <v>250.99</v>
      </c>
      <c r="G2315">
        <v>0.1</v>
      </c>
      <c r="H2315">
        <v>25.099000000000004</v>
      </c>
      <c r="I2315">
        <f>order_items[[#This Row],[list_price]]-order_items[[#This Row],[Discounted_price]]</f>
        <v>225.89100000000002</v>
      </c>
      <c r="J2315">
        <f>VLOOKUP(B2315, Products!$A$2:$E$100, 3, FALSE)</f>
        <v>9</v>
      </c>
      <c r="K2315">
        <f>VLOOKUP(B2315, Products!$A$2:$F$100, 4, FALSE)</f>
        <v>6</v>
      </c>
    </row>
    <row r="2316" spans="1:11" x14ac:dyDescent="0.3">
      <c r="A2316">
        <v>812</v>
      </c>
      <c r="B2316">
        <v>1</v>
      </c>
      <c r="C2316">
        <v>76</v>
      </c>
      <c r="D2316" t="str">
        <f>VLOOKUP(B2316, Products!$A$2:$C$100, 2, FALSE)</f>
        <v>Trek 820 - 2016</v>
      </c>
      <c r="E2316">
        <v>2</v>
      </c>
      <c r="F2316">
        <v>299.99</v>
      </c>
      <c r="G2316">
        <v>0.1</v>
      </c>
      <c r="H2316">
        <v>29.999000000000002</v>
      </c>
      <c r="I2316">
        <f>order_items[[#This Row],[list_price]]-order_items[[#This Row],[Discounted_price]]</f>
        <v>269.99099999999999</v>
      </c>
      <c r="J2316">
        <f>VLOOKUP(B2316, Products!$A$2:$E$100, 3, FALSE)</f>
        <v>9</v>
      </c>
      <c r="K2316">
        <f>VLOOKUP(B2316, Products!$A$2:$F$100, 4, FALSE)</f>
        <v>6</v>
      </c>
    </row>
    <row r="2317" spans="1:11" x14ac:dyDescent="0.3">
      <c r="A2317">
        <v>812</v>
      </c>
      <c r="B2317">
        <v>2</v>
      </c>
      <c r="C2317">
        <v>40</v>
      </c>
      <c r="D2317" t="str">
        <f>VLOOKUP(B2317, Products!$A$2:$C$100, 2, FALSE)</f>
        <v>Ritchey Timberwolf Frameset - 2016</v>
      </c>
      <c r="E2317">
        <v>1</v>
      </c>
      <c r="F2317">
        <v>4999.99</v>
      </c>
      <c r="G2317">
        <v>0.2</v>
      </c>
      <c r="H2317">
        <v>999.99800000000005</v>
      </c>
      <c r="I2317">
        <f>order_items[[#This Row],[list_price]]-order_items[[#This Row],[Discounted_price]]</f>
        <v>3999.9919999999997</v>
      </c>
      <c r="J2317">
        <f>VLOOKUP(B2317, Products!$A$2:$E$100, 3, FALSE)</f>
        <v>5</v>
      </c>
      <c r="K2317">
        <f>VLOOKUP(B2317, Products!$A$2:$F$100, 4, FALSE)</f>
        <v>6</v>
      </c>
    </row>
    <row r="2318" spans="1:11" x14ac:dyDescent="0.3">
      <c r="A2318">
        <v>813</v>
      </c>
      <c r="B2318">
        <v>1</v>
      </c>
      <c r="C2318">
        <v>96</v>
      </c>
      <c r="D2318" t="str">
        <f>VLOOKUP(B2318, Products!$A$2:$C$100, 2, FALSE)</f>
        <v>Trek 820 - 2016</v>
      </c>
      <c r="E2318">
        <v>2</v>
      </c>
      <c r="F2318">
        <v>349.99</v>
      </c>
      <c r="G2318">
        <v>0.1</v>
      </c>
      <c r="H2318">
        <v>34.999000000000002</v>
      </c>
      <c r="I2318">
        <f>order_items[[#This Row],[list_price]]-order_items[[#This Row],[Discounted_price]]</f>
        <v>314.99099999999999</v>
      </c>
      <c r="J2318">
        <f>VLOOKUP(B2318, Products!$A$2:$E$100, 3, FALSE)</f>
        <v>9</v>
      </c>
      <c r="K2318">
        <f>VLOOKUP(B2318, Products!$A$2:$F$100, 4, FALSE)</f>
        <v>6</v>
      </c>
    </row>
    <row r="2319" spans="1:11" x14ac:dyDescent="0.3">
      <c r="A2319">
        <v>813</v>
      </c>
      <c r="B2319">
        <v>2</v>
      </c>
      <c r="C2319">
        <v>85</v>
      </c>
      <c r="D2319" t="str">
        <f>VLOOKUP(B2319, Products!$A$2:$C$100, 2, FALSE)</f>
        <v>Ritchey Timberwolf Frameset - 2016</v>
      </c>
      <c r="E2319">
        <v>2</v>
      </c>
      <c r="F2319">
        <v>329.99</v>
      </c>
      <c r="G2319">
        <v>0.2</v>
      </c>
      <c r="H2319">
        <v>65.998000000000005</v>
      </c>
      <c r="I2319">
        <f>order_items[[#This Row],[list_price]]-order_items[[#This Row],[Discounted_price]]</f>
        <v>263.99200000000002</v>
      </c>
      <c r="J2319">
        <f>VLOOKUP(B2319, Products!$A$2:$E$100, 3, FALSE)</f>
        <v>5</v>
      </c>
      <c r="K2319">
        <f>VLOOKUP(B2319, Products!$A$2:$F$100, 4, FALSE)</f>
        <v>6</v>
      </c>
    </row>
    <row r="2320" spans="1:11" x14ac:dyDescent="0.3">
      <c r="A2320">
        <v>813</v>
      </c>
      <c r="B2320">
        <v>3</v>
      </c>
      <c r="C2320">
        <v>33</v>
      </c>
      <c r="D2320" t="str">
        <f>VLOOKUP(B2320, Products!$A$2:$C$100, 2, FALSE)</f>
        <v>Surly Wednesday Frameset - 2016</v>
      </c>
      <c r="E2320">
        <v>2</v>
      </c>
      <c r="F2320">
        <v>469.99</v>
      </c>
      <c r="G2320">
        <v>0.2</v>
      </c>
      <c r="H2320">
        <v>93.998000000000005</v>
      </c>
      <c r="I2320">
        <f>order_items[[#This Row],[list_price]]-order_items[[#This Row],[Discounted_price]]</f>
        <v>375.99200000000002</v>
      </c>
      <c r="J2320">
        <f>VLOOKUP(B2320, Products!$A$2:$E$100, 3, FALSE)</f>
        <v>8</v>
      </c>
      <c r="K2320">
        <f>VLOOKUP(B2320, Products!$A$2:$F$100, 4, FALSE)</f>
        <v>6</v>
      </c>
    </row>
    <row r="2321" spans="1:11" x14ac:dyDescent="0.3">
      <c r="A2321">
        <v>813</v>
      </c>
      <c r="B2321">
        <v>4</v>
      </c>
      <c r="C2321">
        <v>26</v>
      </c>
      <c r="D2321" t="str">
        <f>VLOOKUP(B2321, Products!$A$2:$C$100, 2, FALSE)</f>
        <v>Trek Fuel EX 8 29 - 2016</v>
      </c>
      <c r="E2321">
        <v>2</v>
      </c>
      <c r="F2321">
        <v>599.99</v>
      </c>
      <c r="G2321">
        <v>7.0000000000000007E-2</v>
      </c>
      <c r="H2321">
        <v>41.999300000000005</v>
      </c>
      <c r="I2321">
        <f>order_items[[#This Row],[list_price]]-order_items[[#This Row],[Discounted_price]]</f>
        <v>557.99070000000006</v>
      </c>
      <c r="J2321">
        <f>VLOOKUP(B2321, Products!$A$2:$E$100, 3, FALSE)</f>
        <v>9</v>
      </c>
      <c r="K2321">
        <f>VLOOKUP(B2321, Products!$A$2:$F$100, 4, FALSE)</f>
        <v>6</v>
      </c>
    </row>
    <row r="2322" spans="1:11" x14ac:dyDescent="0.3">
      <c r="A2322">
        <v>813</v>
      </c>
      <c r="B2322">
        <v>5</v>
      </c>
      <c r="C2322">
        <v>71</v>
      </c>
      <c r="D2322" t="str">
        <f>VLOOKUP(B2322, Products!$A$2:$C$100, 2, FALSE)</f>
        <v>Heller Shagamaw Frame - 2016</v>
      </c>
      <c r="E2322">
        <v>2</v>
      </c>
      <c r="F2322">
        <v>416.99</v>
      </c>
      <c r="G2322">
        <v>0.05</v>
      </c>
      <c r="H2322">
        <v>20.849500000000003</v>
      </c>
      <c r="I2322">
        <f>order_items[[#This Row],[list_price]]-order_items[[#This Row],[Discounted_price]]</f>
        <v>396.14050000000003</v>
      </c>
      <c r="J2322">
        <f>VLOOKUP(B2322, Products!$A$2:$E$100, 3, FALSE)</f>
        <v>3</v>
      </c>
      <c r="K2322">
        <f>VLOOKUP(B2322, Products!$A$2:$F$100, 4, FALSE)</f>
        <v>6</v>
      </c>
    </row>
    <row r="2323" spans="1:11" x14ac:dyDescent="0.3">
      <c r="A2323">
        <v>814</v>
      </c>
      <c r="B2323">
        <v>1</v>
      </c>
      <c r="C2323">
        <v>69</v>
      </c>
      <c r="D2323" t="str">
        <f>VLOOKUP(B2323, Products!$A$2:$C$100, 2, FALSE)</f>
        <v>Trek 820 - 2016</v>
      </c>
      <c r="E2323">
        <v>2</v>
      </c>
      <c r="F2323">
        <v>416.99</v>
      </c>
      <c r="G2323">
        <v>0.1</v>
      </c>
      <c r="H2323">
        <v>41.699000000000005</v>
      </c>
      <c r="I2323">
        <f>order_items[[#This Row],[list_price]]-order_items[[#This Row],[Discounted_price]]</f>
        <v>375.291</v>
      </c>
      <c r="J2323">
        <f>VLOOKUP(B2323, Products!$A$2:$E$100, 3, FALSE)</f>
        <v>9</v>
      </c>
      <c r="K2323">
        <f>VLOOKUP(B2323, Products!$A$2:$F$100, 4, FALSE)</f>
        <v>6</v>
      </c>
    </row>
    <row r="2324" spans="1:11" x14ac:dyDescent="0.3">
      <c r="A2324">
        <v>814</v>
      </c>
      <c r="B2324">
        <v>2</v>
      </c>
      <c r="C2324">
        <v>100</v>
      </c>
      <c r="D2324" t="str">
        <f>VLOOKUP(B2324, Products!$A$2:$C$100, 2, FALSE)</f>
        <v>Ritchey Timberwolf Frameset - 2016</v>
      </c>
      <c r="E2324">
        <v>1</v>
      </c>
      <c r="F2324">
        <v>489.99</v>
      </c>
      <c r="G2324">
        <v>0.1</v>
      </c>
      <c r="H2324">
        <v>48.999000000000002</v>
      </c>
      <c r="I2324">
        <f>order_items[[#This Row],[list_price]]-order_items[[#This Row],[Discounted_price]]</f>
        <v>440.99099999999999</v>
      </c>
      <c r="J2324">
        <f>VLOOKUP(B2324, Products!$A$2:$E$100, 3, FALSE)</f>
        <v>5</v>
      </c>
      <c r="K2324">
        <f>VLOOKUP(B2324, Products!$A$2:$F$100, 4, FALSE)</f>
        <v>6</v>
      </c>
    </row>
    <row r="2325" spans="1:11" x14ac:dyDescent="0.3">
      <c r="A2325">
        <v>814</v>
      </c>
      <c r="B2325">
        <v>3</v>
      </c>
      <c r="C2325">
        <v>65</v>
      </c>
      <c r="D2325" t="str">
        <f>VLOOKUP(B2325, Products!$A$2:$C$100, 2, FALSE)</f>
        <v>Surly Wednesday Frameset - 2016</v>
      </c>
      <c r="E2325">
        <v>1</v>
      </c>
      <c r="F2325">
        <v>346.99</v>
      </c>
      <c r="G2325">
        <v>0.2</v>
      </c>
      <c r="H2325">
        <v>69.39800000000001</v>
      </c>
      <c r="I2325">
        <f>order_items[[#This Row],[list_price]]-order_items[[#This Row],[Discounted_price]]</f>
        <v>277.59199999999998</v>
      </c>
      <c r="J2325">
        <f>VLOOKUP(B2325, Products!$A$2:$E$100, 3, FALSE)</f>
        <v>8</v>
      </c>
      <c r="K2325">
        <f>VLOOKUP(B2325, Products!$A$2:$F$100, 4, FALSE)</f>
        <v>6</v>
      </c>
    </row>
    <row r="2326" spans="1:11" x14ac:dyDescent="0.3">
      <c r="A2326">
        <v>814</v>
      </c>
      <c r="B2326">
        <v>4</v>
      </c>
      <c r="C2326">
        <v>83</v>
      </c>
      <c r="D2326" t="str">
        <f>VLOOKUP(B2326, Products!$A$2:$C$100, 2, FALSE)</f>
        <v>Trek Fuel EX 8 29 - 2016</v>
      </c>
      <c r="E2326">
        <v>2</v>
      </c>
      <c r="F2326">
        <v>149.99</v>
      </c>
      <c r="G2326">
        <v>0.05</v>
      </c>
      <c r="H2326">
        <v>7.4995000000000012</v>
      </c>
      <c r="I2326">
        <f>order_items[[#This Row],[list_price]]-order_items[[#This Row],[Discounted_price]]</f>
        <v>142.4905</v>
      </c>
      <c r="J2326">
        <f>VLOOKUP(B2326, Products!$A$2:$E$100, 3, FALSE)</f>
        <v>9</v>
      </c>
      <c r="K2326">
        <f>VLOOKUP(B2326, Products!$A$2:$F$100, 4, FALSE)</f>
        <v>6</v>
      </c>
    </row>
    <row r="2327" spans="1:11" x14ac:dyDescent="0.3">
      <c r="A2327">
        <v>815</v>
      </c>
      <c r="B2327">
        <v>1</v>
      </c>
      <c r="C2327">
        <v>105</v>
      </c>
      <c r="D2327" t="str">
        <f>VLOOKUP(B2327, Products!$A$2:$C$100, 2, FALSE)</f>
        <v>Trek 820 - 2016</v>
      </c>
      <c r="E2327">
        <v>2</v>
      </c>
      <c r="F2327">
        <v>533.99</v>
      </c>
      <c r="G2327">
        <v>0.2</v>
      </c>
      <c r="H2327">
        <v>106.798</v>
      </c>
      <c r="I2327">
        <f>order_items[[#This Row],[list_price]]-order_items[[#This Row],[Discounted_price]]</f>
        <v>427.19200000000001</v>
      </c>
      <c r="J2327">
        <f>VLOOKUP(B2327, Products!$A$2:$E$100, 3, FALSE)</f>
        <v>9</v>
      </c>
      <c r="K2327">
        <f>VLOOKUP(B2327, Products!$A$2:$F$100, 4, FALSE)</f>
        <v>6</v>
      </c>
    </row>
    <row r="2328" spans="1:11" x14ac:dyDescent="0.3">
      <c r="A2328">
        <v>815</v>
      </c>
      <c r="B2328">
        <v>2</v>
      </c>
      <c r="C2328">
        <v>102</v>
      </c>
      <c r="D2328" t="str">
        <f>VLOOKUP(B2328, Products!$A$2:$C$100, 2, FALSE)</f>
        <v>Ritchey Timberwolf Frameset - 2016</v>
      </c>
      <c r="E2328">
        <v>2</v>
      </c>
      <c r="F2328">
        <v>489.99</v>
      </c>
      <c r="G2328">
        <v>0.2</v>
      </c>
      <c r="H2328">
        <v>97.998000000000005</v>
      </c>
      <c r="I2328">
        <f>order_items[[#This Row],[list_price]]-order_items[[#This Row],[Discounted_price]]</f>
        <v>391.99200000000002</v>
      </c>
      <c r="J2328">
        <f>VLOOKUP(B2328, Products!$A$2:$E$100, 3, FALSE)</f>
        <v>5</v>
      </c>
      <c r="K2328">
        <f>VLOOKUP(B2328, Products!$A$2:$F$100, 4, FALSE)</f>
        <v>6</v>
      </c>
    </row>
    <row r="2329" spans="1:11" x14ac:dyDescent="0.3">
      <c r="A2329">
        <v>815</v>
      </c>
      <c r="B2329">
        <v>3</v>
      </c>
      <c r="C2329">
        <v>87</v>
      </c>
      <c r="D2329" t="str">
        <f>VLOOKUP(B2329, Products!$A$2:$C$100, 2, FALSE)</f>
        <v>Surly Wednesday Frameset - 2016</v>
      </c>
      <c r="E2329">
        <v>2</v>
      </c>
      <c r="F2329">
        <v>189.99</v>
      </c>
      <c r="G2329">
        <v>0.1</v>
      </c>
      <c r="H2329">
        <v>18.999000000000002</v>
      </c>
      <c r="I2329">
        <f>order_items[[#This Row],[list_price]]-order_items[[#This Row],[Discounted_price]]</f>
        <v>170.99100000000001</v>
      </c>
      <c r="J2329">
        <f>VLOOKUP(B2329, Products!$A$2:$E$100, 3, FALSE)</f>
        <v>8</v>
      </c>
      <c r="K2329">
        <f>VLOOKUP(B2329, Products!$A$2:$F$100, 4, FALSE)</f>
        <v>6</v>
      </c>
    </row>
    <row r="2330" spans="1:11" x14ac:dyDescent="0.3">
      <c r="A2330">
        <v>815</v>
      </c>
      <c r="B2330">
        <v>4</v>
      </c>
      <c r="C2330">
        <v>23</v>
      </c>
      <c r="D2330" t="str">
        <f>VLOOKUP(B2330, Products!$A$2:$C$100, 2, FALSE)</f>
        <v>Trek Fuel EX 8 29 - 2016</v>
      </c>
      <c r="E2330">
        <v>1</v>
      </c>
      <c r="F2330">
        <v>299.99</v>
      </c>
      <c r="G2330">
        <v>7.0000000000000007E-2</v>
      </c>
      <c r="H2330">
        <v>20.999300000000002</v>
      </c>
      <c r="I2330">
        <f>order_items[[#This Row],[list_price]]-order_items[[#This Row],[Discounted_price]]</f>
        <v>278.9907</v>
      </c>
      <c r="J2330">
        <f>VLOOKUP(B2330, Products!$A$2:$E$100, 3, FALSE)</f>
        <v>9</v>
      </c>
      <c r="K2330">
        <f>VLOOKUP(B2330, Products!$A$2:$F$100, 4, FALSE)</f>
        <v>6</v>
      </c>
    </row>
    <row r="2331" spans="1:11" x14ac:dyDescent="0.3">
      <c r="A2331">
        <v>816</v>
      </c>
      <c r="B2331">
        <v>1</v>
      </c>
      <c r="C2331">
        <v>75</v>
      </c>
      <c r="D2331" t="str">
        <f>VLOOKUP(B2331, Products!$A$2:$C$100, 2, FALSE)</f>
        <v>Trek 820 - 2016</v>
      </c>
      <c r="E2331">
        <v>2</v>
      </c>
      <c r="F2331">
        <v>599.99</v>
      </c>
      <c r="G2331">
        <v>0.1</v>
      </c>
      <c r="H2331">
        <v>59.999000000000002</v>
      </c>
      <c r="I2331">
        <f>order_items[[#This Row],[list_price]]-order_items[[#This Row],[Discounted_price]]</f>
        <v>539.99099999999999</v>
      </c>
      <c r="J2331">
        <f>VLOOKUP(B2331, Products!$A$2:$E$100, 3, FALSE)</f>
        <v>9</v>
      </c>
      <c r="K2331">
        <f>VLOOKUP(B2331, Products!$A$2:$F$100, 4, FALSE)</f>
        <v>6</v>
      </c>
    </row>
    <row r="2332" spans="1:11" x14ac:dyDescent="0.3">
      <c r="A2332">
        <v>816</v>
      </c>
      <c r="B2332">
        <v>2</v>
      </c>
      <c r="C2332">
        <v>64</v>
      </c>
      <c r="D2332" t="str">
        <f>VLOOKUP(B2332, Products!$A$2:$C$100, 2, FALSE)</f>
        <v>Ritchey Timberwolf Frameset - 2016</v>
      </c>
      <c r="E2332">
        <v>2</v>
      </c>
      <c r="F2332">
        <v>489.99</v>
      </c>
      <c r="G2332">
        <v>0.2</v>
      </c>
      <c r="H2332">
        <v>97.998000000000005</v>
      </c>
      <c r="I2332">
        <f>order_items[[#This Row],[list_price]]-order_items[[#This Row],[Discounted_price]]</f>
        <v>391.99200000000002</v>
      </c>
      <c r="J2332">
        <f>VLOOKUP(B2332, Products!$A$2:$E$100, 3, FALSE)</f>
        <v>5</v>
      </c>
      <c r="K2332">
        <f>VLOOKUP(B2332, Products!$A$2:$F$100, 4, FALSE)</f>
        <v>6</v>
      </c>
    </row>
    <row r="2333" spans="1:11" x14ac:dyDescent="0.3">
      <c r="A2333">
        <v>817</v>
      </c>
      <c r="B2333">
        <v>1</v>
      </c>
      <c r="C2333">
        <v>85</v>
      </c>
      <c r="D2333" t="str">
        <f>VLOOKUP(B2333, Products!$A$2:$C$100, 2, FALSE)</f>
        <v>Trek 820 - 2016</v>
      </c>
      <c r="E2333">
        <v>1</v>
      </c>
      <c r="F2333">
        <v>329.99</v>
      </c>
      <c r="G2333">
        <v>0.05</v>
      </c>
      <c r="H2333">
        <v>16.499500000000001</v>
      </c>
      <c r="I2333">
        <f>order_items[[#This Row],[list_price]]-order_items[[#This Row],[Discounted_price]]</f>
        <v>313.4905</v>
      </c>
      <c r="J2333">
        <f>VLOOKUP(B2333, Products!$A$2:$E$100, 3, FALSE)</f>
        <v>9</v>
      </c>
      <c r="K2333">
        <f>VLOOKUP(B2333, Products!$A$2:$F$100, 4, FALSE)</f>
        <v>6</v>
      </c>
    </row>
    <row r="2334" spans="1:11" x14ac:dyDescent="0.3">
      <c r="A2334">
        <v>817</v>
      </c>
      <c r="B2334">
        <v>2</v>
      </c>
      <c r="C2334">
        <v>105</v>
      </c>
      <c r="D2334" t="str">
        <f>VLOOKUP(B2334, Products!$A$2:$C$100, 2, FALSE)</f>
        <v>Ritchey Timberwolf Frameset - 2016</v>
      </c>
      <c r="E2334">
        <v>2</v>
      </c>
      <c r="F2334">
        <v>533.99</v>
      </c>
      <c r="G2334">
        <v>7.0000000000000007E-2</v>
      </c>
      <c r="H2334">
        <v>37.379300000000008</v>
      </c>
      <c r="I2334">
        <f>order_items[[#This Row],[list_price]]-order_items[[#This Row],[Discounted_price]]</f>
        <v>496.61070000000001</v>
      </c>
      <c r="J2334">
        <f>VLOOKUP(B2334, Products!$A$2:$E$100, 3, FALSE)</f>
        <v>5</v>
      </c>
      <c r="K2334">
        <f>VLOOKUP(B2334, Products!$A$2:$F$100, 4, FALSE)</f>
        <v>6</v>
      </c>
    </row>
    <row r="2335" spans="1:11" x14ac:dyDescent="0.3">
      <c r="A2335">
        <v>817</v>
      </c>
      <c r="B2335">
        <v>3</v>
      </c>
      <c r="C2335">
        <v>48</v>
      </c>
      <c r="D2335" t="str">
        <f>VLOOKUP(B2335, Products!$A$2:$C$100, 2, FALSE)</f>
        <v>Surly Wednesday Frameset - 2016</v>
      </c>
      <c r="E2335">
        <v>2</v>
      </c>
      <c r="F2335">
        <v>1499.99</v>
      </c>
      <c r="G2335">
        <v>0.05</v>
      </c>
      <c r="H2335">
        <v>74.999499999999998</v>
      </c>
      <c r="I2335">
        <f>order_items[[#This Row],[list_price]]-order_items[[#This Row],[Discounted_price]]</f>
        <v>1424.9905000000001</v>
      </c>
      <c r="J2335">
        <f>VLOOKUP(B2335, Products!$A$2:$E$100, 3, FALSE)</f>
        <v>8</v>
      </c>
      <c r="K2335">
        <f>VLOOKUP(B2335, Products!$A$2:$F$100, 4, FALSE)</f>
        <v>6</v>
      </c>
    </row>
    <row r="2336" spans="1:11" x14ac:dyDescent="0.3">
      <c r="A2336">
        <v>818</v>
      </c>
      <c r="B2336">
        <v>1</v>
      </c>
      <c r="C2336">
        <v>103</v>
      </c>
      <c r="D2336" t="str">
        <f>VLOOKUP(B2336, Products!$A$2:$C$100, 2, FALSE)</f>
        <v>Trek 820 - 2016</v>
      </c>
      <c r="E2336">
        <v>1</v>
      </c>
      <c r="F2336">
        <v>551.99</v>
      </c>
      <c r="G2336">
        <v>0.05</v>
      </c>
      <c r="H2336">
        <v>27.599500000000003</v>
      </c>
      <c r="I2336">
        <f>order_items[[#This Row],[list_price]]-order_items[[#This Row],[Discounted_price]]</f>
        <v>524.39049999999997</v>
      </c>
      <c r="J2336">
        <f>VLOOKUP(B2336, Products!$A$2:$E$100, 3, FALSE)</f>
        <v>9</v>
      </c>
      <c r="K2336">
        <f>VLOOKUP(B2336, Products!$A$2:$F$100, 4, FALSE)</f>
        <v>6</v>
      </c>
    </row>
    <row r="2337" spans="1:11" x14ac:dyDescent="0.3">
      <c r="A2337">
        <v>818</v>
      </c>
      <c r="B2337">
        <v>2</v>
      </c>
      <c r="C2337">
        <v>44</v>
      </c>
      <c r="D2337" t="str">
        <f>VLOOKUP(B2337, Products!$A$2:$C$100, 2, FALSE)</f>
        <v>Ritchey Timberwolf Frameset - 2016</v>
      </c>
      <c r="E2337">
        <v>2</v>
      </c>
      <c r="F2337">
        <v>539.99</v>
      </c>
      <c r="G2337">
        <v>7.0000000000000007E-2</v>
      </c>
      <c r="H2337">
        <v>37.799300000000002</v>
      </c>
      <c r="I2337">
        <f>order_items[[#This Row],[list_price]]-order_items[[#This Row],[Discounted_price]]</f>
        <v>502.19069999999999</v>
      </c>
      <c r="J2337">
        <f>VLOOKUP(B2337, Products!$A$2:$E$100, 3, FALSE)</f>
        <v>5</v>
      </c>
      <c r="K2337">
        <f>VLOOKUP(B2337, Products!$A$2:$F$100, 4, FALSE)</f>
        <v>6</v>
      </c>
    </row>
    <row r="2338" spans="1:11" x14ac:dyDescent="0.3">
      <c r="A2338">
        <v>818</v>
      </c>
      <c r="B2338">
        <v>3</v>
      </c>
      <c r="C2338">
        <v>19</v>
      </c>
      <c r="D2338" t="str">
        <f>VLOOKUP(B2338, Products!$A$2:$C$100, 2, FALSE)</f>
        <v>Surly Wednesday Frameset - 2016</v>
      </c>
      <c r="E2338">
        <v>2</v>
      </c>
      <c r="F2338">
        <v>449</v>
      </c>
      <c r="G2338">
        <v>0.05</v>
      </c>
      <c r="H2338">
        <v>22.450000000000003</v>
      </c>
      <c r="I2338">
        <f>order_items[[#This Row],[list_price]]-order_items[[#This Row],[Discounted_price]]</f>
        <v>426.55</v>
      </c>
      <c r="J2338">
        <f>VLOOKUP(B2338, Products!$A$2:$E$100, 3, FALSE)</f>
        <v>8</v>
      </c>
      <c r="K2338">
        <f>VLOOKUP(B2338, Products!$A$2:$F$100, 4, FALSE)</f>
        <v>6</v>
      </c>
    </row>
    <row r="2339" spans="1:11" x14ac:dyDescent="0.3">
      <c r="A2339">
        <v>818</v>
      </c>
      <c r="B2339">
        <v>4</v>
      </c>
      <c r="C2339">
        <v>48</v>
      </c>
      <c r="D2339" t="str">
        <f>VLOOKUP(B2339, Products!$A$2:$C$100, 2, FALSE)</f>
        <v>Trek Fuel EX 8 29 - 2016</v>
      </c>
      <c r="E2339">
        <v>2</v>
      </c>
      <c r="F2339">
        <v>1499.99</v>
      </c>
      <c r="G2339">
        <v>0.05</v>
      </c>
      <c r="H2339">
        <v>74.999499999999998</v>
      </c>
      <c r="I2339">
        <f>order_items[[#This Row],[list_price]]-order_items[[#This Row],[Discounted_price]]</f>
        <v>1424.9905000000001</v>
      </c>
      <c r="J2339">
        <f>VLOOKUP(B2339, Products!$A$2:$E$100, 3, FALSE)</f>
        <v>9</v>
      </c>
      <c r="K2339">
        <f>VLOOKUP(B2339, Products!$A$2:$F$100, 4, FALSE)</f>
        <v>6</v>
      </c>
    </row>
    <row r="2340" spans="1:11" x14ac:dyDescent="0.3">
      <c r="A2340">
        <v>819</v>
      </c>
      <c r="B2340">
        <v>1</v>
      </c>
      <c r="C2340">
        <v>94</v>
      </c>
      <c r="D2340" t="str">
        <f>VLOOKUP(B2340, Products!$A$2:$C$100, 2, FALSE)</f>
        <v>Trek 820 - 2016</v>
      </c>
      <c r="E2340">
        <v>1</v>
      </c>
      <c r="F2340">
        <v>249.99</v>
      </c>
      <c r="G2340">
        <v>0.2</v>
      </c>
      <c r="H2340">
        <v>49.998000000000005</v>
      </c>
      <c r="I2340">
        <f>order_items[[#This Row],[list_price]]-order_items[[#This Row],[Discounted_price]]</f>
        <v>199.99200000000002</v>
      </c>
      <c r="J2340">
        <f>VLOOKUP(B2340, Products!$A$2:$E$100, 3, FALSE)</f>
        <v>9</v>
      </c>
      <c r="K2340">
        <f>VLOOKUP(B2340, Products!$A$2:$F$100, 4, FALSE)</f>
        <v>6</v>
      </c>
    </row>
    <row r="2341" spans="1:11" x14ac:dyDescent="0.3">
      <c r="A2341">
        <v>820</v>
      </c>
      <c r="B2341">
        <v>1</v>
      </c>
      <c r="C2341">
        <v>107</v>
      </c>
      <c r="D2341" t="str">
        <f>VLOOKUP(B2341, Products!$A$2:$C$100, 2, FALSE)</f>
        <v>Trek 820 - 2016</v>
      </c>
      <c r="E2341">
        <v>1</v>
      </c>
      <c r="F2341">
        <v>416.99</v>
      </c>
      <c r="G2341">
        <v>0.05</v>
      </c>
      <c r="H2341">
        <v>20.849500000000003</v>
      </c>
      <c r="I2341">
        <f>order_items[[#This Row],[list_price]]-order_items[[#This Row],[Discounted_price]]</f>
        <v>396.14050000000003</v>
      </c>
      <c r="J2341">
        <f>VLOOKUP(B2341, Products!$A$2:$E$100, 3, FALSE)</f>
        <v>9</v>
      </c>
      <c r="K2341">
        <f>VLOOKUP(B2341, Products!$A$2:$F$100, 4, FALSE)</f>
        <v>6</v>
      </c>
    </row>
    <row r="2342" spans="1:11" x14ac:dyDescent="0.3">
      <c r="A2342">
        <v>821</v>
      </c>
      <c r="B2342">
        <v>1</v>
      </c>
      <c r="C2342">
        <v>102</v>
      </c>
      <c r="D2342" t="str">
        <f>VLOOKUP(B2342, Products!$A$2:$C$100, 2, FALSE)</f>
        <v>Trek 820 - 2016</v>
      </c>
      <c r="E2342">
        <v>1</v>
      </c>
      <c r="F2342">
        <v>489.99</v>
      </c>
      <c r="G2342">
        <v>7.0000000000000007E-2</v>
      </c>
      <c r="H2342">
        <v>34.299300000000002</v>
      </c>
      <c r="I2342">
        <f>order_items[[#This Row],[list_price]]-order_items[[#This Row],[Discounted_price]]</f>
        <v>455.69069999999999</v>
      </c>
      <c r="J2342">
        <f>VLOOKUP(B2342, Products!$A$2:$E$100, 3, FALSE)</f>
        <v>9</v>
      </c>
      <c r="K2342">
        <f>VLOOKUP(B2342, Products!$A$2:$F$100, 4, FALSE)</f>
        <v>6</v>
      </c>
    </row>
    <row r="2343" spans="1:11" x14ac:dyDescent="0.3">
      <c r="A2343">
        <v>821</v>
      </c>
      <c r="B2343">
        <v>2</v>
      </c>
      <c r="C2343">
        <v>70</v>
      </c>
      <c r="D2343" t="str">
        <f>VLOOKUP(B2343, Products!$A$2:$C$100, 2, FALSE)</f>
        <v>Ritchey Timberwolf Frameset - 2016</v>
      </c>
      <c r="E2343">
        <v>2</v>
      </c>
      <c r="F2343">
        <v>659.99</v>
      </c>
      <c r="G2343">
        <v>0.2</v>
      </c>
      <c r="H2343">
        <v>131.99800000000002</v>
      </c>
      <c r="I2343">
        <f>order_items[[#This Row],[list_price]]-order_items[[#This Row],[Discounted_price]]</f>
        <v>527.99199999999996</v>
      </c>
      <c r="J2343">
        <f>VLOOKUP(B2343, Products!$A$2:$E$100, 3, FALSE)</f>
        <v>5</v>
      </c>
      <c r="K2343">
        <f>VLOOKUP(B2343, Products!$A$2:$F$100, 4, FALSE)</f>
        <v>6</v>
      </c>
    </row>
    <row r="2344" spans="1:11" x14ac:dyDescent="0.3">
      <c r="A2344">
        <v>821</v>
      </c>
      <c r="B2344">
        <v>3</v>
      </c>
      <c r="C2344">
        <v>6</v>
      </c>
      <c r="D2344" t="str">
        <f>VLOOKUP(B2344, Products!$A$2:$C$100, 2, FALSE)</f>
        <v>Surly Wednesday Frameset - 2016</v>
      </c>
      <c r="E2344">
        <v>1</v>
      </c>
      <c r="F2344">
        <v>469.99</v>
      </c>
      <c r="G2344">
        <v>0.2</v>
      </c>
      <c r="H2344">
        <v>93.998000000000005</v>
      </c>
      <c r="I2344">
        <f>order_items[[#This Row],[list_price]]-order_items[[#This Row],[Discounted_price]]</f>
        <v>375.99200000000002</v>
      </c>
      <c r="J2344">
        <f>VLOOKUP(B2344, Products!$A$2:$E$100, 3, FALSE)</f>
        <v>8</v>
      </c>
      <c r="K2344">
        <f>VLOOKUP(B2344, Products!$A$2:$F$100, 4, FALSE)</f>
        <v>6</v>
      </c>
    </row>
    <row r="2345" spans="1:11" x14ac:dyDescent="0.3">
      <c r="A2345">
        <v>821</v>
      </c>
      <c r="B2345">
        <v>4</v>
      </c>
      <c r="C2345">
        <v>107</v>
      </c>
      <c r="D2345" t="str">
        <f>VLOOKUP(B2345, Products!$A$2:$C$100, 2, FALSE)</f>
        <v>Trek Fuel EX 8 29 - 2016</v>
      </c>
      <c r="E2345">
        <v>1</v>
      </c>
      <c r="F2345">
        <v>416.99</v>
      </c>
      <c r="G2345">
        <v>0.05</v>
      </c>
      <c r="H2345">
        <v>20.849500000000003</v>
      </c>
      <c r="I2345">
        <f>order_items[[#This Row],[list_price]]-order_items[[#This Row],[Discounted_price]]</f>
        <v>396.14050000000003</v>
      </c>
      <c r="J2345">
        <f>VLOOKUP(B2345, Products!$A$2:$E$100, 3, FALSE)</f>
        <v>9</v>
      </c>
      <c r="K2345">
        <f>VLOOKUP(B2345, Products!$A$2:$F$100, 4, FALSE)</f>
        <v>6</v>
      </c>
    </row>
    <row r="2346" spans="1:11" x14ac:dyDescent="0.3">
      <c r="A2346">
        <v>822</v>
      </c>
      <c r="B2346">
        <v>1</v>
      </c>
      <c r="C2346">
        <v>53</v>
      </c>
      <c r="D2346" t="str">
        <f>VLOOKUP(B2346, Products!$A$2:$C$100, 2, FALSE)</f>
        <v>Trek 820 - 2016</v>
      </c>
      <c r="E2346">
        <v>1</v>
      </c>
      <c r="F2346">
        <v>749.99</v>
      </c>
      <c r="G2346">
        <v>0.05</v>
      </c>
      <c r="H2346">
        <v>37.499500000000005</v>
      </c>
      <c r="I2346">
        <f>order_items[[#This Row],[list_price]]-order_items[[#This Row],[Discounted_price]]</f>
        <v>712.4905</v>
      </c>
      <c r="J2346">
        <f>VLOOKUP(B2346, Products!$A$2:$E$100, 3, FALSE)</f>
        <v>9</v>
      </c>
      <c r="K2346">
        <f>VLOOKUP(B2346, Products!$A$2:$F$100, 4, FALSE)</f>
        <v>6</v>
      </c>
    </row>
    <row r="2347" spans="1:11" x14ac:dyDescent="0.3">
      <c r="A2347">
        <v>822</v>
      </c>
      <c r="B2347">
        <v>2</v>
      </c>
      <c r="C2347">
        <v>72</v>
      </c>
      <c r="D2347" t="str">
        <f>VLOOKUP(B2347, Products!$A$2:$C$100, 2, FALSE)</f>
        <v>Ritchey Timberwolf Frameset - 2016</v>
      </c>
      <c r="E2347">
        <v>1</v>
      </c>
      <c r="F2347">
        <v>619.99</v>
      </c>
      <c r="G2347">
        <v>0.2</v>
      </c>
      <c r="H2347">
        <v>123.998</v>
      </c>
      <c r="I2347">
        <f>order_items[[#This Row],[list_price]]-order_items[[#This Row],[Discounted_price]]</f>
        <v>495.99200000000002</v>
      </c>
      <c r="J2347">
        <f>VLOOKUP(B2347, Products!$A$2:$E$100, 3, FALSE)</f>
        <v>5</v>
      </c>
      <c r="K2347">
        <f>VLOOKUP(B2347, Products!$A$2:$F$100, 4, FALSE)</f>
        <v>6</v>
      </c>
    </row>
    <row r="2348" spans="1:11" x14ac:dyDescent="0.3">
      <c r="A2348">
        <v>823</v>
      </c>
      <c r="B2348">
        <v>1</v>
      </c>
      <c r="C2348">
        <v>56</v>
      </c>
      <c r="D2348" t="str">
        <f>VLOOKUP(B2348, Products!$A$2:$C$100, 2, FALSE)</f>
        <v>Trek 820 - 2016</v>
      </c>
      <c r="E2348">
        <v>2</v>
      </c>
      <c r="F2348">
        <v>5499.99</v>
      </c>
      <c r="G2348">
        <v>7.0000000000000007E-2</v>
      </c>
      <c r="H2348">
        <v>384.99930000000001</v>
      </c>
      <c r="I2348">
        <f>order_items[[#This Row],[list_price]]-order_items[[#This Row],[Discounted_price]]</f>
        <v>5114.9906999999994</v>
      </c>
      <c r="J2348">
        <f>VLOOKUP(B2348, Products!$A$2:$E$100, 3, FALSE)</f>
        <v>9</v>
      </c>
      <c r="K2348">
        <f>VLOOKUP(B2348, Products!$A$2:$F$100, 4, FALSE)</f>
        <v>6</v>
      </c>
    </row>
    <row r="2349" spans="1:11" x14ac:dyDescent="0.3">
      <c r="A2349">
        <v>823</v>
      </c>
      <c r="B2349">
        <v>2</v>
      </c>
      <c r="C2349">
        <v>86</v>
      </c>
      <c r="D2349" t="str">
        <f>VLOOKUP(B2349, Products!$A$2:$C$100, 2, FALSE)</f>
        <v>Ritchey Timberwolf Frameset - 2016</v>
      </c>
      <c r="E2349">
        <v>2</v>
      </c>
      <c r="F2349">
        <v>149.99</v>
      </c>
      <c r="G2349">
        <v>0.2</v>
      </c>
      <c r="H2349">
        <v>29.998000000000005</v>
      </c>
      <c r="I2349">
        <f>order_items[[#This Row],[list_price]]-order_items[[#This Row],[Discounted_price]]</f>
        <v>119.992</v>
      </c>
      <c r="J2349">
        <f>VLOOKUP(B2349, Products!$A$2:$E$100, 3, FALSE)</f>
        <v>5</v>
      </c>
      <c r="K2349">
        <f>VLOOKUP(B2349, Products!$A$2:$F$100, 4, FALSE)</f>
        <v>6</v>
      </c>
    </row>
    <row r="2350" spans="1:11" x14ac:dyDescent="0.3">
      <c r="A2350">
        <v>823</v>
      </c>
      <c r="B2350">
        <v>3</v>
      </c>
      <c r="C2350">
        <v>81</v>
      </c>
      <c r="D2350" t="str">
        <f>VLOOKUP(B2350, Products!$A$2:$C$100, 2, FALSE)</f>
        <v>Surly Wednesday Frameset - 2016</v>
      </c>
      <c r="E2350">
        <v>1</v>
      </c>
      <c r="F2350">
        <v>1099.99</v>
      </c>
      <c r="G2350">
        <v>0.2</v>
      </c>
      <c r="H2350">
        <v>219.99800000000002</v>
      </c>
      <c r="I2350">
        <f>order_items[[#This Row],[list_price]]-order_items[[#This Row],[Discounted_price]]</f>
        <v>879.99199999999996</v>
      </c>
      <c r="J2350">
        <f>VLOOKUP(B2350, Products!$A$2:$E$100, 3, FALSE)</f>
        <v>8</v>
      </c>
      <c r="K2350">
        <f>VLOOKUP(B2350, Products!$A$2:$F$100, 4, FALSE)</f>
        <v>6</v>
      </c>
    </row>
    <row r="2351" spans="1:11" x14ac:dyDescent="0.3">
      <c r="A2351">
        <v>824</v>
      </c>
      <c r="B2351">
        <v>1</v>
      </c>
      <c r="C2351">
        <v>92</v>
      </c>
      <c r="D2351" t="str">
        <f>VLOOKUP(B2351, Products!$A$2:$C$100, 2, FALSE)</f>
        <v>Trek 820 - 2016</v>
      </c>
      <c r="E2351">
        <v>2</v>
      </c>
      <c r="F2351">
        <v>209.99</v>
      </c>
      <c r="G2351">
        <v>0.1</v>
      </c>
      <c r="H2351">
        <v>20.999000000000002</v>
      </c>
      <c r="I2351">
        <f>order_items[[#This Row],[list_price]]-order_items[[#This Row],[Discounted_price]]</f>
        <v>188.99100000000001</v>
      </c>
      <c r="J2351">
        <f>VLOOKUP(B2351, Products!$A$2:$E$100, 3, FALSE)</f>
        <v>9</v>
      </c>
      <c r="K2351">
        <f>VLOOKUP(B2351, Products!$A$2:$F$100, 4, FALSE)</f>
        <v>6</v>
      </c>
    </row>
    <row r="2352" spans="1:11" x14ac:dyDescent="0.3">
      <c r="A2352">
        <v>825</v>
      </c>
      <c r="B2352">
        <v>1</v>
      </c>
      <c r="C2352">
        <v>19</v>
      </c>
      <c r="D2352" t="str">
        <f>VLOOKUP(B2352, Products!$A$2:$C$100, 2, FALSE)</f>
        <v>Trek 820 - 2016</v>
      </c>
      <c r="E2352">
        <v>1</v>
      </c>
      <c r="F2352">
        <v>449</v>
      </c>
      <c r="G2352">
        <v>0.1</v>
      </c>
      <c r="H2352">
        <v>44.900000000000006</v>
      </c>
      <c r="I2352">
        <f>order_items[[#This Row],[list_price]]-order_items[[#This Row],[Discounted_price]]</f>
        <v>404.1</v>
      </c>
      <c r="J2352">
        <f>VLOOKUP(B2352, Products!$A$2:$E$100, 3, FALSE)</f>
        <v>9</v>
      </c>
      <c r="K2352">
        <f>VLOOKUP(B2352, Products!$A$2:$F$100, 4, FALSE)</f>
        <v>6</v>
      </c>
    </row>
    <row r="2353" spans="1:11" x14ac:dyDescent="0.3">
      <c r="A2353">
        <v>825</v>
      </c>
      <c r="B2353">
        <v>2</v>
      </c>
      <c r="C2353">
        <v>30</v>
      </c>
      <c r="D2353" t="str">
        <f>VLOOKUP(B2353, Products!$A$2:$C$100, 2, FALSE)</f>
        <v>Ritchey Timberwolf Frameset - 2016</v>
      </c>
      <c r="E2353">
        <v>2</v>
      </c>
      <c r="F2353">
        <v>999.99</v>
      </c>
      <c r="G2353">
        <v>0.2</v>
      </c>
      <c r="H2353">
        <v>199.99800000000002</v>
      </c>
      <c r="I2353">
        <f>order_items[[#This Row],[list_price]]-order_items[[#This Row],[Discounted_price]]</f>
        <v>799.99199999999996</v>
      </c>
      <c r="J2353">
        <f>VLOOKUP(B2353, Products!$A$2:$E$100, 3, FALSE)</f>
        <v>5</v>
      </c>
      <c r="K2353">
        <f>VLOOKUP(B2353, Products!$A$2:$F$100, 4, FALSE)</f>
        <v>6</v>
      </c>
    </row>
    <row r="2354" spans="1:11" x14ac:dyDescent="0.3">
      <c r="A2354">
        <v>826</v>
      </c>
      <c r="B2354">
        <v>1</v>
      </c>
      <c r="C2354">
        <v>45</v>
      </c>
      <c r="D2354" t="str">
        <f>VLOOKUP(B2354, Products!$A$2:$C$100, 2, FALSE)</f>
        <v>Trek 820 - 2016</v>
      </c>
      <c r="E2354">
        <v>2</v>
      </c>
      <c r="F2354">
        <v>869.99</v>
      </c>
      <c r="G2354">
        <v>0.2</v>
      </c>
      <c r="H2354">
        <v>173.99800000000002</v>
      </c>
      <c r="I2354">
        <f>order_items[[#This Row],[list_price]]-order_items[[#This Row],[Discounted_price]]</f>
        <v>695.99199999999996</v>
      </c>
      <c r="J2354">
        <f>VLOOKUP(B2354, Products!$A$2:$E$100, 3, FALSE)</f>
        <v>9</v>
      </c>
      <c r="K2354">
        <f>VLOOKUP(B2354, Products!$A$2:$F$100, 4, FALSE)</f>
        <v>6</v>
      </c>
    </row>
    <row r="2355" spans="1:11" x14ac:dyDescent="0.3">
      <c r="A2355">
        <v>826</v>
      </c>
      <c r="B2355">
        <v>2</v>
      </c>
      <c r="C2355">
        <v>36</v>
      </c>
      <c r="D2355" t="str">
        <f>VLOOKUP(B2355, Products!$A$2:$C$100, 2, FALSE)</f>
        <v>Ritchey Timberwolf Frameset - 2016</v>
      </c>
      <c r="E2355">
        <v>1</v>
      </c>
      <c r="F2355">
        <v>832.99</v>
      </c>
      <c r="G2355">
        <v>0.1</v>
      </c>
      <c r="H2355">
        <v>83.299000000000007</v>
      </c>
      <c r="I2355">
        <f>order_items[[#This Row],[list_price]]-order_items[[#This Row],[Discounted_price]]</f>
        <v>749.69100000000003</v>
      </c>
      <c r="J2355">
        <f>VLOOKUP(B2355, Products!$A$2:$E$100, 3, FALSE)</f>
        <v>5</v>
      </c>
      <c r="K2355">
        <f>VLOOKUP(B2355, Products!$A$2:$F$100, 4, FALSE)</f>
        <v>6</v>
      </c>
    </row>
    <row r="2356" spans="1:11" x14ac:dyDescent="0.3">
      <c r="A2356">
        <v>827</v>
      </c>
      <c r="B2356">
        <v>1</v>
      </c>
      <c r="C2356">
        <v>43</v>
      </c>
      <c r="D2356" t="str">
        <f>VLOOKUP(B2356, Products!$A$2:$C$100, 2, FALSE)</f>
        <v>Trek 820 - 2016</v>
      </c>
      <c r="E2356">
        <v>1</v>
      </c>
      <c r="F2356">
        <v>5299.99</v>
      </c>
      <c r="G2356">
        <v>0.05</v>
      </c>
      <c r="H2356">
        <v>264.99950000000001</v>
      </c>
      <c r="I2356">
        <f>order_items[[#This Row],[list_price]]-order_items[[#This Row],[Discounted_price]]</f>
        <v>5034.9904999999999</v>
      </c>
      <c r="J2356">
        <f>VLOOKUP(B2356, Products!$A$2:$E$100, 3, FALSE)</f>
        <v>9</v>
      </c>
      <c r="K2356">
        <f>VLOOKUP(B2356, Products!$A$2:$F$100, 4, FALSE)</f>
        <v>6</v>
      </c>
    </row>
    <row r="2357" spans="1:11" x14ac:dyDescent="0.3">
      <c r="A2357">
        <v>827</v>
      </c>
      <c r="B2357">
        <v>2</v>
      </c>
      <c r="C2357">
        <v>41</v>
      </c>
      <c r="D2357" t="str">
        <f>VLOOKUP(B2357, Products!$A$2:$C$100, 2, FALSE)</f>
        <v>Ritchey Timberwolf Frameset - 2016</v>
      </c>
      <c r="E2357">
        <v>1</v>
      </c>
      <c r="F2357">
        <v>1469.99</v>
      </c>
      <c r="G2357">
        <v>0.2</v>
      </c>
      <c r="H2357">
        <v>293.99799999999999</v>
      </c>
      <c r="I2357">
        <f>order_items[[#This Row],[list_price]]-order_items[[#This Row],[Discounted_price]]</f>
        <v>1175.992</v>
      </c>
      <c r="J2357">
        <f>VLOOKUP(B2357, Products!$A$2:$E$100, 3, FALSE)</f>
        <v>5</v>
      </c>
      <c r="K2357">
        <f>VLOOKUP(B2357, Products!$A$2:$F$100, 4, FALSE)</f>
        <v>6</v>
      </c>
    </row>
    <row r="2358" spans="1:11" x14ac:dyDescent="0.3">
      <c r="A2358">
        <v>827</v>
      </c>
      <c r="B2358">
        <v>3</v>
      </c>
      <c r="C2358">
        <v>28</v>
      </c>
      <c r="D2358" t="str">
        <f>VLOOKUP(B2358, Products!$A$2:$C$100, 2, FALSE)</f>
        <v>Surly Wednesday Frameset - 2016</v>
      </c>
      <c r="E2358">
        <v>1</v>
      </c>
      <c r="F2358">
        <v>2499.9899999999998</v>
      </c>
      <c r="G2358">
        <v>0.2</v>
      </c>
      <c r="H2358">
        <v>499.99799999999999</v>
      </c>
      <c r="I2358">
        <f>order_items[[#This Row],[list_price]]-order_items[[#This Row],[Discounted_price]]</f>
        <v>1999.9919999999997</v>
      </c>
      <c r="J2358">
        <f>VLOOKUP(B2358, Products!$A$2:$E$100, 3, FALSE)</f>
        <v>8</v>
      </c>
      <c r="K2358">
        <f>VLOOKUP(B2358, Products!$A$2:$F$100, 4, FALSE)</f>
        <v>6</v>
      </c>
    </row>
    <row r="2359" spans="1:11" x14ac:dyDescent="0.3">
      <c r="A2359">
        <v>827</v>
      </c>
      <c r="B2359">
        <v>4</v>
      </c>
      <c r="C2359">
        <v>108</v>
      </c>
      <c r="D2359" t="str">
        <f>VLOOKUP(B2359, Products!$A$2:$C$100, 2, FALSE)</f>
        <v>Trek Fuel EX 8 29 - 2016</v>
      </c>
      <c r="E2359">
        <v>1</v>
      </c>
      <c r="F2359">
        <v>449.99</v>
      </c>
      <c r="G2359">
        <v>0.2</v>
      </c>
      <c r="H2359">
        <v>89.998000000000005</v>
      </c>
      <c r="I2359">
        <f>order_items[[#This Row],[list_price]]-order_items[[#This Row],[Discounted_price]]</f>
        <v>359.99200000000002</v>
      </c>
      <c r="J2359">
        <f>VLOOKUP(B2359, Products!$A$2:$E$100, 3, FALSE)</f>
        <v>9</v>
      </c>
      <c r="K2359">
        <f>VLOOKUP(B2359, Products!$A$2:$F$100, 4, FALSE)</f>
        <v>6</v>
      </c>
    </row>
    <row r="2360" spans="1:11" x14ac:dyDescent="0.3">
      <c r="A2360">
        <v>828</v>
      </c>
      <c r="B2360">
        <v>1</v>
      </c>
      <c r="C2360">
        <v>25</v>
      </c>
      <c r="D2360" t="str">
        <f>VLOOKUP(B2360, Products!$A$2:$C$100, 2, FALSE)</f>
        <v>Trek 820 - 2016</v>
      </c>
      <c r="E2360">
        <v>2</v>
      </c>
      <c r="F2360">
        <v>499.99</v>
      </c>
      <c r="G2360">
        <v>0.2</v>
      </c>
      <c r="H2360">
        <v>99.998000000000005</v>
      </c>
      <c r="I2360">
        <f>order_items[[#This Row],[list_price]]-order_items[[#This Row],[Discounted_price]]</f>
        <v>399.99200000000002</v>
      </c>
      <c r="J2360">
        <f>VLOOKUP(B2360, Products!$A$2:$E$100, 3, FALSE)</f>
        <v>9</v>
      </c>
      <c r="K2360">
        <f>VLOOKUP(B2360, Products!$A$2:$F$100, 4, FALSE)</f>
        <v>6</v>
      </c>
    </row>
    <row r="2361" spans="1:11" x14ac:dyDescent="0.3">
      <c r="A2361">
        <v>828</v>
      </c>
      <c r="B2361">
        <v>2</v>
      </c>
      <c r="C2361">
        <v>24</v>
      </c>
      <c r="D2361" t="str">
        <f>VLOOKUP(B2361, Products!$A$2:$C$100, 2, FALSE)</f>
        <v>Ritchey Timberwolf Frameset - 2016</v>
      </c>
      <c r="E2361">
        <v>1</v>
      </c>
      <c r="F2361">
        <v>549.99</v>
      </c>
      <c r="G2361">
        <v>0.2</v>
      </c>
      <c r="H2361">
        <v>109.998</v>
      </c>
      <c r="I2361">
        <f>order_items[[#This Row],[list_price]]-order_items[[#This Row],[Discounted_price]]</f>
        <v>439.99200000000002</v>
      </c>
      <c r="J2361">
        <f>VLOOKUP(B2361, Products!$A$2:$E$100, 3, FALSE)</f>
        <v>5</v>
      </c>
      <c r="K2361">
        <f>VLOOKUP(B2361, Products!$A$2:$F$100, 4, FALSE)</f>
        <v>6</v>
      </c>
    </row>
    <row r="2362" spans="1:11" x14ac:dyDescent="0.3">
      <c r="A2362">
        <v>828</v>
      </c>
      <c r="B2362">
        <v>3</v>
      </c>
      <c r="C2362">
        <v>55</v>
      </c>
      <c r="D2362" t="str">
        <f>VLOOKUP(B2362, Products!$A$2:$C$100, 2, FALSE)</f>
        <v>Surly Wednesday Frameset - 2016</v>
      </c>
      <c r="E2362">
        <v>2</v>
      </c>
      <c r="F2362">
        <v>2699.99</v>
      </c>
      <c r="G2362">
        <v>7.0000000000000007E-2</v>
      </c>
      <c r="H2362">
        <v>188.99930000000001</v>
      </c>
      <c r="I2362">
        <f>order_items[[#This Row],[list_price]]-order_items[[#This Row],[Discounted_price]]</f>
        <v>2510.9906999999998</v>
      </c>
      <c r="J2362">
        <f>VLOOKUP(B2362, Products!$A$2:$E$100, 3, FALSE)</f>
        <v>8</v>
      </c>
      <c r="K2362">
        <f>VLOOKUP(B2362, Products!$A$2:$F$100, 4, FALSE)</f>
        <v>6</v>
      </c>
    </row>
    <row r="2363" spans="1:11" x14ac:dyDescent="0.3">
      <c r="A2363">
        <v>829</v>
      </c>
      <c r="B2363">
        <v>1</v>
      </c>
      <c r="C2363">
        <v>103</v>
      </c>
      <c r="D2363" t="str">
        <f>VLOOKUP(B2363, Products!$A$2:$C$100, 2, FALSE)</f>
        <v>Trek 820 - 2016</v>
      </c>
      <c r="E2363">
        <v>1</v>
      </c>
      <c r="F2363">
        <v>551.99</v>
      </c>
      <c r="G2363">
        <v>0.2</v>
      </c>
      <c r="H2363">
        <v>110.39800000000001</v>
      </c>
      <c r="I2363">
        <f>order_items[[#This Row],[list_price]]-order_items[[#This Row],[Discounted_price]]</f>
        <v>441.59199999999998</v>
      </c>
      <c r="J2363">
        <f>VLOOKUP(B2363, Products!$A$2:$E$100, 3, FALSE)</f>
        <v>9</v>
      </c>
      <c r="K2363">
        <f>VLOOKUP(B2363, Products!$A$2:$F$100, 4, FALSE)</f>
        <v>6</v>
      </c>
    </row>
    <row r="2364" spans="1:11" x14ac:dyDescent="0.3">
      <c r="A2364">
        <v>829</v>
      </c>
      <c r="B2364">
        <v>2</v>
      </c>
      <c r="C2364">
        <v>105</v>
      </c>
      <c r="D2364" t="str">
        <f>VLOOKUP(B2364, Products!$A$2:$C$100, 2, FALSE)</f>
        <v>Ritchey Timberwolf Frameset - 2016</v>
      </c>
      <c r="E2364">
        <v>2</v>
      </c>
      <c r="F2364">
        <v>533.99</v>
      </c>
      <c r="G2364">
        <v>0.1</v>
      </c>
      <c r="H2364">
        <v>53.399000000000001</v>
      </c>
      <c r="I2364">
        <f>order_items[[#This Row],[list_price]]-order_items[[#This Row],[Discounted_price]]</f>
        <v>480.59100000000001</v>
      </c>
      <c r="J2364">
        <f>VLOOKUP(B2364, Products!$A$2:$E$100, 3, FALSE)</f>
        <v>5</v>
      </c>
      <c r="K2364">
        <f>VLOOKUP(B2364, Products!$A$2:$F$100, 4, FALSE)</f>
        <v>6</v>
      </c>
    </row>
    <row r="2365" spans="1:11" x14ac:dyDescent="0.3">
      <c r="A2365">
        <v>830</v>
      </c>
      <c r="B2365">
        <v>1</v>
      </c>
      <c r="C2365">
        <v>85</v>
      </c>
      <c r="D2365" t="str">
        <f>VLOOKUP(B2365, Products!$A$2:$C$100, 2, FALSE)</f>
        <v>Trek 820 - 2016</v>
      </c>
      <c r="E2365">
        <v>2</v>
      </c>
      <c r="F2365">
        <v>329.99</v>
      </c>
      <c r="G2365">
        <v>0.2</v>
      </c>
      <c r="H2365">
        <v>65.998000000000005</v>
      </c>
      <c r="I2365">
        <f>order_items[[#This Row],[list_price]]-order_items[[#This Row],[Discounted_price]]</f>
        <v>263.99200000000002</v>
      </c>
      <c r="J2365">
        <f>VLOOKUP(B2365, Products!$A$2:$E$100, 3, FALSE)</f>
        <v>9</v>
      </c>
      <c r="K2365">
        <f>VLOOKUP(B2365, Products!$A$2:$F$100, 4, FALSE)</f>
        <v>6</v>
      </c>
    </row>
    <row r="2366" spans="1:11" x14ac:dyDescent="0.3">
      <c r="A2366">
        <v>830</v>
      </c>
      <c r="B2366">
        <v>2</v>
      </c>
      <c r="C2366">
        <v>100</v>
      </c>
      <c r="D2366" t="str">
        <f>VLOOKUP(B2366, Products!$A$2:$C$100, 2, FALSE)</f>
        <v>Ritchey Timberwolf Frameset - 2016</v>
      </c>
      <c r="E2366">
        <v>2</v>
      </c>
      <c r="F2366">
        <v>489.99</v>
      </c>
      <c r="G2366">
        <v>7.0000000000000007E-2</v>
      </c>
      <c r="H2366">
        <v>34.299300000000002</v>
      </c>
      <c r="I2366">
        <f>order_items[[#This Row],[list_price]]-order_items[[#This Row],[Discounted_price]]</f>
        <v>455.69069999999999</v>
      </c>
      <c r="J2366">
        <f>VLOOKUP(B2366, Products!$A$2:$E$100, 3, FALSE)</f>
        <v>5</v>
      </c>
      <c r="K2366">
        <f>VLOOKUP(B2366, Products!$A$2:$F$100, 4, FALSE)</f>
        <v>6</v>
      </c>
    </row>
    <row r="2367" spans="1:11" x14ac:dyDescent="0.3">
      <c r="A2367">
        <v>830</v>
      </c>
      <c r="B2367">
        <v>3</v>
      </c>
      <c r="C2367">
        <v>96</v>
      </c>
      <c r="D2367" t="str">
        <f>VLOOKUP(B2367, Products!$A$2:$C$100, 2, FALSE)</f>
        <v>Surly Wednesday Frameset - 2016</v>
      </c>
      <c r="E2367">
        <v>2</v>
      </c>
      <c r="F2367">
        <v>349.99</v>
      </c>
      <c r="G2367">
        <v>0.2</v>
      </c>
      <c r="H2367">
        <v>69.998000000000005</v>
      </c>
      <c r="I2367">
        <f>order_items[[#This Row],[list_price]]-order_items[[#This Row],[Discounted_price]]</f>
        <v>279.99200000000002</v>
      </c>
      <c r="J2367">
        <f>VLOOKUP(B2367, Products!$A$2:$E$100, 3, FALSE)</f>
        <v>8</v>
      </c>
      <c r="K2367">
        <f>VLOOKUP(B2367, Products!$A$2:$F$100, 4, FALSE)</f>
        <v>6</v>
      </c>
    </row>
    <row r="2368" spans="1:11" x14ac:dyDescent="0.3">
      <c r="A2368">
        <v>831</v>
      </c>
      <c r="B2368">
        <v>1</v>
      </c>
      <c r="C2368">
        <v>67</v>
      </c>
      <c r="D2368" t="str">
        <f>VLOOKUP(B2368, Products!$A$2:$C$100, 2, FALSE)</f>
        <v>Trek 820 - 2016</v>
      </c>
      <c r="E2368">
        <v>1</v>
      </c>
      <c r="F2368">
        <v>250.99</v>
      </c>
      <c r="G2368">
        <v>0.2</v>
      </c>
      <c r="H2368">
        <v>50.198000000000008</v>
      </c>
      <c r="I2368">
        <f>order_items[[#This Row],[list_price]]-order_items[[#This Row],[Discounted_price]]</f>
        <v>200.792</v>
      </c>
      <c r="J2368">
        <f>VLOOKUP(B2368, Products!$A$2:$E$100, 3, FALSE)</f>
        <v>9</v>
      </c>
      <c r="K2368">
        <f>VLOOKUP(B2368, Products!$A$2:$F$100, 4, FALSE)</f>
        <v>6</v>
      </c>
    </row>
    <row r="2369" spans="1:11" x14ac:dyDescent="0.3">
      <c r="A2369">
        <v>831</v>
      </c>
      <c r="B2369">
        <v>2</v>
      </c>
      <c r="C2369">
        <v>11</v>
      </c>
      <c r="D2369" t="str">
        <f>VLOOKUP(B2369, Products!$A$2:$C$100, 2, FALSE)</f>
        <v>Ritchey Timberwolf Frameset - 2016</v>
      </c>
      <c r="E2369">
        <v>1</v>
      </c>
      <c r="F2369">
        <v>1680.99</v>
      </c>
      <c r="G2369">
        <v>0.2</v>
      </c>
      <c r="H2369">
        <v>336.19800000000004</v>
      </c>
      <c r="I2369">
        <f>order_items[[#This Row],[list_price]]-order_items[[#This Row],[Discounted_price]]</f>
        <v>1344.7919999999999</v>
      </c>
      <c r="J2369">
        <f>VLOOKUP(B2369, Products!$A$2:$E$100, 3, FALSE)</f>
        <v>5</v>
      </c>
      <c r="K2369">
        <f>VLOOKUP(B2369, Products!$A$2:$F$100, 4, FALSE)</f>
        <v>6</v>
      </c>
    </row>
    <row r="2370" spans="1:11" x14ac:dyDescent="0.3">
      <c r="A2370">
        <v>831</v>
      </c>
      <c r="B2370">
        <v>3</v>
      </c>
      <c r="C2370">
        <v>68</v>
      </c>
      <c r="D2370" t="str">
        <f>VLOOKUP(B2370, Products!$A$2:$C$100, 2, FALSE)</f>
        <v>Surly Wednesday Frameset - 2016</v>
      </c>
      <c r="E2370">
        <v>1</v>
      </c>
      <c r="F2370">
        <v>449.99</v>
      </c>
      <c r="G2370">
        <v>0.1</v>
      </c>
      <c r="H2370">
        <v>44.999000000000002</v>
      </c>
      <c r="I2370">
        <f>order_items[[#This Row],[list_price]]-order_items[[#This Row],[Discounted_price]]</f>
        <v>404.99099999999999</v>
      </c>
      <c r="J2370">
        <f>VLOOKUP(B2370, Products!$A$2:$E$100, 3, FALSE)</f>
        <v>8</v>
      </c>
      <c r="K2370">
        <f>VLOOKUP(B2370, Products!$A$2:$F$100, 4, FALSE)</f>
        <v>6</v>
      </c>
    </row>
    <row r="2371" spans="1:11" x14ac:dyDescent="0.3">
      <c r="A2371">
        <v>832</v>
      </c>
      <c r="B2371">
        <v>1</v>
      </c>
      <c r="C2371">
        <v>54</v>
      </c>
      <c r="D2371" t="str">
        <f>VLOOKUP(B2371, Products!$A$2:$C$100, 2, FALSE)</f>
        <v>Trek 820 - 2016</v>
      </c>
      <c r="E2371">
        <v>1</v>
      </c>
      <c r="F2371">
        <v>3199.99</v>
      </c>
      <c r="G2371">
        <v>0.05</v>
      </c>
      <c r="H2371">
        <v>159.99950000000001</v>
      </c>
      <c r="I2371">
        <f>order_items[[#This Row],[list_price]]-order_items[[#This Row],[Discounted_price]]</f>
        <v>3039.9904999999999</v>
      </c>
      <c r="J2371">
        <f>VLOOKUP(B2371, Products!$A$2:$E$100, 3, FALSE)</f>
        <v>9</v>
      </c>
      <c r="K2371">
        <f>VLOOKUP(B2371, Products!$A$2:$F$100, 4, FALSE)</f>
        <v>6</v>
      </c>
    </row>
    <row r="2372" spans="1:11" x14ac:dyDescent="0.3">
      <c r="A2372">
        <v>832</v>
      </c>
      <c r="B2372">
        <v>2</v>
      </c>
      <c r="C2372">
        <v>45</v>
      </c>
      <c r="D2372" t="str">
        <f>VLOOKUP(B2372, Products!$A$2:$C$100, 2, FALSE)</f>
        <v>Ritchey Timberwolf Frameset - 2016</v>
      </c>
      <c r="E2372">
        <v>1</v>
      </c>
      <c r="F2372">
        <v>869.99</v>
      </c>
      <c r="G2372">
        <v>0.2</v>
      </c>
      <c r="H2372">
        <v>173.99800000000002</v>
      </c>
      <c r="I2372">
        <f>order_items[[#This Row],[list_price]]-order_items[[#This Row],[Discounted_price]]</f>
        <v>695.99199999999996</v>
      </c>
      <c r="J2372">
        <f>VLOOKUP(B2372, Products!$A$2:$E$100, 3, FALSE)</f>
        <v>5</v>
      </c>
      <c r="K2372">
        <f>VLOOKUP(B2372, Products!$A$2:$F$100, 4, FALSE)</f>
        <v>6</v>
      </c>
    </row>
    <row r="2373" spans="1:11" x14ac:dyDescent="0.3">
      <c r="A2373">
        <v>832</v>
      </c>
      <c r="B2373">
        <v>3</v>
      </c>
      <c r="C2373">
        <v>27</v>
      </c>
      <c r="D2373" t="str">
        <f>VLOOKUP(B2373, Products!$A$2:$C$100, 2, FALSE)</f>
        <v>Surly Wednesday Frameset - 2016</v>
      </c>
      <c r="E2373">
        <v>1</v>
      </c>
      <c r="F2373">
        <v>999.99</v>
      </c>
      <c r="G2373">
        <v>7.0000000000000007E-2</v>
      </c>
      <c r="H2373">
        <v>69.999300000000005</v>
      </c>
      <c r="I2373">
        <f>order_items[[#This Row],[list_price]]-order_items[[#This Row],[Discounted_price]]</f>
        <v>929.99070000000006</v>
      </c>
      <c r="J2373">
        <f>VLOOKUP(B2373, Products!$A$2:$E$100, 3, FALSE)</f>
        <v>8</v>
      </c>
      <c r="K2373">
        <f>VLOOKUP(B2373, Products!$A$2:$F$100, 4, FALSE)</f>
        <v>6</v>
      </c>
    </row>
    <row r="2374" spans="1:11" x14ac:dyDescent="0.3">
      <c r="A2374">
        <v>832</v>
      </c>
      <c r="B2374">
        <v>4</v>
      </c>
      <c r="C2374">
        <v>16</v>
      </c>
      <c r="D2374" t="str">
        <f>VLOOKUP(B2374, Products!$A$2:$C$100, 2, FALSE)</f>
        <v>Trek Fuel EX 8 29 - 2016</v>
      </c>
      <c r="E2374">
        <v>2</v>
      </c>
      <c r="F2374">
        <v>599.99</v>
      </c>
      <c r="G2374">
        <v>0.1</v>
      </c>
      <c r="H2374">
        <v>59.999000000000002</v>
      </c>
      <c r="I2374">
        <f>order_items[[#This Row],[list_price]]-order_items[[#This Row],[Discounted_price]]</f>
        <v>539.99099999999999</v>
      </c>
      <c r="J2374">
        <f>VLOOKUP(B2374, Products!$A$2:$E$100, 3, FALSE)</f>
        <v>9</v>
      </c>
      <c r="K2374">
        <f>VLOOKUP(B2374, Products!$A$2:$F$100, 4, FALSE)</f>
        <v>6</v>
      </c>
    </row>
    <row r="2375" spans="1:11" x14ac:dyDescent="0.3">
      <c r="A2375">
        <v>833</v>
      </c>
      <c r="B2375">
        <v>1</v>
      </c>
      <c r="C2375">
        <v>20</v>
      </c>
      <c r="D2375" t="str">
        <f>VLOOKUP(B2375, Products!$A$2:$C$100, 2, FALSE)</f>
        <v>Trek 820 - 2016</v>
      </c>
      <c r="E2375">
        <v>2</v>
      </c>
      <c r="F2375">
        <v>599.99</v>
      </c>
      <c r="G2375">
        <v>0.05</v>
      </c>
      <c r="H2375">
        <v>29.999500000000001</v>
      </c>
      <c r="I2375">
        <f>order_items[[#This Row],[list_price]]-order_items[[#This Row],[Discounted_price]]</f>
        <v>569.9905</v>
      </c>
      <c r="J2375">
        <f>VLOOKUP(B2375, Products!$A$2:$E$100, 3, FALSE)</f>
        <v>9</v>
      </c>
      <c r="K2375">
        <f>VLOOKUP(B2375, Products!$A$2:$F$100, 4, FALSE)</f>
        <v>6</v>
      </c>
    </row>
    <row r="2376" spans="1:11" x14ac:dyDescent="0.3">
      <c r="A2376">
        <v>834</v>
      </c>
      <c r="B2376">
        <v>1</v>
      </c>
      <c r="C2376">
        <v>54</v>
      </c>
      <c r="D2376" t="str">
        <f>VLOOKUP(B2376, Products!$A$2:$C$100, 2, FALSE)</f>
        <v>Trek 820 - 2016</v>
      </c>
      <c r="E2376">
        <v>1</v>
      </c>
      <c r="F2376">
        <v>3199.99</v>
      </c>
      <c r="G2376">
        <v>7.0000000000000007E-2</v>
      </c>
      <c r="H2376">
        <v>223.99930000000001</v>
      </c>
      <c r="I2376">
        <f>order_items[[#This Row],[list_price]]-order_items[[#This Row],[Discounted_price]]</f>
        <v>2975.9906999999998</v>
      </c>
      <c r="J2376">
        <f>VLOOKUP(B2376, Products!$A$2:$E$100, 3, FALSE)</f>
        <v>9</v>
      </c>
      <c r="K2376">
        <f>VLOOKUP(B2376, Products!$A$2:$F$100, 4, FALSE)</f>
        <v>6</v>
      </c>
    </row>
    <row r="2377" spans="1:11" x14ac:dyDescent="0.3">
      <c r="A2377">
        <v>834</v>
      </c>
      <c r="B2377">
        <v>2</v>
      </c>
      <c r="C2377">
        <v>21</v>
      </c>
      <c r="D2377" t="str">
        <f>VLOOKUP(B2377, Products!$A$2:$C$100, 2, FALSE)</f>
        <v>Ritchey Timberwolf Frameset - 2016</v>
      </c>
      <c r="E2377">
        <v>1</v>
      </c>
      <c r="F2377">
        <v>269.99</v>
      </c>
      <c r="G2377">
        <v>0.05</v>
      </c>
      <c r="H2377">
        <v>13.499500000000001</v>
      </c>
      <c r="I2377">
        <f>order_items[[#This Row],[list_price]]-order_items[[#This Row],[Discounted_price]]</f>
        <v>256.4905</v>
      </c>
      <c r="J2377">
        <f>VLOOKUP(B2377, Products!$A$2:$E$100, 3, FALSE)</f>
        <v>5</v>
      </c>
      <c r="K2377">
        <f>VLOOKUP(B2377, Products!$A$2:$F$100, 4, FALSE)</f>
        <v>6</v>
      </c>
    </row>
    <row r="2378" spans="1:11" x14ac:dyDescent="0.3">
      <c r="A2378">
        <v>834</v>
      </c>
      <c r="B2378">
        <v>3</v>
      </c>
      <c r="C2378">
        <v>78</v>
      </c>
      <c r="D2378" t="str">
        <f>VLOOKUP(B2378, Products!$A$2:$C$100, 2, FALSE)</f>
        <v>Surly Wednesday Frameset - 2016</v>
      </c>
      <c r="E2378">
        <v>1</v>
      </c>
      <c r="F2378">
        <v>647.99</v>
      </c>
      <c r="G2378">
        <v>0.2</v>
      </c>
      <c r="H2378">
        <v>129.59800000000001</v>
      </c>
      <c r="I2378">
        <f>order_items[[#This Row],[list_price]]-order_items[[#This Row],[Discounted_price]]</f>
        <v>518.39200000000005</v>
      </c>
      <c r="J2378">
        <f>VLOOKUP(B2378, Products!$A$2:$E$100, 3, FALSE)</f>
        <v>8</v>
      </c>
      <c r="K2378">
        <f>VLOOKUP(B2378, Products!$A$2:$F$100, 4, FALSE)</f>
        <v>6</v>
      </c>
    </row>
    <row r="2379" spans="1:11" x14ac:dyDescent="0.3">
      <c r="A2379">
        <v>835</v>
      </c>
      <c r="B2379">
        <v>1</v>
      </c>
      <c r="C2379">
        <v>65</v>
      </c>
      <c r="D2379" t="str">
        <f>VLOOKUP(B2379, Products!$A$2:$C$100, 2, FALSE)</f>
        <v>Trek 820 - 2016</v>
      </c>
      <c r="E2379">
        <v>2</v>
      </c>
      <c r="F2379">
        <v>346.99</v>
      </c>
      <c r="G2379">
        <v>7.0000000000000007E-2</v>
      </c>
      <c r="H2379">
        <v>24.289300000000004</v>
      </c>
      <c r="I2379">
        <f>order_items[[#This Row],[list_price]]-order_items[[#This Row],[Discounted_price]]</f>
        <v>322.70069999999998</v>
      </c>
      <c r="J2379">
        <f>VLOOKUP(B2379, Products!$A$2:$E$100, 3, FALSE)</f>
        <v>9</v>
      </c>
      <c r="K2379">
        <f>VLOOKUP(B2379, Products!$A$2:$F$100, 4, FALSE)</f>
        <v>6</v>
      </c>
    </row>
    <row r="2380" spans="1:11" x14ac:dyDescent="0.3">
      <c r="A2380">
        <v>835</v>
      </c>
      <c r="B2380">
        <v>2</v>
      </c>
      <c r="C2380">
        <v>82</v>
      </c>
      <c r="D2380" t="str">
        <f>VLOOKUP(B2380, Products!$A$2:$C$100, 2, FALSE)</f>
        <v>Ritchey Timberwolf Frameset - 2016</v>
      </c>
      <c r="E2380">
        <v>1</v>
      </c>
      <c r="F2380">
        <v>659.99</v>
      </c>
      <c r="G2380">
        <v>0.2</v>
      </c>
      <c r="H2380">
        <v>131.99800000000002</v>
      </c>
      <c r="I2380">
        <f>order_items[[#This Row],[list_price]]-order_items[[#This Row],[Discounted_price]]</f>
        <v>527.99199999999996</v>
      </c>
      <c r="J2380">
        <f>VLOOKUP(B2380, Products!$A$2:$E$100, 3, FALSE)</f>
        <v>5</v>
      </c>
      <c r="K2380">
        <f>VLOOKUP(B2380, Products!$A$2:$F$100, 4, FALSE)</f>
        <v>6</v>
      </c>
    </row>
    <row r="2381" spans="1:11" x14ac:dyDescent="0.3">
      <c r="A2381">
        <v>835</v>
      </c>
      <c r="B2381">
        <v>3</v>
      </c>
      <c r="C2381">
        <v>2</v>
      </c>
      <c r="D2381" t="str">
        <f>VLOOKUP(B2381, Products!$A$2:$C$100, 2, FALSE)</f>
        <v>Surly Wednesday Frameset - 2016</v>
      </c>
      <c r="E2381">
        <v>1</v>
      </c>
      <c r="F2381">
        <v>749.99</v>
      </c>
      <c r="G2381">
        <v>0.05</v>
      </c>
      <c r="H2381">
        <v>37.499500000000005</v>
      </c>
      <c r="I2381">
        <f>order_items[[#This Row],[list_price]]-order_items[[#This Row],[Discounted_price]]</f>
        <v>712.4905</v>
      </c>
      <c r="J2381">
        <f>VLOOKUP(B2381, Products!$A$2:$E$100, 3, FALSE)</f>
        <v>8</v>
      </c>
      <c r="K2381">
        <f>VLOOKUP(B2381, Products!$A$2:$F$100, 4, FALSE)</f>
        <v>6</v>
      </c>
    </row>
    <row r="2382" spans="1:11" x14ac:dyDescent="0.3">
      <c r="A2382">
        <v>836</v>
      </c>
      <c r="B2382">
        <v>1</v>
      </c>
      <c r="C2382">
        <v>108</v>
      </c>
      <c r="D2382" t="str">
        <f>VLOOKUP(B2382, Products!$A$2:$C$100, 2, FALSE)</f>
        <v>Trek 820 - 2016</v>
      </c>
      <c r="E2382">
        <v>2</v>
      </c>
      <c r="F2382">
        <v>449.99</v>
      </c>
      <c r="G2382">
        <v>0.2</v>
      </c>
      <c r="H2382">
        <v>89.998000000000005</v>
      </c>
      <c r="I2382">
        <f>order_items[[#This Row],[list_price]]-order_items[[#This Row],[Discounted_price]]</f>
        <v>359.99200000000002</v>
      </c>
      <c r="J2382">
        <f>VLOOKUP(B2382, Products!$A$2:$E$100, 3, FALSE)</f>
        <v>9</v>
      </c>
      <c r="K2382">
        <f>VLOOKUP(B2382, Products!$A$2:$F$100, 4, FALSE)</f>
        <v>6</v>
      </c>
    </row>
    <row r="2383" spans="1:11" x14ac:dyDescent="0.3">
      <c r="A2383">
        <v>837</v>
      </c>
      <c r="B2383">
        <v>1</v>
      </c>
      <c r="C2383">
        <v>51</v>
      </c>
      <c r="D2383" t="str">
        <f>VLOOKUP(B2383, Products!$A$2:$C$100, 2, FALSE)</f>
        <v>Trek 820 - 2016</v>
      </c>
      <c r="E2383">
        <v>1</v>
      </c>
      <c r="F2383">
        <v>6499.99</v>
      </c>
      <c r="G2383">
        <v>0.05</v>
      </c>
      <c r="H2383">
        <v>324.99950000000001</v>
      </c>
      <c r="I2383">
        <f>order_items[[#This Row],[list_price]]-order_items[[#This Row],[Discounted_price]]</f>
        <v>6174.9904999999999</v>
      </c>
      <c r="J2383">
        <f>VLOOKUP(B2383, Products!$A$2:$E$100, 3, FALSE)</f>
        <v>9</v>
      </c>
      <c r="K2383">
        <f>VLOOKUP(B2383, Products!$A$2:$F$100, 4, FALSE)</f>
        <v>6</v>
      </c>
    </row>
    <row r="2384" spans="1:11" x14ac:dyDescent="0.3">
      <c r="A2384">
        <v>837</v>
      </c>
      <c r="B2384">
        <v>2</v>
      </c>
      <c r="C2384">
        <v>97</v>
      </c>
      <c r="D2384" t="str">
        <f>VLOOKUP(B2384, Products!$A$2:$C$100, 2, FALSE)</f>
        <v>Ritchey Timberwolf Frameset - 2016</v>
      </c>
      <c r="E2384">
        <v>1</v>
      </c>
      <c r="F2384">
        <v>349.99</v>
      </c>
      <c r="G2384">
        <v>0.1</v>
      </c>
      <c r="H2384">
        <v>34.999000000000002</v>
      </c>
      <c r="I2384">
        <f>order_items[[#This Row],[list_price]]-order_items[[#This Row],[Discounted_price]]</f>
        <v>314.99099999999999</v>
      </c>
      <c r="J2384">
        <f>VLOOKUP(B2384, Products!$A$2:$E$100, 3, FALSE)</f>
        <v>5</v>
      </c>
      <c r="K2384">
        <f>VLOOKUP(B2384, Products!$A$2:$F$100, 4, FALSE)</f>
        <v>6</v>
      </c>
    </row>
    <row r="2385" spans="1:11" x14ac:dyDescent="0.3">
      <c r="A2385">
        <v>837</v>
      </c>
      <c r="B2385">
        <v>3</v>
      </c>
      <c r="C2385">
        <v>87</v>
      </c>
      <c r="D2385" t="str">
        <f>VLOOKUP(B2385, Products!$A$2:$C$100, 2, FALSE)</f>
        <v>Surly Wednesday Frameset - 2016</v>
      </c>
      <c r="E2385">
        <v>2</v>
      </c>
      <c r="F2385">
        <v>189.99</v>
      </c>
      <c r="G2385">
        <v>0.2</v>
      </c>
      <c r="H2385">
        <v>37.998000000000005</v>
      </c>
      <c r="I2385">
        <f>order_items[[#This Row],[list_price]]-order_items[[#This Row],[Discounted_price]]</f>
        <v>151.99200000000002</v>
      </c>
      <c r="J2385">
        <f>VLOOKUP(B2385, Products!$A$2:$E$100, 3, FALSE)</f>
        <v>8</v>
      </c>
      <c r="K2385">
        <f>VLOOKUP(B2385, Products!$A$2:$F$100, 4, FALSE)</f>
        <v>6</v>
      </c>
    </row>
    <row r="2386" spans="1:11" x14ac:dyDescent="0.3">
      <c r="A2386">
        <v>838</v>
      </c>
      <c r="B2386">
        <v>1</v>
      </c>
      <c r="C2386">
        <v>28</v>
      </c>
      <c r="D2386" t="str">
        <f>VLOOKUP(B2386, Products!$A$2:$C$100, 2, FALSE)</f>
        <v>Trek 820 - 2016</v>
      </c>
      <c r="E2386">
        <v>1</v>
      </c>
      <c r="F2386">
        <v>2499.9899999999998</v>
      </c>
      <c r="G2386">
        <v>0.1</v>
      </c>
      <c r="H2386">
        <v>249.999</v>
      </c>
      <c r="I2386">
        <f>order_items[[#This Row],[list_price]]-order_items[[#This Row],[Discounted_price]]</f>
        <v>2249.991</v>
      </c>
      <c r="J2386">
        <f>VLOOKUP(B2386, Products!$A$2:$E$100, 3, FALSE)</f>
        <v>9</v>
      </c>
      <c r="K2386">
        <f>VLOOKUP(B2386, Products!$A$2:$F$100, 4, FALSE)</f>
        <v>6</v>
      </c>
    </row>
    <row r="2387" spans="1:11" x14ac:dyDescent="0.3">
      <c r="A2387">
        <v>838</v>
      </c>
      <c r="B2387">
        <v>2</v>
      </c>
      <c r="C2387">
        <v>10</v>
      </c>
      <c r="D2387" t="str">
        <f>VLOOKUP(B2387, Products!$A$2:$C$100, 2, FALSE)</f>
        <v>Ritchey Timberwolf Frameset - 2016</v>
      </c>
      <c r="E2387">
        <v>1</v>
      </c>
      <c r="F2387">
        <v>1549</v>
      </c>
      <c r="G2387">
        <v>0.1</v>
      </c>
      <c r="H2387">
        <v>154.9</v>
      </c>
      <c r="I2387">
        <f>order_items[[#This Row],[list_price]]-order_items[[#This Row],[Discounted_price]]</f>
        <v>1394.1</v>
      </c>
      <c r="J2387">
        <f>VLOOKUP(B2387, Products!$A$2:$E$100, 3, FALSE)</f>
        <v>5</v>
      </c>
      <c r="K2387">
        <f>VLOOKUP(B2387, Products!$A$2:$F$100, 4, FALSE)</f>
        <v>6</v>
      </c>
    </row>
    <row r="2388" spans="1:11" x14ac:dyDescent="0.3">
      <c r="A2388">
        <v>838</v>
      </c>
      <c r="B2388">
        <v>3</v>
      </c>
      <c r="C2388">
        <v>100</v>
      </c>
      <c r="D2388" t="str">
        <f>VLOOKUP(B2388, Products!$A$2:$C$100, 2, FALSE)</f>
        <v>Surly Wednesday Frameset - 2016</v>
      </c>
      <c r="E2388">
        <v>2</v>
      </c>
      <c r="F2388">
        <v>489.99</v>
      </c>
      <c r="G2388">
        <v>0.05</v>
      </c>
      <c r="H2388">
        <v>24.499500000000001</v>
      </c>
      <c r="I2388">
        <f>order_items[[#This Row],[list_price]]-order_items[[#This Row],[Discounted_price]]</f>
        <v>465.4905</v>
      </c>
      <c r="J2388">
        <f>VLOOKUP(B2388, Products!$A$2:$E$100, 3, FALSE)</f>
        <v>8</v>
      </c>
      <c r="K2388">
        <f>VLOOKUP(B2388, Products!$A$2:$F$100, 4, FALSE)</f>
        <v>6</v>
      </c>
    </row>
    <row r="2389" spans="1:11" x14ac:dyDescent="0.3">
      <c r="A2389">
        <v>838</v>
      </c>
      <c r="B2389">
        <v>4</v>
      </c>
      <c r="C2389">
        <v>65</v>
      </c>
      <c r="D2389" t="str">
        <f>VLOOKUP(B2389, Products!$A$2:$C$100, 2, FALSE)</f>
        <v>Trek Fuel EX 8 29 - 2016</v>
      </c>
      <c r="E2389">
        <v>2</v>
      </c>
      <c r="F2389">
        <v>346.99</v>
      </c>
      <c r="G2389">
        <v>7.0000000000000007E-2</v>
      </c>
      <c r="H2389">
        <v>24.289300000000004</v>
      </c>
      <c r="I2389">
        <f>order_items[[#This Row],[list_price]]-order_items[[#This Row],[Discounted_price]]</f>
        <v>322.70069999999998</v>
      </c>
      <c r="J2389">
        <f>VLOOKUP(B2389, Products!$A$2:$E$100, 3, FALSE)</f>
        <v>9</v>
      </c>
      <c r="K2389">
        <f>VLOOKUP(B2389, Products!$A$2:$F$100, 4, FALSE)</f>
        <v>6</v>
      </c>
    </row>
    <row r="2390" spans="1:11" x14ac:dyDescent="0.3">
      <c r="A2390">
        <v>839</v>
      </c>
      <c r="B2390">
        <v>1</v>
      </c>
      <c r="C2390">
        <v>55</v>
      </c>
      <c r="D2390" t="str">
        <f>VLOOKUP(B2390, Products!$A$2:$C$100, 2, FALSE)</f>
        <v>Trek 820 - 2016</v>
      </c>
      <c r="E2390">
        <v>1</v>
      </c>
      <c r="F2390">
        <v>2699.99</v>
      </c>
      <c r="G2390">
        <v>7.0000000000000007E-2</v>
      </c>
      <c r="H2390">
        <v>188.99930000000001</v>
      </c>
      <c r="I2390">
        <f>order_items[[#This Row],[list_price]]-order_items[[#This Row],[Discounted_price]]</f>
        <v>2510.9906999999998</v>
      </c>
      <c r="J2390">
        <f>VLOOKUP(B2390, Products!$A$2:$E$100, 3, FALSE)</f>
        <v>9</v>
      </c>
      <c r="K2390">
        <f>VLOOKUP(B2390, Products!$A$2:$F$100, 4, FALSE)</f>
        <v>6</v>
      </c>
    </row>
    <row r="2391" spans="1:11" x14ac:dyDescent="0.3">
      <c r="A2391">
        <v>839</v>
      </c>
      <c r="B2391">
        <v>2</v>
      </c>
      <c r="C2391">
        <v>85</v>
      </c>
      <c r="D2391" t="str">
        <f>VLOOKUP(B2391, Products!$A$2:$C$100, 2, FALSE)</f>
        <v>Ritchey Timberwolf Frameset - 2016</v>
      </c>
      <c r="E2391">
        <v>1</v>
      </c>
      <c r="F2391">
        <v>329.99</v>
      </c>
      <c r="G2391">
        <v>0.1</v>
      </c>
      <c r="H2391">
        <v>32.999000000000002</v>
      </c>
      <c r="I2391">
        <f>order_items[[#This Row],[list_price]]-order_items[[#This Row],[Discounted_price]]</f>
        <v>296.99099999999999</v>
      </c>
      <c r="J2391">
        <f>VLOOKUP(B2391, Products!$A$2:$E$100, 3, FALSE)</f>
        <v>5</v>
      </c>
      <c r="K2391">
        <f>VLOOKUP(B2391, Products!$A$2:$F$100, 4, FALSE)</f>
        <v>6</v>
      </c>
    </row>
    <row r="2392" spans="1:11" x14ac:dyDescent="0.3">
      <c r="A2392">
        <v>839</v>
      </c>
      <c r="B2392">
        <v>3</v>
      </c>
      <c r="C2392">
        <v>58</v>
      </c>
      <c r="D2392" t="str">
        <f>VLOOKUP(B2392, Products!$A$2:$C$100, 2, FALSE)</f>
        <v>Surly Wednesday Frameset - 2016</v>
      </c>
      <c r="E2392">
        <v>2</v>
      </c>
      <c r="F2392">
        <v>4999.99</v>
      </c>
      <c r="G2392">
        <v>0.05</v>
      </c>
      <c r="H2392">
        <v>249.99950000000001</v>
      </c>
      <c r="I2392">
        <f>order_items[[#This Row],[list_price]]-order_items[[#This Row],[Discounted_price]]</f>
        <v>4749.9904999999999</v>
      </c>
      <c r="J2392">
        <f>VLOOKUP(B2392, Products!$A$2:$E$100, 3, FALSE)</f>
        <v>8</v>
      </c>
      <c r="K2392">
        <f>VLOOKUP(B2392, Products!$A$2:$F$100, 4, FALSE)</f>
        <v>6</v>
      </c>
    </row>
    <row r="2393" spans="1:11" x14ac:dyDescent="0.3">
      <c r="A2393">
        <v>840</v>
      </c>
      <c r="B2393">
        <v>1</v>
      </c>
      <c r="C2393">
        <v>27</v>
      </c>
      <c r="D2393" t="str">
        <f>VLOOKUP(B2393, Products!$A$2:$C$100, 2, FALSE)</f>
        <v>Trek 820 - 2016</v>
      </c>
      <c r="E2393">
        <v>1</v>
      </c>
      <c r="F2393">
        <v>999.99</v>
      </c>
      <c r="G2393">
        <v>7.0000000000000007E-2</v>
      </c>
      <c r="H2393">
        <v>69.999300000000005</v>
      </c>
      <c r="I2393">
        <f>order_items[[#This Row],[list_price]]-order_items[[#This Row],[Discounted_price]]</f>
        <v>929.99070000000006</v>
      </c>
      <c r="J2393">
        <f>VLOOKUP(B2393, Products!$A$2:$E$100, 3, FALSE)</f>
        <v>9</v>
      </c>
      <c r="K2393">
        <f>VLOOKUP(B2393, Products!$A$2:$F$100, 4, FALSE)</f>
        <v>6</v>
      </c>
    </row>
    <row r="2394" spans="1:11" x14ac:dyDescent="0.3">
      <c r="A2394">
        <v>840</v>
      </c>
      <c r="B2394">
        <v>2</v>
      </c>
      <c r="C2394">
        <v>43</v>
      </c>
      <c r="D2394" t="str">
        <f>VLOOKUP(B2394, Products!$A$2:$C$100, 2, FALSE)</f>
        <v>Ritchey Timberwolf Frameset - 2016</v>
      </c>
      <c r="E2394">
        <v>1</v>
      </c>
      <c r="F2394">
        <v>5299.99</v>
      </c>
      <c r="G2394">
        <v>7.0000000000000007E-2</v>
      </c>
      <c r="H2394">
        <v>370.99930000000001</v>
      </c>
      <c r="I2394">
        <f>order_items[[#This Row],[list_price]]-order_items[[#This Row],[Discounted_price]]</f>
        <v>4928.9906999999994</v>
      </c>
      <c r="J2394">
        <f>VLOOKUP(B2394, Products!$A$2:$E$100, 3, FALSE)</f>
        <v>5</v>
      </c>
      <c r="K2394">
        <f>VLOOKUP(B2394, Products!$A$2:$F$100, 4, FALSE)</f>
        <v>6</v>
      </c>
    </row>
    <row r="2395" spans="1:11" x14ac:dyDescent="0.3">
      <c r="A2395">
        <v>840</v>
      </c>
      <c r="B2395">
        <v>3</v>
      </c>
      <c r="C2395">
        <v>106</v>
      </c>
      <c r="D2395" t="str">
        <f>VLOOKUP(B2395, Products!$A$2:$C$100, 2, FALSE)</f>
        <v>Surly Wednesday Frameset - 2016</v>
      </c>
      <c r="E2395">
        <v>2</v>
      </c>
      <c r="F2395">
        <v>449.99</v>
      </c>
      <c r="G2395">
        <v>0.2</v>
      </c>
      <c r="H2395">
        <v>89.998000000000005</v>
      </c>
      <c r="I2395">
        <f>order_items[[#This Row],[list_price]]-order_items[[#This Row],[Discounted_price]]</f>
        <v>359.99200000000002</v>
      </c>
      <c r="J2395">
        <f>VLOOKUP(B2395, Products!$A$2:$E$100, 3, FALSE)</f>
        <v>8</v>
      </c>
      <c r="K2395">
        <f>VLOOKUP(B2395, Products!$A$2:$F$100, 4, FALSE)</f>
        <v>6</v>
      </c>
    </row>
    <row r="2396" spans="1:11" x14ac:dyDescent="0.3">
      <c r="A2396">
        <v>841</v>
      </c>
      <c r="B2396">
        <v>1</v>
      </c>
      <c r="C2396">
        <v>22</v>
      </c>
      <c r="D2396" t="str">
        <f>VLOOKUP(B2396, Products!$A$2:$C$100, 2, FALSE)</f>
        <v>Trek 820 - 2016</v>
      </c>
      <c r="E2396">
        <v>2</v>
      </c>
      <c r="F2396">
        <v>269.99</v>
      </c>
      <c r="G2396">
        <v>0.1</v>
      </c>
      <c r="H2396">
        <v>26.999000000000002</v>
      </c>
      <c r="I2396">
        <f>order_items[[#This Row],[list_price]]-order_items[[#This Row],[Discounted_price]]</f>
        <v>242.99100000000001</v>
      </c>
      <c r="J2396">
        <f>VLOOKUP(B2396, Products!$A$2:$E$100, 3, FALSE)</f>
        <v>9</v>
      </c>
      <c r="K2396">
        <f>VLOOKUP(B2396, Products!$A$2:$F$100, 4, FALSE)</f>
        <v>6</v>
      </c>
    </row>
    <row r="2397" spans="1:11" x14ac:dyDescent="0.3">
      <c r="A2397">
        <v>841</v>
      </c>
      <c r="B2397">
        <v>2</v>
      </c>
      <c r="C2397">
        <v>9</v>
      </c>
      <c r="D2397" t="str">
        <f>VLOOKUP(B2397, Products!$A$2:$C$100, 2, FALSE)</f>
        <v>Ritchey Timberwolf Frameset - 2016</v>
      </c>
      <c r="E2397">
        <v>1</v>
      </c>
      <c r="F2397">
        <v>2999.99</v>
      </c>
      <c r="G2397">
        <v>0.2</v>
      </c>
      <c r="H2397">
        <v>599.99799999999993</v>
      </c>
      <c r="I2397">
        <f>order_items[[#This Row],[list_price]]-order_items[[#This Row],[Discounted_price]]</f>
        <v>2399.9919999999997</v>
      </c>
      <c r="J2397">
        <f>VLOOKUP(B2397, Products!$A$2:$E$100, 3, FALSE)</f>
        <v>5</v>
      </c>
      <c r="K2397">
        <f>VLOOKUP(B2397, Products!$A$2:$F$100, 4, FALSE)</f>
        <v>6</v>
      </c>
    </row>
    <row r="2398" spans="1:11" x14ac:dyDescent="0.3">
      <c r="A2398">
        <v>841</v>
      </c>
      <c r="B2398">
        <v>3</v>
      </c>
      <c r="C2398">
        <v>11</v>
      </c>
      <c r="D2398" t="str">
        <f>VLOOKUP(B2398, Products!$A$2:$C$100, 2, FALSE)</f>
        <v>Surly Wednesday Frameset - 2016</v>
      </c>
      <c r="E2398">
        <v>1</v>
      </c>
      <c r="F2398">
        <v>1680.99</v>
      </c>
      <c r="G2398">
        <v>0.2</v>
      </c>
      <c r="H2398">
        <v>336.19800000000004</v>
      </c>
      <c r="I2398">
        <f>order_items[[#This Row],[list_price]]-order_items[[#This Row],[Discounted_price]]</f>
        <v>1344.7919999999999</v>
      </c>
      <c r="J2398">
        <f>VLOOKUP(B2398, Products!$A$2:$E$100, 3, FALSE)</f>
        <v>8</v>
      </c>
      <c r="K2398">
        <f>VLOOKUP(B2398, Products!$A$2:$F$100, 4, FALSE)</f>
        <v>6</v>
      </c>
    </row>
    <row r="2399" spans="1:11" x14ac:dyDescent="0.3">
      <c r="A2399">
        <v>841</v>
      </c>
      <c r="B2399">
        <v>4</v>
      </c>
      <c r="C2399">
        <v>90</v>
      </c>
      <c r="D2399" t="str">
        <f>VLOOKUP(B2399, Products!$A$2:$C$100, 2, FALSE)</f>
        <v>Trek Fuel EX 8 29 - 2016</v>
      </c>
      <c r="E2399">
        <v>2</v>
      </c>
      <c r="F2399">
        <v>209.99</v>
      </c>
      <c r="G2399">
        <v>7.0000000000000007E-2</v>
      </c>
      <c r="H2399">
        <v>14.699300000000003</v>
      </c>
      <c r="I2399">
        <f>order_items[[#This Row],[list_price]]-order_items[[#This Row],[Discounted_price]]</f>
        <v>195.29070000000002</v>
      </c>
      <c r="J2399">
        <f>VLOOKUP(B2399, Products!$A$2:$E$100, 3, FALSE)</f>
        <v>9</v>
      </c>
      <c r="K2399">
        <f>VLOOKUP(B2399, Products!$A$2:$F$100, 4, FALSE)</f>
        <v>6</v>
      </c>
    </row>
    <row r="2400" spans="1:11" x14ac:dyDescent="0.3">
      <c r="A2400">
        <v>841</v>
      </c>
      <c r="B2400">
        <v>5</v>
      </c>
      <c r="C2400">
        <v>100</v>
      </c>
      <c r="D2400" t="str">
        <f>VLOOKUP(B2400, Products!$A$2:$C$100, 2, FALSE)</f>
        <v>Heller Shagamaw Frame - 2016</v>
      </c>
      <c r="E2400">
        <v>1</v>
      </c>
      <c r="F2400">
        <v>489.99</v>
      </c>
      <c r="G2400">
        <v>0.1</v>
      </c>
      <c r="H2400">
        <v>48.999000000000002</v>
      </c>
      <c r="I2400">
        <f>order_items[[#This Row],[list_price]]-order_items[[#This Row],[Discounted_price]]</f>
        <v>440.99099999999999</v>
      </c>
      <c r="J2400">
        <f>VLOOKUP(B2400, Products!$A$2:$E$100, 3, FALSE)</f>
        <v>3</v>
      </c>
      <c r="K2400">
        <f>VLOOKUP(B2400, Products!$A$2:$F$100, 4, FALSE)</f>
        <v>6</v>
      </c>
    </row>
    <row r="2401" spans="1:11" x14ac:dyDescent="0.3">
      <c r="A2401">
        <v>842</v>
      </c>
      <c r="B2401">
        <v>1</v>
      </c>
      <c r="C2401">
        <v>81</v>
      </c>
      <c r="D2401" t="str">
        <f>VLOOKUP(B2401, Products!$A$2:$C$100, 2, FALSE)</f>
        <v>Trek 820 - 2016</v>
      </c>
      <c r="E2401">
        <v>2</v>
      </c>
      <c r="F2401">
        <v>1099.99</v>
      </c>
      <c r="G2401">
        <v>7.0000000000000007E-2</v>
      </c>
      <c r="H2401">
        <v>76.999300000000005</v>
      </c>
      <c r="I2401">
        <f>order_items[[#This Row],[list_price]]-order_items[[#This Row],[Discounted_price]]</f>
        <v>1022.9907000000001</v>
      </c>
      <c r="J2401">
        <f>VLOOKUP(B2401, Products!$A$2:$E$100, 3, FALSE)</f>
        <v>9</v>
      </c>
      <c r="K2401">
        <f>VLOOKUP(B2401, Products!$A$2:$F$100, 4, FALSE)</f>
        <v>6</v>
      </c>
    </row>
    <row r="2402" spans="1:11" x14ac:dyDescent="0.3">
      <c r="A2402">
        <v>842</v>
      </c>
      <c r="B2402">
        <v>2</v>
      </c>
      <c r="C2402">
        <v>42</v>
      </c>
      <c r="D2402" t="str">
        <f>VLOOKUP(B2402, Products!$A$2:$C$100, 2, FALSE)</f>
        <v>Ritchey Timberwolf Frameset - 2016</v>
      </c>
      <c r="E2402">
        <v>1</v>
      </c>
      <c r="F2402">
        <v>2299.9899999999998</v>
      </c>
      <c r="G2402">
        <v>0.1</v>
      </c>
      <c r="H2402">
        <v>229.999</v>
      </c>
      <c r="I2402">
        <f>order_items[[#This Row],[list_price]]-order_items[[#This Row],[Discounted_price]]</f>
        <v>2069.991</v>
      </c>
      <c r="J2402">
        <f>VLOOKUP(B2402, Products!$A$2:$E$100, 3, FALSE)</f>
        <v>5</v>
      </c>
      <c r="K2402">
        <f>VLOOKUP(B2402, Products!$A$2:$F$100, 4, FALSE)</f>
        <v>6</v>
      </c>
    </row>
    <row r="2403" spans="1:11" x14ac:dyDescent="0.3">
      <c r="A2403">
        <v>843</v>
      </c>
      <c r="B2403">
        <v>1</v>
      </c>
      <c r="C2403">
        <v>72</v>
      </c>
      <c r="D2403" t="str">
        <f>VLOOKUP(B2403, Products!$A$2:$C$100, 2, FALSE)</f>
        <v>Trek 820 - 2016</v>
      </c>
      <c r="E2403">
        <v>1</v>
      </c>
      <c r="F2403">
        <v>619.99</v>
      </c>
      <c r="G2403">
        <v>0.1</v>
      </c>
      <c r="H2403">
        <v>61.999000000000002</v>
      </c>
      <c r="I2403">
        <f>order_items[[#This Row],[list_price]]-order_items[[#This Row],[Discounted_price]]</f>
        <v>557.99099999999999</v>
      </c>
      <c r="J2403">
        <f>VLOOKUP(B2403, Products!$A$2:$E$100, 3, FALSE)</f>
        <v>9</v>
      </c>
      <c r="K2403">
        <f>VLOOKUP(B2403, Products!$A$2:$F$100, 4, FALSE)</f>
        <v>6</v>
      </c>
    </row>
    <row r="2404" spans="1:11" x14ac:dyDescent="0.3">
      <c r="A2404">
        <v>843</v>
      </c>
      <c r="B2404">
        <v>2</v>
      </c>
      <c r="C2404">
        <v>75</v>
      </c>
      <c r="D2404" t="str">
        <f>VLOOKUP(B2404, Products!$A$2:$C$100, 2, FALSE)</f>
        <v>Ritchey Timberwolf Frameset - 2016</v>
      </c>
      <c r="E2404">
        <v>2</v>
      </c>
      <c r="F2404">
        <v>599.99</v>
      </c>
      <c r="G2404">
        <v>0.1</v>
      </c>
      <c r="H2404">
        <v>59.999000000000002</v>
      </c>
      <c r="I2404">
        <f>order_items[[#This Row],[list_price]]-order_items[[#This Row],[Discounted_price]]</f>
        <v>539.99099999999999</v>
      </c>
      <c r="J2404">
        <f>VLOOKUP(B2404, Products!$A$2:$E$100, 3, FALSE)</f>
        <v>5</v>
      </c>
      <c r="K2404">
        <f>VLOOKUP(B2404, Products!$A$2:$F$100, 4, FALSE)</f>
        <v>6</v>
      </c>
    </row>
    <row r="2405" spans="1:11" x14ac:dyDescent="0.3">
      <c r="A2405">
        <v>843</v>
      </c>
      <c r="B2405">
        <v>3</v>
      </c>
      <c r="C2405">
        <v>81</v>
      </c>
      <c r="D2405" t="str">
        <f>VLOOKUP(B2405, Products!$A$2:$C$100, 2, FALSE)</f>
        <v>Surly Wednesday Frameset - 2016</v>
      </c>
      <c r="E2405">
        <v>1</v>
      </c>
      <c r="F2405">
        <v>1099.99</v>
      </c>
      <c r="G2405">
        <v>0.1</v>
      </c>
      <c r="H2405">
        <v>109.99900000000001</v>
      </c>
      <c r="I2405">
        <f>order_items[[#This Row],[list_price]]-order_items[[#This Row],[Discounted_price]]</f>
        <v>989.99099999999999</v>
      </c>
      <c r="J2405">
        <f>VLOOKUP(B2405, Products!$A$2:$E$100, 3, FALSE)</f>
        <v>8</v>
      </c>
      <c r="K2405">
        <f>VLOOKUP(B2405, Products!$A$2:$F$100, 4, FALSE)</f>
        <v>6</v>
      </c>
    </row>
    <row r="2406" spans="1:11" x14ac:dyDescent="0.3">
      <c r="A2406">
        <v>843</v>
      </c>
      <c r="B2406">
        <v>4</v>
      </c>
      <c r="C2406">
        <v>23</v>
      </c>
      <c r="D2406" t="str">
        <f>VLOOKUP(B2406, Products!$A$2:$C$100, 2, FALSE)</f>
        <v>Trek Fuel EX 8 29 - 2016</v>
      </c>
      <c r="E2406">
        <v>2</v>
      </c>
      <c r="F2406">
        <v>299.99</v>
      </c>
      <c r="G2406">
        <v>7.0000000000000007E-2</v>
      </c>
      <c r="H2406">
        <v>20.999300000000002</v>
      </c>
      <c r="I2406">
        <f>order_items[[#This Row],[list_price]]-order_items[[#This Row],[Discounted_price]]</f>
        <v>278.9907</v>
      </c>
      <c r="J2406">
        <f>VLOOKUP(B2406, Products!$A$2:$E$100, 3, FALSE)</f>
        <v>9</v>
      </c>
      <c r="K2406">
        <f>VLOOKUP(B2406, Products!$A$2:$F$100, 4, FALSE)</f>
        <v>6</v>
      </c>
    </row>
    <row r="2407" spans="1:11" x14ac:dyDescent="0.3">
      <c r="A2407">
        <v>844</v>
      </c>
      <c r="B2407">
        <v>1</v>
      </c>
      <c r="C2407">
        <v>79</v>
      </c>
      <c r="D2407" t="str">
        <f>VLOOKUP(B2407, Products!$A$2:$C$100, 2, FALSE)</f>
        <v>Trek 820 - 2016</v>
      </c>
      <c r="E2407">
        <v>2</v>
      </c>
      <c r="F2407">
        <v>402.99</v>
      </c>
      <c r="G2407">
        <v>7.0000000000000007E-2</v>
      </c>
      <c r="H2407">
        <v>28.209300000000002</v>
      </c>
      <c r="I2407">
        <f>order_items[[#This Row],[list_price]]-order_items[[#This Row],[Discounted_price]]</f>
        <v>374.78070000000002</v>
      </c>
      <c r="J2407">
        <f>VLOOKUP(B2407, Products!$A$2:$E$100, 3, FALSE)</f>
        <v>9</v>
      </c>
      <c r="K2407">
        <f>VLOOKUP(B2407, Products!$A$2:$F$100, 4, FALSE)</f>
        <v>6</v>
      </c>
    </row>
    <row r="2408" spans="1:11" x14ac:dyDescent="0.3">
      <c r="A2408">
        <v>844</v>
      </c>
      <c r="B2408">
        <v>2</v>
      </c>
      <c r="C2408">
        <v>12</v>
      </c>
      <c r="D2408" t="str">
        <f>VLOOKUP(B2408, Products!$A$2:$C$100, 2, FALSE)</f>
        <v>Ritchey Timberwolf Frameset - 2016</v>
      </c>
      <c r="E2408">
        <v>1</v>
      </c>
      <c r="F2408">
        <v>549.99</v>
      </c>
      <c r="G2408">
        <v>0.1</v>
      </c>
      <c r="H2408">
        <v>54.999000000000002</v>
      </c>
      <c r="I2408">
        <f>order_items[[#This Row],[list_price]]-order_items[[#This Row],[Discounted_price]]</f>
        <v>494.99099999999999</v>
      </c>
      <c r="J2408">
        <f>VLOOKUP(B2408, Products!$A$2:$E$100, 3, FALSE)</f>
        <v>5</v>
      </c>
      <c r="K2408">
        <f>VLOOKUP(B2408, Products!$A$2:$F$100, 4, FALSE)</f>
        <v>6</v>
      </c>
    </row>
    <row r="2409" spans="1:11" x14ac:dyDescent="0.3">
      <c r="A2409">
        <v>844</v>
      </c>
      <c r="B2409">
        <v>3</v>
      </c>
      <c r="C2409">
        <v>83</v>
      </c>
      <c r="D2409" t="str">
        <f>VLOOKUP(B2409, Products!$A$2:$C$100, 2, FALSE)</f>
        <v>Surly Wednesday Frameset - 2016</v>
      </c>
      <c r="E2409">
        <v>2</v>
      </c>
      <c r="F2409">
        <v>149.99</v>
      </c>
      <c r="G2409">
        <v>0.2</v>
      </c>
      <c r="H2409">
        <v>29.998000000000005</v>
      </c>
      <c r="I2409">
        <f>order_items[[#This Row],[list_price]]-order_items[[#This Row],[Discounted_price]]</f>
        <v>119.992</v>
      </c>
      <c r="J2409">
        <f>VLOOKUP(B2409, Products!$A$2:$E$100, 3, FALSE)</f>
        <v>8</v>
      </c>
      <c r="K2409">
        <f>VLOOKUP(B2409, Products!$A$2:$F$100, 4, FALSE)</f>
        <v>6</v>
      </c>
    </row>
    <row r="2410" spans="1:11" x14ac:dyDescent="0.3">
      <c r="A2410">
        <v>844</v>
      </c>
      <c r="B2410">
        <v>4</v>
      </c>
      <c r="C2410">
        <v>48</v>
      </c>
      <c r="D2410" t="str">
        <f>VLOOKUP(B2410, Products!$A$2:$C$100, 2, FALSE)</f>
        <v>Trek Fuel EX 8 29 - 2016</v>
      </c>
      <c r="E2410">
        <v>1</v>
      </c>
      <c r="F2410">
        <v>1499.99</v>
      </c>
      <c r="G2410">
        <v>0.2</v>
      </c>
      <c r="H2410">
        <v>299.99799999999999</v>
      </c>
      <c r="I2410">
        <f>order_items[[#This Row],[list_price]]-order_items[[#This Row],[Discounted_price]]</f>
        <v>1199.992</v>
      </c>
      <c r="J2410">
        <f>VLOOKUP(B2410, Products!$A$2:$E$100, 3, FALSE)</f>
        <v>9</v>
      </c>
      <c r="K2410">
        <f>VLOOKUP(B2410, Products!$A$2:$F$100, 4, FALSE)</f>
        <v>6</v>
      </c>
    </row>
    <row r="2411" spans="1:11" x14ac:dyDescent="0.3">
      <c r="A2411">
        <v>844</v>
      </c>
      <c r="B2411">
        <v>5</v>
      </c>
      <c r="C2411">
        <v>63</v>
      </c>
      <c r="D2411" t="str">
        <f>VLOOKUP(B2411, Products!$A$2:$C$100, 2, FALSE)</f>
        <v>Heller Shagamaw Frame - 2016</v>
      </c>
      <c r="E2411">
        <v>2</v>
      </c>
      <c r="F2411">
        <v>3499.99</v>
      </c>
      <c r="G2411">
        <v>0.05</v>
      </c>
      <c r="H2411">
        <v>174.99950000000001</v>
      </c>
      <c r="I2411">
        <f>order_items[[#This Row],[list_price]]-order_items[[#This Row],[Discounted_price]]</f>
        <v>3324.9904999999999</v>
      </c>
      <c r="J2411">
        <f>VLOOKUP(B2411, Products!$A$2:$E$100, 3, FALSE)</f>
        <v>3</v>
      </c>
      <c r="K2411">
        <f>VLOOKUP(B2411, Products!$A$2:$F$100, 4, FALSE)</f>
        <v>6</v>
      </c>
    </row>
    <row r="2412" spans="1:11" x14ac:dyDescent="0.3">
      <c r="A2412">
        <v>845</v>
      </c>
      <c r="B2412">
        <v>1</v>
      </c>
      <c r="C2412">
        <v>16</v>
      </c>
      <c r="D2412" t="str">
        <f>VLOOKUP(B2412, Products!$A$2:$C$100, 2, FALSE)</f>
        <v>Trek 820 - 2016</v>
      </c>
      <c r="E2412">
        <v>2</v>
      </c>
      <c r="F2412">
        <v>599.99</v>
      </c>
      <c r="G2412">
        <v>0.2</v>
      </c>
      <c r="H2412">
        <v>119.998</v>
      </c>
      <c r="I2412">
        <f>order_items[[#This Row],[list_price]]-order_items[[#This Row],[Discounted_price]]</f>
        <v>479.99200000000002</v>
      </c>
      <c r="J2412">
        <f>VLOOKUP(B2412, Products!$A$2:$E$100, 3, FALSE)</f>
        <v>9</v>
      </c>
      <c r="K2412">
        <f>VLOOKUP(B2412, Products!$A$2:$F$100, 4, FALSE)</f>
        <v>6</v>
      </c>
    </row>
    <row r="2413" spans="1:11" x14ac:dyDescent="0.3">
      <c r="A2413">
        <v>845</v>
      </c>
      <c r="B2413">
        <v>2</v>
      </c>
      <c r="C2413">
        <v>75</v>
      </c>
      <c r="D2413" t="str">
        <f>VLOOKUP(B2413, Products!$A$2:$C$100, 2, FALSE)</f>
        <v>Ritchey Timberwolf Frameset - 2016</v>
      </c>
      <c r="E2413">
        <v>1</v>
      </c>
      <c r="F2413">
        <v>599.99</v>
      </c>
      <c r="G2413">
        <v>0.2</v>
      </c>
      <c r="H2413">
        <v>119.998</v>
      </c>
      <c r="I2413">
        <f>order_items[[#This Row],[list_price]]-order_items[[#This Row],[Discounted_price]]</f>
        <v>479.99200000000002</v>
      </c>
      <c r="J2413">
        <f>VLOOKUP(B2413, Products!$A$2:$E$100, 3, FALSE)</f>
        <v>5</v>
      </c>
      <c r="K2413">
        <f>VLOOKUP(B2413, Products!$A$2:$F$100, 4, FALSE)</f>
        <v>6</v>
      </c>
    </row>
    <row r="2414" spans="1:11" x14ac:dyDescent="0.3">
      <c r="A2414">
        <v>845</v>
      </c>
      <c r="B2414">
        <v>3</v>
      </c>
      <c r="C2414">
        <v>26</v>
      </c>
      <c r="D2414" t="str">
        <f>VLOOKUP(B2414, Products!$A$2:$C$100, 2, FALSE)</f>
        <v>Surly Wednesday Frameset - 2016</v>
      </c>
      <c r="E2414">
        <v>2</v>
      </c>
      <c r="F2414">
        <v>599.99</v>
      </c>
      <c r="G2414">
        <v>0.05</v>
      </c>
      <c r="H2414">
        <v>29.999500000000001</v>
      </c>
      <c r="I2414">
        <f>order_items[[#This Row],[list_price]]-order_items[[#This Row],[Discounted_price]]</f>
        <v>569.9905</v>
      </c>
      <c r="J2414">
        <f>VLOOKUP(B2414, Products!$A$2:$E$100, 3, FALSE)</f>
        <v>8</v>
      </c>
      <c r="K2414">
        <f>VLOOKUP(B2414, Products!$A$2:$F$100, 4, FALSE)</f>
        <v>6</v>
      </c>
    </row>
    <row r="2415" spans="1:11" x14ac:dyDescent="0.3">
      <c r="A2415">
        <v>845</v>
      </c>
      <c r="B2415">
        <v>4</v>
      </c>
      <c r="C2415">
        <v>73</v>
      </c>
      <c r="D2415" t="str">
        <f>VLOOKUP(B2415, Products!$A$2:$C$100, 2, FALSE)</f>
        <v>Trek Fuel EX 8 29 - 2016</v>
      </c>
      <c r="E2415">
        <v>2</v>
      </c>
      <c r="F2415">
        <v>749.99</v>
      </c>
      <c r="G2415">
        <v>0.2</v>
      </c>
      <c r="H2415">
        <v>149.99800000000002</v>
      </c>
      <c r="I2415">
        <f>order_items[[#This Row],[list_price]]-order_items[[#This Row],[Discounted_price]]</f>
        <v>599.99199999999996</v>
      </c>
      <c r="J2415">
        <f>VLOOKUP(B2415, Products!$A$2:$E$100, 3, FALSE)</f>
        <v>9</v>
      </c>
      <c r="K2415">
        <f>VLOOKUP(B2415, Products!$A$2:$F$100, 4, FALSE)</f>
        <v>6</v>
      </c>
    </row>
    <row r="2416" spans="1:11" x14ac:dyDescent="0.3">
      <c r="A2416">
        <v>845</v>
      </c>
      <c r="B2416">
        <v>5</v>
      </c>
      <c r="C2416">
        <v>88</v>
      </c>
      <c r="D2416" t="str">
        <f>VLOOKUP(B2416, Products!$A$2:$C$100, 2, FALSE)</f>
        <v>Heller Shagamaw Frame - 2016</v>
      </c>
      <c r="E2416">
        <v>1</v>
      </c>
      <c r="F2416">
        <v>189.99</v>
      </c>
      <c r="G2416">
        <v>0.05</v>
      </c>
      <c r="H2416">
        <v>9.4995000000000012</v>
      </c>
      <c r="I2416">
        <f>order_items[[#This Row],[list_price]]-order_items[[#This Row],[Discounted_price]]</f>
        <v>180.4905</v>
      </c>
      <c r="J2416">
        <f>VLOOKUP(B2416, Products!$A$2:$E$100, 3, FALSE)</f>
        <v>3</v>
      </c>
      <c r="K2416">
        <f>VLOOKUP(B2416, Products!$A$2:$F$100, 4, FALSE)</f>
        <v>6</v>
      </c>
    </row>
    <row r="2417" spans="1:11" x14ac:dyDescent="0.3">
      <c r="A2417">
        <v>846</v>
      </c>
      <c r="B2417">
        <v>1</v>
      </c>
      <c r="C2417">
        <v>46</v>
      </c>
      <c r="D2417" t="str">
        <f>VLOOKUP(B2417, Products!$A$2:$C$100, 2, FALSE)</f>
        <v>Trek 820 - 2016</v>
      </c>
      <c r="E2417">
        <v>2</v>
      </c>
      <c r="F2417">
        <v>1409.99</v>
      </c>
      <c r="G2417">
        <v>0.05</v>
      </c>
      <c r="H2417">
        <v>70.499499999999998</v>
      </c>
      <c r="I2417">
        <f>order_items[[#This Row],[list_price]]-order_items[[#This Row],[Discounted_price]]</f>
        <v>1339.4905000000001</v>
      </c>
      <c r="J2417">
        <f>VLOOKUP(B2417, Products!$A$2:$E$100, 3, FALSE)</f>
        <v>9</v>
      </c>
      <c r="K2417">
        <f>VLOOKUP(B2417, Products!$A$2:$F$100, 4, FALSE)</f>
        <v>6</v>
      </c>
    </row>
    <row r="2418" spans="1:11" x14ac:dyDescent="0.3">
      <c r="A2418">
        <v>846</v>
      </c>
      <c r="B2418">
        <v>2</v>
      </c>
      <c r="C2418">
        <v>47</v>
      </c>
      <c r="D2418" t="str">
        <f>VLOOKUP(B2418, Products!$A$2:$C$100, 2, FALSE)</f>
        <v>Ritchey Timberwolf Frameset - 2016</v>
      </c>
      <c r="E2418">
        <v>1</v>
      </c>
      <c r="F2418">
        <v>5299.99</v>
      </c>
      <c r="G2418">
        <v>7.0000000000000007E-2</v>
      </c>
      <c r="H2418">
        <v>370.99930000000001</v>
      </c>
      <c r="I2418">
        <f>order_items[[#This Row],[list_price]]-order_items[[#This Row],[Discounted_price]]</f>
        <v>4928.9906999999994</v>
      </c>
      <c r="J2418">
        <f>VLOOKUP(B2418, Products!$A$2:$E$100, 3, FALSE)</f>
        <v>5</v>
      </c>
      <c r="K2418">
        <f>VLOOKUP(B2418, Products!$A$2:$F$100, 4, FALSE)</f>
        <v>6</v>
      </c>
    </row>
    <row r="2419" spans="1:11" x14ac:dyDescent="0.3">
      <c r="A2419">
        <v>846</v>
      </c>
      <c r="B2419">
        <v>3</v>
      </c>
      <c r="C2419">
        <v>71</v>
      </c>
      <c r="D2419" t="str">
        <f>VLOOKUP(B2419, Products!$A$2:$C$100, 2, FALSE)</f>
        <v>Surly Wednesday Frameset - 2016</v>
      </c>
      <c r="E2419">
        <v>1</v>
      </c>
      <c r="F2419">
        <v>416.99</v>
      </c>
      <c r="G2419">
        <v>0.1</v>
      </c>
      <c r="H2419">
        <v>41.699000000000005</v>
      </c>
      <c r="I2419">
        <f>order_items[[#This Row],[list_price]]-order_items[[#This Row],[Discounted_price]]</f>
        <v>375.291</v>
      </c>
      <c r="J2419">
        <f>VLOOKUP(B2419, Products!$A$2:$E$100, 3, FALSE)</f>
        <v>8</v>
      </c>
      <c r="K2419">
        <f>VLOOKUP(B2419, Products!$A$2:$F$100, 4, FALSE)</f>
        <v>6</v>
      </c>
    </row>
    <row r="2420" spans="1:11" x14ac:dyDescent="0.3">
      <c r="A2420">
        <v>846</v>
      </c>
      <c r="B2420">
        <v>4</v>
      </c>
      <c r="C2420">
        <v>72</v>
      </c>
      <c r="D2420" t="str">
        <f>VLOOKUP(B2420, Products!$A$2:$C$100, 2, FALSE)</f>
        <v>Trek Fuel EX 8 29 - 2016</v>
      </c>
      <c r="E2420">
        <v>2</v>
      </c>
      <c r="F2420">
        <v>619.99</v>
      </c>
      <c r="G2420">
        <v>0.05</v>
      </c>
      <c r="H2420">
        <v>30.999500000000001</v>
      </c>
      <c r="I2420">
        <f>order_items[[#This Row],[list_price]]-order_items[[#This Row],[Discounted_price]]</f>
        <v>588.9905</v>
      </c>
      <c r="J2420">
        <f>VLOOKUP(B2420, Products!$A$2:$E$100, 3, FALSE)</f>
        <v>9</v>
      </c>
      <c r="K2420">
        <f>VLOOKUP(B2420, Products!$A$2:$F$100, 4, FALSE)</f>
        <v>6</v>
      </c>
    </row>
    <row r="2421" spans="1:11" x14ac:dyDescent="0.3">
      <c r="A2421">
        <v>846</v>
      </c>
      <c r="B2421">
        <v>5</v>
      </c>
      <c r="C2421">
        <v>103</v>
      </c>
      <c r="D2421" t="str">
        <f>VLOOKUP(B2421, Products!$A$2:$C$100, 2, FALSE)</f>
        <v>Heller Shagamaw Frame - 2016</v>
      </c>
      <c r="E2421">
        <v>2</v>
      </c>
      <c r="F2421">
        <v>551.99</v>
      </c>
      <c r="G2421">
        <v>7.0000000000000007E-2</v>
      </c>
      <c r="H2421">
        <v>38.639300000000006</v>
      </c>
      <c r="I2421">
        <f>order_items[[#This Row],[list_price]]-order_items[[#This Row],[Discounted_price]]</f>
        <v>513.35069999999996</v>
      </c>
      <c r="J2421">
        <f>VLOOKUP(B2421, Products!$A$2:$E$100, 3, FALSE)</f>
        <v>3</v>
      </c>
      <c r="K2421">
        <f>VLOOKUP(B2421, Products!$A$2:$F$100, 4, FALSE)</f>
        <v>6</v>
      </c>
    </row>
    <row r="2422" spans="1:11" x14ac:dyDescent="0.3">
      <c r="A2422">
        <v>847</v>
      </c>
      <c r="B2422">
        <v>1</v>
      </c>
      <c r="C2422">
        <v>61</v>
      </c>
      <c r="D2422" t="str">
        <f>VLOOKUP(B2422, Products!$A$2:$C$100, 2, FALSE)</f>
        <v>Trek 820 - 2016</v>
      </c>
      <c r="E2422">
        <v>2</v>
      </c>
      <c r="F2422">
        <v>4999.99</v>
      </c>
      <c r="G2422">
        <v>0.05</v>
      </c>
      <c r="H2422">
        <v>249.99950000000001</v>
      </c>
      <c r="I2422">
        <f>order_items[[#This Row],[list_price]]-order_items[[#This Row],[Discounted_price]]</f>
        <v>4749.9904999999999</v>
      </c>
      <c r="J2422">
        <f>VLOOKUP(B2422, Products!$A$2:$E$100, 3, FALSE)</f>
        <v>9</v>
      </c>
      <c r="K2422">
        <f>VLOOKUP(B2422, Products!$A$2:$F$100, 4, FALSE)</f>
        <v>6</v>
      </c>
    </row>
    <row r="2423" spans="1:11" x14ac:dyDescent="0.3">
      <c r="A2423">
        <v>848</v>
      </c>
      <c r="B2423">
        <v>1</v>
      </c>
      <c r="C2423">
        <v>93</v>
      </c>
      <c r="D2423" t="str">
        <f>VLOOKUP(B2423, Products!$A$2:$C$100, 2, FALSE)</f>
        <v>Trek 820 - 2016</v>
      </c>
      <c r="E2423">
        <v>1</v>
      </c>
      <c r="F2423">
        <v>209.99</v>
      </c>
      <c r="G2423">
        <v>7.0000000000000007E-2</v>
      </c>
      <c r="H2423">
        <v>14.699300000000003</v>
      </c>
      <c r="I2423">
        <f>order_items[[#This Row],[list_price]]-order_items[[#This Row],[Discounted_price]]</f>
        <v>195.29070000000002</v>
      </c>
      <c r="J2423">
        <f>VLOOKUP(B2423, Products!$A$2:$E$100, 3, FALSE)</f>
        <v>9</v>
      </c>
      <c r="K2423">
        <f>VLOOKUP(B2423, Products!$A$2:$F$100, 4, FALSE)</f>
        <v>6</v>
      </c>
    </row>
    <row r="2424" spans="1:11" x14ac:dyDescent="0.3">
      <c r="A2424">
        <v>848</v>
      </c>
      <c r="B2424">
        <v>2</v>
      </c>
      <c r="C2424">
        <v>100</v>
      </c>
      <c r="D2424" t="str">
        <f>VLOOKUP(B2424, Products!$A$2:$C$100, 2, FALSE)</f>
        <v>Ritchey Timberwolf Frameset - 2016</v>
      </c>
      <c r="E2424">
        <v>2</v>
      </c>
      <c r="F2424">
        <v>489.99</v>
      </c>
      <c r="G2424">
        <v>0.2</v>
      </c>
      <c r="H2424">
        <v>97.998000000000005</v>
      </c>
      <c r="I2424">
        <f>order_items[[#This Row],[list_price]]-order_items[[#This Row],[Discounted_price]]</f>
        <v>391.99200000000002</v>
      </c>
      <c r="J2424">
        <f>VLOOKUP(B2424, Products!$A$2:$E$100, 3, FALSE)</f>
        <v>5</v>
      </c>
      <c r="K2424">
        <f>VLOOKUP(B2424, Products!$A$2:$F$100, 4, FALSE)</f>
        <v>6</v>
      </c>
    </row>
    <row r="2425" spans="1:11" x14ac:dyDescent="0.3">
      <c r="A2425">
        <v>848</v>
      </c>
      <c r="B2425">
        <v>3</v>
      </c>
      <c r="C2425">
        <v>88</v>
      </c>
      <c r="D2425" t="str">
        <f>VLOOKUP(B2425, Products!$A$2:$C$100, 2, FALSE)</f>
        <v>Surly Wednesday Frameset - 2016</v>
      </c>
      <c r="E2425">
        <v>2</v>
      </c>
      <c r="F2425">
        <v>189.99</v>
      </c>
      <c r="G2425">
        <v>0.2</v>
      </c>
      <c r="H2425">
        <v>37.998000000000005</v>
      </c>
      <c r="I2425">
        <f>order_items[[#This Row],[list_price]]-order_items[[#This Row],[Discounted_price]]</f>
        <v>151.99200000000002</v>
      </c>
      <c r="J2425">
        <f>VLOOKUP(B2425, Products!$A$2:$E$100, 3, FALSE)</f>
        <v>8</v>
      </c>
      <c r="K2425">
        <f>VLOOKUP(B2425, Products!$A$2:$F$100, 4, FALSE)</f>
        <v>6</v>
      </c>
    </row>
    <row r="2426" spans="1:11" x14ac:dyDescent="0.3">
      <c r="A2426">
        <v>848</v>
      </c>
      <c r="B2426">
        <v>4</v>
      </c>
      <c r="C2426">
        <v>41</v>
      </c>
      <c r="D2426" t="str">
        <f>VLOOKUP(B2426, Products!$A$2:$C$100, 2, FALSE)</f>
        <v>Trek Fuel EX 8 29 - 2016</v>
      </c>
      <c r="E2426">
        <v>2</v>
      </c>
      <c r="F2426">
        <v>1469.99</v>
      </c>
      <c r="G2426">
        <v>7.0000000000000007E-2</v>
      </c>
      <c r="H2426">
        <v>102.89930000000001</v>
      </c>
      <c r="I2426">
        <f>order_items[[#This Row],[list_price]]-order_items[[#This Row],[Discounted_price]]</f>
        <v>1367.0907</v>
      </c>
      <c r="J2426">
        <f>VLOOKUP(B2426, Products!$A$2:$E$100, 3, FALSE)</f>
        <v>9</v>
      </c>
      <c r="K2426">
        <f>VLOOKUP(B2426, Products!$A$2:$F$100, 4, FALSE)</f>
        <v>6</v>
      </c>
    </row>
    <row r="2427" spans="1:11" x14ac:dyDescent="0.3">
      <c r="A2427">
        <v>849</v>
      </c>
      <c r="B2427">
        <v>1</v>
      </c>
      <c r="C2427">
        <v>109</v>
      </c>
      <c r="D2427" t="str">
        <f>VLOOKUP(B2427, Products!$A$2:$C$100, 2, FALSE)</f>
        <v>Trek 820 - 2016</v>
      </c>
      <c r="E2427">
        <v>1</v>
      </c>
      <c r="F2427">
        <v>416.99</v>
      </c>
      <c r="G2427">
        <v>0.2</v>
      </c>
      <c r="H2427">
        <v>83.39800000000001</v>
      </c>
      <c r="I2427">
        <f>order_items[[#This Row],[list_price]]-order_items[[#This Row],[Discounted_price]]</f>
        <v>333.59199999999998</v>
      </c>
      <c r="J2427">
        <f>VLOOKUP(B2427, Products!$A$2:$E$100, 3, FALSE)</f>
        <v>9</v>
      </c>
      <c r="K2427">
        <f>VLOOKUP(B2427, Products!$A$2:$F$100, 4, FALSE)</f>
        <v>6</v>
      </c>
    </row>
    <row r="2428" spans="1:11" x14ac:dyDescent="0.3">
      <c r="A2428">
        <v>850</v>
      </c>
      <c r="B2428">
        <v>1</v>
      </c>
      <c r="C2428">
        <v>101</v>
      </c>
      <c r="D2428" t="str">
        <f>VLOOKUP(B2428, Products!$A$2:$C$100, 2, FALSE)</f>
        <v>Trek 820 - 2016</v>
      </c>
      <c r="E2428">
        <v>2</v>
      </c>
      <c r="F2428">
        <v>339.99</v>
      </c>
      <c r="G2428">
        <v>7.0000000000000007E-2</v>
      </c>
      <c r="H2428">
        <v>23.799300000000002</v>
      </c>
      <c r="I2428">
        <f>order_items[[#This Row],[list_price]]-order_items[[#This Row],[Discounted_price]]</f>
        <v>316.19069999999999</v>
      </c>
      <c r="J2428">
        <f>VLOOKUP(B2428, Products!$A$2:$E$100, 3, FALSE)</f>
        <v>9</v>
      </c>
      <c r="K2428">
        <f>VLOOKUP(B2428, Products!$A$2:$F$100, 4, FALSE)</f>
        <v>6</v>
      </c>
    </row>
    <row r="2429" spans="1:11" x14ac:dyDescent="0.3">
      <c r="A2429">
        <v>850</v>
      </c>
      <c r="B2429">
        <v>2</v>
      </c>
      <c r="C2429">
        <v>5</v>
      </c>
      <c r="D2429" t="str">
        <f>VLOOKUP(B2429, Products!$A$2:$C$100, 2, FALSE)</f>
        <v>Ritchey Timberwolf Frameset - 2016</v>
      </c>
      <c r="E2429">
        <v>2</v>
      </c>
      <c r="F2429">
        <v>1320.99</v>
      </c>
      <c r="G2429">
        <v>7.0000000000000007E-2</v>
      </c>
      <c r="H2429">
        <v>92.469300000000004</v>
      </c>
      <c r="I2429">
        <f>order_items[[#This Row],[list_price]]-order_items[[#This Row],[Discounted_price]]</f>
        <v>1228.5207</v>
      </c>
      <c r="J2429">
        <f>VLOOKUP(B2429, Products!$A$2:$E$100, 3, FALSE)</f>
        <v>5</v>
      </c>
      <c r="K2429">
        <f>VLOOKUP(B2429, Products!$A$2:$F$100, 4, FALSE)</f>
        <v>6</v>
      </c>
    </row>
    <row r="2430" spans="1:11" x14ac:dyDescent="0.3">
      <c r="A2430">
        <v>850</v>
      </c>
      <c r="B2430">
        <v>3</v>
      </c>
      <c r="C2430">
        <v>37</v>
      </c>
      <c r="D2430" t="str">
        <f>VLOOKUP(B2430, Products!$A$2:$C$100, 2, FALSE)</f>
        <v>Surly Wednesday Frameset - 2016</v>
      </c>
      <c r="E2430">
        <v>1</v>
      </c>
      <c r="F2430">
        <v>379.99</v>
      </c>
      <c r="G2430">
        <v>7.0000000000000007E-2</v>
      </c>
      <c r="H2430">
        <v>26.599300000000003</v>
      </c>
      <c r="I2430">
        <f>order_items[[#This Row],[list_price]]-order_items[[#This Row],[Discounted_price]]</f>
        <v>353.39069999999998</v>
      </c>
      <c r="J2430">
        <f>VLOOKUP(B2430, Products!$A$2:$E$100, 3, FALSE)</f>
        <v>8</v>
      </c>
      <c r="K2430">
        <f>VLOOKUP(B2430, Products!$A$2:$F$100, 4, FALSE)</f>
        <v>6</v>
      </c>
    </row>
    <row r="2431" spans="1:11" x14ac:dyDescent="0.3">
      <c r="A2431">
        <v>851</v>
      </c>
      <c r="B2431">
        <v>1</v>
      </c>
      <c r="C2431">
        <v>30</v>
      </c>
      <c r="D2431" t="str">
        <f>VLOOKUP(B2431, Products!$A$2:$C$100, 2, FALSE)</f>
        <v>Trek 820 - 2016</v>
      </c>
      <c r="E2431">
        <v>1</v>
      </c>
      <c r="F2431">
        <v>999.99</v>
      </c>
      <c r="G2431">
        <v>0.2</v>
      </c>
      <c r="H2431">
        <v>199.99800000000002</v>
      </c>
      <c r="I2431">
        <f>order_items[[#This Row],[list_price]]-order_items[[#This Row],[Discounted_price]]</f>
        <v>799.99199999999996</v>
      </c>
      <c r="J2431">
        <f>VLOOKUP(B2431, Products!$A$2:$E$100, 3, FALSE)</f>
        <v>9</v>
      </c>
      <c r="K2431">
        <f>VLOOKUP(B2431, Products!$A$2:$F$100, 4, FALSE)</f>
        <v>6</v>
      </c>
    </row>
    <row r="2432" spans="1:11" x14ac:dyDescent="0.3">
      <c r="A2432">
        <v>851</v>
      </c>
      <c r="B2432">
        <v>2</v>
      </c>
      <c r="C2432">
        <v>93</v>
      </c>
      <c r="D2432" t="str">
        <f>VLOOKUP(B2432, Products!$A$2:$C$100, 2, FALSE)</f>
        <v>Ritchey Timberwolf Frameset - 2016</v>
      </c>
      <c r="E2432">
        <v>1</v>
      </c>
      <c r="F2432">
        <v>209.99</v>
      </c>
      <c r="G2432">
        <v>0.05</v>
      </c>
      <c r="H2432">
        <v>10.499500000000001</v>
      </c>
      <c r="I2432">
        <f>order_items[[#This Row],[list_price]]-order_items[[#This Row],[Discounted_price]]</f>
        <v>199.4905</v>
      </c>
      <c r="J2432">
        <f>VLOOKUP(B2432, Products!$A$2:$E$100, 3, FALSE)</f>
        <v>5</v>
      </c>
      <c r="K2432">
        <f>VLOOKUP(B2432, Products!$A$2:$F$100, 4, FALSE)</f>
        <v>6</v>
      </c>
    </row>
    <row r="2433" spans="1:11" x14ac:dyDescent="0.3">
      <c r="A2433">
        <v>852</v>
      </c>
      <c r="B2433">
        <v>1</v>
      </c>
      <c r="C2433">
        <v>46</v>
      </c>
      <c r="D2433" t="str">
        <f>VLOOKUP(B2433, Products!$A$2:$C$100, 2, FALSE)</f>
        <v>Trek 820 - 2016</v>
      </c>
      <c r="E2433">
        <v>2</v>
      </c>
      <c r="F2433">
        <v>1409.99</v>
      </c>
      <c r="G2433">
        <v>7.0000000000000007E-2</v>
      </c>
      <c r="H2433">
        <v>98.699300000000008</v>
      </c>
      <c r="I2433">
        <f>order_items[[#This Row],[list_price]]-order_items[[#This Row],[Discounted_price]]</f>
        <v>1311.2907</v>
      </c>
      <c r="J2433">
        <f>VLOOKUP(B2433, Products!$A$2:$E$100, 3, FALSE)</f>
        <v>9</v>
      </c>
      <c r="K2433">
        <f>VLOOKUP(B2433, Products!$A$2:$F$100, 4, FALSE)</f>
        <v>6</v>
      </c>
    </row>
    <row r="2434" spans="1:11" x14ac:dyDescent="0.3">
      <c r="A2434">
        <v>853</v>
      </c>
      <c r="B2434">
        <v>1</v>
      </c>
      <c r="C2434">
        <v>99</v>
      </c>
      <c r="D2434" t="str">
        <f>VLOOKUP(B2434, Products!$A$2:$C$100, 2, FALSE)</f>
        <v>Trek 820 - 2016</v>
      </c>
      <c r="E2434">
        <v>1</v>
      </c>
      <c r="F2434">
        <v>299.99</v>
      </c>
      <c r="G2434">
        <v>0.05</v>
      </c>
      <c r="H2434">
        <v>14.999500000000001</v>
      </c>
      <c r="I2434">
        <f>order_items[[#This Row],[list_price]]-order_items[[#This Row],[Discounted_price]]</f>
        <v>284.9905</v>
      </c>
      <c r="J2434">
        <f>VLOOKUP(B2434, Products!$A$2:$E$100, 3, FALSE)</f>
        <v>9</v>
      </c>
      <c r="K2434">
        <f>VLOOKUP(B2434, Products!$A$2:$F$100, 4, FALSE)</f>
        <v>6</v>
      </c>
    </row>
    <row r="2435" spans="1:11" x14ac:dyDescent="0.3">
      <c r="A2435">
        <v>853</v>
      </c>
      <c r="B2435">
        <v>2</v>
      </c>
      <c r="C2435">
        <v>58</v>
      </c>
      <c r="D2435" t="str">
        <f>VLOOKUP(B2435, Products!$A$2:$C$100, 2, FALSE)</f>
        <v>Ritchey Timberwolf Frameset - 2016</v>
      </c>
      <c r="E2435">
        <v>2</v>
      </c>
      <c r="F2435">
        <v>4999.99</v>
      </c>
      <c r="G2435">
        <v>0.2</v>
      </c>
      <c r="H2435">
        <v>999.99800000000005</v>
      </c>
      <c r="I2435">
        <f>order_items[[#This Row],[list_price]]-order_items[[#This Row],[Discounted_price]]</f>
        <v>3999.9919999999997</v>
      </c>
      <c r="J2435">
        <f>VLOOKUP(B2435, Products!$A$2:$E$100, 3, FALSE)</f>
        <v>5</v>
      </c>
      <c r="K2435">
        <f>VLOOKUP(B2435, Products!$A$2:$F$100, 4, FALSE)</f>
        <v>6</v>
      </c>
    </row>
    <row r="2436" spans="1:11" x14ac:dyDescent="0.3">
      <c r="A2436">
        <v>853</v>
      </c>
      <c r="B2436">
        <v>3</v>
      </c>
      <c r="C2436">
        <v>42</v>
      </c>
      <c r="D2436" t="str">
        <f>VLOOKUP(B2436, Products!$A$2:$C$100, 2, FALSE)</f>
        <v>Surly Wednesday Frameset - 2016</v>
      </c>
      <c r="E2436">
        <v>2</v>
      </c>
      <c r="F2436">
        <v>2299.9899999999998</v>
      </c>
      <c r="G2436">
        <v>0.2</v>
      </c>
      <c r="H2436">
        <v>459.99799999999999</v>
      </c>
      <c r="I2436">
        <f>order_items[[#This Row],[list_price]]-order_items[[#This Row],[Discounted_price]]</f>
        <v>1839.9919999999997</v>
      </c>
      <c r="J2436">
        <f>VLOOKUP(B2436, Products!$A$2:$E$100, 3, FALSE)</f>
        <v>8</v>
      </c>
      <c r="K2436">
        <f>VLOOKUP(B2436, Products!$A$2:$F$100, 4, FALSE)</f>
        <v>6</v>
      </c>
    </row>
    <row r="2437" spans="1:11" x14ac:dyDescent="0.3">
      <c r="A2437">
        <v>853</v>
      </c>
      <c r="B2437">
        <v>4</v>
      </c>
      <c r="C2437">
        <v>45</v>
      </c>
      <c r="D2437" t="str">
        <f>VLOOKUP(B2437, Products!$A$2:$C$100, 2, FALSE)</f>
        <v>Trek Fuel EX 8 29 - 2016</v>
      </c>
      <c r="E2437">
        <v>1</v>
      </c>
      <c r="F2437">
        <v>869.99</v>
      </c>
      <c r="G2437">
        <v>0.2</v>
      </c>
      <c r="H2437">
        <v>173.99800000000002</v>
      </c>
      <c r="I2437">
        <f>order_items[[#This Row],[list_price]]-order_items[[#This Row],[Discounted_price]]</f>
        <v>695.99199999999996</v>
      </c>
      <c r="J2437">
        <f>VLOOKUP(B2437, Products!$A$2:$E$100, 3, FALSE)</f>
        <v>9</v>
      </c>
      <c r="K2437">
        <f>VLOOKUP(B2437, Products!$A$2:$F$100, 4, FALSE)</f>
        <v>6</v>
      </c>
    </row>
    <row r="2438" spans="1:11" x14ac:dyDescent="0.3">
      <c r="A2438">
        <v>853</v>
      </c>
      <c r="B2438">
        <v>5</v>
      </c>
      <c r="C2438">
        <v>6</v>
      </c>
      <c r="D2438" t="str">
        <f>VLOOKUP(B2438, Products!$A$2:$C$100, 2, FALSE)</f>
        <v>Heller Shagamaw Frame - 2016</v>
      </c>
      <c r="E2438">
        <v>1</v>
      </c>
      <c r="F2438">
        <v>469.99</v>
      </c>
      <c r="G2438">
        <v>0.05</v>
      </c>
      <c r="H2438">
        <v>23.499500000000001</v>
      </c>
      <c r="I2438">
        <f>order_items[[#This Row],[list_price]]-order_items[[#This Row],[Discounted_price]]</f>
        <v>446.4905</v>
      </c>
      <c r="J2438">
        <f>VLOOKUP(B2438, Products!$A$2:$E$100, 3, FALSE)</f>
        <v>3</v>
      </c>
      <c r="K2438">
        <f>VLOOKUP(B2438, Products!$A$2:$F$100, 4, FALSE)</f>
        <v>6</v>
      </c>
    </row>
    <row r="2439" spans="1:11" x14ac:dyDescent="0.3">
      <c r="A2439">
        <v>854</v>
      </c>
      <c r="B2439">
        <v>1</v>
      </c>
      <c r="C2439">
        <v>87</v>
      </c>
      <c r="D2439" t="str">
        <f>VLOOKUP(B2439, Products!$A$2:$C$100, 2, FALSE)</f>
        <v>Trek 820 - 2016</v>
      </c>
      <c r="E2439">
        <v>1</v>
      </c>
      <c r="F2439">
        <v>189.99</v>
      </c>
      <c r="G2439">
        <v>0.1</v>
      </c>
      <c r="H2439">
        <v>18.999000000000002</v>
      </c>
      <c r="I2439">
        <f>order_items[[#This Row],[list_price]]-order_items[[#This Row],[Discounted_price]]</f>
        <v>170.99100000000001</v>
      </c>
      <c r="J2439">
        <f>VLOOKUP(B2439, Products!$A$2:$E$100, 3, FALSE)</f>
        <v>9</v>
      </c>
      <c r="K2439">
        <f>VLOOKUP(B2439, Products!$A$2:$F$100, 4, FALSE)</f>
        <v>6</v>
      </c>
    </row>
    <row r="2440" spans="1:11" x14ac:dyDescent="0.3">
      <c r="A2440">
        <v>855</v>
      </c>
      <c r="B2440">
        <v>1</v>
      </c>
      <c r="C2440">
        <v>18</v>
      </c>
      <c r="D2440" t="str">
        <f>VLOOKUP(B2440, Products!$A$2:$C$100, 2, FALSE)</f>
        <v>Trek 820 - 2016</v>
      </c>
      <c r="E2440">
        <v>1</v>
      </c>
      <c r="F2440">
        <v>449</v>
      </c>
      <c r="G2440">
        <v>0.1</v>
      </c>
      <c r="H2440">
        <v>44.900000000000006</v>
      </c>
      <c r="I2440">
        <f>order_items[[#This Row],[list_price]]-order_items[[#This Row],[Discounted_price]]</f>
        <v>404.1</v>
      </c>
      <c r="J2440">
        <f>VLOOKUP(B2440, Products!$A$2:$E$100, 3, FALSE)</f>
        <v>9</v>
      </c>
      <c r="K2440">
        <f>VLOOKUP(B2440, Products!$A$2:$F$100, 4, FALSE)</f>
        <v>6</v>
      </c>
    </row>
    <row r="2441" spans="1:11" x14ac:dyDescent="0.3">
      <c r="A2441">
        <v>855</v>
      </c>
      <c r="B2441">
        <v>2</v>
      </c>
      <c r="C2441">
        <v>93</v>
      </c>
      <c r="D2441" t="str">
        <f>VLOOKUP(B2441, Products!$A$2:$C$100, 2, FALSE)</f>
        <v>Ritchey Timberwolf Frameset - 2016</v>
      </c>
      <c r="E2441">
        <v>2</v>
      </c>
      <c r="F2441">
        <v>209.99</v>
      </c>
      <c r="G2441">
        <v>0.2</v>
      </c>
      <c r="H2441">
        <v>41.998000000000005</v>
      </c>
      <c r="I2441">
        <f>order_items[[#This Row],[list_price]]-order_items[[#This Row],[Discounted_price]]</f>
        <v>167.99200000000002</v>
      </c>
      <c r="J2441">
        <f>VLOOKUP(B2441, Products!$A$2:$E$100, 3, FALSE)</f>
        <v>5</v>
      </c>
      <c r="K2441">
        <f>VLOOKUP(B2441, Products!$A$2:$F$100, 4, FALSE)</f>
        <v>6</v>
      </c>
    </row>
    <row r="2442" spans="1:11" x14ac:dyDescent="0.3">
      <c r="A2442">
        <v>855</v>
      </c>
      <c r="B2442">
        <v>3</v>
      </c>
      <c r="C2442">
        <v>89</v>
      </c>
      <c r="D2442" t="str">
        <f>VLOOKUP(B2442, Products!$A$2:$C$100, 2, FALSE)</f>
        <v>Surly Wednesday Frameset - 2016</v>
      </c>
      <c r="E2442">
        <v>1</v>
      </c>
      <c r="F2442">
        <v>209.99</v>
      </c>
      <c r="G2442">
        <v>0.2</v>
      </c>
      <c r="H2442">
        <v>41.998000000000005</v>
      </c>
      <c r="I2442">
        <f>order_items[[#This Row],[list_price]]-order_items[[#This Row],[Discounted_price]]</f>
        <v>167.99200000000002</v>
      </c>
      <c r="J2442">
        <f>VLOOKUP(B2442, Products!$A$2:$E$100, 3, FALSE)</f>
        <v>8</v>
      </c>
      <c r="K2442">
        <f>VLOOKUP(B2442, Products!$A$2:$F$100, 4, FALSE)</f>
        <v>6</v>
      </c>
    </row>
    <row r="2443" spans="1:11" x14ac:dyDescent="0.3">
      <c r="A2443">
        <v>856</v>
      </c>
      <c r="B2443">
        <v>1</v>
      </c>
      <c r="C2443">
        <v>38</v>
      </c>
      <c r="D2443" t="str">
        <f>VLOOKUP(B2443, Products!$A$2:$C$100, 2, FALSE)</f>
        <v>Trek 820 - 2016</v>
      </c>
      <c r="E2443">
        <v>2</v>
      </c>
      <c r="F2443">
        <v>549.99</v>
      </c>
      <c r="G2443">
        <v>0.05</v>
      </c>
      <c r="H2443">
        <v>27.499500000000001</v>
      </c>
      <c r="I2443">
        <f>order_items[[#This Row],[list_price]]-order_items[[#This Row],[Discounted_price]]</f>
        <v>522.4905</v>
      </c>
      <c r="J2443">
        <f>VLOOKUP(B2443, Products!$A$2:$E$100, 3, FALSE)</f>
        <v>9</v>
      </c>
      <c r="K2443">
        <f>VLOOKUP(B2443, Products!$A$2:$F$100, 4, FALSE)</f>
        <v>6</v>
      </c>
    </row>
    <row r="2444" spans="1:11" x14ac:dyDescent="0.3">
      <c r="A2444">
        <v>857</v>
      </c>
      <c r="B2444">
        <v>1</v>
      </c>
      <c r="C2444">
        <v>29</v>
      </c>
      <c r="D2444" t="str">
        <f>VLOOKUP(B2444, Products!$A$2:$C$100, 2, FALSE)</f>
        <v>Trek 820 - 2016</v>
      </c>
      <c r="E2444">
        <v>1</v>
      </c>
      <c r="F2444">
        <v>999.99</v>
      </c>
      <c r="G2444">
        <v>0.2</v>
      </c>
      <c r="H2444">
        <v>199.99800000000002</v>
      </c>
      <c r="I2444">
        <f>order_items[[#This Row],[list_price]]-order_items[[#This Row],[Discounted_price]]</f>
        <v>799.99199999999996</v>
      </c>
      <c r="J2444">
        <f>VLOOKUP(B2444, Products!$A$2:$E$100, 3, FALSE)</f>
        <v>9</v>
      </c>
      <c r="K2444">
        <f>VLOOKUP(B2444, Products!$A$2:$F$100, 4, FALSE)</f>
        <v>6</v>
      </c>
    </row>
    <row r="2445" spans="1:11" x14ac:dyDescent="0.3">
      <c r="A2445">
        <v>858</v>
      </c>
      <c r="B2445">
        <v>1</v>
      </c>
      <c r="C2445">
        <v>45</v>
      </c>
      <c r="D2445" t="str">
        <f>VLOOKUP(B2445, Products!$A$2:$C$100, 2, FALSE)</f>
        <v>Trek 820 - 2016</v>
      </c>
      <c r="E2445">
        <v>2</v>
      </c>
      <c r="F2445">
        <v>869.99</v>
      </c>
      <c r="G2445">
        <v>0.2</v>
      </c>
      <c r="H2445">
        <v>173.99800000000002</v>
      </c>
      <c r="I2445">
        <f>order_items[[#This Row],[list_price]]-order_items[[#This Row],[Discounted_price]]</f>
        <v>695.99199999999996</v>
      </c>
      <c r="J2445">
        <f>VLOOKUP(B2445, Products!$A$2:$E$100, 3, FALSE)</f>
        <v>9</v>
      </c>
      <c r="K2445">
        <f>VLOOKUP(B2445, Products!$A$2:$F$100, 4, FALSE)</f>
        <v>6</v>
      </c>
    </row>
    <row r="2446" spans="1:11" x14ac:dyDescent="0.3">
      <c r="A2446">
        <v>858</v>
      </c>
      <c r="B2446">
        <v>2</v>
      </c>
      <c r="C2446">
        <v>5</v>
      </c>
      <c r="D2446" t="str">
        <f>VLOOKUP(B2446, Products!$A$2:$C$100, 2, FALSE)</f>
        <v>Ritchey Timberwolf Frameset - 2016</v>
      </c>
      <c r="E2446">
        <v>1</v>
      </c>
      <c r="F2446">
        <v>1320.99</v>
      </c>
      <c r="G2446">
        <v>0.2</v>
      </c>
      <c r="H2446">
        <v>264.19800000000004</v>
      </c>
      <c r="I2446">
        <f>order_items[[#This Row],[list_price]]-order_items[[#This Row],[Discounted_price]]</f>
        <v>1056.7919999999999</v>
      </c>
      <c r="J2446">
        <f>VLOOKUP(B2446, Products!$A$2:$E$100, 3, FALSE)</f>
        <v>5</v>
      </c>
      <c r="K2446">
        <f>VLOOKUP(B2446, Products!$A$2:$F$100, 4, FALSE)</f>
        <v>6</v>
      </c>
    </row>
    <row r="2447" spans="1:11" x14ac:dyDescent="0.3">
      <c r="A2447">
        <v>858</v>
      </c>
      <c r="B2447">
        <v>3</v>
      </c>
      <c r="C2447">
        <v>14</v>
      </c>
      <c r="D2447" t="str">
        <f>VLOOKUP(B2447, Products!$A$2:$C$100, 2, FALSE)</f>
        <v>Surly Wednesday Frameset - 2016</v>
      </c>
      <c r="E2447">
        <v>1</v>
      </c>
      <c r="F2447">
        <v>269.99</v>
      </c>
      <c r="G2447">
        <v>7.0000000000000007E-2</v>
      </c>
      <c r="H2447">
        <v>18.899300000000004</v>
      </c>
      <c r="I2447">
        <f>order_items[[#This Row],[list_price]]-order_items[[#This Row],[Discounted_price]]</f>
        <v>251.0907</v>
      </c>
      <c r="J2447">
        <f>VLOOKUP(B2447, Products!$A$2:$E$100, 3, FALSE)</f>
        <v>8</v>
      </c>
      <c r="K2447">
        <f>VLOOKUP(B2447, Products!$A$2:$F$100, 4, FALSE)</f>
        <v>6</v>
      </c>
    </row>
    <row r="2448" spans="1:11" x14ac:dyDescent="0.3">
      <c r="A2448">
        <v>858</v>
      </c>
      <c r="B2448">
        <v>4</v>
      </c>
      <c r="C2448">
        <v>73</v>
      </c>
      <c r="D2448" t="str">
        <f>VLOOKUP(B2448, Products!$A$2:$C$100, 2, FALSE)</f>
        <v>Trek Fuel EX 8 29 - 2016</v>
      </c>
      <c r="E2448">
        <v>2</v>
      </c>
      <c r="F2448">
        <v>749.99</v>
      </c>
      <c r="G2448">
        <v>7.0000000000000007E-2</v>
      </c>
      <c r="H2448">
        <v>52.499300000000005</v>
      </c>
      <c r="I2448">
        <f>order_items[[#This Row],[list_price]]-order_items[[#This Row],[Discounted_price]]</f>
        <v>697.49070000000006</v>
      </c>
      <c r="J2448">
        <f>VLOOKUP(B2448, Products!$A$2:$E$100, 3, FALSE)</f>
        <v>9</v>
      </c>
      <c r="K2448">
        <f>VLOOKUP(B2448, Products!$A$2:$F$100, 4, FALSE)</f>
        <v>6</v>
      </c>
    </row>
    <row r="2449" spans="1:11" x14ac:dyDescent="0.3">
      <c r="A2449">
        <v>859</v>
      </c>
      <c r="B2449">
        <v>1</v>
      </c>
      <c r="C2449">
        <v>38</v>
      </c>
      <c r="D2449" t="str">
        <f>VLOOKUP(B2449, Products!$A$2:$C$100, 2, FALSE)</f>
        <v>Trek 820 - 2016</v>
      </c>
      <c r="E2449">
        <v>2</v>
      </c>
      <c r="F2449">
        <v>549.99</v>
      </c>
      <c r="G2449">
        <v>7.0000000000000007E-2</v>
      </c>
      <c r="H2449">
        <v>38.499300000000005</v>
      </c>
      <c r="I2449">
        <f>order_items[[#This Row],[list_price]]-order_items[[#This Row],[Discounted_price]]</f>
        <v>511.4907</v>
      </c>
      <c r="J2449">
        <f>VLOOKUP(B2449, Products!$A$2:$E$100, 3, FALSE)</f>
        <v>9</v>
      </c>
      <c r="K2449">
        <f>VLOOKUP(B2449, Products!$A$2:$F$100, 4, FALSE)</f>
        <v>6</v>
      </c>
    </row>
    <row r="2450" spans="1:11" x14ac:dyDescent="0.3">
      <c r="A2450">
        <v>859</v>
      </c>
      <c r="B2450">
        <v>2</v>
      </c>
      <c r="C2450">
        <v>13</v>
      </c>
      <c r="D2450" t="str">
        <f>VLOOKUP(B2450, Products!$A$2:$C$100, 2, FALSE)</f>
        <v>Ritchey Timberwolf Frameset - 2016</v>
      </c>
      <c r="E2450">
        <v>1</v>
      </c>
      <c r="F2450">
        <v>269.99</v>
      </c>
      <c r="G2450">
        <v>0.1</v>
      </c>
      <c r="H2450">
        <v>26.999000000000002</v>
      </c>
      <c r="I2450">
        <f>order_items[[#This Row],[list_price]]-order_items[[#This Row],[Discounted_price]]</f>
        <v>242.99100000000001</v>
      </c>
      <c r="J2450">
        <f>VLOOKUP(B2450, Products!$A$2:$E$100, 3, FALSE)</f>
        <v>5</v>
      </c>
      <c r="K2450">
        <f>VLOOKUP(B2450, Products!$A$2:$F$100, 4, FALSE)</f>
        <v>6</v>
      </c>
    </row>
    <row r="2451" spans="1:11" x14ac:dyDescent="0.3">
      <c r="A2451">
        <v>859</v>
      </c>
      <c r="B2451">
        <v>3</v>
      </c>
      <c r="C2451">
        <v>14</v>
      </c>
      <c r="D2451" t="str">
        <f>VLOOKUP(B2451, Products!$A$2:$C$100, 2, FALSE)</f>
        <v>Surly Wednesday Frameset - 2016</v>
      </c>
      <c r="E2451">
        <v>2</v>
      </c>
      <c r="F2451">
        <v>269.99</v>
      </c>
      <c r="G2451">
        <v>0.1</v>
      </c>
      <c r="H2451">
        <v>26.999000000000002</v>
      </c>
      <c r="I2451">
        <f>order_items[[#This Row],[list_price]]-order_items[[#This Row],[Discounted_price]]</f>
        <v>242.99100000000001</v>
      </c>
      <c r="J2451">
        <f>VLOOKUP(B2451, Products!$A$2:$E$100, 3, FALSE)</f>
        <v>8</v>
      </c>
      <c r="K2451">
        <f>VLOOKUP(B2451, Products!$A$2:$F$100, 4, FALSE)</f>
        <v>6</v>
      </c>
    </row>
    <row r="2452" spans="1:11" x14ac:dyDescent="0.3">
      <c r="A2452">
        <v>859</v>
      </c>
      <c r="B2452">
        <v>4</v>
      </c>
      <c r="C2452">
        <v>71</v>
      </c>
      <c r="D2452" t="str">
        <f>VLOOKUP(B2452, Products!$A$2:$C$100, 2, FALSE)</f>
        <v>Trek Fuel EX 8 29 - 2016</v>
      </c>
      <c r="E2452">
        <v>2</v>
      </c>
      <c r="F2452">
        <v>416.99</v>
      </c>
      <c r="G2452">
        <v>0.1</v>
      </c>
      <c r="H2452">
        <v>41.699000000000005</v>
      </c>
      <c r="I2452">
        <f>order_items[[#This Row],[list_price]]-order_items[[#This Row],[Discounted_price]]</f>
        <v>375.291</v>
      </c>
      <c r="J2452">
        <f>VLOOKUP(B2452, Products!$A$2:$E$100, 3, FALSE)</f>
        <v>9</v>
      </c>
      <c r="K2452">
        <f>VLOOKUP(B2452, Products!$A$2:$F$100, 4, FALSE)</f>
        <v>6</v>
      </c>
    </row>
    <row r="2453" spans="1:11" x14ac:dyDescent="0.3">
      <c r="A2453">
        <v>859</v>
      </c>
      <c r="B2453">
        <v>5</v>
      </c>
      <c r="C2453">
        <v>36</v>
      </c>
      <c r="D2453" t="str">
        <f>VLOOKUP(B2453, Products!$A$2:$C$100, 2, FALSE)</f>
        <v>Heller Shagamaw Frame - 2016</v>
      </c>
      <c r="E2453">
        <v>2</v>
      </c>
      <c r="F2453">
        <v>832.99</v>
      </c>
      <c r="G2453">
        <v>0.1</v>
      </c>
      <c r="H2453">
        <v>83.299000000000007</v>
      </c>
      <c r="I2453">
        <f>order_items[[#This Row],[list_price]]-order_items[[#This Row],[Discounted_price]]</f>
        <v>749.69100000000003</v>
      </c>
      <c r="J2453">
        <f>VLOOKUP(B2453, Products!$A$2:$E$100, 3, FALSE)</f>
        <v>3</v>
      </c>
      <c r="K2453">
        <f>VLOOKUP(B2453, Products!$A$2:$F$100, 4, FALSE)</f>
        <v>6</v>
      </c>
    </row>
    <row r="2454" spans="1:11" x14ac:dyDescent="0.3">
      <c r="A2454">
        <v>860</v>
      </c>
      <c r="B2454">
        <v>1</v>
      </c>
      <c r="C2454">
        <v>6</v>
      </c>
      <c r="D2454" t="str">
        <f>VLOOKUP(B2454, Products!$A$2:$C$100, 2, FALSE)</f>
        <v>Trek 820 - 2016</v>
      </c>
      <c r="E2454">
        <v>1</v>
      </c>
      <c r="F2454">
        <v>469.99</v>
      </c>
      <c r="G2454">
        <v>0.05</v>
      </c>
      <c r="H2454">
        <v>23.499500000000001</v>
      </c>
      <c r="I2454">
        <f>order_items[[#This Row],[list_price]]-order_items[[#This Row],[Discounted_price]]</f>
        <v>446.4905</v>
      </c>
      <c r="J2454">
        <f>VLOOKUP(B2454, Products!$A$2:$E$100, 3, FALSE)</f>
        <v>9</v>
      </c>
      <c r="K2454">
        <f>VLOOKUP(B2454, Products!$A$2:$F$100, 4, FALSE)</f>
        <v>6</v>
      </c>
    </row>
    <row r="2455" spans="1:11" x14ac:dyDescent="0.3">
      <c r="A2455">
        <v>860</v>
      </c>
      <c r="B2455">
        <v>2</v>
      </c>
      <c r="C2455">
        <v>24</v>
      </c>
      <c r="D2455" t="str">
        <f>VLOOKUP(B2455, Products!$A$2:$C$100, 2, FALSE)</f>
        <v>Ritchey Timberwolf Frameset - 2016</v>
      </c>
      <c r="E2455">
        <v>2</v>
      </c>
      <c r="F2455">
        <v>549.99</v>
      </c>
      <c r="G2455">
        <v>0.2</v>
      </c>
      <c r="H2455">
        <v>109.998</v>
      </c>
      <c r="I2455">
        <f>order_items[[#This Row],[list_price]]-order_items[[#This Row],[Discounted_price]]</f>
        <v>439.99200000000002</v>
      </c>
      <c r="J2455">
        <f>VLOOKUP(B2455, Products!$A$2:$E$100, 3, FALSE)</f>
        <v>5</v>
      </c>
      <c r="K2455">
        <f>VLOOKUP(B2455, Products!$A$2:$F$100, 4, FALSE)</f>
        <v>6</v>
      </c>
    </row>
    <row r="2456" spans="1:11" x14ac:dyDescent="0.3">
      <c r="A2456">
        <v>860</v>
      </c>
      <c r="B2456">
        <v>3</v>
      </c>
      <c r="C2456">
        <v>25</v>
      </c>
      <c r="D2456" t="str">
        <f>VLOOKUP(B2456, Products!$A$2:$C$100, 2, FALSE)</f>
        <v>Surly Wednesday Frameset - 2016</v>
      </c>
      <c r="E2456">
        <v>1</v>
      </c>
      <c r="F2456">
        <v>499.99</v>
      </c>
      <c r="G2456">
        <v>0.2</v>
      </c>
      <c r="H2456">
        <v>99.998000000000005</v>
      </c>
      <c r="I2456">
        <f>order_items[[#This Row],[list_price]]-order_items[[#This Row],[Discounted_price]]</f>
        <v>399.99200000000002</v>
      </c>
      <c r="J2456">
        <f>VLOOKUP(B2456, Products!$A$2:$E$100, 3, FALSE)</f>
        <v>8</v>
      </c>
      <c r="K2456">
        <f>VLOOKUP(B2456, Products!$A$2:$F$100, 4, FALSE)</f>
        <v>6</v>
      </c>
    </row>
    <row r="2457" spans="1:11" x14ac:dyDescent="0.3">
      <c r="A2457">
        <v>860</v>
      </c>
      <c r="B2457">
        <v>4</v>
      </c>
      <c r="C2457">
        <v>58</v>
      </c>
      <c r="D2457" t="str">
        <f>VLOOKUP(B2457, Products!$A$2:$C$100, 2, FALSE)</f>
        <v>Trek Fuel EX 8 29 - 2016</v>
      </c>
      <c r="E2457">
        <v>2</v>
      </c>
      <c r="F2457">
        <v>4999.99</v>
      </c>
      <c r="G2457">
        <v>7.0000000000000007E-2</v>
      </c>
      <c r="H2457">
        <v>349.99930000000001</v>
      </c>
      <c r="I2457">
        <f>order_items[[#This Row],[list_price]]-order_items[[#This Row],[Discounted_price]]</f>
        <v>4649.9906999999994</v>
      </c>
      <c r="J2457">
        <f>VLOOKUP(B2457, Products!$A$2:$E$100, 3, FALSE)</f>
        <v>9</v>
      </c>
      <c r="K2457">
        <f>VLOOKUP(B2457, Products!$A$2:$F$100, 4, FALSE)</f>
        <v>6</v>
      </c>
    </row>
    <row r="2458" spans="1:11" x14ac:dyDescent="0.3">
      <c r="A2458">
        <v>860</v>
      </c>
      <c r="B2458">
        <v>5</v>
      </c>
      <c r="C2458">
        <v>95</v>
      </c>
      <c r="D2458" t="str">
        <f>VLOOKUP(B2458, Products!$A$2:$C$100, 2, FALSE)</f>
        <v>Heller Shagamaw Frame - 2016</v>
      </c>
      <c r="E2458">
        <v>2</v>
      </c>
      <c r="F2458">
        <v>299.99</v>
      </c>
      <c r="G2458">
        <v>0.05</v>
      </c>
      <c r="H2458">
        <v>14.999500000000001</v>
      </c>
      <c r="I2458">
        <f>order_items[[#This Row],[list_price]]-order_items[[#This Row],[Discounted_price]]</f>
        <v>284.9905</v>
      </c>
      <c r="J2458">
        <f>VLOOKUP(B2458, Products!$A$2:$E$100, 3, FALSE)</f>
        <v>3</v>
      </c>
      <c r="K2458">
        <f>VLOOKUP(B2458, Products!$A$2:$F$100, 4, FALSE)</f>
        <v>6</v>
      </c>
    </row>
    <row r="2459" spans="1:11" x14ac:dyDescent="0.3">
      <c r="A2459">
        <v>861</v>
      </c>
      <c r="B2459">
        <v>1</v>
      </c>
      <c r="C2459">
        <v>14</v>
      </c>
      <c r="D2459" t="str">
        <f>VLOOKUP(B2459, Products!$A$2:$C$100, 2, FALSE)</f>
        <v>Trek 820 - 2016</v>
      </c>
      <c r="E2459">
        <v>2</v>
      </c>
      <c r="F2459">
        <v>269.99</v>
      </c>
      <c r="G2459">
        <v>7.0000000000000007E-2</v>
      </c>
      <c r="H2459">
        <v>18.899300000000004</v>
      </c>
      <c r="I2459">
        <f>order_items[[#This Row],[list_price]]-order_items[[#This Row],[Discounted_price]]</f>
        <v>251.0907</v>
      </c>
      <c r="J2459">
        <f>VLOOKUP(B2459, Products!$A$2:$E$100, 3, FALSE)</f>
        <v>9</v>
      </c>
      <c r="K2459">
        <f>VLOOKUP(B2459, Products!$A$2:$F$100, 4, FALSE)</f>
        <v>6</v>
      </c>
    </row>
    <row r="2460" spans="1:11" x14ac:dyDescent="0.3">
      <c r="A2460">
        <v>861</v>
      </c>
      <c r="B2460">
        <v>2</v>
      </c>
      <c r="C2460">
        <v>62</v>
      </c>
      <c r="D2460" t="str">
        <f>VLOOKUP(B2460, Products!$A$2:$C$100, 2, FALSE)</f>
        <v>Ritchey Timberwolf Frameset - 2016</v>
      </c>
      <c r="E2460">
        <v>1</v>
      </c>
      <c r="F2460">
        <v>3499.99</v>
      </c>
      <c r="G2460">
        <v>0.2</v>
      </c>
      <c r="H2460">
        <v>699.99800000000005</v>
      </c>
      <c r="I2460">
        <f>order_items[[#This Row],[list_price]]-order_items[[#This Row],[Discounted_price]]</f>
        <v>2799.9919999999997</v>
      </c>
      <c r="J2460">
        <f>VLOOKUP(B2460, Products!$A$2:$E$100, 3, FALSE)</f>
        <v>5</v>
      </c>
      <c r="K2460">
        <f>VLOOKUP(B2460, Products!$A$2:$F$100, 4, FALSE)</f>
        <v>6</v>
      </c>
    </row>
    <row r="2461" spans="1:11" x14ac:dyDescent="0.3">
      <c r="A2461">
        <v>862</v>
      </c>
      <c r="B2461">
        <v>1</v>
      </c>
      <c r="C2461">
        <v>85</v>
      </c>
      <c r="D2461" t="str">
        <f>VLOOKUP(B2461, Products!$A$2:$C$100, 2, FALSE)</f>
        <v>Trek 820 - 2016</v>
      </c>
      <c r="E2461">
        <v>1</v>
      </c>
      <c r="F2461">
        <v>329.99</v>
      </c>
      <c r="G2461">
        <v>0.05</v>
      </c>
      <c r="H2461">
        <v>16.499500000000001</v>
      </c>
      <c r="I2461">
        <f>order_items[[#This Row],[list_price]]-order_items[[#This Row],[Discounted_price]]</f>
        <v>313.4905</v>
      </c>
      <c r="J2461">
        <f>VLOOKUP(B2461, Products!$A$2:$E$100, 3, FALSE)</f>
        <v>9</v>
      </c>
      <c r="K2461">
        <f>VLOOKUP(B2461, Products!$A$2:$F$100, 4, FALSE)</f>
        <v>6</v>
      </c>
    </row>
    <row r="2462" spans="1:11" x14ac:dyDescent="0.3">
      <c r="A2462">
        <v>862</v>
      </c>
      <c r="B2462">
        <v>2</v>
      </c>
      <c r="C2462">
        <v>99</v>
      </c>
      <c r="D2462" t="str">
        <f>VLOOKUP(B2462, Products!$A$2:$C$100, 2, FALSE)</f>
        <v>Ritchey Timberwolf Frameset - 2016</v>
      </c>
      <c r="E2462">
        <v>1</v>
      </c>
      <c r="F2462">
        <v>299.99</v>
      </c>
      <c r="G2462">
        <v>0.2</v>
      </c>
      <c r="H2462">
        <v>59.998000000000005</v>
      </c>
      <c r="I2462">
        <f>order_items[[#This Row],[list_price]]-order_items[[#This Row],[Discounted_price]]</f>
        <v>239.99200000000002</v>
      </c>
      <c r="J2462">
        <f>VLOOKUP(B2462, Products!$A$2:$E$100, 3, FALSE)</f>
        <v>5</v>
      </c>
      <c r="K2462">
        <f>VLOOKUP(B2462, Products!$A$2:$F$100, 4, FALSE)</f>
        <v>6</v>
      </c>
    </row>
    <row r="2463" spans="1:11" x14ac:dyDescent="0.3">
      <c r="A2463">
        <v>862</v>
      </c>
      <c r="B2463">
        <v>3</v>
      </c>
      <c r="C2463">
        <v>49</v>
      </c>
      <c r="D2463" t="str">
        <f>VLOOKUP(B2463, Products!$A$2:$C$100, 2, FALSE)</f>
        <v>Surly Wednesday Frameset - 2016</v>
      </c>
      <c r="E2463">
        <v>2</v>
      </c>
      <c r="F2463">
        <v>3499.99</v>
      </c>
      <c r="G2463">
        <v>7.0000000000000007E-2</v>
      </c>
      <c r="H2463">
        <v>244.99930000000001</v>
      </c>
      <c r="I2463">
        <f>order_items[[#This Row],[list_price]]-order_items[[#This Row],[Discounted_price]]</f>
        <v>3254.9906999999998</v>
      </c>
      <c r="J2463">
        <f>VLOOKUP(B2463, Products!$A$2:$E$100, 3, FALSE)</f>
        <v>8</v>
      </c>
      <c r="K2463">
        <f>VLOOKUP(B2463, Products!$A$2:$F$100, 4, FALSE)</f>
        <v>6</v>
      </c>
    </row>
    <row r="2464" spans="1:11" x14ac:dyDescent="0.3">
      <c r="A2464">
        <v>863</v>
      </c>
      <c r="B2464">
        <v>1</v>
      </c>
      <c r="C2464">
        <v>93</v>
      </c>
      <c r="D2464" t="str">
        <f>VLOOKUP(B2464, Products!$A$2:$C$100, 2, FALSE)</f>
        <v>Trek 820 - 2016</v>
      </c>
      <c r="E2464">
        <v>2</v>
      </c>
      <c r="F2464">
        <v>209.99</v>
      </c>
      <c r="G2464">
        <v>0.1</v>
      </c>
      <c r="H2464">
        <v>20.999000000000002</v>
      </c>
      <c r="I2464">
        <f>order_items[[#This Row],[list_price]]-order_items[[#This Row],[Discounted_price]]</f>
        <v>188.99100000000001</v>
      </c>
      <c r="J2464">
        <f>VLOOKUP(B2464, Products!$A$2:$E$100, 3, FALSE)</f>
        <v>9</v>
      </c>
      <c r="K2464">
        <f>VLOOKUP(B2464, Products!$A$2:$F$100, 4, FALSE)</f>
        <v>6</v>
      </c>
    </row>
    <row r="2465" spans="1:11" x14ac:dyDescent="0.3">
      <c r="A2465">
        <v>864</v>
      </c>
      <c r="B2465">
        <v>1</v>
      </c>
      <c r="C2465">
        <v>37</v>
      </c>
      <c r="D2465" t="str">
        <f>VLOOKUP(B2465, Products!$A$2:$C$100, 2, FALSE)</f>
        <v>Trek 820 - 2016</v>
      </c>
      <c r="E2465">
        <v>1</v>
      </c>
      <c r="F2465">
        <v>379.99</v>
      </c>
      <c r="G2465">
        <v>0.1</v>
      </c>
      <c r="H2465">
        <v>37.999000000000002</v>
      </c>
      <c r="I2465">
        <f>order_items[[#This Row],[list_price]]-order_items[[#This Row],[Discounted_price]]</f>
        <v>341.99099999999999</v>
      </c>
      <c r="J2465">
        <f>VLOOKUP(B2465, Products!$A$2:$E$100, 3, FALSE)</f>
        <v>9</v>
      </c>
      <c r="K2465">
        <f>VLOOKUP(B2465, Products!$A$2:$F$100, 4, FALSE)</f>
        <v>6</v>
      </c>
    </row>
    <row r="2466" spans="1:11" x14ac:dyDescent="0.3">
      <c r="A2466">
        <v>864</v>
      </c>
      <c r="B2466">
        <v>2</v>
      </c>
      <c r="C2466">
        <v>65</v>
      </c>
      <c r="D2466" t="str">
        <f>VLOOKUP(B2466, Products!$A$2:$C$100, 2, FALSE)</f>
        <v>Ritchey Timberwolf Frameset - 2016</v>
      </c>
      <c r="E2466">
        <v>2</v>
      </c>
      <c r="F2466">
        <v>346.99</v>
      </c>
      <c r="G2466">
        <v>0.05</v>
      </c>
      <c r="H2466">
        <v>17.349500000000003</v>
      </c>
      <c r="I2466">
        <f>order_items[[#This Row],[list_price]]-order_items[[#This Row],[Discounted_price]]</f>
        <v>329.64050000000003</v>
      </c>
      <c r="J2466">
        <f>VLOOKUP(B2466, Products!$A$2:$E$100, 3, FALSE)</f>
        <v>5</v>
      </c>
      <c r="K2466">
        <f>VLOOKUP(B2466, Products!$A$2:$F$100, 4, FALSE)</f>
        <v>6</v>
      </c>
    </row>
    <row r="2467" spans="1:11" x14ac:dyDescent="0.3">
      <c r="A2467">
        <v>864</v>
      </c>
      <c r="B2467">
        <v>3</v>
      </c>
      <c r="C2467">
        <v>13</v>
      </c>
      <c r="D2467" t="str">
        <f>VLOOKUP(B2467, Products!$A$2:$C$100, 2, FALSE)</f>
        <v>Surly Wednesday Frameset - 2016</v>
      </c>
      <c r="E2467">
        <v>1</v>
      </c>
      <c r="F2467">
        <v>269.99</v>
      </c>
      <c r="G2467">
        <v>0.2</v>
      </c>
      <c r="H2467">
        <v>53.998000000000005</v>
      </c>
      <c r="I2467">
        <f>order_items[[#This Row],[list_price]]-order_items[[#This Row],[Discounted_price]]</f>
        <v>215.99200000000002</v>
      </c>
      <c r="J2467">
        <f>VLOOKUP(B2467, Products!$A$2:$E$100, 3, FALSE)</f>
        <v>8</v>
      </c>
      <c r="K2467">
        <f>VLOOKUP(B2467, Products!$A$2:$F$100, 4, FALSE)</f>
        <v>6</v>
      </c>
    </row>
    <row r="2468" spans="1:11" x14ac:dyDescent="0.3">
      <c r="A2468">
        <v>865</v>
      </c>
      <c r="B2468">
        <v>1</v>
      </c>
      <c r="C2468">
        <v>109</v>
      </c>
      <c r="D2468" t="str">
        <f>VLOOKUP(B2468, Products!$A$2:$C$100, 2, FALSE)</f>
        <v>Trek 820 - 2016</v>
      </c>
      <c r="E2468">
        <v>2</v>
      </c>
      <c r="F2468">
        <v>416.99</v>
      </c>
      <c r="G2468">
        <v>0.1</v>
      </c>
      <c r="H2468">
        <v>41.699000000000005</v>
      </c>
      <c r="I2468">
        <f>order_items[[#This Row],[list_price]]-order_items[[#This Row],[Discounted_price]]</f>
        <v>375.291</v>
      </c>
      <c r="J2468">
        <f>VLOOKUP(B2468, Products!$A$2:$E$100, 3, FALSE)</f>
        <v>9</v>
      </c>
      <c r="K2468">
        <f>VLOOKUP(B2468, Products!$A$2:$F$100, 4, FALSE)</f>
        <v>6</v>
      </c>
    </row>
    <row r="2469" spans="1:11" x14ac:dyDescent="0.3">
      <c r="A2469">
        <v>865</v>
      </c>
      <c r="B2469">
        <v>2</v>
      </c>
      <c r="C2469">
        <v>34</v>
      </c>
      <c r="D2469" t="str">
        <f>VLOOKUP(B2469, Products!$A$2:$C$100, 2, FALSE)</f>
        <v>Ritchey Timberwolf Frameset - 2016</v>
      </c>
      <c r="E2469">
        <v>1</v>
      </c>
      <c r="F2469">
        <v>469.99</v>
      </c>
      <c r="G2469">
        <v>0.05</v>
      </c>
      <c r="H2469">
        <v>23.499500000000001</v>
      </c>
      <c r="I2469">
        <f>order_items[[#This Row],[list_price]]-order_items[[#This Row],[Discounted_price]]</f>
        <v>446.4905</v>
      </c>
      <c r="J2469">
        <f>VLOOKUP(B2469, Products!$A$2:$E$100, 3, FALSE)</f>
        <v>5</v>
      </c>
      <c r="K2469">
        <f>VLOOKUP(B2469, Products!$A$2:$F$100, 4, FALSE)</f>
        <v>6</v>
      </c>
    </row>
    <row r="2470" spans="1:11" x14ac:dyDescent="0.3">
      <c r="A2470">
        <v>866</v>
      </c>
      <c r="B2470">
        <v>1</v>
      </c>
      <c r="C2470">
        <v>88</v>
      </c>
      <c r="D2470" t="str">
        <f>VLOOKUP(B2470, Products!$A$2:$C$100, 2, FALSE)</f>
        <v>Trek 820 - 2016</v>
      </c>
      <c r="E2470">
        <v>1</v>
      </c>
      <c r="F2470">
        <v>189.99</v>
      </c>
      <c r="G2470">
        <v>0.2</v>
      </c>
      <c r="H2470">
        <v>37.998000000000005</v>
      </c>
      <c r="I2470">
        <f>order_items[[#This Row],[list_price]]-order_items[[#This Row],[Discounted_price]]</f>
        <v>151.99200000000002</v>
      </c>
      <c r="J2470">
        <f>VLOOKUP(B2470, Products!$A$2:$E$100, 3, FALSE)</f>
        <v>9</v>
      </c>
      <c r="K2470">
        <f>VLOOKUP(B2470, Products!$A$2:$F$100, 4, FALSE)</f>
        <v>6</v>
      </c>
    </row>
    <row r="2471" spans="1:11" x14ac:dyDescent="0.3">
      <c r="A2471">
        <v>866</v>
      </c>
      <c r="B2471">
        <v>2</v>
      </c>
      <c r="C2471">
        <v>67</v>
      </c>
      <c r="D2471" t="str">
        <f>VLOOKUP(B2471, Products!$A$2:$C$100, 2, FALSE)</f>
        <v>Ritchey Timberwolf Frameset - 2016</v>
      </c>
      <c r="E2471">
        <v>2</v>
      </c>
      <c r="F2471">
        <v>250.99</v>
      </c>
      <c r="G2471">
        <v>7.0000000000000007E-2</v>
      </c>
      <c r="H2471">
        <v>17.569300000000002</v>
      </c>
      <c r="I2471">
        <f>order_items[[#This Row],[list_price]]-order_items[[#This Row],[Discounted_price]]</f>
        <v>233.42070000000001</v>
      </c>
      <c r="J2471">
        <f>VLOOKUP(B2471, Products!$A$2:$E$100, 3, FALSE)</f>
        <v>5</v>
      </c>
      <c r="K2471">
        <f>VLOOKUP(B2471, Products!$A$2:$F$100, 4, FALSE)</f>
        <v>6</v>
      </c>
    </row>
    <row r="2472" spans="1:11" x14ac:dyDescent="0.3">
      <c r="A2472">
        <v>866</v>
      </c>
      <c r="B2472">
        <v>3</v>
      </c>
      <c r="C2472">
        <v>80</v>
      </c>
      <c r="D2472" t="str">
        <f>VLOOKUP(B2472, Products!$A$2:$C$100, 2, FALSE)</f>
        <v>Surly Wednesday Frameset - 2016</v>
      </c>
      <c r="E2472">
        <v>1</v>
      </c>
      <c r="F2472">
        <v>761.99</v>
      </c>
      <c r="G2472">
        <v>7.0000000000000007E-2</v>
      </c>
      <c r="H2472">
        <v>53.339300000000009</v>
      </c>
      <c r="I2472">
        <f>order_items[[#This Row],[list_price]]-order_items[[#This Row],[Discounted_price]]</f>
        <v>708.65070000000003</v>
      </c>
      <c r="J2472">
        <f>VLOOKUP(B2472, Products!$A$2:$E$100, 3, FALSE)</f>
        <v>8</v>
      </c>
      <c r="K2472">
        <f>VLOOKUP(B2472, Products!$A$2:$F$100, 4, FALSE)</f>
        <v>6</v>
      </c>
    </row>
    <row r="2473" spans="1:11" x14ac:dyDescent="0.3">
      <c r="A2473">
        <v>866</v>
      </c>
      <c r="B2473">
        <v>4</v>
      </c>
      <c r="C2473">
        <v>13</v>
      </c>
      <c r="D2473" t="str">
        <f>VLOOKUP(B2473, Products!$A$2:$C$100, 2, FALSE)</f>
        <v>Trek Fuel EX 8 29 - 2016</v>
      </c>
      <c r="E2473">
        <v>2</v>
      </c>
      <c r="F2473">
        <v>269.99</v>
      </c>
      <c r="G2473">
        <v>7.0000000000000007E-2</v>
      </c>
      <c r="H2473">
        <v>18.899300000000004</v>
      </c>
      <c r="I2473">
        <f>order_items[[#This Row],[list_price]]-order_items[[#This Row],[Discounted_price]]</f>
        <v>251.0907</v>
      </c>
      <c r="J2473">
        <f>VLOOKUP(B2473, Products!$A$2:$E$100, 3, FALSE)</f>
        <v>9</v>
      </c>
      <c r="K2473">
        <f>VLOOKUP(B2473, Products!$A$2:$F$100, 4, FALSE)</f>
        <v>6</v>
      </c>
    </row>
    <row r="2474" spans="1:11" x14ac:dyDescent="0.3">
      <c r="A2474">
        <v>867</v>
      </c>
      <c r="B2474">
        <v>1</v>
      </c>
      <c r="C2474">
        <v>101</v>
      </c>
      <c r="D2474" t="str">
        <f>VLOOKUP(B2474, Products!$A$2:$C$100, 2, FALSE)</f>
        <v>Trek 820 - 2016</v>
      </c>
      <c r="E2474">
        <v>1</v>
      </c>
      <c r="F2474">
        <v>339.99</v>
      </c>
      <c r="G2474">
        <v>0.05</v>
      </c>
      <c r="H2474">
        <v>16.999500000000001</v>
      </c>
      <c r="I2474">
        <f>order_items[[#This Row],[list_price]]-order_items[[#This Row],[Discounted_price]]</f>
        <v>322.9905</v>
      </c>
      <c r="J2474">
        <f>VLOOKUP(B2474, Products!$A$2:$E$100, 3, FALSE)</f>
        <v>9</v>
      </c>
      <c r="K2474">
        <f>VLOOKUP(B2474, Products!$A$2:$F$100, 4, FALSE)</f>
        <v>6</v>
      </c>
    </row>
    <row r="2475" spans="1:11" x14ac:dyDescent="0.3">
      <c r="A2475">
        <v>868</v>
      </c>
      <c r="B2475">
        <v>1</v>
      </c>
      <c r="C2475">
        <v>46</v>
      </c>
      <c r="D2475" t="str">
        <f>VLOOKUP(B2475, Products!$A$2:$C$100, 2, FALSE)</f>
        <v>Trek 820 - 2016</v>
      </c>
      <c r="E2475">
        <v>1</v>
      </c>
      <c r="F2475">
        <v>1409.99</v>
      </c>
      <c r="G2475">
        <v>7.0000000000000007E-2</v>
      </c>
      <c r="H2475">
        <v>98.699300000000008</v>
      </c>
      <c r="I2475">
        <f>order_items[[#This Row],[list_price]]-order_items[[#This Row],[Discounted_price]]</f>
        <v>1311.2907</v>
      </c>
      <c r="J2475">
        <f>VLOOKUP(B2475, Products!$A$2:$E$100, 3, FALSE)</f>
        <v>9</v>
      </c>
      <c r="K2475">
        <f>VLOOKUP(B2475, Products!$A$2:$F$100, 4, FALSE)</f>
        <v>6</v>
      </c>
    </row>
    <row r="2476" spans="1:11" x14ac:dyDescent="0.3">
      <c r="A2476">
        <v>869</v>
      </c>
      <c r="B2476">
        <v>1</v>
      </c>
      <c r="C2476">
        <v>7</v>
      </c>
      <c r="D2476" t="str">
        <f>VLOOKUP(B2476, Products!$A$2:$C$100, 2, FALSE)</f>
        <v>Trek 820 - 2016</v>
      </c>
      <c r="E2476">
        <v>1</v>
      </c>
      <c r="F2476">
        <v>3999.99</v>
      </c>
      <c r="G2476">
        <v>0.2</v>
      </c>
      <c r="H2476">
        <v>799.99800000000005</v>
      </c>
      <c r="I2476">
        <f>order_items[[#This Row],[list_price]]-order_items[[#This Row],[Discounted_price]]</f>
        <v>3199.9919999999997</v>
      </c>
      <c r="J2476">
        <f>VLOOKUP(B2476, Products!$A$2:$E$100, 3, FALSE)</f>
        <v>9</v>
      </c>
      <c r="K2476">
        <f>VLOOKUP(B2476, Products!$A$2:$F$100, 4, FALSE)</f>
        <v>6</v>
      </c>
    </row>
    <row r="2477" spans="1:11" x14ac:dyDescent="0.3">
      <c r="A2477">
        <v>869</v>
      </c>
      <c r="B2477">
        <v>2</v>
      </c>
      <c r="C2477">
        <v>106</v>
      </c>
      <c r="D2477" t="str">
        <f>VLOOKUP(B2477, Products!$A$2:$C$100, 2, FALSE)</f>
        <v>Ritchey Timberwolf Frameset - 2016</v>
      </c>
      <c r="E2477">
        <v>2</v>
      </c>
      <c r="F2477">
        <v>449.99</v>
      </c>
      <c r="G2477">
        <v>0.05</v>
      </c>
      <c r="H2477">
        <v>22.499500000000001</v>
      </c>
      <c r="I2477">
        <f>order_items[[#This Row],[list_price]]-order_items[[#This Row],[Discounted_price]]</f>
        <v>427.4905</v>
      </c>
      <c r="J2477">
        <f>VLOOKUP(B2477, Products!$A$2:$E$100, 3, FALSE)</f>
        <v>5</v>
      </c>
      <c r="K2477">
        <f>VLOOKUP(B2477, Products!$A$2:$F$100, 4, FALSE)</f>
        <v>6</v>
      </c>
    </row>
    <row r="2478" spans="1:11" x14ac:dyDescent="0.3">
      <c r="A2478">
        <v>869</v>
      </c>
      <c r="B2478">
        <v>3</v>
      </c>
      <c r="C2478">
        <v>33</v>
      </c>
      <c r="D2478" t="str">
        <f>VLOOKUP(B2478, Products!$A$2:$C$100, 2, FALSE)</f>
        <v>Surly Wednesday Frameset - 2016</v>
      </c>
      <c r="E2478">
        <v>1</v>
      </c>
      <c r="F2478">
        <v>469.99</v>
      </c>
      <c r="G2478">
        <v>0.05</v>
      </c>
      <c r="H2478">
        <v>23.499500000000001</v>
      </c>
      <c r="I2478">
        <f>order_items[[#This Row],[list_price]]-order_items[[#This Row],[Discounted_price]]</f>
        <v>446.4905</v>
      </c>
      <c r="J2478">
        <f>VLOOKUP(B2478, Products!$A$2:$E$100, 3, FALSE)</f>
        <v>8</v>
      </c>
      <c r="K2478">
        <f>VLOOKUP(B2478, Products!$A$2:$F$100, 4, FALSE)</f>
        <v>6</v>
      </c>
    </row>
    <row r="2479" spans="1:11" x14ac:dyDescent="0.3">
      <c r="A2479">
        <v>869</v>
      </c>
      <c r="B2479">
        <v>4</v>
      </c>
      <c r="C2479">
        <v>55</v>
      </c>
      <c r="D2479" t="str">
        <f>VLOOKUP(B2479, Products!$A$2:$C$100, 2, FALSE)</f>
        <v>Trek Fuel EX 8 29 - 2016</v>
      </c>
      <c r="E2479">
        <v>2</v>
      </c>
      <c r="F2479">
        <v>2699.99</v>
      </c>
      <c r="G2479">
        <v>0.05</v>
      </c>
      <c r="H2479">
        <v>134.99949999999998</v>
      </c>
      <c r="I2479">
        <f>order_items[[#This Row],[list_price]]-order_items[[#This Row],[Discounted_price]]</f>
        <v>2564.9904999999999</v>
      </c>
      <c r="J2479">
        <f>VLOOKUP(B2479, Products!$A$2:$E$100, 3, FALSE)</f>
        <v>9</v>
      </c>
      <c r="K2479">
        <f>VLOOKUP(B2479, Products!$A$2:$F$100, 4, FALSE)</f>
        <v>6</v>
      </c>
    </row>
    <row r="2480" spans="1:11" x14ac:dyDescent="0.3">
      <c r="A2480">
        <v>869</v>
      </c>
      <c r="B2480">
        <v>5</v>
      </c>
      <c r="C2480">
        <v>65</v>
      </c>
      <c r="D2480" t="str">
        <f>VLOOKUP(B2480, Products!$A$2:$C$100, 2, FALSE)</f>
        <v>Heller Shagamaw Frame - 2016</v>
      </c>
      <c r="E2480">
        <v>2</v>
      </c>
      <c r="F2480">
        <v>346.99</v>
      </c>
      <c r="G2480">
        <v>0.2</v>
      </c>
      <c r="H2480">
        <v>69.39800000000001</v>
      </c>
      <c r="I2480">
        <f>order_items[[#This Row],[list_price]]-order_items[[#This Row],[Discounted_price]]</f>
        <v>277.59199999999998</v>
      </c>
      <c r="J2480">
        <f>VLOOKUP(B2480, Products!$A$2:$E$100, 3, FALSE)</f>
        <v>3</v>
      </c>
      <c r="K2480">
        <f>VLOOKUP(B2480, Products!$A$2:$F$100, 4, FALSE)</f>
        <v>6</v>
      </c>
    </row>
    <row r="2481" spans="1:11" x14ac:dyDescent="0.3">
      <c r="A2481">
        <v>870</v>
      </c>
      <c r="B2481">
        <v>1</v>
      </c>
      <c r="C2481">
        <v>63</v>
      </c>
      <c r="D2481" t="str">
        <f>VLOOKUP(B2481, Products!$A$2:$C$100, 2, FALSE)</f>
        <v>Trek 820 - 2016</v>
      </c>
      <c r="E2481">
        <v>1</v>
      </c>
      <c r="F2481">
        <v>3499.99</v>
      </c>
      <c r="G2481">
        <v>7.0000000000000007E-2</v>
      </c>
      <c r="H2481">
        <v>244.99930000000001</v>
      </c>
      <c r="I2481">
        <f>order_items[[#This Row],[list_price]]-order_items[[#This Row],[Discounted_price]]</f>
        <v>3254.9906999999998</v>
      </c>
      <c r="J2481">
        <f>VLOOKUP(B2481, Products!$A$2:$E$100, 3, FALSE)</f>
        <v>9</v>
      </c>
      <c r="K2481">
        <f>VLOOKUP(B2481, Products!$A$2:$F$100, 4, FALSE)</f>
        <v>6</v>
      </c>
    </row>
    <row r="2482" spans="1:11" x14ac:dyDescent="0.3">
      <c r="A2482">
        <v>871</v>
      </c>
      <c r="B2482">
        <v>1</v>
      </c>
      <c r="C2482">
        <v>106</v>
      </c>
      <c r="D2482" t="str">
        <f>VLOOKUP(B2482, Products!$A$2:$C$100, 2, FALSE)</f>
        <v>Trek 820 - 2016</v>
      </c>
      <c r="E2482">
        <v>1</v>
      </c>
      <c r="F2482">
        <v>449.99</v>
      </c>
      <c r="G2482">
        <v>0.2</v>
      </c>
      <c r="H2482">
        <v>89.998000000000005</v>
      </c>
      <c r="I2482">
        <f>order_items[[#This Row],[list_price]]-order_items[[#This Row],[Discounted_price]]</f>
        <v>359.99200000000002</v>
      </c>
      <c r="J2482">
        <f>VLOOKUP(B2482, Products!$A$2:$E$100, 3, FALSE)</f>
        <v>9</v>
      </c>
      <c r="K2482">
        <f>VLOOKUP(B2482, Products!$A$2:$F$100, 4, FALSE)</f>
        <v>6</v>
      </c>
    </row>
    <row r="2483" spans="1:11" x14ac:dyDescent="0.3">
      <c r="A2483">
        <v>871</v>
      </c>
      <c r="B2483">
        <v>2</v>
      </c>
      <c r="C2483">
        <v>38</v>
      </c>
      <c r="D2483" t="str">
        <f>VLOOKUP(B2483, Products!$A$2:$C$100, 2, FALSE)</f>
        <v>Ritchey Timberwolf Frameset - 2016</v>
      </c>
      <c r="E2483">
        <v>1</v>
      </c>
      <c r="F2483">
        <v>549.99</v>
      </c>
      <c r="G2483">
        <v>0.1</v>
      </c>
      <c r="H2483">
        <v>54.999000000000002</v>
      </c>
      <c r="I2483">
        <f>order_items[[#This Row],[list_price]]-order_items[[#This Row],[Discounted_price]]</f>
        <v>494.99099999999999</v>
      </c>
      <c r="J2483">
        <f>VLOOKUP(B2483, Products!$A$2:$E$100, 3, FALSE)</f>
        <v>5</v>
      </c>
      <c r="K2483">
        <f>VLOOKUP(B2483, Products!$A$2:$F$100, 4, FALSE)</f>
        <v>6</v>
      </c>
    </row>
    <row r="2484" spans="1:11" x14ac:dyDescent="0.3">
      <c r="A2484">
        <v>871</v>
      </c>
      <c r="B2484">
        <v>3</v>
      </c>
      <c r="C2484">
        <v>30</v>
      </c>
      <c r="D2484" t="str">
        <f>VLOOKUP(B2484, Products!$A$2:$C$100, 2, FALSE)</f>
        <v>Surly Wednesday Frameset - 2016</v>
      </c>
      <c r="E2484">
        <v>2</v>
      </c>
      <c r="F2484">
        <v>999.99</v>
      </c>
      <c r="G2484">
        <v>0.2</v>
      </c>
      <c r="H2484">
        <v>199.99800000000002</v>
      </c>
      <c r="I2484">
        <f>order_items[[#This Row],[list_price]]-order_items[[#This Row],[Discounted_price]]</f>
        <v>799.99199999999996</v>
      </c>
      <c r="J2484">
        <f>VLOOKUP(B2484, Products!$A$2:$E$100, 3, FALSE)</f>
        <v>8</v>
      </c>
      <c r="K2484">
        <f>VLOOKUP(B2484, Products!$A$2:$F$100, 4, FALSE)</f>
        <v>6</v>
      </c>
    </row>
    <row r="2485" spans="1:11" x14ac:dyDescent="0.3">
      <c r="A2485">
        <v>871</v>
      </c>
      <c r="B2485">
        <v>4</v>
      </c>
      <c r="C2485">
        <v>107</v>
      </c>
      <c r="D2485" t="str">
        <f>VLOOKUP(B2485, Products!$A$2:$C$100, 2, FALSE)</f>
        <v>Trek Fuel EX 8 29 - 2016</v>
      </c>
      <c r="E2485">
        <v>2</v>
      </c>
      <c r="F2485">
        <v>416.99</v>
      </c>
      <c r="G2485">
        <v>0.05</v>
      </c>
      <c r="H2485">
        <v>20.849500000000003</v>
      </c>
      <c r="I2485">
        <f>order_items[[#This Row],[list_price]]-order_items[[#This Row],[Discounted_price]]</f>
        <v>396.14050000000003</v>
      </c>
      <c r="J2485">
        <f>VLOOKUP(B2485, Products!$A$2:$E$100, 3, FALSE)</f>
        <v>9</v>
      </c>
      <c r="K2485">
        <f>VLOOKUP(B2485, Products!$A$2:$F$100, 4, FALSE)</f>
        <v>6</v>
      </c>
    </row>
    <row r="2486" spans="1:11" x14ac:dyDescent="0.3">
      <c r="A2486">
        <v>872</v>
      </c>
      <c r="B2486">
        <v>1</v>
      </c>
      <c r="C2486">
        <v>62</v>
      </c>
      <c r="D2486" t="str">
        <f>VLOOKUP(B2486, Products!$A$2:$C$100, 2, FALSE)</f>
        <v>Trek 820 - 2016</v>
      </c>
      <c r="E2486">
        <v>2</v>
      </c>
      <c r="F2486">
        <v>3499.99</v>
      </c>
      <c r="G2486">
        <v>7.0000000000000007E-2</v>
      </c>
      <c r="H2486">
        <v>244.99930000000001</v>
      </c>
      <c r="I2486">
        <f>order_items[[#This Row],[list_price]]-order_items[[#This Row],[Discounted_price]]</f>
        <v>3254.9906999999998</v>
      </c>
      <c r="J2486">
        <f>VLOOKUP(B2486, Products!$A$2:$E$100, 3, FALSE)</f>
        <v>9</v>
      </c>
      <c r="K2486">
        <f>VLOOKUP(B2486, Products!$A$2:$F$100, 4, FALSE)</f>
        <v>6</v>
      </c>
    </row>
    <row r="2487" spans="1:11" x14ac:dyDescent="0.3">
      <c r="A2487">
        <v>872</v>
      </c>
      <c r="B2487">
        <v>2</v>
      </c>
      <c r="C2487">
        <v>53</v>
      </c>
      <c r="D2487" t="str">
        <f>VLOOKUP(B2487, Products!$A$2:$C$100, 2, FALSE)</f>
        <v>Ritchey Timberwolf Frameset - 2016</v>
      </c>
      <c r="E2487">
        <v>1</v>
      </c>
      <c r="F2487">
        <v>749.99</v>
      </c>
      <c r="G2487">
        <v>0.1</v>
      </c>
      <c r="H2487">
        <v>74.999000000000009</v>
      </c>
      <c r="I2487">
        <f>order_items[[#This Row],[list_price]]-order_items[[#This Row],[Discounted_price]]</f>
        <v>674.99099999999999</v>
      </c>
      <c r="J2487">
        <f>VLOOKUP(B2487, Products!$A$2:$E$100, 3, FALSE)</f>
        <v>5</v>
      </c>
      <c r="K2487">
        <f>VLOOKUP(B2487, Products!$A$2:$F$100, 4, FALSE)</f>
        <v>6</v>
      </c>
    </row>
    <row r="2488" spans="1:11" x14ac:dyDescent="0.3">
      <c r="A2488">
        <v>873</v>
      </c>
      <c r="B2488">
        <v>1</v>
      </c>
      <c r="C2488">
        <v>32</v>
      </c>
      <c r="D2488" t="str">
        <f>VLOOKUP(B2488, Products!$A$2:$C$100, 2, FALSE)</f>
        <v>Trek 820 - 2016</v>
      </c>
      <c r="E2488">
        <v>2</v>
      </c>
      <c r="F2488">
        <v>469.99</v>
      </c>
      <c r="G2488">
        <v>0.1</v>
      </c>
      <c r="H2488">
        <v>46.999000000000002</v>
      </c>
      <c r="I2488">
        <f>order_items[[#This Row],[list_price]]-order_items[[#This Row],[Discounted_price]]</f>
        <v>422.99099999999999</v>
      </c>
      <c r="J2488">
        <f>VLOOKUP(B2488, Products!$A$2:$E$100, 3, FALSE)</f>
        <v>9</v>
      </c>
      <c r="K2488">
        <f>VLOOKUP(B2488, Products!$A$2:$F$100, 4, FALSE)</f>
        <v>6</v>
      </c>
    </row>
    <row r="2489" spans="1:11" x14ac:dyDescent="0.3">
      <c r="A2489">
        <v>874</v>
      </c>
      <c r="B2489">
        <v>1</v>
      </c>
      <c r="C2489">
        <v>56</v>
      </c>
      <c r="D2489" t="str">
        <f>VLOOKUP(B2489, Products!$A$2:$C$100, 2, FALSE)</f>
        <v>Trek 820 - 2016</v>
      </c>
      <c r="E2489">
        <v>1</v>
      </c>
      <c r="F2489">
        <v>5499.99</v>
      </c>
      <c r="G2489">
        <v>0.05</v>
      </c>
      <c r="H2489">
        <v>274.99950000000001</v>
      </c>
      <c r="I2489">
        <f>order_items[[#This Row],[list_price]]-order_items[[#This Row],[Discounted_price]]</f>
        <v>5224.9904999999999</v>
      </c>
      <c r="J2489">
        <f>VLOOKUP(B2489, Products!$A$2:$E$100, 3, FALSE)</f>
        <v>9</v>
      </c>
      <c r="K2489">
        <f>VLOOKUP(B2489, Products!$A$2:$F$100, 4, FALSE)</f>
        <v>6</v>
      </c>
    </row>
    <row r="2490" spans="1:11" x14ac:dyDescent="0.3">
      <c r="A2490">
        <v>874</v>
      </c>
      <c r="B2490">
        <v>2</v>
      </c>
      <c r="C2490">
        <v>27</v>
      </c>
      <c r="D2490" t="str">
        <f>VLOOKUP(B2490, Products!$A$2:$C$100, 2, FALSE)</f>
        <v>Ritchey Timberwolf Frameset - 2016</v>
      </c>
      <c r="E2490">
        <v>2</v>
      </c>
      <c r="F2490">
        <v>999.99</v>
      </c>
      <c r="G2490">
        <v>0.05</v>
      </c>
      <c r="H2490">
        <v>49.999500000000005</v>
      </c>
      <c r="I2490">
        <f>order_items[[#This Row],[list_price]]-order_items[[#This Row],[Discounted_price]]</f>
        <v>949.9905</v>
      </c>
      <c r="J2490">
        <f>VLOOKUP(B2490, Products!$A$2:$E$100, 3, FALSE)</f>
        <v>5</v>
      </c>
      <c r="K2490">
        <f>VLOOKUP(B2490, Products!$A$2:$F$100, 4, FALSE)</f>
        <v>6</v>
      </c>
    </row>
    <row r="2491" spans="1:11" x14ac:dyDescent="0.3">
      <c r="A2491">
        <v>874</v>
      </c>
      <c r="B2491">
        <v>3</v>
      </c>
      <c r="C2491">
        <v>73</v>
      </c>
      <c r="D2491" t="str">
        <f>VLOOKUP(B2491, Products!$A$2:$C$100, 2, FALSE)</f>
        <v>Surly Wednesday Frameset - 2016</v>
      </c>
      <c r="E2491">
        <v>1</v>
      </c>
      <c r="F2491">
        <v>749.99</v>
      </c>
      <c r="G2491">
        <v>0.1</v>
      </c>
      <c r="H2491">
        <v>74.999000000000009</v>
      </c>
      <c r="I2491">
        <f>order_items[[#This Row],[list_price]]-order_items[[#This Row],[Discounted_price]]</f>
        <v>674.99099999999999</v>
      </c>
      <c r="J2491">
        <f>VLOOKUP(B2491, Products!$A$2:$E$100, 3, FALSE)</f>
        <v>8</v>
      </c>
      <c r="K2491">
        <f>VLOOKUP(B2491, Products!$A$2:$F$100, 4, FALSE)</f>
        <v>6</v>
      </c>
    </row>
    <row r="2492" spans="1:11" x14ac:dyDescent="0.3">
      <c r="A2492">
        <v>874</v>
      </c>
      <c r="B2492">
        <v>4</v>
      </c>
      <c r="C2492">
        <v>77</v>
      </c>
      <c r="D2492" t="str">
        <f>VLOOKUP(B2492, Products!$A$2:$C$100, 2, FALSE)</f>
        <v>Trek Fuel EX 8 29 - 2016</v>
      </c>
      <c r="E2492">
        <v>2</v>
      </c>
      <c r="F2492">
        <v>799.99</v>
      </c>
      <c r="G2492">
        <v>7.0000000000000007E-2</v>
      </c>
      <c r="H2492">
        <v>55.999300000000005</v>
      </c>
      <c r="I2492">
        <f>order_items[[#This Row],[list_price]]-order_items[[#This Row],[Discounted_price]]</f>
        <v>743.99070000000006</v>
      </c>
      <c r="J2492">
        <f>VLOOKUP(B2492, Products!$A$2:$E$100, 3, FALSE)</f>
        <v>9</v>
      </c>
      <c r="K2492">
        <f>VLOOKUP(B2492, Products!$A$2:$F$100, 4, FALSE)</f>
        <v>6</v>
      </c>
    </row>
    <row r="2493" spans="1:11" x14ac:dyDescent="0.3">
      <c r="A2493">
        <v>875</v>
      </c>
      <c r="B2493">
        <v>1</v>
      </c>
      <c r="C2493">
        <v>5</v>
      </c>
      <c r="D2493" t="str">
        <f>VLOOKUP(B2493, Products!$A$2:$C$100, 2, FALSE)</f>
        <v>Trek 820 - 2016</v>
      </c>
      <c r="E2493">
        <v>2</v>
      </c>
      <c r="F2493">
        <v>1320.99</v>
      </c>
      <c r="G2493">
        <v>0.1</v>
      </c>
      <c r="H2493">
        <v>132.09900000000002</v>
      </c>
      <c r="I2493">
        <f>order_items[[#This Row],[list_price]]-order_items[[#This Row],[Discounted_price]]</f>
        <v>1188.8910000000001</v>
      </c>
      <c r="J2493">
        <f>VLOOKUP(B2493, Products!$A$2:$E$100, 3, FALSE)</f>
        <v>9</v>
      </c>
      <c r="K2493">
        <f>VLOOKUP(B2493, Products!$A$2:$F$100, 4, FALSE)</f>
        <v>6</v>
      </c>
    </row>
    <row r="2494" spans="1:11" x14ac:dyDescent="0.3">
      <c r="A2494">
        <v>875</v>
      </c>
      <c r="B2494">
        <v>2</v>
      </c>
      <c r="C2494">
        <v>15</v>
      </c>
      <c r="D2494" t="str">
        <f>VLOOKUP(B2494, Products!$A$2:$C$100, 2, FALSE)</f>
        <v>Ritchey Timberwolf Frameset - 2016</v>
      </c>
      <c r="E2494">
        <v>2</v>
      </c>
      <c r="F2494">
        <v>529.99</v>
      </c>
      <c r="G2494">
        <v>0.05</v>
      </c>
      <c r="H2494">
        <v>26.499500000000001</v>
      </c>
      <c r="I2494">
        <f>order_items[[#This Row],[list_price]]-order_items[[#This Row],[Discounted_price]]</f>
        <v>503.4905</v>
      </c>
      <c r="J2494">
        <f>VLOOKUP(B2494, Products!$A$2:$E$100, 3, FALSE)</f>
        <v>5</v>
      </c>
      <c r="K2494">
        <f>VLOOKUP(B2494, Products!$A$2:$F$100, 4, FALSE)</f>
        <v>6</v>
      </c>
    </row>
    <row r="2495" spans="1:11" x14ac:dyDescent="0.3">
      <c r="A2495">
        <v>875</v>
      </c>
      <c r="B2495">
        <v>3</v>
      </c>
      <c r="C2495">
        <v>14</v>
      </c>
      <c r="D2495" t="str">
        <f>VLOOKUP(B2495, Products!$A$2:$C$100, 2, FALSE)</f>
        <v>Surly Wednesday Frameset - 2016</v>
      </c>
      <c r="E2495">
        <v>1</v>
      </c>
      <c r="F2495">
        <v>269.99</v>
      </c>
      <c r="G2495">
        <v>7.0000000000000007E-2</v>
      </c>
      <c r="H2495">
        <v>18.899300000000004</v>
      </c>
      <c r="I2495">
        <f>order_items[[#This Row],[list_price]]-order_items[[#This Row],[Discounted_price]]</f>
        <v>251.0907</v>
      </c>
      <c r="J2495">
        <f>VLOOKUP(B2495, Products!$A$2:$E$100, 3, FALSE)</f>
        <v>8</v>
      </c>
      <c r="K2495">
        <f>VLOOKUP(B2495, Products!$A$2:$F$100, 4, FALSE)</f>
        <v>6</v>
      </c>
    </row>
    <row r="2496" spans="1:11" x14ac:dyDescent="0.3">
      <c r="A2496">
        <v>875</v>
      </c>
      <c r="B2496">
        <v>4</v>
      </c>
      <c r="C2496">
        <v>111</v>
      </c>
      <c r="D2496" t="str">
        <f>VLOOKUP(B2496, Products!$A$2:$C$100, 2, FALSE)</f>
        <v>Trek Fuel EX 8 29 - 2016</v>
      </c>
      <c r="E2496">
        <v>1</v>
      </c>
      <c r="F2496">
        <v>470.99</v>
      </c>
      <c r="G2496">
        <v>0.2</v>
      </c>
      <c r="H2496">
        <v>94.198000000000008</v>
      </c>
      <c r="I2496">
        <f>order_items[[#This Row],[list_price]]-order_items[[#This Row],[Discounted_price]]</f>
        <v>376.79200000000003</v>
      </c>
      <c r="J2496">
        <f>VLOOKUP(B2496, Products!$A$2:$E$100, 3, FALSE)</f>
        <v>9</v>
      </c>
      <c r="K2496">
        <f>VLOOKUP(B2496, Products!$A$2:$F$100, 4, FALSE)</f>
        <v>6</v>
      </c>
    </row>
    <row r="2497" spans="1:11" x14ac:dyDescent="0.3">
      <c r="A2497">
        <v>876</v>
      </c>
      <c r="B2497">
        <v>1</v>
      </c>
      <c r="C2497">
        <v>17</v>
      </c>
      <c r="D2497" t="str">
        <f>VLOOKUP(B2497, Products!$A$2:$C$100, 2, FALSE)</f>
        <v>Trek 820 - 2016</v>
      </c>
      <c r="E2497">
        <v>2</v>
      </c>
      <c r="F2497">
        <v>429</v>
      </c>
      <c r="G2497">
        <v>0.2</v>
      </c>
      <c r="H2497">
        <v>85.800000000000011</v>
      </c>
      <c r="I2497">
        <f>order_items[[#This Row],[list_price]]-order_items[[#This Row],[Discounted_price]]</f>
        <v>343.2</v>
      </c>
      <c r="J2497">
        <f>VLOOKUP(B2497, Products!$A$2:$E$100, 3, FALSE)</f>
        <v>9</v>
      </c>
      <c r="K2497">
        <f>VLOOKUP(B2497, Products!$A$2:$F$100, 4, FALSE)</f>
        <v>6</v>
      </c>
    </row>
    <row r="2498" spans="1:11" x14ac:dyDescent="0.3">
      <c r="A2498">
        <v>876</v>
      </c>
      <c r="B2498">
        <v>2</v>
      </c>
      <c r="C2498">
        <v>66</v>
      </c>
      <c r="D2498" t="str">
        <f>VLOOKUP(B2498, Products!$A$2:$C$100, 2, FALSE)</f>
        <v>Ritchey Timberwolf Frameset - 2016</v>
      </c>
      <c r="E2498">
        <v>2</v>
      </c>
      <c r="F2498">
        <v>250.99</v>
      </c>
      <c r="G2498">
        <v>0.2</v>
      </c>
      <c r="H2498">
        <v>50.198000000000008</v>
      </c>
      <c r="I2498">
        <f>order_items[[#This Row],[list_price]]-order_items[[#This Row],[Discounted_price]]</f>
        <v>200.792</v>
      </c>
      <c r="J2498">
        <f>VLOOKUP(B2498, Products!$A$2:$E$100, 3, FALSE)</f>
        <v>5</v>
      </c>
      <c r="K2498">
        <f>VLOOKUP(B2498, Products!$A$2:$F$100, 4, FALSE)</f>
        <v>6</v>
      </c>
    </row>
    <row r="2499" spans="1:11" x14ac:dyDescent="0.3">
      <c r="A2499">
        <v>876</v>
      </c>
      <c r="B2499">
        <v>3</v>
      </c>
      <c r="C2499">
        <v>96</v>
      </c>
      <c r="D2499" t="str">
        <f>VLOOKUP(B2499, Products!$A$2:$C$100, 2, FALSE)</f>
        <v>Surly Wednesday Frameset - 2016</v>
      </c>
      <c r="E2499">
        <v>1</v>
      </c>
      <c r="F2499">
        <v>349.99</v>
      </c>
      <c r="G2499">
        <v>7.0000000000000007E-2</v>
      </c>
      <c r="H2499">
        <v>24.499300000000002</v>
      </c>
      <c r="I2499">
        <f>order_items[[#This Row],[list_price]]-order_items[[#This Row],[Discounted_price]]</f>
        <v>325.4907</v>
      </c>
      <c r="J2499">
        <f>VLOOKUP(B2499, Products!$A$2:$E$100, 3, FALSE)</f>
        <v>8</v>
      </c>
      <c r="K2499">
        <f>VLOOKUP(B2499, Products!$A$2:$F$100, 4, FALSE)</f>
        <v>6</v>
      </c>
    </row>
    <row r="2500" spans="1:11" x14ac:dyDescent="0.3">
      <c r="A2500">
        <v>876</v>
      </c>
      <c r="B2500">
        <v>4</v>
      </c>
      <c r="C2500">
        <v>107</v>
      </c>
      <c r="D2500" t="str">
        <f>VLOOKUP(B2500, Products!$A$2:$C$100, 2, FALSE)</f>
        <v>Trek Fuel EX 8 29 - 2016</v>
      </c>
      <c r="E2500">
        <v>2</v>
      </c>
      <c r="F2500">
        <v>416.99</v>
      </c>
      <c r="G2500">
        <v>0.05</v>
      </c>
      <c r="H2500">
        <v>20.849500000000003</v>
      </c>
      <c r="I2500">
        <f>order_items[[#This Row],[list_price]]-order_items[[#This Row],[Discounted_price]]</f>
        <v>396.14050000000003</v>
      </c>
      <c r="J2500">
        <f>VLOOKUP(B2500, Products!$A$2:$E$100, 3, FALSE)</f>
        <v>9</v>
      </c>
      <c r="K2500">
        <f>VLOOKUP(B2500, Products!$A$2:$F$100, 4, FALSE)</f>
        <v>6</v>
      </c>
    </row>
    <row r="2501" spans="1:11" x14ac:dyDescent="0.3">
      <c r="A2501">
        <v>877</v>
      </c>
      <c r="B2501">
        <v>1</v>
      </c>
      <c r="C2501">
        <v>73</v>
      </c>
      <c r="D2501" t="str">
        <f>VLOOKUP(B2501, Products!$A$2:$C$100, 2, FALSE)</f>
        <v>Trek 820 - 2016</v>
      </c>
      <c r="E2501">
        <v>1</v>
      </c>
      <c r="F2501">
        <v>749.99</v>
      </c>
      <c r="G2501">
        <v>7.0000000000000007E-2</v>
      </c>
      <c r="H2501">
        <v>52.499300000000005</v>
      </c>
      <c r="I2501">
        <f>order_items[[#This Row],[list_price]]-order_items[[#This Row],[Discounted_price]]</f>
        <v>697.49070000000006</v>
      </c>
      <c r="J2501">
        <f>VLOOKUP(B2501, Products!$A$2:$E$100, 3, FALSE)</f>
        <v>9</v>
      </c>
      <c r="K2501">
        <f>VLOOKUP(B2501, Products!$A$2:$F$100, 4, FALSE)</f>
        <v>6</v>
      </c>
    </row>
    <row r="2502" spans="1:11" x14ac:dyDescent="0.3">
      <c r="A2502">
        <v>877</v>
      </c>
      <c r="B2502">
        <v>2</v>
      </c>
      <c r="C2502">
        <v>103</v>
      </c>
      <c r="D2502" t="str">
        <f>VLOOKUP(B2502, Products!$A$2:$C$100, 2, FALSE)</f>
        <v>Ritchey Timberwolf Frameset - 2016</v>
      </c>
      <c r="E2502">
        <v>1</v>
      </c>
      <c r="F2502">
        <v>551.99</v>
      </c>
      <c r="G2502">
        <v>0.1</v>
      </c>
      <c r="H2502">
        <v>55.199000000000005</v>
      </c>
      <c r="I2502">
        <f>order_items[[#This Row],[list_price]]-order_items[[#This Row],[Discounted_price]]</f>
        <v>496.791</v>
      </c>
      <c r="J2502">
        <f>VLOOKUP(B2502, Products!$A$2:$E$100, 3, FALSE)</f>
        <v>5</v>
      </c>
      <c r="K2502">
        <f>VLOOKUP(B2502, Products!$A$2:$F$100, 4, FALSE)</f>
        <v>6</v>
      </c>
    </row>
    <row r="2503" spans="1:11" x14ac:dyDescent="0.3">
      <c r="A2503">
        <v>878</v>
      </c>
      <c r="B2503">
        <v>1</v>
      </c>
      <c r="C2503">
        <v>103</v>
      </c>
      <c r="D2503" t="str">
        <f>VLOOKUP(B2503, Products!$A$2:$C$100, 2, FALSE)</f>
        <v>Trek 820 - 2016</v>
      </c>
      <c r="E2503">
        <v>1</v>
      </c>
      <c r="F2503">
        <v>551.99</v>
      </c>
      <c r="G2503">
        <v>0.2</v>
      </c>
      <c r="H2503">
        <v>110.39800000000001</v>
      </c>
      <c r="I2503">
        <f>order_items[[#This Row],[list_price]]-order_items[[#This Row],[Discounted_price]]</f>
        <v>441.59199999999998</v>
      </c>
      <c r="J2503">
        <f>VLOOKUP(B2503, Products!$A$2:$E$100, 3, FALSE)</f>
        <v>9</v>
      </c>
      <c r="K2503">
        <f>VLOOKUP(B2503, Products!$A$2:$F$100, 4, FALSE)</f>
        <v>6</v>
      </c>
    </row>
    <row r="2504" spans="1:11" x14ac:dyDescent="0.3">
      <c r="A2504">
        <v>878</v>
      </c>
      <c r="B2504">
        <v>2</v>
      </c>
      <c r="C2504">
        <v>13</v>
      </c>
      <c r="D2504" t="str">
        <f>VLOOKUP(B2504, Products!$A$2:$C$100, 2, FALSE)</f>
        <v>Ritchey Timberwolf Frameset - 2016</v>
      </c>
      <c r="E2504">
        <v>1</v>
      </c>
      <c r="F2504">
        <v>269.99</v>
      </c>
      <c r="G2504">
        <v>0.1</v>
      </c>
      <c r="H2504">
        <v>26.999000000000002</v>
      </c>
      <c r="I2504">
        <f>order_items[[#This Row],[list_price]]-order_items[[#This Row],[Discounted_price]]</f>
        <v>242.99100000000001</v>
      </c>
      <c r="J2504">
        <f>VLOOKUP(B2504, Products!$A$2:$E$100, 3, FALSE)</f>
        <v>5</v>
      </c>
      <c r="K2504">
        <f>VLOOKUP(B2504, Products!$A$2:$F$100, 4, FALSE)</f>
        <v>6</v>
      </c>
    </row>
    <row r="2505" spans="1:11" x14ac:dyDescent="0.3">
      <c r="A2505">
        <v>878</v>
      </c>
      <c r="B2505">
        <v>3</v>
      </c>
      <c r="C2505">
        <v>6</v>
      </c>
      <c r="D2505" t="str">
        <f>VLOOKUP(B2505, Products!$A$2:$C$100, 2, FALSE)</f>
        <v>Surly Wednesday Frameset - 2016</v>
      </c>
      <c r="E2505">
        <v>2</v>
      </c>
      <c r="F2505">
        <v>469.99</v>
      </c>
      <c r="G2505">
        <v>0.2</v>
      </c>
      <c r="H2505">
        <v>93.998000000000005</v>
      </c>
      <c r="I2505">
        <f>order_items[[#This Row],[list_price]]-order_items[[#This Row],[Discounted_price]]</f>
        <v>375.99200000000002</v>
      </c>
      <c r="J2505">
        <f>VLOOKUP(B2505, Products!$A$2:$E$100, 3, FALSE)</f>
        <v>8</v>
      </c>
      <c r="K2505">
        <f>VLOOKUP(B2505, Products!$A$2:$F$100, 4, FALSE)</f>
        <v>6</v>
      </c>
    </row>
    <row r="2506" spans="1:11" x14ac:dyDescent="0.3">
      <c r="A2506">
        <v>878</v>
      </c>
      <c r="B2506">
        <v>4</v>
      </c>
      <c r="C2506">
        <v>18</v>
      </c>
      <c r="D2506" t="str">
        <f>VLOOKUP(B2506, Products!$A$2:$C$100, 2, FALSE)</f>
        <v>Trek Fuel EX 8 29 - 2016</v>
      </c>
      <c r="E2506">
        <v>2</v>
      </c>
      <c r="F2506">
        <v>449</v>
      </c>
      <c r="G2506">
        <v>0.05</v>
      </c>
      <c r="H2506">
        <v>22.450000000000003</v>
      </c>
      <c r="I2506">
        <f>order_items[[#This Row],[list_price]]-order_items[[#This Row],[Discounted_price]]</f>
        <v>426.55</v>
      </c>
      <c r="J2506">
        <f>VLOOKUP(B2506, Products!$A$2:$E$100, 3, FALSE)</f>
        <v>9</v>
      </c>
      <c r="K2506">
        <f>VLOOKUP(B2506, Products!$A$2:$F$100, 4, FALSE)</f>
        <v>6</v>
      </c>
    </row>
    <row r="2507" spans="1:11" x14ac:dyDescent="0.3">
      <c r="A2507">
        <v>879</v>
      </c>
      <c r="B2507">
        <v>1</v>
      </c>
      <c r="C2507">
        <v>100</v>
      </c>
      <c r="D2507" t="str">
        <f>VLOOKUP(B2507, Products!$A$2:$C$100, 2, FALSE)</f>
        <v>Trek 820 - 2016</v>
      </c>
      <c r="E2507">
        <v>2</v>
      </c>
      <c r="F2507">
        <v>489.99</v>
      </c>
      <c r="G2507">
        <v>0.2</v>
      </c>
      <c r="H2507">
        <v>97.998000000000005</v>
      </c>
      <c r="I2507">
        <f>order_items[[#This Row],[list_price]]-order_items[[#This Row],[Discounted_price]]</f>
        <v>391.99200000000002</v>
      </c>
      <c r="J2507">
        <f>VLOOKUP(B2507, Products!$A$2:$E$100, 3, FALSE)</f>
        <v>9</v>
      </c>
      <c r="K2507">
        <f>VLOOKUP(B2507, Products!$A$2:$F$100, 4, FALSE)</f>
        <v>6</v>
      </c>
    </row>
    <row r="2508" spans="1:11" x14ac:dyDescent="0.3">
      <c r="A2508">
        <v>879</v>
      </c>
      <c r="B2508">
        <v>2</v>
      </c>
      <c r="C2508">
        <v>2</v>
      </c>
      <c r="D2508" t="str">
        <f>VLOOKUP(B2508, Products!$A$2:$C$100, 2, FALSE)</f>
        <v>Ritchey Timberwolf Frameset - 2016</v>
      </c>
      <c r="E2508">
        <v>2</v>
      </c>
      <c r="F2508">
        <v>749.99</v>
      </c>
      <c r="G2508">
        <v>7.0000000000000007E-2</v>
      </c>
      <c r="H2508">
        <v>52.499300000000005</v>
      </c>
      <c r="I2508">
        <f>order_items[[#This Row],[list_price]]-order_items[[#This Row],[Discounted_price]]</f>
        <v>697.49070000000006</v>
      </c>
      <c r="J2508">
        <f>VLOOKUP(B2508, Products!$A$2:$E$100, 3, FALSE)</f>
        <v>5</v>
      </c>
      <c r="K2508">
        <f>VLOOKUP(B2508, Products!$A$2:$F$100, 4, FALSE)</f>
        <v>6</v>
      </c>
    </row>
    <row r="2509" spans="1:11" x14ac:dyDescent="0.3">
      <c r="A2509">
        <v>879</v>
      </c>
      <c r="B2509">
        <v>3</v>
      </c>
      <c r="C2509">
        <v>83</v>
      </c>
      <c r="D2509" t="str">
        <f>VLOOKUP(B2509, Products!$A$2:$C$100, 2, FALSE)</f>
        <v>Surly Wednesday Frameset - 2016</v>
      </c>
      <c r="E2509">
        <v>2</v>
      </c>
      <c r="F2509">
        <v>149.99</v>
      </c>
      <c r="G2509">
        <v>0.2</v>
      </c>
      <c r="H2509">
        <v>29.998000000000005</v>
      </c>
      <c r="I2509">
        <f>order_items[[#This Row],[list_price]]-order_items[[#This Row],[Discounted_price]]</f>
        <v>119.992</v>
      </c>
      <c r="J2509">
        <f>VLOOKUP(B2509, Products!$A$2:$E$100, 3, FALSE)</f>
        <v>8</v>
      </c>
      <c r="K2509">
        <f>VLOOKUP(B2509, Products!$A$2:$F$100, 4, FALSE)</f>
        <v>6</v>
      </c>
    </row>
    <row r="2510" spans="1:11" x14ac:dyDescent="0.3">
      <c r="A2510">
        <v>879</v>
      </c>
      <c r="B2510">
        <v>4</v>
      </c>
      <c r="C2510">
        <v>82</v>
      </c>
      <c r="D2510" t="str">
        <f>VLOOKUP(B2510, Products!$A$2:$C$100, 2, FALSE)</f>
        <v>Trek Fuel EX 8 29 - 2016</v>
      </c>
      <c r="E2510">
        <v>1</v>
      </c>
      <c r="F2510">
        <v>659.99</v>
      </c>
      <c r="G2510">
        <v>7.0000000000000007E-2</v>
      </c>
      <c r="H2510">
        <v>46.199300000000008</v>
      </c>
      <c r="I2510">
        <f>order_items[[#This Row],[list_price]]-order_items[[#This Row],[Discounted_price]]</f>
        <v>613.79070000000002</v>
      </c>
      <c r="J2510">
        <f>VLOOKUP(B2510, Products!$A$2:$E$100, 3, FALSE)</f>
        <v>9</v>
      </c>
      <c r="K2510">
        <f>VLOOKUP(B2510, Products!$A$2:$F$100, 4, FALSE)</f>
        <v>6</v>
      </c>
    </row>
    <row r="2511" spans="1:11" x14ac:dyDescent="0.3">
      <c r="A2511">
        <v>880</v>
      </c>
      <c r="B2511">
        <v>1</v>
      </c>
      <c r="C2511">
        <v>28</v>
      </c>
      <c r="D2511" t="str">
        <f>VLOOKUP(B2511, Products!$A$2:$C$100, 2, FALSE)</f>
        <v>Trek 820 - 2016</v>
      </c>
      <c r="E2511">
        <v>2</v>
      </c>
      <c r="F2511">
        <v>2499.9899999999998</v>
      </c>
      <c r="G2511">
        <v>0.2</v>
      </c>
      <c r="H2511">
        <v>499.99799999999999</v>
      </c>
      <c r="I2511">
        <f>order_items[[#This Row],[list_price]]-order_items[[#This Row],[Discounted_price]]</f>
        <v>1999.9919999999997</v>
      </c>
      <c r="J2511">
        <f>VLOOKUP(B2511, Products!$A$2:$E$100, 3, FALSE)</f>
        <v>9</v>
      </c>
      <c r="K2511">
        <f>VLOOKUP(B2511, Products!$A$2:$F$100, 4, FALSE)</f>
        <v>6</v>
      </c>
    </row>
    <row r="2512" spans="1:11" x14ac:dyDescent="0.3">
      <c r="A2512">
        <v>880</v>
      </c>
      <c r="B2512">
        <v>2</v>
      </c>
      <c r="C2512">
        <v>95</v>
      </c>
      <c r="D2512" t="str">
        <f>VLOOKUP(B2512, Products!$A$2:$C$100, 2, FALSE)</f>
        <v>Ritchey Timberwolf Frameset - 2016</v>
      </c>
      <c r="E2512">
        <v>1</v>
      </c>
      <c r="F2512">
        <v>299.99</v>
      </c>
      <c r="G2512">
        <v>0.1</v>
      </c>
      <c r="H2512">
        <v>29.999000000000002</v>
      </c>
      <c r="I2512">
        <f>order_items[[#This Row],[list_price]]-order_items[[#This Row],[Discounted_price]]</f>
        <v>269.99099999999999</v>
      </c>
      <c r="J2512">
        <f>VLOOKUP(B2512, Products!$A$2:$E$100, 3, FALSE)</f>
        <v>5</v>
      </c>
      <c r="K2512">
        <f>VLOOKUP(B2512, Products!$A$2:$F$100, 4, FALSE)</f>
        <v>6</v>
      </c>
    </row>
    <row r="2513" spans="1:11" x14ac:dyDescent="0.3">
      <c r="A2513">
        <v>880</v>
      </c>
      <c r="B2513">
        <v>3</v>
      </c>
      <c r="C2513">
        <v>5</v>
      </c>
      <c r="D2513" t="str">
        <f>VLOOKUP(B2513, Products!$A$2:$C$100, 2, FALSE)</f>
        <v>Surly Wednesday Frameset - 2016</v>
      </c>
      <c r="E2513">
        <v>1</v>
      </c>
      <c r="F2513">
        <v>1320.99</v>
      </c>
      <c r="G2513">
        <v>7.0000000000000007E-2</v>
      </c>
      <c r="H2513">
        <v>92.469300000000004</v>
      </c>
      <c r="I2513">
        <f>order_items[[#This Row],[list_price]]-order_items[[#This Row],[Discounted_price]]</f>
        <v>1228.5207</v>
      </c>
      <c r="J2513">
        <f>VLOOKUP(B2513, Products!$A$2:$E$100, 3, FALSE)</f>
        <v>8</v>
      </c>
      <c r="K2513">
        <f>VLOOKUP(B2513, Products!$A$2:$F$100, 4, FALSE)</f>
        <v>6</v>
      </c>
    </row>
    <row r="2514" spans="1:11" x14ac:dyDescent="0.3">
      <c r="A2514">
        <v>880</v>
      </c>
      <c r="B2514">
        <v>4</v>
      </c>
      <c r="C2514">
        <v>26</v>
      </c>
      <c r="D2514" t="str">
        <f>VLOOKUP(B2514, Products!$A$2:$C$100, 2, FALSE)</f>
        <v>Trek Fuel EX 8 29 - 2016</v>
      </c>
      <c r="E2514">
        <v>1</v>
      </c>
      <c r="F2514">
        <v>599.99</v>
      </c>
      <c r="G2514">
        <v>0.1</v>
      </c>
      <c r="H2514">
        <v>59.999000000000002</v>
      </c>
      <c r="I2514">
        <f>order_items[[#This Row],[list_price]]-order_items[[#This Row],[Discounted_price]]</f>
        <v>539.99099999999999</v>
      </c>
      <c r="J2514">
        <f>VLOOKUP(B2514, Products!$A$2:$E$100, 3, FALSE)</f>
        <v>9</v>
      </c>
      <c r="K2514">
        <f>VLOOKUP(B2514, Products!$A$2:$F$100, 4, FALSE)</f>
        <v>6</v>
      </c>
    </row>
    <row r="2515" spans="1:11" x14ac:dyDescent="0.3">
      <c r="A2515">
        <v>880</v>
      </c>
      <c r="B2515">
        <v>5</v>
      </c>
      <c r="C2515">
        <v>66</v>
      </c>
      <c r="D2515" t="str">
        <f>VLOOKUP(B2515, Products!$A$2:$C$100, 2, FALSE)</f>
        <v>Heller Shagamaw Frame - 2016</v>
      </c>
      <c r="E2515">
        <v>1</v>
      </c>
      <c r="F2515">
        <v>250.99</v>
      </c>
      <c r="G2515">
        <v>0.2</v>
      </c>
      <c r="H2515">
        <v>50.198000000000008</v>
      </c>
      <c r="I2515">
        <f>order_items[[#This Row],[list_price]]-order_items[[#This Row],[Discounted_price]]</f>
        <v>200.792</v>
      </c>
      <c r="J2515">
        <f>VLOOKUP(B2515, Products!$A$2:$E$100, 3, FALSE)</f>
        <v>3</v>
      </c>
      <c r="K2515">
        <f>VLOOKUP(B2515, Products!$A$2:$F$100, 4, FALSE)</f>
        <v>6</v>
      </c>
    </row>
    <row r="2516" spans="1:11" x14ac:dyDescent="0.3">
      <c r="A2516">
        <v>881</v>
      </c>
      <c r="B2516">
        <v>1</v>
      </c>
      <c r="C2516">
        <v>98</v>
      </c>
      <c r="D2516" t="str">
        <f>VLOOKUP(B2516, Products!$A$2:$C$100, 2, FALSE)</f>
        <v>Trek 820 - 2016</v>
      </c>
      <c r="E2516">
        <v>1</v>
      </c>
      <c r="F2516">
        <v>489.99</v>
      </c>
      <c r="G2516">
        <v>7.0000000000000007E-2</v>
      </c>
      <c r="H2516">
        <v>34.299300000000002</v>
      </c>
      <c r="I2516">
        <f>order_items[[#This Row],[list_price]]-order_items[[#This Row],[Discounted_price]]</f>
        <v>455.69069999999999</v>
      </c>
      <c r="J2516">
        <f>VLOOKUP(B2516, Products!$A$2:$E$100, 3, FALSE)</f>
        <v>9</v>
      </c>
      <c r="K2516">
        <f>VLOOKUP(B2516, Products!$A$2:$F$100, 4, FALSE)</f>
        <v>6</v>
      </c>
    </row>
    <row r="2517" spans="1:11" x14ac:dyDescent="0.3">
      <c r="A2517">
        <v>881</v>
      </c>
      <c r="B2517">
        <v>2</v>
      </c>
      <c r="C2517">
        <v>50</v>
      </c>
      <c r="D2517" t="str">
        <f>VLOOKUP(B2517, Products!$A$2:$C$100, 2, FALSE)</f>
        <v>Ritchey Timberwolf Frameset - 2016</v>
      </c>
      <c r="E2517">
        <v>1</v>
      </c>
      <c r="F2517">
        <v>5999.99</v>
      </c>
      <c r="G2517">
        <v>0.2</v>
      </c>
      <c r="H2517">
        <v>1199.998</v>
      </c>
      <c r="I2517">
        <f>order_items[[#This Row],[list_price]]-order_items[[#This Row],[Discounted_price]]</f>
        <v>4799.9920000000002</v>
      </c>
      <c r="J2517">
        <f>VLOOKUP(B2517, Products!$A$2:$E$100, 3, FALSE)</f>
        <v>5</v>
      </c>
      <c r="K2517">
        <f>VLOOKUP(B2517, Products!$A$2:$F$100, 4, FALSE)</f>
        <v>6</v>
      </c>
    </row>
    <row r="2518" spans="1:11" x14ac:dyDescent="0.3">
      <c r="A2518">
        <v>881</v>
      </c>
      <c r="B2518">
        <v>3</v>
      </c>
      <c r="C2518">
        <v>64</v>
      </c>
      <c r="D2518" t="str">
        <f>VLOOKUP(B2518, Products!$A$2:$C$100, 2, FALSE)</f>
        <v>Surly Wednesday Frameset - 2016</v>
      </c>
      <c r="E2518">
        <v>2</v>
      </c>
      <c r="F2518">
        <v>489.99</v>
      </c>
      <c r="G2518">
        <v>0.05</v>
      </c>
      <c r="H2518">
        <v>24.499500000000001</v>
      </c>
      <c r="I2518">
        <f>order_items[[#This Row],[list_price]]-order_items[[#This Row],[Discounted_price]]</f>
        <v>465.4905</v>
      </c>
      <c r="J2518">
        <f>VLOOKUP(B2518, Products!$A$2:$E$100, 3, FALSE)</f>
        <v>8</v>
      </c>
      <c r="K2518">
        <f>VLOOKUP(B2518, Products!$A$2:$F$100, 4, FALSE)</f>
        <v>6</v>
      </c>
    </row>
    <row r="2519" spans="1:11" x14ac:dyDescent="0.3">
      <c r="A2519">
        <v>881</v>
      </c>
      <c r="B2519">
        <v>4</v>
      </c>
      <c r="C2519">
        <v>67</v>
      </c>
      <c r="D2519" t="str">
        <f>VLOOKUP(B2519, Products!$A$2:$C$100, 2, FALSE)</f>
        <v>Trek Fuel EX 8 29 - 2016</v>
      </c>
      <c r="E2519">
        <v>1</v>
      </c>
      <c r="F2519">
        <v>250.99</v>
      </c>
      <c r="G2519">
        <v>0.1</v>
      </c>
      <c r="H2519">
        <v>25.099000000000004</v>
      </c>
      <c r="I2519">
        <f>order_items[[#This Row],[list_price]]-order_items[[#This Row],[Discounted_price]]</f>
        <v>225.89100000000002</v>
      </c>
      <c r="J2519">
        <f>VLOOKUP(B2519, Products!$A$2:$E$100, 3, FALSE)</f>
        <v>9</v>
      </c>
      <c r="K2519">
        <f>VLOOKUP(B2519, Products!$A$2:$F$100, 4, FALSE)</f>
        <v>6</v>
      </c>
    </row>
    <row r="2520" spans="1:11" x14ac:dyDescent="0.3">
      <c r="A2520">
        <v>882</v>
      </c>
      <c r="B2520">
        <v>1</v>
      </c>
      <c r="C2520">
        <v>63</v>
      </c>
      <c r="D2520" t="str">
        <f>VLOOKUP(B2520, Products!$A$2:$C$100, 2, FALSE)</f>
        <v>Trek 820 - 2016</v>
      </c>
      <c r="E2520">
        <v>2</v>
      </c>
      <c r="F2520">
        <v>3499.99</v>
      </c>
      <c r="G2520">
        <v>7.0000000000000007E-2</v>
      </c>
      <c r="H2520">
        <v>244.99930000000001</v>
      </c>
      <c r="I2520">
        <f>order_items[[#This Row],[list_price]]-order_items[[#This Row],[Discounted_price]]</f>
        <v>3254.9906999999998</v>
      </c>
      <c r="J2520">
        <f>VLOOKUP(B2520, Products!$A$2:$E$100, 3, FALSE)</f>
        <v>9</v>
      </c>
      <c r="K2520">
        <f>VLOOKUP(B2520, Products!$A$2:$F$100, 4, FALSE)</f>
        <v>6</v>
      </c>
    </row>
    <row r="2521" spans="1:11" x14ac:dyDescent="0.3">
      <c r="A2521">
        <v>882</v>
      </c>
      <c r="B2521">
        <v>2</v>
      </c>
      <c r="C2521">
        <v>108</v>
      </c>
      <c r="D2521" t="str">
        <f>VLOOKUP(B2521, Products!$A$2:$C$100, 2, FALSE)</f>
        <v>Ritchey Timberwolf Frameset - 2016</v>
      </c>
      <c r="E2521">
        <v>2</v>
      </c>
      <c r="F2521">
        <v>449.99</v>
      </c>
      <c r="G2521">
        <v>0.2</v>
      </c>
      <c r="H2521">
        <v>89.998000000000005</v>
      </c>
      <c r="I2521">
        <f>order_items[[#This Row],[list_price]]-order_items[[#This Row],[Discounted_price]]</f>
        <v>359.99200000000002</v>
      </c>
      <c r="J2521">
        <f>VLOOKUP(B2521, Products!$A$2:$E$100, 3, FALSE)</f>
        <v>5</v>
      </c>
      <c r="K2521">
        <f>VLOOKUP(B2521, Products!$A$2:$F$100, 4, FALSE)</f>
        <v>6</v>
      </c>
    </row>
    <row r="2522" spans="1:11" x14ac:dyDescent="0.3">
      <c r="A2522">
        <v>882</v>
      </c>
      <c r="B2522">
        <v>3</v>
      </c>
      <c r="C2522">
        <v>57</v>
      </c>
      <c r="D2522" t="str">
        <f>VLOOKUP(B2522, Products!$A$2:$C$100, 2, FALSE)</f>
        <v>Surly Wednesday Frameset - 2016</v>
      </c>
      <c r="E2522">
        <v>2</v>
      </c>
      <c r="F2522">
        <v>1999.99</v>
      </c>
      <c r="G2522">
        <v>7.0000000000000007E-2</v>
      </c>
      <c r="H2522">
        <v>139.99930000000001</v>
      </c>
      <c r="I2522">
        <f>order_items[[#This Row],[list_price]]-order_items[[#This Row],[Discounted_price]]</f>
        <v>1859.9907000000001</v>
      </c>
      <c r="J2522">
        <f>VLOOKUP(B2522, Products!$A$2:$E$100, 3, FALSE)</f>
        <v>8</v>
      </c>
      <c r="K2522">
        <f>VLOOKUP(B2522, Products!$A$2:$F$100, 4, FALSE)</f>
        <v>6</v>
      </c>
    </row>
    <row r="2523" spans="1:11" x14ac:dyDescent="0.3">
      <c r="A2523">
        <v>883</v>
      </c>
      <c r="B2523">
        <v>1</v>
      </c>
      <c r="C2523">
        <v>44</v>
      </c>
      <c r="D2523" t="str">
        <f>VLOOKUP(B2523, Products!$A$2:$C$100, 2, FALSE)</f>
        <v>Trek 820 - 2016</v>
      </c>
      <c r="E2523">
        <v>1</v>
      </c>
      <c r="F2523">
        <v>539.99</v>
      </c>
      <c r="G2523">
        <v>0.05</v>
      </c>
      <c r="H2523">
        <v>26.999500000000001</v>
      </c>
      <c r="I2523">
        <f>order_items[[#This Row],[list_price]]-order_items[[#This Row],[Discounted_price]]</f>
        <v>512.9905</v>
      </c>
      <c r="J2523">
        <f>VLOOKUP(B2523, Products!$A$2:$E$100, 3, FALSE)</f>
        <v>9</v>
      </c>
      <c r="K2523">
        <f>VLOOKUP(B2523, Products!$A$2:$F$100, 4, FALSE)</f>
        <v>6</v>
      </c>
    </row>
    <row r="2524" spans="1:11" x14ac:dyDescent="0.3">
      <c r="A2524">
        <v>883</v>
      </c>
      <c r="B2524">
        <v>2</v>
      </c>
      <c r="C2524">
        <v>5</v>
      </c>
      <c r="D2524" t="str">
        <f>VLOOKUP(B2524, Products!$A$2:$C$100, 2, FALSE)</f>
        <v>Ritchey Timberwolf Frameset - 2016</v>
      </c>
      <c r="E2524">
        <v>2</v>
      </c>
      <c r="F2524">
        <v>1320.99</v>
      </c>
      <c r="G2524">
        <v>0.05</v>
      </c>
      <c r="H2524">
        <v>66.049500000000009</v>
      </c>
      <c r="I2524">
        <f>order_items[[#This Row],[list_price]]-order_items[[#This Row],[Discounted_price]]</f>
        <v>1254.9404999999999</v>
      </c>
      <c r="J2524">
        <f>VLOOKUP(B2524, Products!$A$2:$E$100, 3, FALSE)</f>
        <v>5</v>
      </c>
      <c r="K2524">
        <f>VLOOKUP(B2524, Products!$A$2:$F$100, 4, FALSE)</f>
        <v>6</v>
      </c>
    </row>
    <row r="2525" spans="1:11" x14ac:dyDescent="0.3">
      <c r="A2525">
        <v>884</v>
      </c>
      <c r="B2525">
        <v>1</v>
      </c>
      <c r="C2525">
        <v>49</v>
      </c>
      <c r="D2525" t="str">
        <f>VLOOKUP(B2525, Products!$A$2:$C$100, 2, FALSE)</f>
        <v>Trek 820 - 2016</v>
      </c>
      <c r="E2525">
        <v>2</v>
      </c>
      <c r="F2525">
        <v>3499.99</v>
      </c>
      <c r="G2525">
        <v>0.05</v>
      </c>
      <c r="H2525">
        <v>174.99950000000001</v>
      </c>
      <c r="I2525">
        <f>order_items[[#This Row],[list_price]]-order_items[[#This Row],[Discounted_price]]</f>
        <v>3324.9904999999999</v>
      </c>
      <c r="J2525">
        <f>VLOOKUP(B2525, Products!$A$2:$E$100, 3, FALSE)</f>
        <v>9</v>
      </c>
      <c r="K2525">
        <f>VLOOKUP(B2525, Products!$A$2:$F$100, 4, FALSE)</f>
        <v>6</v>
      </c>
    </row>
    <row r="2526" spans="1:11" x14ac:dyDescent="0.3">
      <c r="A2526">
        <v>884</v>
      </c>
      <c r="B2526">
        <v>2</v>
      </c>
      <c r="C2526">
        <v>69</v>
      </c>
      <c r="D2526" t="str">
        <f>VLOOKUP(B2526, Products!$A$2:$C$100, 2, FALSE)</f>
        <v>Ritchey Timberwolf Frameset - 2016</v>
      </c>
      <c r="E2526">
        <v>2</v>
      </c>
      <c r="F2526">
        <v>416.99</v>
      </c>
      <c r="G2526">
        <v>7.0000000000000007E-2</v>
      </c>
      <c r="H2526">
        <v>29.189300000000003</v>
      </c>
      <c r="I2526">
        <f>order_items[[#This Row],[list_price]]-order_items[[#This Row],[Discounted_price]]</f>
        <v>387.80070000000001</v>
      </c>
      <c r="J2526">
        <f>VLOOKUP(B2526, Products!$A$2:$E$100, 3, FALSE)</f>
        <v>5</v>
      </c>
      <c r="K2526">
        <f>VLOOKUP(B2526, Products!$A$2:$F$100, 4, FALSE)</f>
        <v>6</v>
      </c>
    </row>
    <row r="2527" spans="1:11" x14ac:dyDescent="0.3">
      <c r="A2527">
        <v>884</v>
      </c>
      <c r="B2527">
        <v>3</v>
      </c>
      <c r="C2527">
        <v>46</v>
      </c>
      <c r="D2527" t="str">
        <f>VLOOKUP(B2527, Products!$A$2:$C$100, 2, FALSE)</f>
        <v>Surly Wednesday Frameset - 2016</v>
      </c>
      <c r="E2527">
        <v>2</v>
      </c>
      <c r="F2527">
        <v>1409.99</v>
      </c>
      <c r="G2527">
        <v>0.2</v>
      </c>
      <c r="H2527">
        <v>281.99799999999999</v>
      </c>
      <c r="I2527">
        <f>order_items[[#This Row],[list_price]]-order_items[[#This Row],[Discounted_price]]</f>
        <v>1127.992</v>
      </c>
      <c r="J2527">
        <f>VLOOKUP(B2527, Products!$A$2:$E$100, 3, FALSE)</f>
        <v>8</v>
      </c>
      <c r="K2527">
        <f>VLOOKUP(B2527, Products!$A$2:$F$100, 4, FALSE)</f>
        <v>6</v>
      </c>
    </row>
    <row r="2528" spans="1:11" x14ac:dyDescent="0.3">
      <c r="A2528">
        <v>884</v>
      </c>
      <c r="B2528">
        <v>4</v>
      </c>
      <c r="C2528">
        <v>10</v>
      </c>
      <c r="D2528" t="str">
        <f>VLOOKUP(B2528, Products!$A$2:$C$100, 2, FALSE)</f>
        <v>Trek Fuel EX 8 29 - 2016</v>
      </c>
      <c r="E2528">
        <v>1</v>
      </c>
      <c r="F2528">
        <v>1549</v>
      </c>
      <c r="G2528">
        <v>0.1</v>
      </c>
      <c r="H2528">
        <v>154.9</v>
      </c>
      <c r="I2528">
        <f>order_items[[#This Row],[list_price]]-order_items[[#This Row],[Discounted_price]]</f>
        <v>1394.1</v>
      </c>
      <c r="J2528">
        <f>VLOOKUP(B2528, Products!$A$2:$E$100, 3, FALSE)</f>
        <v>9</v>
      </c>
      <c r="K2528">
        <f>VLOOKUP(B2528, Products!$A$2:$F$100, 4, FALSE)</f>
        <v>6</v>
      </c>
    </row>
    <row r="2529" spans="1:11" x14ac:dyDescent="0.3">
      <c r="A2529">
        <v>884</v>
      </c>
      <c r="B2529">
        <v>5</v>
      </c>
      <c r="C2529">
        <v>21</v>
      </c>
      <c r="D2529" t="str">
        <f>VLOOKUP(B2529, Products!$A$2:$C$100, 2, FALSE)</f>
        <v>Heller Shagamaw Frame - 2016</v>
      </c>
      <c r="E2529">
        <v>2</v>
      </c>
      <c r="F2529">
        <v>269.99</v>
      </c>
      <c r="G2529">
        <v>0.05</v>
      </c>
      <c r="H2529">
        <v>13.499500000000001</v>
      </c>
      <c r="I2529">
        <f>order_items[[#This Row],[list_price]]-order_items[[#This Row],[Discounted_price]]</f>
        <v>256.4905</v>
      </c>
      <c r="J2529">
        <f>VLOOKUP(B2529, Products!$A$2:$E$100, 3, FALSE)</f>
        <v>3</v>
      </c>
      <c r="K2529">
        <f>VLOOKUP(B2529, Products!$A$2:$F$100, 4, FALSE)</f>
        <v>6</v>
      </c>
    </row>
    <row r="2530" spans="1:11" x14ac:dyDescent="0.3">
      <c r="A2530">
        <v>885</v>
      </c>
      <c r="B2530">
        <v>1</v>
      </c>
      <c r="C2530">
        <v>106</v>
      </c>
      <c r="D2530" t="str">
        <f>VLOOKUP(B2530, Products!$A$2:$C$100, 2, FALSE)</f>
        <v>Trek 820 - 2016</v>
      </c>
      <c r="E2530">
        <v>1</v>
      </c>
      <c r="F2530">
        <v>449.99</v>
      </c>
      <c r="G2530">
        <v>7.0000000000000007E-2</v>
      </c>
      <c r="H2530">
        <v>31.499300000000005</v>
      </c>
      <c r="I2530">
        <f>order_items[[#This Row],[list_price]]-order_items[[#This Row],[Discounted_price]]</f>
        <v>418.4907</v>
      </c>
      <c r="J2530">
        <f>VLOOKUP(B2530, Products!$A$2:$E$100, 3, FALSE)</f>
        <v>9</v>
      </c>
      <c r="K2530">
        <f>VLOOKUP(B2530, Products!$A$2:$F$100, 4, FALSE)</f>
        <v>6</v>
      </c>
    </row>
    <row r="2531" spans="1:11" x14ac:dyDescent="0.3">
      <c r="A2531">
        <v>885</v>
      </c>
      <c r="B2531">
        <v>2</v>
      </c>
      <c r="C2531">
        <v>43</v>
      </c>
      <c r="D2531" t="str">
        <f>VLOOKUP(B2531, Products!$A$2:$C$100, 2, FALSE)</f>
        <v>Ritchey Timberwolf Frameset - 2016</v>
      </c>
      <c r="E2531">
        <v>1</v>
      </c>
      <c r="F2531">
        <v>5299.99</v>
      </c>
      <c r="G2531">
        <v>0.1</v>
      </c>
      <c r="H2531">
        <v>529.99900000000002</v>
      </c>
      <c r="I2531">
        <f>order_items[[#This Row],[list_price]]-order_items[[#This Row],[Discounted_price]]</f>
        <v>4769.991</v>
      </c>
      <c r="J2531">
        <f>VLOOKUP(B2531, Products!$A$2:$E$100, 3, FALSE)</f>
        <v>5</v>
      </c>
      <c r="K2531">
        <f>VLOOKUP(B2531, Products!$A$2:$F$100, 4, FALSE)</f>
        <v>6</v>
      </c>
    </row>
    <row r="2532" spans="1:11" x14ac:dyDescent="0.3">
      <c r="A2532">
        <v>886</v>
      </c>
      <c r="B2532">
        <v>1</v>
      </c>
      <c r="C2532">
        <v>47</v>
      </c>
      <c r="D2532" t="str">
        <f>VLOOKUP(B2532, Products!$A$2:$C$100, 2, FALSE)</f>
        <v>Trek 820 - 2016</v>
      </c>
      <c r="E2532">
        <v>1</v>
      </c>
      <c r="F2532">
        <v>5299.99</v>
      </c>
      <c r="G2532">
        <v>0.05</v>
      </c>
      <c r="H2532">
        <v>264.99950000000001</v>
      </c>
      <c r="I2532">
        <f>order_items[[#This Row],[list_price]]-order_items[[#This Row],[Discounted_price]]</f>
        <v>5034.9904999999999</v>
      </c>
      <c r="J2532">
        <f>VLOOKUP(B2532, Products!$A$2:$E$100, 3, FALSE)</f>
        <v>9</v>
      </c>
      <c r="K2532">
        <f>VLOOKUP(B2532, Products!$A$2:$F$100, 4, FALSE)</f>
        <v>6</v>
      </c>
    </row>
    <row r="2533" spans="1:11" x14ac:dyDescent="0.3">
      <c r="A2533">
        <v>886</v>
      </c>
      <c r="B2533">
        <v>2</v>
      </c>
      <c r="C2533">
        <v>30</v>
      </c>
      <c r="D2533" t="str">
        <f>VLOOKUP(B2533, Products!$A$2:$C$100, 2, FALSE)</f>
        <v>Ritchey Timberwolf Frameset - 2016</v>
      </c>
      <c r="E2533">
        <v>1</v>
      </c>
      <c r="F2533">
        <v>999.99</v>
      </c>
      <c r="G2533">
        <v>0.05</v>
      </c>
      <c r="H2533">
        <v>49.999500000000005</v>
      </c>
      <c r="I2533">
        <f>order_items[[#This Row],[list_price]]-order_items[[#This Row],[Discounted_price]]</f>
        <v>949.9905</v>
      </c>
      <c r="J2533">
        <f>VLOOKUP(B2533, Products!$A$2:$E$100, 3, FALSE)</f>
        <v>5</v>
      </c>
      <c r="K2533">
        <f>VLOOKUP(B2533, Products!$A$2:$F$100, 4, FALSE)</f>
        <v>6</v>
      </c>
    </row>
    <row r="2534" spans="1:11" x14ac:dyDescent="0.3">
      <c r="A2534">
        <v>887</v>
      </c>
      <c r="B2534">
        <v>1</v>
      </c>
      <c r="C2534">
        <v>50</v>
      </c>
      <c r="D2534" t="str">
        <f>VLOOKUP(B2534, Products!$A$2:$C$100, 2, FALSE)</f>
        <v>Trek 820 - 2016</v>
      </c>
      <c r="E2534">
        <v>2</v>
      </c>
      <c r="F2534">
        <v>5999.99</v>
      </c>
      <c r="G2534">
        <v>0.05</v>
      </c>
      <c r="H2534">
        <v>299.99950000000001</v>
      </c>
      <c r="I2534">
        <f>order_items[[#This Row],[list_price]]-order_items[[#This Row],[Discounted_price]]</f>
        <v>5699.9904999999999</v>
      </c>
      <c r="J2534">
        <f>VLOOKUP(B2534, Products!$A$2:$E$100, 3, FALSE)</f>
        <v>9</v>
      </c>
      <c r="K2534">
        <f>VLOOKUP(B2534, Products!$A$2:$F$100, 4, FALSE)</f>
        <v>6</v>
      </c>
    </row>
    <row r="2535" spans="1:11" x14ac:dyDescent="0.3">
      <c r="A2535">
        <v>887</v>
      </c>
      <c r="B2535">
        <v>2</v>
      </c>
      <c r="C2535">
        <v>70</v>
      </c>
      <c r="D2535" t="str">
        <f>VLOOKUP(B2535, Products!$A$2:$C$100, 2, FALSE)</f>
        <v>Ritchey Timberwolf Frameset - 2016</v>
      </c>
      <c r="E2535">
        <v>1</v>
      </c>
      <c r="F2535">
        <v>659.99</v>
      </c>
      <c r="G2535">
        <v>0.1</v>
      </c>
      <c r="H2535">
        <v>65.999000000000009</v>
      </c>
      <c r="I2535">
        <f>order_items[[#This Row],[list_price]]-order_items[[#This Row],[Discounted_price]]</f>
        <v>593.99099999999999</v>
      </c>
      <c r="J2535">
        <f>VLOOKUP(B2535, Products!$A$2:$E$100, 3, FALSE)</f>
        <v>5</v>
      </c>
      <c r="K2535">
        <f>VLOOKUP(B2535, Products!$A$2:$F$100, 4, FALSE)</f>
        <v>6</v>
      </c>
    </row>
    <row r="2536" spans="1:11" x14ac:dyDescent="0.3">
      <c r="A2536">
        <v>888</v>
      </c>
      <c r="B2536">
        <v>1</v>
      </c>
      <c r="C2536">
        <v>33</v>
      </c>
      <c r="D2536" t="str">
        <f>VLOOKUP(B2536, Products!$A$2:$C$100, 2, FALSE)</f>
        <v>Trek 820 - 2016</v>
      </c>
      <c r="E2536">
        <v>2</v>
      </c>
      <c r="F2536">
        <v>469.99</v>
      </c>
      <c r="G2536">
        <v>0.1</v>
      </c>
      <c r="H2536">
        <v>46.999000000000002</v>
      </c>
      <c r="I2536">
        <f>order_items[[#This Row],[list_price]]-order_items[[#This Row],[Discounted_price]]</f>
        <v>422.99099999999999</v>
      </c>
      <c r="J2536">
        <f>VLOOKUP(B2536, Products!$A$2:$E$100, 3, FALSE)</f>
        <v>9</v>
      </c>
      <c r="K2536">
        <f>VLOOKUP(B2536, Products!$A$2:$F$100, 4, FALSE)</f>
        <v>6</v>
      </c>
    </row>
    <row r="2537" spans="1:11" x14ac:dyDescent="0.3">
      <c r="A2537">
        <v>888</v>
      </c>
      <c r="B2537">
        <v>2</v>
      </c>
      <c r="C2537">
        <v>26</v>
      </c>
      <c r="D2537" t="str">
        <f>VLOOKUP(B2537, Products!$A$2:$C$100, 2, FALSE)</f>
        <v>Ritchey Timberwolf Frameset - 2016</v>
      </c>
      <c r="E2537">
        <v>2</v>
      </c>
      <c r="F2537">
        <v>599.99</v>
      </c>
      <c r="G2537">
        <v>0.2</v>
      </c>
      <c r="H2537">
        <v>119.998</v>
      </c>
      <c r="I2537">
        <f>order_items[[#This Row],[list_price]]-order_items[[#This Row],[Discounted_price]]</f>
        <v>479.99200000000002</v>
      </c>
      <c r="J2537">
        <f>VLOOKUP(B2537, Products!$A$2:$E$100, 3, FALSE)</f>
        <v>5</v>
      </c>
      <c r="K2537">
        <f>VLOOKUP(B2537, Products!$A$2:$F$100, 4, FALSE)</f>
        <v>6</v>
      </c>
    </row>
    <row r="2538" spans="1:11" x14ac:dyDescent="0.3">
      <c r="A2538">
        <v>889</v>
      </c>
      <c r="B2538">
        <v>1</v>
      </c>
      <c r="C2538">
        <v>12</v>
      </c>
      <c r="D2538" t="str">
        <f>VLOOKUP(B2538, Products!$A$2:$C$100, 2, FALSE)</f>
        <v>Trek 820 - 2016</v>
      </c>
      <c r="E2538">
        <v>2</v>
      </c>
      <c r="F2538">
        <v>549.99</v>
      </c>
      <c r="G2538">
        <v>0.1</v>
      </c>
      <c r="H2538">
        <v>54.999000000000002</v>
      </c>
      <c r="I2538">
        <f>order_items[[#This Row],[list_price]]-order_items[[#This Row],[Discounted_price]]</f>
        <v>494.99099999999999</v>
      </c>
      <c r="J2538">
        <f>VLOOKUP(B2538, Products!$A$2:$E$100, 3, FALSE)</f>
        <v>9</v>
      </c>
      <c r="K2538">
        <f>VLOOKUP(B2538, Products!$A$2:$F$100, 4, FALSE)</f>
        <v>6</v>
      </c>
    </row>
    <row r="2539" spans="1:11" x14ac:dyDescent="0.3">
      <c r="A2539">
        <v>890</v>
      </c>
      <c r="B2539">
        <v>1</v>
      </c>
      <c r="C2539">
        <v>16</v>
      </c>
      <c r="D2539" t="str">
        <f>VLOOKUP(B2539, Products!$A$2:$C$100, 2, FALSE)</f>
        <v>Trek 820 - 2016</v>
      </c>
      <c r="E2539">
        <v>2</v>
      </c>
      <c r="F2539">
        <v>599.99</v>
      </c>
      <c r="G2539">
        <v>0.1</v>
      </c>
      <c r="H2539">
        <v>59.999000000000002</v>
      </c>
      <c r="I2539">
        <f>order_items[[#This Row],[list_price]]-order_items[[#This Row],[Discounted_price]]</f>
        <v>539.99099999999999</v>
      </c>
      <c r="J2539">
        <f>VLOOKUP(B2539, Products!$A$2:$E$100, 3, FALSE)</f>
        <v>9</v>
      </c>
      <c r="K2539">
        <f>VLOOKUP(B2539, Products!$A$2:$F$100, 4, FALSE)</f>
        <v>6</v>
      </c>
    </row>
    <row r="2540" spans="1:11" x14ac:dyDescent="0.3">
      <c r="A2540">
        <v>890</v>
      </c>
      <c r="B2540">
        <v>2</v>
      </c>
      <c r="C2540">
        <v>105</v>
      </c>
      <c r="D2540" t="str">
        <f>VLOOKUP(B2540, Products!$A$2:$C$100, 2, FALSE)</f>
        <v>Ritchey Timberwolf Frameset - 2016</v>
      </c>
      <c r="E2540">
        <v>2</v>
      </c>
      <c r="F2540">
        <v>533.99</v>
      </c>
      <c r="G2540">
        <v>0.1</v>
      </c>
      <c r="H2540">
        <v>53.399000000000001</v>
      </c>
      <c r="I2540">
        <f>order_items[[#This Row],[list_price]]-order_items[[#This Row],[Discounted_price]]</f>
        <v>480.59100000000001</v>
      </c>
      <c r="J2540">
        <f>VLOOKUP(B2540, Products!$A$2:$E$100, 3, FALSE)</f>
        <v>5</v>
      </c>
      <c r="K2540">
        <f>VLOOKUP(B2540, Products!$A$2:$F$100, 4, FALSE)</f>
        <v>6</v>
      </c>
    </row>
    <row r="2541" spans="1:11" x14ac:dyDescent="0.3">
      <c r="A2541">
        <v>890</v>
      </c>
      <c r="B2541">
        <v>3</v>
      </c>
      <c r="C2541">
        <v>52</v>
      </c>
      <c r="D2541" t="str">
        <f>VLOOKUP(B2541, Products!$A$2:$C$100, 2, FALSE)</f>
        <v>Surly Wednesday Frameset - 2016</v>
      </c>
      <c r="E2541">
        <v>1</v>
      </c>
      <c r="F2541">
        <v>875.99</v>
      </c>
      <c r="G2541">
        <v>0.05</v>
      </c>
      <c r="H2541">
        <v>43.799500000000002</v>
      </c>
      <c r="I2541">
        <f>order_items[[#This Row],[list_price]]-order_items[[#This Row],[Discounted_price]]</f>
        <v>832.19050000000004</v>
      </c>
      <c r="J2541">
        <f>VLOOKUP(B2541, Products!$A$2:$E$100, 3, FALSE)</f>
        <v>8</v>
      </c>
      <c r="K2541">
        <f>VLOOKUP(B2541, Products!$A$2:$F$100, 4, FALSE)</f>
        <v>6</v>
      </c>
    </row>
    <row r="2542" spans="1:11" x14ac:dyDescent="0.3">
      <c r="A2542">
        <v>890</v>
      </c>
      <c r="B2542">
        <v>4</v>
      </c>
      <c r="C2542">
        <v>67</v>
      </c>
      <c r="D2542" t="str">
        <f>VLOOKUP(B2542, Products!$A$2:$C$100, 2, FALSE)</f>
        <v>Trek Fuel EX 8 29 - 2016</v>
      </c>
      <c r="E2542">
        <v>1</v>
      </c>
      <c r="F2542">
        <v>250.99</v>
      </c>
      <c r="G2542">
        <v>0.1</v>
      </c>
      <c r="H2542">
        <v>25.099000000000004</v>
      </c>
      <c r="I2542">
        <f>order_items[[#This Row],[list_price]]-order_items[[#This Row],[Discounted_price]]</f>
        <v>225.89100000000002</v>
      </c>
      <c r="J2542">
        <f>VLOOKUP(B2542, Products!$A$2:$E$100, 3, FALSE)</f>
        <v>9</v>
      </c>
      <c r="K2542">
        <f>VLOOKUP(B2542, Products!$A$2:$F$100, 4, FALSE)</f>
        <v>6</v>
      </c>
    </row>
    <row r="2543" spans="1:11" x14ac:dyDescent="0.3">
      <c r="A2543">
        <v>890</v>
      </c>
      <c r="B2543">
        <v>5</v>
      </c>
      <c r="C2543">
        <v>65</v>
      </c>
      <c r="D2543" t="str">
        <f>VLOOKUP(B2543, Products!$A$2:$C$100, 2, FALSE)</f>
        <v>Heller Shagamaw Frame - 2016</v>
      </c>
      <c r="E2543">
        <v>2</v>
      </c>
      <c r="F2543">
        <v>346.99</v>
      </c>
      <c r="G2543">
        <v>0.1</v>
      </c>
      <c r="H2543">
        <v>34.699000000000005</v>
      </c>
      <c r="I2543">
        <f>order_items[[#This Row],[list_price]]-order_items[[#This Row],[Discounted_price]]</f>
        <v>312.291</v>
      </c>
      <c r="J2543">
        <f>VLOOKUP(B2543, Products!$A$2:$E$100, 3, FALSE)</f>
        <v>3</v>
      </c>
      <c r="K2543">
        <f>VLOOKUP(B2543, Products!$A$2:$F$100, 4, FALSE)</f>
        <v>6</v>
      </c>
    </row>
    <row r="2544" spans="1:11" x14ac:dyDescent="0.3">
      <c r="A2544">
        <v>891</v>
      </c>
      <c r="B2544">
        <v>1</v>
      </c>
      <c r="C2544">
        <v>107</v>
      </c>
      <c r="D2544" t="str">
        <f>VLOOKUP(B2544, Products!$A$2:$C$100, 2, FALSE)</f>
        <v>Trek 820 - 2016</v>
      </c>
      <c r="E2544">
        <v>2</v>
      </c>
      <c r="F2544">
        <v>416.99</v>
      </c>
      <c r="G2544">
        <v>0.1</v>
      </c>
      <c r="H2544">
        <v>41.699000000000005</v>
      </c>
      <c r="I2544">
        <f>order_items[[#This Row],[list_price]]-order_items[[#This Row],[Discounted_price]]</f>
        <v>375.291</v>
      </c>
      <c r="J2544">
        <f>VLOOKUP(B2544, Products!$A$2:$E$100, 3, FALSE)</f>
        <v>9</v>
      </c>
      <c r="K2544">
        <f>VLOOKUP(B2544, Products!$A$2:$F$100, 4, FALSE)</f>
        <v>6</v>
      </c>
    </row>
    <row r="2545" spans="1:11" x14ac:dyDescent="0.3">
      <c r="A2545">
        <v>891</v>
      </c>
      <c r="B2545">
        <v>2</v>
      </c>
      <c r="C2545">
        <v>32</v>
      </c>
      <c r="D2545" t="str">
        <f>VLOOKUP(B2545, Products!$A$2:$C$100, 2, FALSE)</f>
        <v>Ritchey Timberwolf Frameset - 2016</v>
      </c>
      <c r="E2545">
        <v>1</v>
      </c>
      <c r="F2545">
        <v>469.99</v>
      </c>
      <c r="G2545">
        <v>0.05</v>
      </c>
      <c r="H2545">
        <v>23.499500000000001</v>
      </c>
      <c r="I2545">
        <f>order_items[[#This Row],[list_price]]-order_items[[#This Row],[Discounted_price]]</f>
        <v>446.4905</v>
      </c>
      <c r="J2545">
        <f>VLOOKUP(B2545, Products!$A$2:$E$100, 3, FALSE)</f>
        <v>5</v>
      </c>
      <c r="K2545">
        <f>VLOOKUP(B2545, Products!$A$2:$F$100, 4, FALSE)</f>
        <v>6</v>
      </c>
    </row>
    <row r="2546" spans="1:11" x14ac:dyDescent="0.3">
      <c r="A2546">
        <v>891</v>
      </c>
      <c r="B2546">
        <v>3</v>
      </c>
      <c r="C2546">
        <v>35</v>
      </c>
      <c r="D2546" t="str">
        <f>VLOOKUP(B2546, Products!$A$2:$C$100, 2, FALSE)</f>
        <v>Surly Wednesday Frameset - 2016</v>
      </c>
      <c r="E2546">
        <v>2</v>
      </c>
      <c r="F2546">
        <v>832.99</v>
      </c>
      <c r="G2546">
        <v>0.1</v>
      </c>
      <c r="H2546">
        <v>83.299000000000007</v>
      </c>
      <c r="I2546">
        <f>order_items[[#This Row],[list_price]]-order_items[[#This Row],[Discounted_price]]</f>
        <v>749.69100000000003</v>
      </c>
      <c r="J2546">
        <f>VLOOKUP(B2546, Products!$A$2:$E$100, 3, FALSE)</f>
        <v>8</v>
      </c>
      <c r="K2546">
        <f>VLOOKUP(B2546, Products!$A$2:$F$100, 4, FALSE)</f>
        <v>6</v>
      </c>
    </row>
    <row r="2547" spans="1:11" x14ac:dyDescent="0.3">
      <c r="A2547">
        <v>891</v>
      </c>
      <c r="B2547">
        <v>4</v>
      </c>
      <c r="C2547">
        <v>50</v>
      </c>
      <c r="D2547" t="str">
        <f>VLOOKUP(B2547, Products!$A$2:$C$100, 2, FALSE)</f>
        <v>Trek Fuel EX 8 29 - 2016</v>
      </c>
      <c r="E2547">
        <v>1</v>
      </c>
      <c r="F2547">
        <v>5999.99</v>
      </c>
      <c r="G2547">
        <v>0.1</v>
      </c>
      <c r="H2547">
        <v>599.99900000000002</v>
      </c>
      <c r="I2547">
        <f>order_items[[#This Row],[list_price]]-order_items[[#This Row],[Discounted_price]]</f>
        <v>5399.991</v>
      </c>
      <c r="J2547">
        <f>VLOOKUP(B2547, Products!$A$2:$E$100, 3, FALSE)</f>
        <v>9</v>
      </c>
      <c r="K2547">
        <f>VLOOKUP(B2547, Products!$A$2:$F$100, 4, FALSE)</f>
        <v>6</v>
      </c>
    </row>
    <row r="2548" spans="1:11" x14ac:dyDescent="0.3">
      <c r="A2548">
        <v>892</v>
      </c>
      <c r="B2548">
        <v>1</v>
      </c>
      <c r="C2548">
        <v>36</v>
      </c>
      <c r="D2548" t="str">
        <f>VLOOKUP(B2548, Products!$A$2:$C$100, 2, FALSE)</f>
        <v>Trek 820 - 2016</v>
      </c>
      <c r="E2548">
        <v>1</v>
      </c>
      <c r="F2548">
        <v>832.99</v>
      </c>
      <c r="G2548">
        <v>0.1</v>
      </c>
      <c r="H2548">
        <v>83.299000000000007</v>
      </c>
      <c r="I2548">
        <f>order_items[[#This Row],[list_price]]-order_items[[#This Row],[Discounted_price]]</f>
        <v>749.69100000000003</v>
      </c>
      <c r="J2548">
        <f>VLOOKUP(B2548, Products!$A$2:$E$100, 3, FALSE)</f>
        <v>9</v>
      </c>
      <c r="K2548">
        <f>VLOOKUP(B2548, Products!$A$2:$F$100, 4, FALSE)</f>
        <v>6</v>
      </c>
    </row>
    <row r="2549" spans="1:11" x14ac:dyDescent="0.3">
      <c r="A2549">
        <v>892</v>
      </c>
      <c r="B2549">
        <v>2</v>
      </c>
      <c r="C2549">
        <v>9</v>
      </c>
      <c r="D2549" t="str">
        <f>VLOOKUP(B2549, Products!$A$2:$C$100, 2, FALSE)</f>
        <v>Ritchey Timberwolf Frameset - 2016</v>
      </c>
      <c r="E2549">
        <v>2</v>
      </c>
      <c r="F2549">
        <v>2999.99</v>
      </c>
      <c r="G2549">
        <v>0.2</v>
      </c>
      <c r="H2549">
        <v>599.99799999999993</v>
      </c>
      <c r="I2549">
        <f>order_items[[#This Row],[list_price]]-order_items[[#This Row],[Discounted_price]]</f>
        <v>2399.9919999999997</v>
      </c>
      <c r="J2549">
        <f>VLOOKUP(B2549, Products!$A$2:$E$100, 3, FALSE)</f>
        <v>5</v>
      </c>
      <c r="K2549">
        <f>VLOOKUP(B2549, Products!$A$2:$F$100, 4, FALSE)</f>
        <v>6</v>
      </c>
    </row>
    <row r="2550" spans="1:11" x14ac:dyDescent="0.3">
      <c r="A2550">
        <v>892</v>
      </c>
      <c r="B2550">
        <v>3</v>
      </c>
      <c r="C2550">
        <v>50</v>
      </c>
      <c r="D2550" t="str">
        <f>VLOOKUP(B2550, Products!$A$2:$C$100, 2, FALSE)</f>
        <v>Surly Wednesday Frameset - 2016</v>
      </c>
      <c r="E2550">
        <v>2</v>
      </c>
      <c r="F2550">
        <v>5999.99</v>
      </c>
      <c r="G2550">
        <v>7.0000000000000007E-2</v>
      </c>
      <c r="H2550">
        <v>419.99930000000001</v>
      </c>
      <c r="I2550">
        <f>order_items[[#This Row],[list_price]]-order_items[[#This Row],[Discounted_price]]</f>
        <v>5579.9906999999994</v>
      </c>
      <c r="J2550">
        <f>VLOOKUP(B2550, Products!$A$2:$E$100, 3, FALSE)</f>
        <v>8</v>
      </c>
      <c r="K2550">
        <f>VLOOKUP(B2550, Products!$A$2:$F$100, 4, FALSE)</f>
        <v>6</v>
      </c>
    </row>
    <row r="2551" spans="1:11" x14ac:dyDescent="0.3">
      <c r="A2551">
        <v>892</v>
      </c>
      <c r="B2551">
        <v>4</v>
      </c>
      <c r="C2551">
        <v>88</v>
      </c>
      <c r="D2551" t="str">
        <f>VLOOKUP(B2551, Products!$A$2:$C$100, 2, FALSE)</f>
        <v>Trek Fuel EX 8 29 - 2016</v>
      </c>
      <c r="E2551">
        <v>1</v>
      </c>
      <c r="F2551">
        <v>189.99</v>
      </c>
      <c r="G2551">
        <v>0.05</v>
      </c>
      <c r="H2551">
        <v>9.4995000000000012</v>
      </c>
      <c r="I2551">
        <f>order_items[[#This Row],[list_price]]-order_items[[#This Row],[Discounted_price]]</f>
        <v>180.4905</v>
      </c>
      <c r="J2551">
        <f>VLOOKUP(B2551, Products!$A$2:$E$100, 3, FALSE)</f>
        <v>9</v>
      </c>
      <c r="K2551">
        <f>VLOOKUP(B2551, Products!$A$2:$F$100, 4, FALSE)</f>
        <v>6</v>
      </c>
    </row>
    <row r="2552" spans="1:11" x14ac:dyDescent="0.3">
      <c r="A2552">
        <v>893</v>
      </c>
      <c r="B2552">
        <v>1</v>
      </c>
      <c r="C2552">
        <v>67</v>
      </c>
      <c r="D2552" t="str">
        <f>VLOOKUP(B2552, Products!$A$2:$C$100, 2, FALSE)</f>
        <v>Trek 820 - 2016</v>
      </c>
      <c r="E2552">
        <v>2</v>
      </c>
      <c r="F2552">
        <v>250.99</v>
      </c>
      <c r="G2552">
        <v>0.05</v>
      </c>
      <c r="H2552">
        <v>12.549500000000002</v>
      </c>
      <c r="I2552">
        <f>order_items[[#This Row],[list_price]]-order_items[[#This Row],[Discounted_price]]</f>
        <v>238.44050000000001</v>
      </c>
      <c r="J2552">
        <f>VLOOKUP(B2552, Products!$A$2:$E$100, 3, FALSE)</f>
        <v>9</v>
      </c>
      <c r="K2552">
        <f>VLOOKUP(B2552, Products!$A$2:$F$100, 4, FALSE)</f>
        <v>6</v>
      </c>
    </row>
    <row r="2553" spans="1:11" x14ac:dyDescent="0.3">
      <c r="A2553">
        <v>893</v>
      </c>
      <c r="B2553">
        <v>2</v>
      </c>
      <c r="C2553">
        <v>45</v>
      </c>
      <c r="D2553" t="str">
        <f>VLOOKUP(B2553, Products!$A$2:$C$100, 2, FALSE)</f>
        <v>Ritchey Timberwolf Frameset - 2016</v>
      </c>
      <c r="E2553">
        <v>1</v>
      </c>
      <c r="F2553">
        <v>869.99</v>
      </c>
      <c r="G2553">
        <v>7.0000000000000007E-2</v>
      </c>
      <c r="H2553">
        <v>60.899300000000004</v>
      </c>
      <c r="I2553">
        <f>order_items[[#This Row],[list_price]]-order_items[[#This Row],[Discounted_price]]</f>
        <v>809.09069999999997</v>
      </c>
      <c r="J2553">
        <f>VLOOKUP(B2553, Products!$A$2:$E$100, 3, FALSE)</f>
        <v>5</v>
      </c>
      <c r="K2553">
        <f>VLOOKUP(B2553, Products!$A$2:$F$100, 4, FALSE)</f>
        <v>6</v>
      </c>
    </row>
    <row r="2554" spans="1:11" x14ac:dyDescent="0.3">
      <c r="A2554">
        <v>894</v>
      </c>
      <c r="B2554">
        <v>1</v>
      </c>
      <c r="C2554">
        <v>101</v>
      </c>
      <c r="D2554" t="str">
        <f>VLOOKUP(B2554, Products!$A$2:$C$100, 2, FALSE)</f>
        <v>Trek 820 - 2016</v>
      </c>
      <c r="E2554">
        <v>2</v>
      </c>
      <c r="F2554">
        <v>339.99</v>
      </c>
      <c r="G2554">
        <v>0.2</v>
      </c>
      <c r="H2554">
        <v>67.998000000000005</v>
      </c>
      <c r="I2554">
        <f>order_items[[#This Row],[list_price]]-order_items[[#This Row],[Discounted_price]]</f>
        <v>271.99200000000002</v>
      </c>
      <c r="J2554">
        <f>VLOOKUP(B2554, Products!$A$2:$E$100, 3, FALSE)</f>
        <v>9</v>
      </c>
      <c r="K2554">
        <f>VLOOKUP(B2554, Products!$A$2:$F$100, 4, FALSE)</f>
        <v>6</v>
      </c>
    </row>
    <row r="2555" spans="1:11" x14ac:dyDescent="0.3">
      <c r="A2555">
        <v>895</v>
      </c>
      <c r="B2555">
        <v>1</v>
      </c>
      <c r="C2555">
        <v>106</v>
      </c>
      <c r="D2555" t="str">
        <f>VLOOKUP(B2555, Products!$A$2:$C$100, 2, FALSE)</f>
        <v>Trek 820 - 2016</v>
      </c>
      <c r="E2555">
        <v>1</v>
      </c>
      <c r="F2555">
        <v>449.99</v>
      </c>
      <c r="G2555">
        <v>7.0000000000000007E-2</v>
      </c>
      <c r="H2555">
        <v>31.499300000000005</v>
      </c>
      <c r="I2555">
        <f>order_items[[#This Row],[list_price]]-order_items[[#This Row],[Discounted_price]]</f>
        <v>418.4907</v>
      </c>
      <c r="J2555">
        <f>VLOOKUP(B2555, Products!$A$2:$E$100, 3, FALSE)</f>
        <v>9</v>
      </c>
      <c r="K2555">
        <f>VLOOKUP(B2555, Products!$A$2:$F$100, 4, FALSE)</f>
        <v>6</v>
      </c>
    </row>
    <row r="2556" spans="1:11" x14ac:dyDescent="0.3">
      <c r="A2556">
        <v>896</v>
      </c>
      <c r="B2556">
        <v>1</v>
      </c>
      <c r="C2556">
        <v>91</v>
      </c>
      <c r="D2556" t="str">
        <f>VLOOKUP(B2556, Products!$A$2:$C$100, 2, FALSE)</f>
        <v>Trek 820 - 2016</v>
      </c>
      <c r="E2556">
        <v>2</v>
      </c>
      <c r="F2556">
        <v>349.99</v>
      </c>
      <c r="G2556">
        <v>0.05</v>
      </c>
      <c r="H2556">
        <v>17.499500000000001</v>
      </c>
      <c r="I2556">
        <f>order_items[[#This Row],[list_price]]-order_items[[#This Row],[Discounted_price]]</f>
        <v>332.4905</v>
      </c>
      <c r="J2556">
        <f>VLOOKUP(B2556, Products!$A$2:$E$100, 3, FALSE)</f>
        <v>9</v>
      </c>
      <c r="K2556">
        <f>VLOOKUP(B2556, Products!$A$2:$F$100, 4, FALSE)</f>
        <v>6</v>
      </c>
    </row>
    <row r="2557" spans="1:11" x14ac:dyDescent="0.3">
      <c r="A2557">
        <v>896</v>
      </c>
      <c r="B2557">
        <v>2</v>
      </c>
      <c r="C2557">
        <v>10</v>
      </c>
      <c r="D2557" t="str">
        <f>VLOOKUP(B2557, Products!$A$2:$C$100, 2, FALSE)</f>
        <v>Ritchey Timberwolf Frameset - 2016</v>
      </c>
      <c r="E2557">
        <v>1</v>
      </c>
      <c r="F2557">
        <v>1549</v>
      </c>
      <c r="G2557">
        <v>0.05</v>
      </c>
      <c r="H2557">
        <v>77.45</v>
      </c>
      <c r="I2557">
        <f>order_items[[#This Row],[list_price]]-order_items[[#This Row],[Discounted_price]]</f>
        <v>1471.55</v>
      </c>
      <c r="J2557">
        <f>VLOOKUP(B2557, Products!$A$2:$E$100, 3, FALSE)</f>
        <v>5</v>
      </c>
      <c r="K2557">
        <f>VLOOKUP(B2557, Products!$A$2:$F$100, 4, FALSE)</f>
        <v>6</v>
      </c>
    </row>
    <row r="2558" spans="1:11" x14ac:dyDescent="0.3">
      <c r="A2558">
        <v>897</v>
      </c>
      <c r="B2558">
        <v>1</v>
      </c>
      <c r="C2558">
        <v>105</v>
      </c>
      <c r="D2558" t="str">
        <f>VLOOKUP(B2558, Products!$A$2:$C$100, 2, FALSE)</f>
        <v>Trek 820 - 2016</v>
      </c>
      <c r="E2558">
        <v>1</v>
      </c>
      <c r="F2558">
        <v>533.99</v>
      </c>
      <c r="G2558">
        <v>0.05</v>
      </c>
      <c r="H2558">
        <v>26.6995</v>
      </c>
      <c r="I2558">
        <f>order_items[[#This Row],[list_price]]-order_items[[#This Row],[Discounted_price]]</f>
        <v>507.29050000000001</v>
      </c>
      <c r="J2558">
        <f>VLOOKUP(B2558, Products!$A$2:$E$100, 3, FALSE)</f>
        <v>9</v>
      </c>
      <c r="K2558">
        <f>VLOOKUP(B2558, Products!$A$2:$F$100, 4, FALSE)</f>
        <v>6</v>
      </c>
    </row>
    <row r="2559" spans="1:11" x14ac:dyDescent="0.3">
      <c r="A2559">
        <v>897</v>
      </c>
      <c r="B2559">
        <v>2</v>
      </c>
      <c r="C2559">
        <v>96</v>
      </c>
      <c r="D2559" t="str">
        <f>VLOOKUP(B2559, Products!$A$2:$C$100, 2, FALSE)</f>
        <v>Ritchey Timberwolf Frameset - 2016</v>
      </c>
      <c r="E2559">
        <v>1</v>
      </c>
      <c r="F2559">
        <v>349.99</v>
      </c>
      <c r="G2559">
        <v>0.05</v>
      </c>
      <c r="H2559">
        <v>17.499500000000001</v>
      </c>
      <c r="I2559">
        <f>order_items[[#This Row],[list_price]]-order_items[[#This Row],[Discounted_price]]</f>
        <v>332.4905</v>
      </c>
      <c r="J2559">
        <f>VLOOKUP(B2559, Products!$A$2:$E$100, 3, FALSE)</f>
        <v>5</v>
      </c>
      <c r="K2559">
        <f>VLOOKUP(B2559, Products!$A$2:$F$100, 4, FALSE)</f>
        <v>6</v>
      </c>
    </row>
    <row r="2560" spans="1:11" x14ac:dyDescent="0.3">
      <c r="A2560">
        <v>898</v>
      </c>
      <c r="B2560">
        <v>1</v>
      </c>
      <c r="C2560">
        <v>45</v>
      </c>
      <c r="D2560" t="str">
        <f>VLOOKUP(B2560, Products!$A$2:$C$100, 2, FALSE)</f>
        <v>Trek 820 - 2016</v>
      </c>
      <c r="E2560">
        <v>2</v>
      </c>
      <c r="F2560">
        <v>869.99</v>
      </c>
      <c r="G2560">
        <v>0.2</v>
      </c>
      <c r="H2560">
        <v>173.99800000000002</v>
      </c>
      <c r="I2560">
        <f>order_items[[#This Row],[list_price]]-order_items[[#This Row],[Discounted_price]]</f>
        <v>695.99199999999996</v>
      </c>
      <c r="J2560">
        <f>VLOOKUP(B2560, Products!$A$2:$E$100, 3, FALSE)</f>
        <v>9</v>
      </c>
      <c r="K2560">
        <f>VLOOKUP(B2560, Products!$A$2:$F$100, 4, FALSE)</f>
        <v>6</v>
      </c>
    </row>
    <row r="2561" spans="1:11" x14ac:dyDescent="0.3">
      <c r="A2561">
        <v>898</v>
      </c>
      <c r="B2561">
        <v>2</v>
      </c>
      <c r="C2561">
        <v>16</v>
      </c>
      <c r="D2561" t="str">
        <f>VLOOKUP(B2561, Products!$A$2:$C$100, 2, FALSE)</f>
        <v>Ritchey Timberwolf Frameset - 2016</v>
      </c>
      <c r="E2561">
        <v>1</v>
      </c>
      <c r="F2561">
        <v>599.99</v>
      </c>
      <c r="G2561">
        <v>7.0000000000000007E-2</v>
      </c>
      <c r="H2561">
        <v>41.999300000000005</v>
      </c>
      <c r="I2561">
        <f>order_items[[#This Row],[list_price]]-order_items[[#This Row],[Discounted_price]]</f>
        <v>557.99070000000006</v>
      </c>
      <c r="J2561">
        <f>VLOOKUP(B2561, Products!$A$2:$E$100, 3, FALSE)</f>
        <v>5</v>
      </c>
      <c r="K2561">
        <f>VLOOKUP(B2561, Products!$A$2:$F$100, 4, FALSE)</f>
        <v>6</v>
      </c>
    </row>
    <row r="2562" spans="1:11" x14ac:dyDescent="0.3">
      <c r="A2562">
        <v>898</v>
      </c>
      <c r="B2562">
        <v>3</v>
      </c>
      <c r="C2562">
        <v>57</v>
      </c>
      <c r="D2562" t="str">
        <f>VLOOKUP(B2562, Products!$A$2:$C$100, 2, FALSE)</f>
        <v>Surly Wednesday Frameset - 2016</v>
      </c>
      <c r="E2562">
        <v>2</v>
      </c>
      <c r="F2562">
        <v>1999.99</v>
      </c>
      <c r="G2562">
        <v>0.2</v>
      </c>
      <c r="H2562">
        <v>399.99800000000005</v>
      </c>
      <c r="I2562">
        <f>order_items[[#This Row],[list_price]]-order_items[[#This Row],[Discounted_price]]</f>
        <v>1599.992</v>
      </c>
      <c r="J2562">
        <f>VLOOKUP(B2562, Products!$A$2:$E$100, 3, FALSE)</f>
        <v>8</v>
      </c>
      <c r="K2562">
        <f>VLOOKUP(B2562, Products!$A$2:$F$100, 4, FALSE)</f>
        <v>6</v>
      </c>
    </row>
    <row r="2563" spans="1:11" x14ac:dyDescent="0.3">
      <c r="A2563">
        <v>898</v>
      </c>
      <c r="B2563">
        <v>4</v>
      </c>
      <c r="C2563">
        <v>69</v>
      </c>
      <c r="D2563" t="str">
        <f>VLOOKUP(B2563, Products!$A$2:$C$100, 2, FALSE)</f>
        <v>Trek Fuel EX 8 29 - 2016</v>
      </c>
      <c r="E2563">
        <v>2</v>
      </c>
      <c r="F2563">
        <v>416.99</v>
      </c>
      <c r="G2563">
        <v>7.0000000000000007E-2</v>
      </c>
      <c r="H2563">
        <v>29.189300000000003</v>
      </c>
      <c r="I2563">
        <f>order_items[[#This Row],[list_price]]-order_items[[#This Row],[Discounted_price]]</f>
        <v>387.80070000000001</v>
      </c>
      <c r="J2563">
        <f>VLOOKUP(B2563, Products!$A$2:$E$100, 3, FALSE)</f>
        <v>9</v>
      </c>
      <c r="K2563">
        <f>VLOOKUP(B2563, Products!$A$2:$F$100, 4, FALSE)</f>
        <v>6</v>
      </c>
    </row>
    <row r="2564" spans="1:11" x14ac:dyDescent="0.3">
      <c r="A2564">
        <v>899</v>
      </c>
      <c r="B2564">
        <v>1</v>
      </c>
      <c r="C2564">
        <v>59</v>
      </c>
      <c r="D2564" t="str">
        <f>VLOOKUP(B2564, Products!$A$2:$C$100, 2, FALSE)</f>
        <v>Trek 820 - 2016</v>
      </c>
      <c r="E2564">
        <v>2</v>
      </c>
      <c r="F2564">
        <v>2599.9899999999998</v>
      </c>
      <c r="G2564">
        <v>0.1</v>
      </c>
      <c r="H2564">
        <v>259.99899999999997</v>
      </c>
      <c r="I2564">
        <f>order_items[[#This Row],[list_price]]-order_items[[#This Row],[Discounted_price]]</f>
        <v>2339.991</v>
      </c>
      <c r="J2564">
        <f>VLOOKUP(B2564, Products!$A$2:$E$100, 3, FALSE)</f>
        <v>9</v>
      </c>
      <c r="K2564">
        <f>VLOOKUP(B2564, Products!$A$2:$F$100, 4, FALSE)</f>
        <v>6</v>
      </c>
    </row>
    <row r="2565" spans="1:11" x14ac:dyDescent="0.3">
      <c r="A2565">
        <v>899</v>
      </c>
      <c r="B2565">
        <v>2</v>
      </c>
      <c r="C2565">
        <v>17</v>
      </c>
      <c r="D2565" t="str">
        <f>VLOOKUP(B2565, Products!$A$2:$C$100, 2, FALSE)</f>
        <v>Ritchey Timberwolf Frameset - 2016</v>
      </c>
      <c r="E2565">
        <v>1</v>
      </c>
      <c r="F2565">
        <v>429</v>
      </c>
      <c r="G2565">
        <v>0.1</v>
      </c>
      <c r="H2565">
        <v>42.900000000000006</v>
      </c>
      <c r="I2565">
        <f>order_items[[#This Row],[list_price]]-order_items[[#This Row],[Discounted_price]]</f>
        <v>386.1</v>
      </c>
      <c r="J2565">
        <f>VLOOKUP(B2565, Products!$A$2:$E$100, 3, FALSE)</f>
        <v>5</v>
      </c>
      <c r="K2565">
        <f>VLOOKUP(B2565, Products!$A$2:$F$100, 4, FALSE)</f>
        <v>6</v>
      </c>
    </row>
    <row r="2566" spans="1:11" x14ac:dyDescent="0.3">
      <c r="A2566">
        <v>899</v>
      </c>
      <c r="B2566">
        <v>3</v>
      </c>
      <c r="C2566">
        <v>6</v>
      </c>
      <c r="D2566" t="str">
        <f>VLOOKUP(B2566, Products!$A$2:$C$100, 2, FALSE)</f>
        <v>Surly Wednesday Frameset - 2016</v>
      </c>
      <c r="E2566">
        <v>1</v>
      </c>
      <c r="F2566">
        <v>469.99</v>
      </c>
      <c r="G2566">
        <v>0.2</v>
      </c>
      <c r="H2566">
        <v>93.998000000000005</v>
      </c>
      <c r="I2566">
        <f>order_items[[#This Row],[list_price]]-order_items[[#This Row],[Discounted_price]]</f>
        <v>375.99200000000002</v>
      </c>
      <c r="J2566">
        <f>VLOOKUP(B2566, Products!$A$2:$E$100, 3, FALSE)</f>
        <v>8</v>
      </c>
      <c r="K2566">
        <f>VLOOKUP(B2566, Products!$A$2:$F$100, 4, FALSE)</f>
        <v>6</v>
      </c>
    </row>
    <row r="2567" spans="1:11" x14ac:dyDescent="0.3">
      <c r="A2567">
        <v>900</v>
      </c>
      <c r="B2567">
        <v>1</v>
      </c>
      <c r="C2567">
        <v>26</v>
      </c>
      <c r="D2567" t="str">
        <f>VLOOKUP(B2567, Products!$A$2:$C$100, 2, FALSE)</f>
        <v>Trek 820 - 2016</v>
      </c>
      <c r="E2567">
        <v>2</v>
      </c>
      <c r="F2567">
        <v>599.99</v>
      </c>
      <c r="G2567">
        <v>0.05</v>
      </c>
      <c r="H2567">
        <v>29.999500000000001</v>
      </c>
      <c r="I2567">
        <f>order_items[[#This Row],[list_price]]-order_items[[#This Row],[Discounted_price]]</f>
        <v>569.9905</v>
      </c>
      <c r="J2567">
        <f>VLOOKUP(B2567, Products!$A$2:$E$100, 3, FALSE)</f>
        <v>9</v>
      </c>
      <c r="K2567">
        <f>VLOOKUP(B2567, Products!$A$2:$F$100, 4, FALSE)</f>
        <v>6</v>
      </c>
    </row>
    <row r="2568" spans="1:11" x14ac:dyDescent="0.3">
      <c r="A2568">
        <v>900</v>
      </c>
      <c r="B2568">
        <v>2</v>
      </c>
      <c r="C2568">
        <v>108</v>
      </c>
      <c r="D2568" t="str">
        <f>VLOOKUP(B2568, Products!$A$2:$C$100, 2, FALSE)</f>
        <v>Ritchey Timberwolf Frameset - 2016</v>
      </c>
      <c r="E2568">
        <v>1</v>
      </c>
      <c r="F2568">
        <v>449.99</v>
      </c>
      <c r="G2568">
        <v>7.0000000000000007E-2</v>
      </c>
      <c r="H2568">
        <v>31.499300000000005</v>
      </c>
      <c r="I2568">
        <f>order_items[[#This Row],[list_price]]-order_items[[#This Row],[Discounted_price]]</f>
        <v>418.4907</v>
      </c>
      <c r="J2568">
        <f>VLOOKUP(B2568, Products!$A$2:$E$100, 3, FALSE)</f>
        <v>5</v>
      </c>
      <c r="K2568">
        <f>VLOOKUP(B2568, Products!$A$2:$F$100, 4, FALSE)</f>
        <v>6</v>
      </c>
    </row>
    <row r="2569" spans="1:11" x14ac:dyDescent="0.3">
      <c r="A2569">
        <v>900</v>
      </c>
      <c r="B2569">
        <v>3</v>
      </c>
      <c r="C2569">
        <v>89</v>
      </c>
      <c r="D2569" t="str">
        <f>VLOOKUP(B2569, Products!$A$2:$C$100, 2, FALSE)</f>
        <v>Surly Wednesday Frameset - 2016</v>
      </c>
      <c r="E2569">
        <v>1</v>
      </c>
      <c r="F2569">
        <v>209.99</v>
      </c>
      <c r="G2569">
        <v>0.2</v>
      </c>
      <c r="H2569">
        <v>41.998000000000005</v>
      </c>
      <c r="I2569">
        <f>order_items[[#This Row],[list_price]]-order_items[[#This Row],[Discounted_price]]</f>
        <v>167.99200000000002</v>
      </c>
      <c r="J2569">
        <f>VLOOKUP(B2569, Products!$A$2:$E$100, 3, FALSE)</f>
        <v>8</v>
      </c>
      <c r="K2569">
        <f>VLOOKUP(B2569, Products!$A$2:$F$100, 4, FALSE)</f>
        <v>6</v>
      </c>
    </row>
    <row r="2570" spans="1:11" x14ac:dyDescent="0.3">
      <c r="A2570">
        <v>900</v>
      </c>
      <c r="B2570">
        <v>4</v>
      </c>
      <c r="C2570">
        <v>61</v>
      </c>
      <c r="D2570" t="str">
        <f>VLOOKUP(B2570, Products!$A$2:$C$100, 2, FALSE)</f>
        <v>Trek Fuel EX 8 29 - 2016</v>
      </c>
      <c r="E2570">
        <v>2</v>
      </c>
      <c r="F2570">
        <v>4999.99</v>
      </c>
      <c r="G2570">
        <v>0.05</v>
      </c>
      <c r="H2570">
        <v>249.99950000000001</v>
      </c>
      <c r="I2570">
        <f>order_items[[#This Row],[list_price]]-order_items[[#This Row],[Discounted_price]]</f>
        <v>4749.9904999999999</v>
      </c>
      <c r="J2570">
        <f>VLOOKUP(B2570, Products!$A$2:$E$100, 3, FALSE)</f>
        <v>9</v>
      </c>
      <c r="K2570">
        <f>VLOOKUP(B2570, Products!$A$2:$F$100, 4, FALSE)</f>
        <v>6</v>
      </c>
    </row>
    <row r="2571" spans="1:11" x14ac:dyDescent="0.3">
      <c r="A2571">
        <v>900</v>
      </c>
      <c r="B2571">
        <v>5</v>
      </c>
      <c r="C2571">
        <v>28</v>
      </c>
      <c r="D2571" t="str">
        <f>VLOOKUP(B2571, Products!$A$2:$C$100, 2, FALSE)</f>
        <v>Heller Shagamaw Frame - 2016</v>
      </c>
      <c r="E2571">
        <v>2</v>
      </c>
      <c r="F2571">
        <v>2499.9899999999998</v>
      </c>
      <c r="G2571">
        <v>7.0000000000000007E-2</v>
      </c>
      <c r="H2571">
        <v>174.99930000000001</v>
      </c>
      <c r="I2571">
        <f>order_items[[#This Row],[list_price]]-order_items[[#This Row],[Discounted_price]]</f>
        <v>2324.9906999999998</v>
      </c>
      <c r="J2571">
        <f>VLOOKUP(B2571, Products!$A$2:$E$100, 3, FALSE)</f>
        <v>3</v>
      </c>
      <c r="K2571">
        <f>VLOOKUP(B2571, Products!$A$2:$F$100, 4, FALSE)</f>
        <v>6</v>
      </c>
    </row>
    <row r="2572" spans="1:11" x14ac:dyDescent="0.3">
      <c r="A2572">
        <v>901</v>
      </c>
      <c r="B2572">
        <v>1</v>
      </c>
      <c r="C2572">
        <v>50</v>
      </c>
      <c r="D2572" t="str">
        <f>VLOOKUP(B2572, Products!$A$2:$C$100, 2, FALSE)</f>
        <v>Trek 820 - 2016</v>
      </c>
      <c r="E2572">
        <v>1</v>
      </c>
      <c r="F2572">
        <v>5999.99</v>
      </c>
      <c r="G2572">
        <v>0.2</v>
      </c>
      <c r="H2572">
        <v>1199.998</v>
      </c>
      <c r="I2572">
        <f>order_items[[#This Row],[list_price]]-order_items[[#This Row],[Discounted_price]]</f>
        <v>4799.9920000000002</v>
      </c>
      <c r="J2572">
        <f>VLOOKUP(B2572, Products!$A$2:$E$100, 3, FALSE)</f>
        <v>9</v>
      </c>
      <c r="K2572">
        <f>VLOOKUP(B2572, Products!$A$2:$F$100, 4, FALSE)</f>
        <v>6</v>
      </c>
    </row>
    <row r="2573" spans="1:11" x14ac:dyDescent="0.3">
      <c r="A2573">
        <v>901</v>
      </c>
      <c r="B2573">
        <v>2</v>
      </c>
      <c r="C2573">
        <v>43</v>
      </c>
      <c r="D2573" t="str">
        <f>VLOOKUP(B2573, Products!$A$2:$C$100, 2, FALSE)</f>
        <v>Ritchey Timberwolf Frameset - 2016</v>
      </c>
      <c r="E2573">
        <v>1</v>
      </c>
      <c r="F2573">
        <v>5299.99</v>
      </c>
      <c r="G2573">
        <v>7.0000000000000007E-2</v>
      </c>
      <c r="H2573">
        <v>370.99930000000001</v>
      </c>
      <c r="I2573">
        <f>order_items[[#This Row],[list_price]]-order_items[[#This Row],[Discounted_price]]</f>
        <v>4928.9906999999994</v>
      </c>
      <c r="J2573">
        <f>VLOOKUP(B2573, Products!$A$2:$E$100, 3, FALSE)</f>
        <v>5</v>
      </c>
      <c r="K2573">
        <f>VLOOKUP(B2573, Products!$A$2:$F$100, 4, FALSE)</f>
        <v>6</v>
      </c>
    </row>
    <row r="2574" spans="1:11" x14ac:dyDescent="0.3">
      <c r="A2574">
        <v>902</v>
      </c>
      <c r="B2574">
        <v>1</v>
      </c>
      <c r="C2574">
        <v>38</v>
      </c>
      <c r="D2574" t="str">
        <f>VLOOKUP(B2574, Products!$A$2:$C$100, 2, FALSE)</f>
        <v>Trek 820 - 2016</v>
      </c>
      <c r="E2574">
        <v>2</v>
      </c>
      <c r="F2574">
        <v>549.99</v>
      </c>
      <c r="G2574">
        <v>7.0000000000000007E-2</v>
      </c>
      <c r="H2574">
        <v>38.499300000000005</v>
      </c>
      <c r="I2574">
        <f>order_items[[#This Row],[list_price]]-order_items[[#This Row],[Discounted_price]]</f>
        <v>511.4907</v>
      </c>
      <c r="J2574">
        <f>VLOOKUP(B2574, Products!$A$2:$E$100, 3, FALSE)</f>
        <v>9</v>
      </c>
      <c r="K2574">
        <f>VLOOKUP(B2574, Products!$A$2:$F$100, 4, FALSE)</f>
        <v>6</v>
      </c>
    </row>
    <row r="2575" spans="1:11" x14ac:dyDescent="0.3">
      <c r="A2575">
        <v>902</v>
      </c>
      <c r="B2575">
        <v>2</v>
      </c>
      <c r="C2575">
        <v>92</v>
      </c>
      <c r="D2575" t="str">
        <f>VLOOKUP(B2575, Products!$A$2:$C$100, 2, FALSE)</f>
        <v>Ritchey Timberwolf Frameset - 2016</v>
      </c>
      <c r="E2575">
        <v>1</v>
      </c>
      <c r="F2575">
        <v>209.99</v>
      </c>
      <c r="G2575">
        <v>7.0000000000000007E-2</v>
      </c>
      <c r="H2575">
        <v>14.699300000000003</v>
      </c>
      <c r="I2575">
        <f>order_items[[#This Row],[list_price]]-order_items[[#This Row],[Discounted_price]]</f>
        <v>195.29070000000002</v>
      </c>
      <c r="J2575">
        <f>VLOOKUP(B2575, Products!$A$2:$E$100, 3, FALSE)</f>
        <v>5</v>
      </c>
      <c r="K2575">
        <f>VLOOKUP(B2575, Products!$A$2:$F$100, 4, FALSE)</f>
        <v>6</v>
      </c>
    </row>
    <row r="2576" spans="1:11" x14ac:dyDescent="0.3">
      <c r="A2576">
        <v>902</v>
      </c>
      <c r="B2576">
        <v>3</v>
      </c>
      <c r="C2576">
        <v>12</v>
      </c>
      <c r="D2576" t="str">
        <f>VLOOKUP(B2576, Products!$A$2:$C$100, 2, FALSE)</f>
        <v>Surly Wednesday Frameset - 2016</v>
      </c>
      <c r="E2576">
        <v>1</v>
      </c>
      <c r="F2576">
        <v>549.99</v>
      </c>
      <c r="G2576">
        <v>0.2</v>
      </c>
      <c r="H2576">
        <v>109.998</v>
      </c>
      <c r="I2576">
        <f>order_items[[#This Row],[list_price]]-order_items[[#This Row],[Discounted_price]]</f>
        <v>439.99200000000002</v>
      </c>
      <c r="J2576">
        <f>VLOOKUP(B2576, Products!$A$2:$E$100, 3, FALSE)</f>
        <v>8</v>
      </c>
      <c r="K2576">
        <f>VLOOKUP(B2576, Products!$A$2:$F$100, 4, FALSE)</f>
        <v>6</v>
      </c>
    </row>
    <row r="2577" spans="1:11" x14ac:dyDescent="0.3">
      <c r="A2577">
        <v>902</v>
      </c>
      <c r="B2577">
        <v>4</v>
      </c>
      <c r="C2577">
        <v>76</v>
      </c>
      <c r="D2577" t="str">
        <f>VLOOKUP(B2577, Products!$A$2:$C$100, 2, FALSE)</f>
        <v>Trek Fuel EX 8 29 - 2016</v>
      </c>
      <c r="E2577">
        <v>2</v>
      </c>
      <c r="F2577">
        <v>299.99</v>
      </c>
      <c r="G2577">
        <v>0.05</v>
      </c>
      <c r="H2577">
        <v>14.999500000000001</v>
      </c>
      <c r="I2577">
        <f>order_items[[#This Row],[list_price]]-order_items[[#This Row],[Discounted_price]]</f>
        <v>284.9905</v>
      </c>
      <c r="J2577">
        <f>VLOOKUP(B2577, Products!$A$2:$E$100, 3, FALSE)</f>
        <v>9</v>
      </c>
      <c r="K2577">
        <f>VLOOKUP(B2577, Products!$A$2:$F$100, 4, FALSE)</f>
        <v>6</v>
      </c>
    </row>
    <row r="2578" spans="1:11" x14ac:dyDescent="0.3">
      <c r="A2578">
        <v>903</v>
      </c>
      <c r="B2578">
        <v>1</v>
      </c>
      <c r="C2578">
        <v>31</v>
      </c>
      <c r="D2578" t="str">
        <f>VLOOKUP(B2578, Products!$A$2:$C$100, 2, FALSE)</f>
        <v>Trek 820 - 2016</v>
      </c>
      <c r="E2578">
        <v>2</v>
      </c>
      <c r="F2578">
        <v>1632.99</v>
      </c>
      <c r="G2578">
        <v>7.0000000000000007E-2</v>
      </c>
      <c r="H2578">
        <v>114.30930000000001</v>
      </c>
      <c r="I2578">
        <f>order_items[[#This Row],[list_price]]-order_items[[#This Row],[Discounted_price]]</f>
        <v>1518.6806999999999</v>
      </c>
      <c r="J2578">
        <f>VLOOKUP(B2578, Products!$A$2:$E$100, 3, FALSE)</f>
        <v>9</v>
      </c>
      <c r="K2578">
        <f>VLOOKUP(B2578, Products!$A$2:$F$100, 4, FALSE)</f>
        <v>6</v>
      </c>
    </row>
    <row r="2579" spans="1:11" x14ac:dyDescent="0.3">
      <c r="A2579">
        <v>903</v>
      </c>
      <c r="B2579">
        <v>2</v>
      </c>
      <c r="C2579">
        <v>48</v>
      </c>
      <c r="D2579" t="str">
        <f>VLOOKUP(B2579, Products!$A$2:$C$100, 2, FALSE)</f>
        <v>Ritchey Timberwolf Frameset - 2016</v>
      </c>
      <c r="E2579">
        <v>2</v>
      </c>
      <c r="F2579">
        <v>1499.99</v>
      </c>
      <c r="G2579">
        <v>0.05</v>
      </c>
      <c r="H2579">
        <v>74.999499999999998</v>
      </c>
      <c r="I2579">
        <f>order_items[[#This Row],[list_price]]-order_items[[#This Row],[Discounted_price]]</f>
        <v>1424.9905000000001</v>
      </c>
      <c r="J2579">
        <f>VLOOKUP(B2579, Products!$A$2:$E$100, 3, FALSE)</f>
        <v>5</v>
      </c>
      <c r="K2579">
        <f>VLOOKUP(B2579, Products!$A$2:$F$100, 4, FALSE)</f>
        <v>6</v>
      </c>
    </row>
    <row r="2580" spans="1:11" x14ac:dyDescent="0.3">
      <c r="A2580">
        <v>904</v>
      </c>
      <c r="B2580">
        <v>1</v>
      </c>
      <c r="C2580">
        <v>36</v>
      </c>
      <c r="D2580" t="str">
        <f>VLOOKUP(B2580, Products!$A$2:$C$100, 2, FALSE)</f>
        <v>Trek 820 - 2016</v>
      </c>
      <c r="E2580">
        <v>2</v>
      </c>
      <c r="F2580">
        <v>832.99</v>
      </c>
      <c r="G2580">
        <v>0.1</v>
      </c>
      <c r="H2580">
        <v>83.299000000000007</v>
      </c>
      <c r="I2580">
        <f>order_items[[#This Row],[list_price]]-order_items[[#This Row],[Discounted_price]]</f>
        <v>749.69100000000003</v>
      </c>
      <c r="J2580">
        <f>VLOOKUP(B2580, Products!$A$2:$E$100, 3, FALSE)</f>
        <v>9</v>
      </c>
      <c r="K2580">
        <f>VLOOKUP(B2580, Products!$A$2:$F$100, 4, FALSE)</f>
        <v>6</v>
      </c>
    </row>
    <row r="2581" spans="1:11" x14ac:dyDescent="0.3">
      <c r="A2581">
        <v>904</v>
      </c>
      <c r="B2581">
        <v>2</v>
      </c>
      <c r="C2581">
        <v>51</v>
      </c>
      <c r="D2581" t="str">
        <f>VLOOKUP(B2581, Products!$A$2:$C$100, 2, FALSE)</f>
        <v>Ritchey Timberwolf Frameset - 2016</v>
      </c>
      <c r="E2581">
        <v>2</v>
      </c>
      <c r="F2581">
        <v>6499.99</v>
      </c>
      <c r="G2581">
        <v>7.0000000000000007E-2</v>
      </c>
      <c r="H2581">
        <v>454.99930000000001</v>
      </c>
      <c r="I2581">
        <f>order_items[[#This Row],[list_price]]-order_items[[#This Row],[Discounted_price]]</f>
        <v>6044.9906999999994</v>
      </c>
      <c r="J2581">
        <f>VLOOKUP(B2581, Products!$A$2:$E$100, 3, FALSE)</f>
        <v>5</v>
      </c>
      <c r="K2581">
        <f>VLOOKUP(B2581, Products!$A$2:$F$100, 4, FALSE)</f>
        <v>6</v>
      </c>
    </row>
    <row r="2582" spans="1:11" x14ac:dyDescent="0.3">
      <c r="A2582">
        <v>904</v>
      </c>
      <c r="B2582">
        <v>3</v>
      </c>
      <c r="C2582">
        <v>92</v>
      </c>
      <c r="D2582" t="str">
        <f>VLOOKUP(B2582, Products!$A$2:$C$100, 2, FALSE)</f>
        <v>Surly Wednesday Frameset - 2016</v>
      </c>
      <c r="E2582">
        <v>2</v>
      </c>
      <c r="F2582">
        <v>209.99</v>
      </c>
      <c r="G2582">
        <v>0.2</v>
      </c>
      <c r="H2582">
        <v>41.998000000000005</v>
      </c>
      <c r="I2582">
        <f>order_items[[#This Row],[list_price]]-order_items[[#This Row],[Discounted_price]]</f>
        <v>167.99200000000002</v>
      </c>
      <c r="J2582">
        <f>VLOOKUP(B2582, Products!$A$2:$E$100, 3, FALSE)</f>
        <v>8</v>
      </c>
      <c r="K2582">
        <f>VLOOKUP(B2582, Products!$A$2:$F$100, 4, FALSE)</f>
        <v>6</v>
      </c>
    </row>
    <row r="2583" spans="1:11" x14ac:dyDescent="0.3">
      <c r="A2583">
        <v>904</v>
      </c>
      <c r="B2583">
        <v>4</v>
      </c>
      <c r="C2583">
        <v>13</v>
      </c>
      <c r="D2583" t="str">
        <f>VLOOKUP(B2583, Products!$A$2:$C$100, 2, FALSE)</f>
        <v>Trek Fuel EX 8 29 - 2016</v>
      </c>
      <c r="E2583">
        <v>1</v>
      </c>
      <c r="F2583">
        <v>269.99</v>
      </c>
      <c r="G2583">
        <v>0.2</v>
      </c>
      <c r="H2583">
        <v>53.998000000000005</v>
      </c>
      <c r="I2583">
        <f>order_items[[#This Row],[list_price]]-order_items[[#This Row],[Discounted_price]]</f>
        <v>215.99200000000002</v>
      </c>
      <c r="J2583">
        <f>VLOOKUP(B2583, Products!$A$2:$E$100, 3, FALSE)</f>
        <v>9</v>
      </c>
      <c r="K2583">
        <f>VLOOKUP(B2583, Products!$A$2:$F$100, 4, FALSE)</f>
        <v>6</v>
      </c>
    </row>
    <row r="2584" spans="1:11" x14ac:dyDescent="0.3">
      <c r="A2584">
        <v>905</v>
      </c>
      <c r="B2584">
        <v>1</v>
      </c>
      <c r="C2584">
        <v>67</v>
      </c>
      <c r="D2584" t="str">
        <f>VLOOKUP(B2584, Products!$A$2:$C$100, 2, FALSE)</f>
        <v>Trek 820 - 2016</v>
      </c>
      <c r="E2584">
        <v>1</v>
      </c>
      <c r="F2584">
        <v>250.99</v>
      </c>
      <c r="G2584">
        <v>0.1</v>
      </c>
      <c r="H2584">
        <v>25.099000000000004</v>
      </c>
      <c r="I2584">
        <f>order_items[[#This Row],[list_price]]-order_items[[#This Row],[Discounted_price]]</f>
        <v>225.89100000000002</v>
      </c>
      <c r="J2584">
        <f>VLOOKUP(B2584, Products!$A$2:$E$100, 3, FALSE)</f>
        <v>9</v>
      </c>
      <c r="K2584">
        <f>VLOOKUP(B2584, Products!$A$2:$F$100, 4, FALSE)</f>
        <v>6</v>
      </c>
    </row>
    <row r="2585" spans="1:11" x14ac:dyDescent="0.3">
      <c r="A2585">
        <v>905</v>
      </c>
      <c r="B2585">
        <v>2</v>
      </c>
      <c r="C2585">
        <v>62</v>
      </c>
      <c r="D2585" t="str">
        <f>VLOOKUP(B2585, Products!$A$2:$C$100, 2, FALSE)</f>
        <v>Ritchey Timberwolf Frameset - 2016</v>
      </c>
      <c r="E2585">
        <v>2</v>
      </c>
      <c r="F2585">
        <v>3499.99</v>
      </c>
      <c r="G2585">
        <v>0.05</v>
      </c>
      <c r="H2585">
        <v>174.99950000000001</v>
      </c>
      <c r="I2585">
        <f>order_items[[#This Row],[list_price]]-order_items[[#This Row],[Discounted_price]]</f>
        <v>3324.9904999999999</v>
      </c>
      <c r="J2585">
        <f>VLOOKUP(B2585, Products!$A$2:$E$100, 3, FALSE)</f>
        <v>5</v>
      </c>
      <c r="K2585">
        <f>VLOOKUP(B2585, Products!$A$2:$F$100, 4, FALSE)</f>
        <v>6</v>
      </c>
    </row>
    <row r="2586" spans="1:11" x14ac:dyDescent="0.3">
      <c r="A2586">
        <v>905</v>
      </c>
      <c r="B2586">
        <v>3</v>
      </c>
      <c r="C2586">
        <v>42</v>
      </c>
      <c r="D2586" t="str">
        <f>VLOOKUP(B2586, Products!$A$2:$C$100, 2, FALSE)</f>
        <v>Surly Wednesday Frameset - 2016</v>
      </c>
      <c r="E2586">
        <v>2</v>
      </c>
      <c r="F2586">
        <v>2299.9899999999998</v>
      </c>
      <c r="G2586">
        <v>0.2</v>
      </c>
      <c r="H2586">
        <v>459.99799999999999</v>
      </c>
      <c r="I2586">
        <f>order_items[[#This Row],[list_price]]-order_items[[#This Row],[Discounted_price]]</f>
        <v>1839.9919999999997</v>
      </c>
      <c r="J2586">
        <f>VLOOKUP(B2586, Products!$A$2:$E$100, 3, FALSE)</f>
        <v>8</v>
      </c>
      <c r="K2586">
        <f>VLOOKUP(B2586, Products!$A$2:$F$100, 4, FALSE)</f>
        <v>6</v>
      </c>
    </row>
    <row r="2587" spans="1:11" x14ac:dyDescent="0.3">
      <c r="A2587">
        <v>905</v>
      </c>
      <c r="B2587">
        <v>4</v>
      </c>
      <c r="C2587">
        <v>20</v>
      </c>
      <c r="D2587" t="str">
        <f>VLOOKUP(B2587, Products!$A$2:$C$100, 2, FALSE)</f>
        <v>Trek Fuel EX 8 29 - 2016</v>
      </c>
      <c r="E2587">
        <v>1</v>
      </c>
      <c r="F2587">
        <v>599.99</v>
      </c>
      <c r="G2587">
        <v>0.2</v>
      </c>
      <c r="H2587">
        <v>119.998</v>
      </c>
      <c r="I2587">
        <f>order_items[[#This Row],[list_price]]-order_items[[#This Row],[Discounted_price]]</f>
        <v>479.99200000000002</v>
      </c>
      <c r="J2587">
        <f>VLOOKUP(B2587, Products!$A$2:$E$100, 3, FALSE)</f>
        <v>9</v>
      </c>
      <c r="K2587">
        <f>VLOOKUP(B2587, Products!$A$2:$F$100, 4, FALSE)</f>
        <v>6</v>
      </c>
    </row>
    <row r="2588" spans="1:11" x14ac:dyDescent="0.3">
      <c r="A2588">
        <v>906</v>
      </c>
      <c r="B2588">
        <v>1</v>
      </c>
      <c r="C2588">
        <v>23</v>
      </c>
      <c r="D2588" t="str">
        <f>VLOOKUP(B2588, Products!$A$2:$C$100, 2, FALSE)</f>
        <v>Trek 820 - 2016</v>
      </c>
      <c r="E2588">
        <v>2</v>
      </c>
      <c r="F2588">
        <v>299.99</v>
      </c>
      <c r="G2588">
        <v>0.2</v>
      </c>
      <c r="H2588">
        <v>59.998000000000005</v>
      </c>
      <c r="I2588">
        <f>order_items[[#This Row],[list_price]]-order_items[[#This Row],[Discounted_price]]</f>
        <v>239.99200000000002</v>
      </c>
      <c r="J2588">
        <f>VLOOKUP(B2588, Products!$A$2:$E$100, 3, FALSE)</f>
        <v>9</v>
      </c>
      <c r="K2588">
        <f>VLOOKUP(B2588, Products!$A$2:$F$100, 4, FALSE)</f>
        <v>6</v>
      </c>
    </row>
    <row r="2589" spans="1:11" x14ac:dyDescent="0.3">
      <c r="A2589">
        <v>906</v>
      </c>
      <c r="B2589">
        <v>2</v>
      </c>
      <c r="C2589">
        <v>28</v>
      </c>
      <c r="D2589" t="str">
        <f>VLOOKUP(B2589, Products!$A$2:$C$100, 2, FALSE)</f>
        <v>Ritchey Timberwolf Frameset - 2016</v>
      </c>
      <c r="E2589">
        <v>2</v>
      </c>
      <c r="F2589">
        <v>2499.9899999999998</v>
      </c>
      <c r="G2589">
        <v>7.0000000000000007E-2</v>
      </c>
      <c r="H2589">
        <v>174.99930000000001</v>
      </c>
      <c r="I2589">
        <f>order_items[[#This Row],[list_price]]-order_items[[#This Row],[Discounted_price]]</f>
        <v>2324.9906999999998</v>
      </c>
      <c r="J2589">
        <f>VLOOKUP(B2589, Products!$A$2:$E$100, 3, FALSE)</f>
        <v>5</v>
      </c>
      <c r="K2589">
        <f>VLOOKUP(B2589, Products!$A$2:$F$100, 4, FALSE)</f>
        <v>6</v>
      </c>
    </row>
    <row r="2590" spans="1:11" x14ac:dyDescent="0.3">
      <c r="A2590">
        <v>906</v>
      </c>
      <c r="B2590">
        <v>3</v>
      </c>
      <c r="C2590">
        <v>46</v>
      </c>
      <c r="D2590" t="str">
        <f>VLOOKUP(B2590, Products!$A$2:$C$100, 2, FALSE)</f>
        <v>Surly Wednesday Frameset - 2016</v>
      </c>
      <c r="E2590">
        <v>1</v>
      </c>
      <c r="F2590">
        <v>1409.99</v>
      </c>
      <c r="G2590">
        <v>0.05</v>
      </c>
      <c r="H2590">
        <v>70.499499999999998</v>
      </c>
      <c r="I2590">
        <f>order_items[[#This Row],[list_price]]-order_items[[#This Row],[Discounted_price]]</f>
        <v>1339.4905000000001</v>
      </c>
      <c r="J2590">
        <f>VLOOKUP(B2590, Products!$A$2:$E$100, 3, FALSE)</f>
        <v>8</v>
      </c>
      <c r="K2590">
        <f>VLOOKUP(B2590, Products!$A$2:$F$100, 4, FALSE)</f>
        <v>6</v>
      </c>
    </row>
    <row r="2591" spans="1:11" x14ac:dyDescent="0.3">
      <c r="A2591">
        <v>906</v>
      </c>
      <c r="B2591">
        <v>4</v>
      </c>
      <c r="C2591">
        <v>102</v>
      </c>
      <c r="D2591" t="str">
        <f>VLOOKUP(B2591, Products!$A$2:$C$100, 2, FALSE)</f>
        <v>Trek Fuel EX 8 29 - 2016</v>
      </c>
      <c r="E2591">
        <v>2</v>
      </c>
      <c r="F2591">
        <v>489.99</v>
      </c>
      <c r="G2591">
        <v>0.1</v>
      </c>
      <c r="H2591">
        <v>48.999000000000002</v>
      </c>
      <c r="I2591">
        <f>order_items[[#This Row],[list_price]]-order_items[[#This Row],[Discounted_price]]</f>
        <v>440.99099999999999</v>
      </c>
      <c r="J2591">
        <f>VLOOKUP(B2591, Products!$A$2:$E$100, 3, FALSE)</f>
        <v>9</v>
      </c>
      <c r="K2591">
        <f>VLOOKUP(B2591, Products!$A$2:$F$100, 4, FALSE)</f>
        <v>6</v>
      </c>
    </row>
    <row r="2592" spans="1:11" x14ac:dyDescent="0.3">
      <c r="A2592">
        <v>906</v>
      </c>
      <c r="B2592">
        <v>5</v>
      </c>
      <c r="C2592">
        <v>22</v>
      </c>
      <c r="D2592" t="str">
        <f>VLOOKUP(B2592, Products!$A$2:$C$100, 2, FALSE)</f>
        <v>Heller Shagamaw Frame - 2016</v>
      </c>
      <c r="E2592">
        <v>2</v>
      </c>
      <c r="F2592">
        <v>269.99</v>
      </c>
      <c r="G2592">
        <v>0.2</v>
      </c>
      <c r="H2592">
        <v>53.998000000000005</v>
      </c>
      <c r="I2592">
        <f>order_items[[#This Row],[list_price]]-order_items[[#This Row],[Discounted_price]]</f>
        <v>215.99200000000002</v>
      </c>
      <c r="J2592">
        <f>VLOOKUP(B2592, Products!$A$2:$E$100, 3, FALSE)</f>
        <v>3</v>
      </c>
      <c r="K2592">
        <f>VLOOKUP(B2592, Products!$A$2:$F$100, 4, FALSE)</f>
        <v>6</v>
      </c>
    </row>
    <row r="2593" spans="1:11" x14ac:dyDescent="0.3">
      <c r="A2593">
        <v>907</v>
      </c>
      <c r="B2593">
        <v>1</v>
      </c>
      <c r="C2593">
        <v>84</v>
      </c>
      <c r="D2593" t="str">
        <f>VLOOKUP(B2593, Products!$A$2:$C$100, 2, FALSE)</f>
        <v>Trek 820 - 2016</v>
      </c>
      <c r="E2593">
        <v>2</v>
      </c>
      <c r="F2593">
        <v>109.99</v>
      </c>
      <c r="G2593">
        <v>7.0000000000000007E-2</v>
      </c>
      <c r="H2593">
        <v>7.6993</v>
      </c>
      <c r="I2593">
        <f>order_items[[#This Row],[list_price]]-order_items[[#This Row],[Discounted_price]]</f>
        <v>102.2907</v>
      </c>
      <c r="J2593">
        <f>VLOOKUP(B2593, Products!$A$2:$E$100, 3, FALSE)</f>
        <v>9</v>
      </c>
      <c r="K2593">
        <f>VLOOKUP(B2593, Products!$A$2:$F$100, 4, FALSE)</f>
        <v>6</v>
      </c>
    </row>
    <row r="2594" spans="1:11" x14ac:dyDescent="0.3">
      <c r="A2594">
        <v>907</v>
      </c>
      <c r="B2594">
        <v>2</v>
      </c>
      <c r="C2594">
        <v>65</v>
      </c>
      <c r="D2594" t="str">
        <f>VLOOKUP(B2594, Products!$A$2:$C$100, 2, FALSE)</f>
        <v>Ritchey Timberwolf Frameset - 2016</v>
      </c>
      <c r="E2594">
        <v>1</v>
      </c>
      <c r="F2594">
        <v>346.99</v>
      </c>
      <c r="G2594">
        <v>7.0000000000000007E-2</v>
      </c>
      <c r="H2594">
        <v>24.289300000000004</v>
      </c>
      <c r="I2594">
        <f>order_items[[#This Row],[list_price]]-order_items[[#This Row],[Discounted_price]]</f>
        <v>322.70069999999998</v>
      </c>
      <c r="J2594">
        <f>VLOOKUP(B2594, Products!$A$2:$E$100, 3, FALSE)</f>
        <v>5</v>
      </c>
      <c r="K2594">
        <f>VLOOKUP(B2594, Products!$A$2:$F$100, 4, FALSE)</f>
        <v>6</v>
      </c>
    </row>
    <row r="2595" spans="1:11" x14ac:dyDescent="0.3">
      <c r="A2595">
        <v>908</v>
      </c>
      <c r="B2595">
        <v>1</v>
      </c>
      <c r="C2595">
        <v>41</v>
      </c>
      <c r="D2595" t="str">
        <f>VLOOKUP(B2595, Products!$A$2:$C$100, 2, FALSE)</f>
        <v>Trek 820 - 2016</v>
      </c>
      <c r="E2595">
        <v>1</v>
      </c>
      <c r="F2595">
        <v>1469.99</v>
      </c>
      <c r="G2595">
        <v>0.2</v>
      </c>
      <c r="H2595">
        <v>293.99799999999999</v>
      </c>
      <c r="I2595">
        <f>order_items[[#This Row],[list_price]]-order_items[[#This Row],[Discounted_price]]</f>
        <v>1175.992</v>
      </c>
      <c r="J2595">
        <f>VLOOKUP(B2595, Products!$A$2:$E$100, 3, FALSE)</f>
        <v>9</v>
      </c>
      <c r="K2595">
        <f>VLOOKUP(B2595, Products!$A$2:$F$100, 4, FALSE)</f>
        <v>6</v>
      </c>
    </row>
    <row r="2596" spans="1:11" x14ac:dyDescent="0.3">
      <c r="A2596">
        <v>908</v>
      </c>
      <c r="B2596">
        <v>2</v>
      </c>
      <c r="C2596">
        <v>94</v>
      </c>
      <c r="D2596" t="str">
        <f>VLOOKUP(B2596, Products!$A$2:$C$100, 2, FALSE)</f>
        <v>Ritchey Timberwolf Frameset - 2016</v>
      </c>
      <c r="E2596">
        <v>1</v>
      </c>
      <c r="F2596">
        <v>249.99</v>
      </c>
      <c r="G2596">
        <v>0.1</v>
      </c>
      <c r="H2596">
        <v>24.999000000000002</v>
      </c>
      <c r="I2596">
        <f>order_items[[#This Row],[list_price]]-order_items[[#This Row],[Discounted_price]]</f>
        <v>224.99100000000001</v>
      </c>
      <c r="J2596">
        <f>VLOOKUP(B2596, Products!$A$2:$E$100, 3, FALSE)</f>
        <v>5</v>
      </c>
      <c r="K2596">
        <f>VLOOKUP(B2596, Products!$A$2:$F$100, 4, FALSE)</f>
        <v>6</v>
      </c>
    </row>
    <row r="2597" spans="1:11" x14ac:dyDescent="0.3">
      <c r="A2597">
        <v>908</v>
      </c>
      <c r="B2597">
        <v>3</v>
      </c>
      <c r="C2597">
        <v>102</v>
      </c>
      <c r="D2597" t="str">
        <f>VLOOKUP(B2597, Products!$A$2:$C$100, 2, FALSE)</f>
        <v>Surly Wednesday Frameset - 2016</v>
      </c>
      <c r="E2597">
        <v>2</v>
      </c>
      <c r="F2597">
        <v>489.99</v>
      </c>
      <c r="G2597">
        <v>0.1</v>
      </c>
      <c r="H2597">
        <v>48.999000000000002</v>
      </c>
      <c r="I2597">
        <f>order_items[[#This Row],[list_price]]-order_items[[#This Row],[Discounted_price]]</f>
        <v>440.99099999999999</v>
      </c>
      <c r="J2597">
        <f>VLOOKUP(B2597, Products!$A$2:$E$100, 3, FALSE)</f>
        <v>8</v>
      </c>
      <c r="K2597">
        <f>VLOOKUP(B2597, Products!$A$2:$F$100, 4, FALSE)</f>
        <v>6</v>
      </c>
    </row>
    <row r="2598" spans="1:11" x14ac:dyDescent="0.3">
      <c r="A2598">
        <v>909</v>
      </c>
      <c r="B2598">
        <v>1</v>
      </c>
      <c r="C2598">
        <v>5</v>
      </c>
      <c r="D2598" t="str">
        <f>VLOOKUP(B2598, Products!$A$2:$C$100, 2, FALSE)</f>
        <v>Trek 820 - 2016</v>
      </c>
      <c r="E2598">
        <v>1</v>
      </c>
      <c r="F2598">
        <v>1320.99</v>
      </c>
      <c r="G2598">
        <v>0.2</v>
      </c>
      <c r="H2598">
        <v>264.19800000000004</v>
      </c>
      <c r="I2598">
        <f>order_items[[#This Row],[list_price]]-order_items[[#This Row],[Discounted_price]]</f>
        <v>1056.7919999999999</v>
      </c>
      <c r="J2598">
        <f>VLOOKUP(B2598, Products!$A$2:$E$100, 3, FALSE)</f>
        <v>9</v>
      </c>
      <c r="K2598">
        <f>VLOOKUP(B2598, Products!$A$2:$F$100, 4, FALSE)</f>
        <v>6</v>
      </c>
    </row>
    <row r="2599" spans="1:11" x14ac:dyDescent="0.3">
      <c r="A2599">
        <v>910</v>
      </c>
      <c r="B2599">
        <v>1</v>
      </c>
      <c r="C2599">
        <v>23</v>
      </c>
      <c r="D2599" t="str">
        <f>VLOOKUP(B2599, Products!$A$2:$C$100, 2, FALSE)</f>
        <v>Trek 820 - 2016</v>
      </c>
      <c r="E2599">
        <v>1</v>
      </c>
      <c r="F2599">
        <v>299.99</v>
      </c>
      <c r="G2599">
        <v>0.1</v>
      </c>
      <c r="H2599">
        <v>29.999000000000002</v>
      </c>
      <c r="I2599">
        <f>order_items[[#This Row],[list_price]]-order_items[[#This Row],[Discounted_price]]</f>
        <v>269.99099999999999</v>
      </c>
      <c r="J2599">
        <f>VLOOKUP(B2599, Products!$A$2:$E$100, 3, FALSE)</f>
        <v>9</v>
      </c>
      <c r="K2599">
        <f>VLOOKUP(B2599, Products!$A$2:$F$100, 4, FALSE)</f>
        <v>6</v>
      </c>
    </row>
    <row r="2600" spans="1:11" x14ac:dyDescent="0.3">
      <c r="A2600">
        <v>911</v>
      </c>
      <c r="B2600">
        <v>1</v>
      </c>
      <c r="C2600">
        <v>66</v>
      </c>
      <c r="D2600" t="str">
        <f>VLOOKUP(B2600, Products!$A$2:$C$100, 2, FALSE)</f>
        <v>Trek 820 - 2016</v>
      </c>
      <c r="E2600">
        <v>2</v>
      </c>
      <c r="F2600">
        <v>250.99</v>
      </c>
      <c r="G2600">
        <v>0.05</v>
      </c>
      <c r="H2600">
        <v>12.549500000000002</v>
      </c>
      <c r="I2600">
        <f>order_items[[#This Row],[list_price]]-order_items[[#This Row],[Discounted_price]]</f>
        <v>238.44050000000001</v>
      </c>
      <c r="J2600">
        <f>VLOOKUP(B2600, Products!$A$2:$E$100, 3, FALSE)</f>
        <v>9</v>
      </c>
      <c r="K2600">
        <f>VLOOKUP(B2600, Products!$A$2:$F$100, 4, FALSE)</f>
        <v>6</v>
      </c>
    </row>
    <row r="2601" spans="1:11" x14ac:dyDescent="0.3">
      <c r="A2601">
        <v>911</v>
      </c>
      <c r="B2601">
        <v>2</v>
      </c>
      <c r="C2601">
        <v>106</v>
      </c>
      <c r="D2601" t="str">
        <f>VLOOKUP(B2601, Products!$A$2:$C$100, 2, FALSE)</f>
        <v>Ritchey Timberwolf Frameset - 2016</v>
      </c>
      <c r="E2601">
        <v>1</v>
      </c>
      <c r="F2601">
        <v>449.99</v>
      </c>
      <c r="G2601">
        <v>0.05</v>
      </c>
      <c r="H2601">
        <v>22.499500000000001</v>
      </c>
      <c r="I2601">
        <f>order_items[[#This Row],[list_price]]-order_items[[#This Row],[Discounted_price]]</f>
        <v>427.4905</v>
      </c>
      <c r="J2601">
        <f>VLOOKUP(B2601, Products!$A$2:$E$100, 3, FALSE)</f>
        <v>5</v>
      </c>
      <c r="K2601">
        <f>VLOOKUP(B2601, Products!$A$2:$F$100, 4, FALSE)</f>
        <v>6</v>
      </c>
    </row>
    <row r="2602" spans="1:11" x14ac:dyDescent="0.3">
      <c r="A2602">
        <v>911</v>
      </c>
      <c r="B2602">
        <v>3</v>
      </c>
      <c r="C2602">
        <v>91</v>
      </c>
      <c r="D2602" t="str">
        <f>VLOOKUP(B2602, Products!$A$2:$C$100, 2, FALSE)</f>
        <v>Surly Wednesday Frameset - 2016</v>
      </c>
      <c r="E2602">
        <v>2</v>
      </c>
      <c r="F2602">
        <v>349.99</v>
      </c>
      <c r="G2602">
        <v>0.05</v>
      </c>
      <c r="H2602">
        <v>17.499500000000001</v>
      </c>
      <c r="I2602">
        <f>order_items[[#This Row],[list_price]]-order_items[[#This Row],[Discounted_price]]</f>
        <v>332.4905</v>
      </c>
      <c r="J2602">
        <f>VLOOKUP(B2602, Products!$A$2:$E$100, 3, FALSE)</f>
        <v>8</v>
      </c>
      <c r="K2602">
        <f>VLOOKUP(B2602, Products!$A$2:$F$100, 4, FALSE)</f>
        <v>6</v>
      </c>
    </row>
    <row r="2603" spans="1:11" x14ac:dyDescent="0.3">
      <c r="A2603">
        <v>911</v>
      </c>
      <c r="B2603">
        <v>4</v>
      </c>
      <c r="C2603">
        <v>49</v>
      </c>
      <c r="D2603" t="str">
        <f>VLOOKUP(B2603, Products!$A$2:$C$100, 2, FALSE)</f>
        <v>Trek Fuel EX 8 29 - 2016</v>
      </c>
      <c r="E2603">
        <v>1</v>
      </c>
      <c r="F2603">
        <v>3499.99</v>
      </c>
      <c r="G2603">
        <v>0.2</v>
      </c>
      <c r="H2603">
        <v>699.99800000000005</v>
      </c>
      <c r="I2603">
        <f>order_items[[#This Row],[list_price]]-order_items[[#This Row],[Discounted_price]]</f>
        <v>2799.9919999999997</v>
      </c>
      <c r="J2603">
        <f>VLOOKUP(B2603, Products!$A$2:$E$100, 3, FALSE)</f>
        <v>9</v>
      </c>
      <c r="K2603">
        <f>VLOOKUP(B2603, Products!$A$2:$F$100, 4, FALSE)</f>
        <v>6</v>
      </c>
    </row>
    <row r="2604" spans="1:11" x14ac:dyDescent="0.3">
      <c r="A2604">
        <v>912</v>
      </c>
      <c r="B2604">
        <v>1</v>
      </c>
      <c r="C2604">
        <v>22</v>
      </c>
      <c r="D2604" t="str">
        <f>VLOOKUP(B2604, Products!$A$2:$C$100, 2, FALSE)</f>
        <v>Trek 820 - 2016</v>
      </c>
      <c r="E2604">
        <v>2</v>
      </c>
      <c r="F2604">
        <v>269.99</v>
      </c>
      <c r="G2604">
        <v>0.2</v>
      </c>
      <c r="H2604">
        <v>53.998000000000005</v>
      </c>
      <c r="I2604">
        <f>order_items[[#This Row],[list_price]]-order_items[[#This Row],[Discounted_price]]</f>
        <v>215.99200000000002</v>
      </c>
      <c r="J2604">
        <f>VLOOKUP(B2604, Products!$A$2:$E$100, 3, FALSE)</f>
        <v>9</v>
      </c>
      <c r="K2604">
        <f>VLOOKUP(B2604, Products!$A$2:$F$100, 4, FALSE)</f>
        <v>6</v>
      </c>
    </row>
    <row r="2605" spans="1:11" x14ac:dyDescent="0.3">
      <c r="A2605">
        <v>912</v>
      </c>
      <c r="B2605">
        <v>2</v>
      </c>
      <c r="C2605">
        <v>71</v>
      </c>
      <c r="D2605" t="str">
        <f>VLOOKUP(B2605, Products!$A$2:$C$100, 2, FALSE)</f>
        <v>Ritchey Timberwolf Frameset - 2016</v>
      </c>
      <c r="E2605">
        <v>2</v>
      </c>
      <c r="F2605">
        <v>416.99</v>
      </c>
      <c r="G2605">
        <v>0.05</v>
      </c>
      <c r="H2605">
        <v>20.849500000000003</v>
      </c>
      <c r="I2605">
        <f>order_items[[#This Row],[list_price]]-order_items[[#This Row],[Discounted_price]]</f>
        <v>396.14050000000003</v>
      </c>
      <c r="J2605">
        <f>VLOOKUP(B2605, Products!$A$2:$E$100, 3, FALSE)</f>
        <v>5</v>
      </c>
      <c r="K2605">
        <f>VLOOKUP(B2605, Products!$A$2:$F$100, 4, FALSE)</f>
        <v>6</v>
      </c>
    </row>
    <row r="2606" spans="1:11" x14ac:dyDescent="0.3">
      <c r="A2606">
        <v>912</v>
      </c>
      <c r="B2606">
        <v>3</v>
      </c>
      <c r="C2606">
        <v>101</v>
      </c>
      <c r="D2606" t="str">
        <f>VLOOKUP(B2606, Products!$A$2:$C$100, 2, FALSE)</f>
        <v>Surly Wednesday Frameset - 2016</v>
      </c>
      <c r="E2606">
        <v>1</v>
      </c>
      <c r="F2606">
        <v>339.99</v>
      </c>
      <c r="G2606">
        <v>0.05</v>
      </c>
      <c r="H2606">
        <v>16.999500000000001</v>
      </c>
      <c r="I2606">
        <f>order_items[[#This Row],[list_price]]-order_items[[#This Row],[Discounted_price]]</f>
        <v>322.9905</v>
      </c>
      <c r="J2606">
        <f>VLOOKUP(B2606, Products!$A$2:$E$100, 3, FALSE)</f>
        <v>8</v>
      </c>
      <c r="K2606">
        <f>VLOOKUP(B2606, Products!$A$2:$F$100, 4, FALSE)</f>
        <v>6</v>
      </c>
    </row>
    <row r="2607" spans="1:11" x14ac:dyDescent="0.3">
      <c r="A2607">
        <v>912</v>
      </c>
      <c r="B2607">
        <v>4</v>
      </c>
      <c r="C2607">
        <v>2</v>
      </c>
      <c r="D2607" t="str">
        <f>VLOOKUP(B2607, Products!$A$2:$C$100, 2, FALSE)</f>
        <v>Trek Fuel EX 8 29 - 2016</v>
      </c>
      <c r="E2607">
        <v>2</v>
      </c>
      <c r="F2607">
        <v>749.99</v>
      </c>
      <c r="G2607">
        <v>0.2</v>
      </c>
      <c r="H2607">
        <v>149.99800000000002</v>
      </c>
      <c r="I2607">
        <f>order_items[[#This Row],[list_price]]-order_items[[#This Row],[Discounted_price]]</f>
        <v>599.99199999999996</v>
      </c>
      <c r="J2607">
        <f>VLOOKUP(B2607, Products!$A$2:$E$100, 3, FALSE)</f>
        <v>9</v>
      </c>
      <c r="K2607">
        <f>VLOOKUP(B2607, Products!$A$2:$F$100, 4, FALSE)</f>
        <v>6</v>
      </c>
    </row>
    <row r="2608" spans="1:11" x14ac:dyDescent="0.3">
      <c r="A2608">
        <v>913</v>
      </c>
      <c r="B2608">
        <v>1</v>
      </c>
      <c r="C2608">
        <v>90</v>
      </c>
      <c r="D2608" t="str">
        <f>VLOOKUP(B2608, Products!$A$2:$C$100, 2, FALSE)</f>
        <v>Trek 820 - 2016</v>
      </c>
      <c r="E2608">
        <v>2</v>
      </c>
      <c r="F2608">
        <v>209.99</v>
      </c>
      <c r="G2608">
        <v>0.1</v>
      </c>
      <c r="H2608">
        <v>20.999000000000002</v>
      </c>
      <c r="I2608">
        <f>order_items[[#This Row],[list_price]]-order_items[[#This Row],[Discounted_price]]</f>
        <v>188.99100000000001</v>
      </c>
      <c r="J2608">
        <f>VLOOKUP(B2608, Products!$A$2:$E$100, 3, FALSE)</f>
        <v>9</v>
      </c>
      <c r="K2608">
        <f>VLOOKUP(B2608, Products!$A$2:$F$100, 4, FALSE)</f>
        <v>6</v>
      </c>
    </row>
    <row r="2609" spans="1:11" x14ac:dyDescent="0.3">
      <c r="A2609">
        <v>913</v>
      </c>
      <c r="B2609">
        <v>2</v>
      </c>
      <c r="C2609">
        <v>24</v>
      </c>
      <c r="D2609" t="str">
        <f>VLOOKUP(B2609, Products!$A$2:$C$100, 2, FALSE)</f>
        <v>Ritchey Timberwolf Frameset - 2016</v>
      </c>
      <c r="E2609">
        <v>2</v>
      </c>
      <c r="F2609">
        <v>549.99</v>
      </c>
      <c r="G2609">
        <v>0.05</v>
      </c>
      <c r="H2609">
        <v>27.499500000000001</v>
      </c>
      <c r="I2609">
        <f>order_items[[#This Row],[list_price]]-order_items[[#This Row],[Discounted_price]]</f>
        <v>522.4905</v>
      </c>
      <c r="J2609">
        <f>VLOOKUP(B2609, Products!$A$2:$E$100, 3, FALSE)</f>
        <v>5</v>
      </c>
      <c r="K2609">
        <f>VLOOKUP(B2609, Products!$A$2:$F$100, 4, FALSE)</f>
        <v>6</v>
      </c>
    </row>
    <row r="2610" spans="1:11" x14ac:dyDescent="0.3">
      <c r="A2610">
        <v>914</v>
      </c>
      <c r="B2610">
        <v>1</v>
      </c>
      <c r="C2610">
        <v>38</v>
      </c>
      <c r="D2610" t="str">
        <f>VLOOKUP(B2610, Products!$A$2:$C$100, 2, FALSE)</f>
        <v>Trek 820 - 2016</v>
      </c>
      <c r="E2610">
        <v>1</v>
      </c>
      <c r="F2610">
        <v>549.99</v>
      </c>
      <c r="G2610">
        <v>7.0000000000000007E-2</v>
      </c>
      <c r="H2610">
        <v>38.499300000000005</v>
      </c>
      <c r="I2610">
        <f>order_items[[#This Row],[list_price]]-order_items[[#This Row],[Discounted_price]]</f>
        <v>511.4907</v>
      </c>
      <c r="J2610">
        <f>VLOOKUP(B2610, Products!$A$2:$E$100, 3, FALSE)</f>
        <v>9</v>
      </c>
      <c r="K2610">
        <f>VLOOKUP(B2610, Products!$A$2:$F$100, 4, FALSE)</f>
        <v>6</v>
      </c>
    </row>
    <row r="2611" spans="1:11" x14ac:dyDescent="0.3">
      <c r="A2611">
        <v>914</v>
      </c>
      <c r="B2611">
        <v>2</v>
      </c>
      <c r="C2611">
        <v>20</v>
      </c>
      <c r="D2611" t="str">
        <f>VLOOKUP(B2611, Products!$A$2:$C$100, 2, FALSE)</f>
        <v>Ritchey Timberwolf Frameset - 2016</v>
      </c>
      <c r="E2611">
        <v>2</v>
      </c>
      <c r="F2611">
        <v>599.99</v>
      </c>
      <c r="G2611">
        <v>0.2</v>
      </c>
      <c r="H2611">
        <v>119.998</v>
      </c>
      <c r="I2611">
        <f>order_items[[#This Row],[list_price]]-order_items[[#This Row],[Discounted_price]]</f>
        <v>479.99200000000002</v>
      </c>
      <c r="J2611">
        <f>VLOOKUP(B2611, Products!$A$2:$E$100, 3, FALSE)</f>
        <v>5</v>
      </c>
      <c r="K2611">
        <f>VLOOKUP(B2611, Products!$A$2:$F$100, 4, FALSE)</f>
        <v>6</v>
      </c>
    </row>
    <row r="2612" spans="1:11" x14ac:dyDescent="0.3">
      <c r="A2612">
        <v>914</v>
      </c>
      <c r="B2612">
        <v>3</v>
      </c>
      <c r="C2612">
        <v>106</v>
      </c>
      <c r="D2612" t="str">
        <f>VLOOKUP(B2612, Products!$A$2:$C$100, 2, FALSE)</f>
        <v>Surly Wednesday Frameset - 2016</v>
      </c>
      <c r="E2612">
        <v>1</v>
      </c>
      <c r="F2612">
        <v>449.99</v>
      </c>
      <c r="G2612">
        <v>0.05</v>
      </c>
      <c r="H2612">
        <v>22.499500000000001</v>
      </c>
      <c r="I2612">
        <f>order_items[[#This Row],[list_price]]-order_items[[#This Row],[Discounted_price]]</f>
        <v>427.4905</v>
      </c>
      <c r="J2612">
        <f>VLOOKUP(B2612, Products!$A$2:$E$100, 3, FALSE)</f>
        <v>8</v>
      </c>
      <c r="K2612">
        <f>VLOOKUP(B2612, Products!$A$2:$F$100, 4, FALSE)</f>
        <v>6</v>
      </c>
    </row>
    <row r="2613" spans="1:11" x14ac:dyDescent="0.3">
      <c r="A2613">
        <v>914</v>
      </c>
      <c r="B2613">
        <v>4</v>
      </c>
      <c r="C2613">
        <v>46</v>
      </c>
      <c r="D2613" t="str">
        <f>VLOOKUP(B2613, Products!$A$2:$C$100, 2, FALSE)</f>
        <v>Trek Fuel EX 8 29 - 2016</v>
      </c>
      <c r="E2613">
        <v>1</v>
      </c>
      <c r="F2613">
        <v>1409.99</v>
      </c>
      <c r="G2613">
        <v>0.1</v>
      </c>
      <c r="H2613">
        <v>140.999</v>
      </c>
      <c r="I2613">
        <f>order_items[[#This Row],[list_price]]-order_items[[#This Row],[Discounted_price]]</f>
        <v>1268.991</v>
      </c>
      <c r="J2613">
        <f>VLOOKUP(B2613, Products!$A$2:$E$100, 3, FALSE)</f>
        <v>9</v>
      </c>
      <c r="K2613">
        <f>VLOOKUP(B2613, Products!$A$2:$F$100, 4, FALSE)</f>
        <v>6</v>
      </c>
    </row>
    <row r="2614" spans="1:11" x14ac:dyDescent="0.3">
      <c r="A2614">
        <v>915</v>
      </c>
      <c r="B2614">
        <v>1</v>
      </c>
      <c r="C2614">
        <v>64</v>
      </c>
      <c r="D2614" t="str">
        <f>VLOOKUP(B2614, Products!$A$2:$C$100, 2, FALSE)</f>
        <v>Trek 820 - 2016</v>
      </c>
      <c r="E2614">
        <v>1</v>
      </c>
      <c r="F2614">
        <v>489.99</v>
      </c>
      <c r="G2614">
        <v>0.05</v>
      </c>
      <c r="H2614">
        <v>24.499500000000001</v>
      </c>
      <c r="I2614">
        <f>order_items[[#This Row],[list_price]]-order_items[[#This Row],[Discounted_price]]</f>
        <v>465.4905</v>
      </c>
      <c r="J2614">
        <f>VLOOKUP(B2614, Products!$A$2:$E$100, 3, FALSE)</f>
        <v>9</v>
      </c>
      <c r="K2614">
        <f>VLOOKUP(B2614, Products!$A$2:$F$100, 4, FALSE)</f>
        <v>6</v>
      </c>
    </row>
    <row r="2615" spans="1:11" x14ac:dyDescent="0.3">
      <c r="A2615">
        <v>915</v>
      </c>
      <c r="B2615">
        <v>2</v>
      </c>
      <c r="C2615">
        <v>48</v>
      </c>
      <c r="D2615" t="str">
        <f>VLOOKUP(B2615, Products!$A$2:$C$100, 2, FALSE)</f>
        <v>Ritchey Timberwolf Frameset - 2016</v>
      </c>
      <c r="E2615">
        <v>1</v>
      </c>
      <c r="F2615">
        <v>1499.99</v>
      </c>
      <c r="G2615">
        <v>7.0000000000000007E-2</v>
      </c>
      <c r="H2615">
        <v>104.99930000000001</v>
      </c>
      <c r="I2615">
        <f>order_items[[#This Row],[list_price]]-order_items[[#This Row],[Discounted_price]]</f>
        <v>1394.9907000000001</v>
      </c>
      <c r="J2615">
        <f>VLOOKUP(B2615, Products!$A$2:$E$100, 3, FALSE)</f>
        <v>5</v>
      </c>
      <c r="K2615">
        <f>VLOOKUP(B2615, Products!$A$2:$F$100, 4, FALSE)</f>
        <v>6</v>
      </c>
    </row>
    <row r="2616" spans="1:11" x14ac:dyDescent="0.3">
      <c r="A2616">
        <v>915</v>
      </c>
      <c r="B2616">
        <v>3</v>
      </c>
      <c r="C2616">
        <v>42</v>
      </c>
      <c r="D2616" t="str">
        <f>VLOOKUP(B2616, Products!$A$2:$C$100, 2, FALSE)</f>
        <v>Surly Wednesday Frameset - 2016</v>
      </c>
      <c r="E2616">
        <v>1</v>
      </c>
      <c r="F2616">
        <v>2299.9899999999998</v>
      </c>
      <c r="G2616">
        <v>0.2</v>
      </c>
      <c r="H2616">
        <v>459.99799999999999</v>
      </c>
      <c r="I2616">
        <f>order_items[[#This Row],[list_price]]-order_items[[#This Row],[Discounted_price]]</f>
        <v>1839.9919999999997</v>
      </c>
      <c r="J2616">
        <f>VLOOKUP(B2616, Products!$A$2:$E$100, 3, FALSE)</f>
        <v>8</v>
      </c>
      <c r="K2616">
        <f>VLOOKUP(B2616, Products!$A$2:$F$100, 4, FALSE)</f>
        <v>6</v>
      </c>
    </row>
    <row r="2617" spans="1:11" x14ac:dyDescent="0.3">
      <c r="A2617">
        <v>915</v>
      </c>
      <c r="B2617">
        <v>4</v>
      </c>
      <c r="C2617">
        <v>2</v>
      </c>
      <c r="D2617" t="str">
        <f>VLOOKUP(B2617, Products!$A$2:$C$100, 2, FALSE)</f>
        <v>Trek Fuel EX 8 29 - 2016</v>
      </c>
      <c r="E2617">
        <v>1</v>
      </c>
      <c r="F2617">
        <v>749.99</v>
      </c>
      <c r="G2617">
        <v>7.0000000000000007E-2</v>
      </c>
      <c r="H2617">
        <v>52.499300000000005</v>
      </c>
      <c r="I2617">
        <f>order_items[[#This Row],[list_price]]-order_items[[#This Row],[Discounted_price]]</f>
        <v>697.49070000000006</v>
      </c>
      <c r="J2617">
        <f>VLOOKUP(B2617, Products!$A$2:$E$100, 3, FALSE)</f>
        <v>9</v>
      </c>
      <c r="K2617">
        <f>VLOOKUP(B2617, Products!$A$2:$F$100, 4, FALSE)</f>
        <v>6</v>
      </c>
    </row>
    <row r="2618" spans="1:11" x14ac:dyDescent="0.3">
      <c r="A2618">
        <v>916</v>
      </c>
      <c r="B2618">
        <v>1</v>
      </c>
      <c r="C2618">
        <v>92</v>
      </c>
      <c r="D2618" t="str">
        <f>VLOOKUP(B2618, Products!$A$2:$C$100, 2, FALSE)</f>
        <v>Trek 820 - 2016</v>
      </c>
      <c r="E2618">
        <v>1</v>
      </c>
      <c r="F2618">
        <v>209.99</v>
      </c>
      <c r="G2618">
        <v>0.2</v>
      </c>
      <c r="H2618">
        <v>41.998000000000005</v>
      </c>
      <c r="I2618">
        <f>order_items[[#This Row],[list_price]]-order_items[[#This Row],[Discounted_price]]</f>
        <v>167.99200000000002</v>
      </c>
      <c r="J2618">
        <f>VLOOKUP(B2618, Products!$A$2:$E$100, 3, FALSE)</f>
        <v>9</v>
      </c>
      <c r="K2618">
        <f>VLOOKUP(B2618, Products!$A$2:$F$100, 4, FALSE)</f>
        <v>6</v>
      </c>
    </row>
    <row r="2619" spans="1:11" x14ac:dyDescent="0.3">
      <c r="A2619">
        <v>917</v>
      </c>
      <c r="B2619">
        <v>1</v>
      </c>
      <c r="C2619">
        <v>41</v>
      </c>
      <c r="D2619" t="str">
        <f>VLOOKUP(B2619, Products!$A$2:$C$100, 2, FALSE)</f>
        <v>Trek 820 - 2016</v>
      </c>
      <c r="E2619">
        <v>1</v>
      </c>
      <c r="F2619">
        <v>1469.99</v>
      </c>
      <c r="G2619">
        <v>7.0000000000000007E-2</v>
      </c>
      <c r="H2619">
        <v>102.89930000000001</v>
      </c>
      <c r="I2619">
        <f>order_items[[#This Row],[list_price]]-order_items[[#This Row],[Discounted_price]]</f>
        <v>1367.0907</v>
      </c>
      <c r="J2619">
        <f>VLOOKUP(B2619, Products!$A$2:$E$100, 3, FALSE)</f>
        <v>9</v>
      </c>
      <c r="K2619">
        <f>VLOOKUP(B2619, Products!$A$2:$F$100, 4, FALSE)</f>
        <v>6</v>
      </c>
    </row>
    <row r="2620" spans="1:11" x14ac:dyDescent="0.3">
      <c r="A2620">
        <v>918</v>
      </c>
      <c r="B2620">
        <v>1</v>
      </c>
      <c r="C2620">
        <v>91</v>
      </c>
      <c r="D2620" t="str">
        <f>VLOOKUP(B2620, Products!$A$2:$C$100, 2, FALSE)</f>
        <v>Trek 820 - 2016</v>
      </c>
      <c r="E2620">
        <v>1</v>
      </c>
      <c r="F2620">
        <v>349.99</v>
      </c>
      <c r="G2620">
        <v>0.2</v>
      </c>
      <c r="H2620">
        <v>69.998000000000005</v>
      </c>
      <c r="I2620">
        <f>order_items[[#This Row],[list_price]]-order_items[[#This Row],[Discounted_price]]</f>
        <v>279.99200000000002</v>
      </c>
      <c r="J2620">
        <f>VLOOKUP(B2620, Products!$A$2:$E$100, 3, FALSE)</f>
        <v>9</v>
      </c>
      <c r="K2620">
        <f>VLOOKUP(B2620, Products!$A$2:$F$100, 4, FALSE)</f>
        <v>6</v>
      </c>
    </row>
    <row r="2621" spans="1:11" x14ac:dyDescent="0.3">
      <c r="A2621">
        <v>918</v>
      </c>
      <c r="B2621">
        <v>2</v>
      </c>
      <c r="C2621">
        <v>31</v>
      </c>
      <c r="D2621" t="str">
        <f>VLOOKUP(B2621, Products!$A$2:$C$100, 2, FALSE)</f>
        <v>Ritchey Timberwolf Frameset - 2016</v>
      </c>
      <c r="E2621">
        <v>1</v>
      </c>
      <c r="F2621">
        <v>1632.99</v>
      </c>
      <c r="G2621">
        <v>0.1</v>
      </c>
      <c r="H2621">
        <v>163.29900000000001</v>
      </c>
      <c r="I2621">
        <f>order_items[[#This Row],[list_price]]-order_items[[#This Row],[Discounted_price]]</f>
        <v>1469.691</v>
      </c>
      <c r="J2621">
        <f>VLOOKUP(B2621, Products!$A$2:$E$100, 3, FALSE)</f>
        <v>5</v>
      </c>
      <c r="K2621">
        <f>VLOOKUP(B2621, Products!$A$2:$F$100, 4, FALSE)</f>
        <v>6</v>
      </c>
    </row>
    <row r="2622" spans="1:11" x14ac:dyDescent="0.3">
      <c r="A2622">
        <v>918</v>
      </c>
      <c r="B2622">
        <v>3</v>
      </c>
      <c r="C2622">
        <v>4</v>
      </c>
      <c r="D2622" t="str">
        <f>VLOOKUP(B2622, Products!$A$2:$C$100, 2, FALSE)</f>
        <v>Surly Wednesday Frameset - 2016</v>
      </c>
      <c r="E2622">
        <v>2</v>
      </c>
      <c r="F2622">
        <v>2899.99</v>
      </c>
      <c r="G2622">
        <v>7.0000000000000007E-2</v>
      </c>
      <c r="H2622">
        <v>202.99930000000001</v>
      </c>
      <c r="I2622">
        <f>order_items[[#This Row],[list_price]]-order_items[[#This Row],[Discounted_price]]</f>
        <v>2696.9906999999998</v>
      </c>
      <c r="J2622">
        <f>VLOOKUP(B2622, Products!$A$2:$E$100, 3, FALSE)</f>
        <v>8</v>
      </c>
      <c r="K2622">
        <f>VLOOKUP(B2622, Products!$A$2:$F$100, 4, FALSE)</f>
        <v>6</v>
      </c>
    </row>
    <row r="2623" spans="1:11" x14ac:dyDescent="0.3">
      <c r="A2623">
        <v>919</v>
      </c>
      <c r="B2623">
        <v>1</v>
      </c>
      <c r="C2623">
        <v>7</v>
      </c>
      <c r="D2623" t="str">
        <f>VLOOKUP(B2623, Products!$A$2:$C$100, 2, FALSE)</f>
        <v>Trek 820 - 2016</v>
      </c>
      <c r="E2623">
        <v>1</v>
      </c>
      <c r="F2623">
        <v>3999.99</v>
      </c>
      <c r="G2623">
        <v>7.0000000000000007E-2</v>
      </c>
      <c r="H2623">
        <v>279.99930000000001</v>
      </c>
      <c r="I2623">
        <f>order_items[[#This Row],[list_price]]-order_items[[#This Row],[Discounted_price]]</f>
        <v>3719.9906999999998</v>
      </c>
      <c r="J2623">
        <f>VLOOKUP(B2623, Products!$A$2:$E$100, 3, FALSE)</f>
        <v>9</v>
      </c>
      <c r="K2623">
        <f>VLOOKUP(B2623, Products!$A$2:$F$100, 4, FALSE)</f>
        <v>6</v>
      </c>
    </row>
    <row r="2624" spans="1:11" x14ac:dyDescent="0.3">
      <c r="A2624">
        <v>919</v>
      </c>
      <c r="B2624">
        <v>2</v>
      </c>
      <c r="C2624">
        <v>44</v>
      </c>
      <c r="D2624" t="str">
        <f>VLOOKUP(B2624, Products!$A$2:$C$100, 2, FALSE)</f>
        <v>Ritchey Timberwolf Frameset - 2016</v>
      </c>
      <c r="E2624">
        <v>1</v>
      </c>
      <c r="F2624">
        <v>539.99</v>
      </c>
      <c r="G2624">
        <v>0.1</v>
      </c>
      <c r="H2624">
        <v>53.999000000000002</v>
      </c>
      <c r="I2624">
        <f>order_items[[#This Row],[list_price]]-order_items[[#This Row],[Discounted_price]]</f>
        <v>485.99099999999999</v>
      </c>
      <c r="J2624">
        <f>VLOOKUP(B2624, Products!$A$2:$E$100, 3, FALSE)</f>
        <v>5</v>
      </c>
      <c r="K2624">
        <f>VLOOKUP(B2624, Products!$A$2:$F$100, 4, FALSE)</f>
        <v>6</v>
      </c>
    </row>
    <row r="2625" spans="1:11" x14ac:dyDescent="0.3">
      <c r="A2625">
        <v>920</v>
      </c>
      <c r="B2625">
        <v>1</v>
      </c>
      <c r="C2625">
        <v>76</v>
      </c>
      <c r="D2625" t="str">
        <f>VLOOKUP(B2625, Products!$A$2:$C$100, 2, FALSE)</f>
        <v>Trek 820 - 2016</v>
      </c>
      <c r="E2625">
        <v>1</v>
      </c>
      <c r="F2625">
        <v>299.99</v>
      </c>
      <c r="G2625">
        <v>0.05</v>
      </c>
      <c r="H2625">
        <v>14.999500000000001</v>
      </c>
      <c r="I2625">
        <f>order_items[[#This Row],[list_price]]-order_items[[#This Row],[Discounted_price]]</f>
        <v>284.9905</v>
      </c>
      <c r="J2625">
        <f>VLOOKUP(B2625, Products!$A$2:$E$100, 3, FALSE)</f>
        <v>9</v>
      </c>
      <c r="K2625">
        <f>VLOOKUP(B2625, Products!$A$2:$F$100, 4, FALSE)</f>
        <v>6</v>
      </c>
    </row>
    <row r="2626" spans="1:11" x14ac:dyDescent="0.3">
      <c r="A2626">
        <v>920</v>
      </c>
      <c r="B2626">
        <v>2</v>
      </c>
      <c r="C2626">
        <v>39</v>
      </c>
      <c r="D2626" t="str">
        <f>VLOOKUP(B2626, Products!$A$2:$C$100, 2, FALSE)</f>
        <v>Ritchey Timberwolf Frameset - 2016</v>
      </c>
      <c r="E2626">
        <v>2</v>
      </c>
      <c r="F2626">
        <v>1499.99</v>
      </c>
      <c r="G2626">
        <v>7.0000000000000007E-2</v>
      </c>
      <c r="H2626">
        <v>104.99930000000001</v>
      </c>
      <c r="I2626">
        <f>order_items[[#This Row],[list_price]]-order_items[[#This Row],[Discounted_price]]</f>
        <v>1394.9907000000001</v>
      </c>
      <c r="J2626">
        <f>VLOOKUP(B2626, Products!$A$2:$E$100, 3, FALSE)</f>
        <v>5</v>
      </c>
      <c r="K2626">
        <f>VLOOKUP(B2626, Products!$A$2:$F$100, 4, FALSE)</f>
        <v>6</v>
      </c>
    </row>
    <row r="2627" spans="1:11" x14ac:dyDescent="0.3">
      <c r="A2627">
        <v>920</v>
      </c>
      <c r="B2627">
        <v>3</v>
      </c>
      <c r="C2627">
        <v>78</v>
      </c>
      <c r="D2627" t="str">
        <f>VLOOKUP(B2627, Products!$A$2:$C$100, 2, FALSE)</f>
        <v>Surly Wednesday Frameset - 2016</v>
      </c>
      <c r="E2627">
        <v>1</v>
      </c>
      <c r="F2627">
        <v>647.99</v>
      </c>
      <c r="G2627">
        <v>0.05</v>
      </c>
      <c r="H2627">
        <v>32.399500000000003</v>
      </c>
      <c r="I2627">
        <f>order_items[[#This Row],[list_price]]-order_items[[#This Row],[Discounted_price]]</f>
        <v>615.59050000000002</v>
      </c>
      <c r="J2627">
        <f>VLOOKUP(B2627, Products!$A$2:$E$100, 3, FALSE)</f>
        <v>8</v>
      </c>
      <c r="K2627">
        <f>VLOOKUP(B2627, Products!$A$2:$F$100, 4, FALSE)</f>
        <v>6</v>
      </c>
    </row>
    <row r="2628" spans="1:11" x14ac:dyDescent="0.3">
      <c r="A2628">
        <v>920</v>
      </c>
      <c r="B2628">
        <v>4</v>
      </c>
      <c r="C2628">
        <v>80</v>
      </c>
      <c r="D2628" t="str">
        <f>VLOOKUP(B2628, Products!$A$2:$C$100, 2, FALSE)</f>
        <v>Trek Fuel EX 8 29 - 2016</v>
      </c>
      <c r="E2628">
        <v>2</v>
      </c>
      <c r="F2628">
        <v>761.99</v>
      </c>
      <c r="G2628">
        <v>7.0000000000000007E-2</v>
      </c>
      <c r="H2628">
        <v>53.339300000000009</v>
      </c>
      <c r="I2628">
        <f>order_items[[#This Row],[list_price]]-order_items[[#This Row],[Discounted_price]]</f>
        <v>708.65070000000003</v>
      </c>
      <c r="J2628">
        <f>VLOOKUP(B2628, Products!$A$2:$E$100, 3, FALSE)</f>
        <v>9</v>
      </c>
      <c r="K2628">
        <f>VLOOKUP(B2628, Products!$A$2:$F$100, 4, FALSE)</f>
        <v>6</v>
      </c>
    </row>
    <row r="2629" spans="1:11" x14ac:dyDescent="0.3">
      <c r="A2629">
        <v>921</v>
      </c>
      <c r="B2629">
        <v>1</v>
      </c>
      <c r="C2629">
        <v>77</v>
      </c>
      <c r="D2629" t="str">
        <f>VLOOKUP(B2629, Products!$A$2:$C$100, 2, FALSE)</f>
        <v>Trek 820 - 2016</v>
      </c>
      <c r="E2629">
        <v>1</v>
      </c>
      <c r="F2629">
        <v>799.99</v>
      </c>
      <c r="G2629">
        <v>0.2</v>
      </c>
      <c r="H2629">
        <v>159.99800000000002</v>
      </c>
      <c r="I2629">
        <f>order_items[[#This Row],[list_price]]-order_items[[#This Row],[Discounted_price]]</f>
        <v>639.99199999999996</v>
      </c>
      <c r="J2629">
        <f>VLOOKUP(B2629, Products!$A$2:$E$100, 3, FALSE)</f>
        <v>9</v>
      </c>
      <c r="K2629">
        <f>VLOOKUP(B2629, Products!$A$2:$F$100, 4, FALSE)</f>
        <v>6</v>
      </c>
    </row>
    <row r="2630" spans="1:11" x14ac:dyDescent="0.3">
      <c r="A2630">
        <v>921</v>
      </c>
      <c r="B2630">
        <v>2</v>
      </c>
      <c r="C2630">
        <v>75</v>
      </c>
      <c r="D2630" t="str">
        <f>VLOOKUP(B2630, Products!$A$2:$C$100, 2, FALSE)</f>
        <v>Ritchey Timberwolf Frameset - 2016</v>
      </c>
      <c r="E2630">
        <v>2</v>
      </c>
      <c r="F2630">
        <v>599.99</v>
      </c>
      <c r="G2630">
        <v>7.0000000000000007E-2</v>
      </c>
      <c r="H2630">
        <v>41.999300000000005</v>
      </c>
      <c r="I2630">
        <f>order_items[[#This Row],[list_price]]-order_items[[#This Row],[Discounted_price]]</f>
        <v>557.99070000000006</v>
      </c>
      <c r="J2630">
        <f>VLOOKUP(B2630, Products!$A$2:$E$100, 3, FALSE)</f>
        <v>5</v>
      </c>
      <c r="K2630">
        <f>VLOOKUP(B2630, Products!$A$2:$F$100, 4, FALSE)</f>
        <v>6</v>
      </c>
    </row>
    <row r="2631" spans="1:11" x14ac:dyDescent="0.3">
      <c r="A2631">
        <v>921</v>
      </c>
      <c r="B2631">
        <v>3</v>
      </c>
      <c r="C2631">
        <v>48</v>
      </c>
      <c r="D2631" t="str">
        <f>VLOOKUP(B2631, Products!$A$2:$C$100, 2, FALSE)</f>
        <v>Surly Wednesday Frameset - 2016</v>
      </c>
      <c r="E2631">
        <v>1</v>
      </c>
      <c r="F2631">
        <v>1499.99</v>
      </c>
      <c r="G2631">
        <v>0.1</v>
      </c>
      <c r="H2631">
        <v>149.999</v>
      </c>
      <c r="I2631">
        <f>order_items[[#This Row],[list_price]]-order_items[[#This Row],[Discounted_price]]</f>
        <v>1349.991</v>
      </c>
      <c r="J2631">
        <f>VLOOKUP(B2631, Products!$A$2:$E$100, 3, FALSE)</f>
        <v>8</v>
      </c>
      <c r="K2631">
        <f>VLOOKUP(B2631, Products!$A$2:$F$100, 4, FALSE)</f>
        <v>6</v>
      </c>
    </row>
    <row r="2632" spans="1:11" x14ac:dyDescent="0.3">
      <c r="A2632">
        <v>922</v>
      </c>
      <c r="B2632">
        <v>1</v>
      </c>
      <c r="C2632">
        <v>68</v>
      </c>
      <c r="D2632" t="str">
        <f>VLOOKUP(B2632, Products!$A$2:$C$100, 2, FALSE)</f>
        <v>Trek 820 - 2016</v>
      </c>
      <c r="E2632">
        <v>1</v>
      </c>
      <c r="F2632">
        <v>449.99</v>
      </c>
      <c r="G2632">
        <v>0.2</v>
      </c>
      <c r="H2632">
        <v>89.998000000000005</v>
      </c>
      <c r="I2632">
        <f>order_items[[#This Row],[list_price]]-order_items[[#This Row],[Discounted_price]]</f>
        <v>359.99200000000002</v>
      </c>
      <c r="J2632">
        <f>VLOOKUP(B2632, Products!$A$2:$E$100, 3, FALSE)</f>
        <v>9</v>
      </c>
      <c r="K2632">
        <f>VLOOKUP(B2632, Products!$A$2:$F$100, 4, FALSE)</f>
        <v>6</v>
      </c>
    </row>
    <row r="2633" spans="1:11" x14ac:dyDescent="0.3">
      <c r="A2633">
        <v>922</v>
      </c>
      <c r="B2633">
        <v>2</v>
      </c>
      <c r="C2633">
        <v>73</v>
      </c>
      <c r="D2633" t="str">
        <f>VLOOKUP(B2633, Products!$A$2:$C$100, 2, FALSE)</f>
        <v>Ritchey Timberwolf Frameset - 2016</v>
      </c>
      <c r="E2633">
        <v>1</v>
      </c>
      <c r="F2633">
        <v>749.99</v>
      </c>
      <c r="G2633">
        <v>0.2</v>
      </c>
      <c r="H2633">
        <v>149.99800000000002</v>
      </c>
      <c r="I2633">
        <f>order_items[[#This Row],[list_price]]-order_items[[#This Row],[Discounted_price]]</f>
        <v>599.99199999999996</v>
      </c>
      <c r="J2633">
        <f>VLOOKUP(B2633, Products!$A$2:$E$100, 3, FALSE)</f>
        <v>5</v>
      </c>
      <c r="K2633">
        <f>VLOOKUP(B2633, Products!$A$2:$F$100, 4, FALSE)</f>
        <v>6</v>
      </c>
    </row>
    <row r="2634" spans="1:11" x14ac:dyDescent="0.3">
      <c r="A2634">
        <v>922</v>
      </c>
      <c r="B2634">
        <v>3</v>
      </c>
      <c r="C2634">
        <v>86</v>
      </c>
      <c r="D2634" t="str">
        <f>VLOOKUP(B2634, Products!$A$2:$C$100, 2, FALSE)</f>
        <v>Surly Wednesday Frameset - 2016</v>
      </c>
      <c r="E2634">
        <v>1</v>
      </c>
      <c r="F2634">
        <v>149.99</v>
      </c>
      <c r="G2634">
        <v>0.1</v>
      </c>
      <c r="H2634">
        <v>14.999000000000002</v>
      </c>
      <c r="I2634">
        <f>order_items[[#This Row],[list_price]]-order_items[[#This Row],[Discounted_price]]</f>
        <v>134.99100000000001</v>
      </c>
      <c r="J2634">
        <f>VLOOKUP(B2634, Products!$A$2:$E$100, 3, FALSE)</f>
        <v>8</v>
      </c>
      <c r="K2634">
        <f>VLOOKUP(B2634, Products!$A$2:$F$100, 4, FALSE)</f>
        <v>6</v>
      </c>
    </row>
    <row r="2635" spans="1:11" x14ac:dyDescent="0.3">
      <c r="A2635">
        <v>923</v>
      </c>
      <c r="B2635">
        <v>1</v>
      </c>
      <c r="C2635">
        <v>74</v>
      </c>
      <c r="D2635" t="str">
        <f>VLOOKUP(B2635, Products!$A$2:$C$100, 2, FALSE)</f>
        <v>Trek 820 - 2016</v>
      </c>
      <c r="E2635">
        <v>2</v>
      </c>
      <c r="F2635">
        <v>439.99</v>
      </c>
      <c r="G2635">
        <v>0.05</v>
      </c>
      <c r="H2635">
        <v>21.999500000000001</v>
      </c>
      <c r="I2635">
        <f>order_items[[#This Row],[list_price]]-order_items[[#This Row],[Discounted_price]]</f>
        <v>417.9905</v>
      </c>
      <c r="J2635">
        <f>VLOOKUP(B2635, Products!$A$2:$E$100, 3, FALSE)</f>
        <v>9</v>
      </c>
      <c r="K2635">
        <f>VLOOKUP(B2635, Products!$A$2:$F$100, 4, FALSE)</f>
        <v>6</v>
      </c>
    </row>
    <row r="2636" spans="1:11" x14ac:dyDescent="0.3">
      <c r="A2636">
        <v>923</v>
      </c>
      <c r="B2636">
        <v>2</v>
      </c>
      <c r="C2636">
        <v>6</v>
      </c>
      <c r="D2636" t="str">
        <f>VLOOKUP(B2636, Products!$A$2:$C$100, 2, FALSE)</f>
        <v>Ritchey Timberwolf Frameset - 2016</v>
      </c>
      <c r="E2636">
        <v>1</v>
      </c>
      <c r="F2636">
        <v>469.99</v>
      </c>
      <c r="G2636">
        <v>0.1</v>
      </c>
      <c r="H2636">
        <v>46.999000000000002</v>
      </c>
      <c r="I2636">
        <f>order_items[[#This Row],[list_price]]-order_items[[#This Row],[Discounted_price]]</f>
        <v>422.99099999999999</v>
      </c>
      <c r="J2636">
        <f>VLOOKUP(B2636, Products!$A$2:$E$100, 3, FALSE)</f>
        <v>5</v>
      </c>
      <c r="K2636">
        <f>VLOOKUP(B2636, Products!$A$2:$F$100, 4, FALSE)</f>
        <v>6</v>
      </c>
    </row>
    <row r="2637" spans="1:11" x14ac:dyDescent="0.3">
      <c r="A2637">
        <v>924</v>
      </c>
      <c r="B2637">
        <v>1</v>
      </c>
      <c r="C2637">
        <v>97</v>
      </c>
      <c r="D2637" t="str">
        <f>VLOOKUP(B2637, Products!$A$2:$C$100, 2, FALSE)</f>
        <v>Trek 820 - 2016</v>
      </c>
      <c r="E2637">
        <v>2</v>
      </c>
      <c r="F2637">
        <v>349.99</v>
      </c>
      <c r="G2637">
        <v>0.2</v>
      </c>
      <c r="H2637">
        <v>69.998000000000005</v>
      </c>
      <c r="I2637">
        <f>order_items[[#This Row],[list_price]]-order_items[[#This Row],[Discounted_price]]</f>
        <v>279.99200000000002</v>
      </c>
      <c r="J2637">
        <f>VLOOKUP(B2637, Products!$A$2:$E$100, 3, FALSE)</f>
        <v>9</v>
      </c>
      <c r="K2637">
        <f>VLOOKUP(B2637, Products!$A$2:$F$100, 4, FALSE)</f>
        <v>6</v>
      </c>
    </row>
    <row r="2638" spans="1:11" x14ac:dyDescent="0.3">
      <c r="A2638">
        <v>924</v>
      </c>
      <c r="B2638">
        <v>2</v>
      </c>
      <c r="C2638">
        <v>36</v>
      </c>
      <c r="D2638" t="str">
        <f>VLOOKUP(B2638, Products!$A$2:$C$100, 2, FALSE)</f>
        <v>Ritchey Timberwolf Frameset - 2016</v>
      </c>
      <c r="E2638">
        <v>1</v>
      </c>
      <c r="F2638">
        <v>832.99</v>
      </c>
      <c r="G2638">
        <v>0.2</v>
      </c>
      <c r="H2638">
        <v>166.59800000000001</v>
      </c>
      <c r="I2638">
        <f>order_items[[#This Row],[list_price]]-order_items[[#This Row],[Discounted_price]]</f>
        <v>666.39200000000005</v>
      </c>
      <c r="J2638">
        <f>VLOOKUP(B2638, Products!$A$2:$E$100, 3, FALSE)</f>
        <v>5</v>
      </c>
      <c r="K2638">
        <f>VLOOKUP(B2638, Products!$A$2:$F$100, 4, FALSE)</f>
        <v>6</v>
      </c>
    </row>
    <row r="2639" spans="1:11" x14ac:dyDescent="0.3">
      <c r="A2639">
        <v>925</v>
      </c>
      <c r="B2639">
        <v>1</v>
      </c>
      <c r="C2639">
        <v>97</v>
      </c>
      <c r="D2639" t="str">
        <f>VLOOKUP(B2639, Products!$A$2:$C$100, 2, FALSE)</f>
        <v>Trek 820 - 2016</v>
      </c>
      <c r="E2639">
        <v>1</v>
      </c>
      <c r="F2639">
        <v>349.99</v>
      </c>
      <c r="G2639">
        <v>7.0000000000000007E-2</v>
      </c>
      <c r="H2639">
        <v>24.499300000000002</v>
      </c>
      <c r="I2639">
        <f>order_items[[#This Row],[list_price]]-order_items[[#This Row],[Discounted_price]]</f>
        <v>325.4907</v>
      </c>
      <c r="J2639">
        <f>VLOOKUP(B2639, Products!$A$2:$E$100, 3, FALSE)</f>
        <v>9</v>
      </c>
      <c r="K2639">
        <f>VLOOKUP(B2639, Products!$A$2:$F$100, 4, FALSE)</f>
        <v>6</v>
      </c>
    </row>
    <row r="2640" spans="1:11" x14ac:dyDescent="0.3">
      <c r="A2640">
        <v>925</v>
      </c>
      <c r="B2640">
        <v>2</v>
      </c>
      <c r="C2640">
        <v>62</v>
      </c>
      <c r="D2640" t="str">
        <f>VLOOKUP(B2640, Products!$A$2:$C$100, 2, FALSE)</f>
        <v>Ritchey Timberwolf Frameset - 2016</v>
      </c>
      <c r="E2640">
        <v>2</v>
      </c>
      <c r="F2640">
        <v>3499.99</v>
      </c>
      <c r="G2640">
        <v>0.2</v>
      </c>
      <c r="H2640">
        <v>699.99800000000005</v>
      </c>
      <c r="I2640">
        <f>order_items[[#This Row],[list_price]]-order_items[[#This Row],[Discounted_price]]</f>
        <v>2799.9919999999997</v>
      </c>
      <c r="J2640">
        <f>VLOOKUP(B2640, Products!$A$2:$E$100, 3, FALSE)</f>
        <v>5</v>
      </c>
      <c r="K2640">
        <f>VLOOKUP(B2640, Products!$A$2:$F$100, 4, FALSE)</f>
        <v>6</v>
      </c>
    </row>
    <row r="2641" spans="1:11" x14ac:dyDescent="0.3">
      <c r="A2641">
        <v>926</v>
      </c>
      <c r="B2641">
        <v>1</v>
      </c>
      <c r="C2641">
        <v>37</v>
      </c>
      <c r="D2641" t="str">
        <f>VLOOKUP(B2641, Products!$A$2:$C$100, 2, FALSE)</f>
        <v>Trek 820 - 2016</v>
      </c>
      <c r="E2641">
        <v>2</v>
      </c>
      <c r="F2641">
        <v>379.99</v>
      </c>
      <c r="G2641">
        <v>0.2</v>
      </c>
      <c r="H2641">
        <v>75.998000000000005</v>
      </c>
      <c r="I2641">
        <f>order_items[[#This Row],[list_price]]-order_items[[#This Row],[Discounted_price]]</f>
        <v>303.99200000000002</v>
      </c>
      <c r="J2641">
        <f>VLOOKUP(B2641, Products!$A$2:$E$100, 3, FALSE)</f>
        <v>9</v>
      </c>
      <c r="K2641">
        <f>VLOOKUP(B2641, Products!$A$2:$F$100, 4, FALSE)</f>
        <v>6</v>
      </c>
    </row>
    <row r="2642" spans="1:11" x14ac:dyDescent="0.3">
      <c r="A2642">
        <v>927</v>
      </c>
      <c r="B2642">
        <v>1</v>
      </c>
      <c r="C2642">
        <v>74</v>
      </c>
      <c r="D2642" t="str">
        <f>VLOOKUP(B2642, Products!$A$2:$C$100, 2, FALSE)</f>
        <v>Trek 820 - 2016</v>
      </c>
      <c r="E2642">
        <v>2</v>
      </c>
      <c r="F2642">
        <v>439.99</v>
      </c>
      <c r="G2642">
        <v>0.1</v>
      </c>
      <c r="H2642">
        <v>43.999000000000002</v>
      </c>
      <c r="I2642">
        <f>order_items[[#This Row],[list_price]]-order_items[[#This Row],[Discounted_price]]</f>
        <v>395.99099999999999</v>
      </c>
      <c r="J2642">
        <f>VLOOKUP(B2642, Products!$A$2:$E$100, 3, FALSE)</f>
        <v>9</v>
      </c>
      <c r="K2642">
        <f>VLOOKUP(B2642, Products!$A$2:$F$100, 4, FALSE)</f>
        <v>6</v>
      </c>
    </row>
    <row r="2643" spans="1:11" x14ac:dyDescent="0.3">
      <c r="A2643">
        <v>927</v>
      </c>
      <c r="B2643">
        <v>2</v>
      </c>
      <c r="C2643">
        <v>16</v>
      </c>
      <c r="D2643" t="str">
        <f>VLOOKUP(B2643, Products!$A$2:$C$100, 2, FALSE)</f>
        <v>Ritchey Timberwolf Frameset - 2016</v>
      </c>
      <c r="E2643">
        <v>2</v>
      </c>
      <c r="F2643">
        <v>599.99</v>
      </c>
      <c r="G2643">
        <v>0.2</v>
      </c>
      <c r="H2643">
        <v>119.998</v>
      </c>
      <c r="I2643">
        <f>order_items[[#This Row],[list_price]]-order_items[[#This Row],[Discounted_price]]</f>
        <v>479.99200000000002</v>
      </c>
      <c r="J2643">
        <f>VLOOKUP(B2643, Products!$A$2:$E$100, 3, FALSE)</f>
        <v>5</v>
      </c>
      <c r="K2643">
        <f>VLOOKUP(B2643, Products!$A$2:$F$100, 4, FALSE)</f>
        <v>6</v>
      </c>
    </row>
    <row r="2644" spans="1:11" x14ac:dyDescent="0.3">
      <c r="A2644">
        <v>927</v>
      </c>
      <c r="B2644">
        <v>3</v>
      </c>
      <c r="C2644">
        <v>50</v>
      </c>
      <c r="D2644" t="str">
        <f>VLOOKUP(B2644, Products!$A$2:$C$100, 2, FALSE)</f>
        <v>Surly Wednesday Frameset - 2016</v>
      </c>
      <c r="E2644">
        <v>1</v>
      </c>
      <c r="F2644">
        <v>5999.99</v>
      </c>
      <c r="G2644">
        <v>0.1</v>
      </c>
      <c r="H2644">
        <v>599.99900000000002</v>
      </c>
      <c r="I2644">
        <f>order_items[[#This Row],[list_price]]-order_items[[#This Row],[Discounted_price]]</f>
        <v>5399.991</v>
      </c>
      <c r="J2644">
        <f>VLOOKUP(B2644, Products!$A$2:$E$100, 3, FALSE)</f>
        <v>8</v>
      </c>
      <c r="K2644">
        <f>VLOOKUP(B2644, Products!$A$2:$F$100, 4, FALSE)</f>
        <v>6</v>
      </c>
    </row>
    <row r="2645" spans="1:11" x14ac:dyDescent="0.3">
      <c r="A2645">
        <v>927</v>
      </c>
      <c r="B2645">
        <v>4</v>
      </c>
      <c r="C2645">
        <v>3</v>
      </c>
      <c r="D2645" t="str">
        <f>VLOOKUP(B2645, Products!$A$2:$C$100, 2, FALSE)</f>
        <v>Trek Fuel EX 8 29 - 2016</v>
      </c>
      <c r="E2645">
        <v>1</v>
      </c>
      <c r="F2645">
        <v>999.99</v>
      </c>
      <c r="G2645">
        <v>0.1</v>
      </c>
      <c r="H2645">
        <v>99.999000000000009</v>
      </c>
      <c r="I2645">
        <f>order_items[[#This Row],[list_price]]-order_items[[#This Row],[Discounted_price]]</f>
        <v>899.99099999999999</v>
      </c>
      <c r="J2645">
        <f>VLOOKUP(B2645, Products!$A$2:$E$100, 3, FALSE)</f>
        <v>9</v>
      </c>
      <c r="K2645">
        <f>VLOOKUP(B2645, Products!$A$2:$F$100, 4, FALSE)</f>
        <v>6</v>
      </c>
    </row>
    <row r="2646" spans="1:11" x14ac:dyDescent="0.3">
      <c r="A2646">
        <v>927</v>
      </c>
      <c r="B2646">
        <v>5</v>
      </c>
      <c r="C2646">
        <v>43</v>
      </c>
      <c r="D2646" t="str">
        <f>VLOOKUP(B2646, Products!$A$2:$C$100, 2, FALSE)</f>
        <v>Heller Shagamaw Frame - 2016</v>
      </c>
      <c r="E2646">
        <v>1</v>
      </c>
      <c r="F2646">
        <v>5299.99</v>
      </c>
      <c r="G2646">
        <v>7.0000000000000007E-2</v>
      </c>
      <c r="H2646">
        <v>370.99930000000001</v>
      </c>
      <c r="I2646">
        <f>order_items[[#This Row],[list_price]]-order_items[[#This Row],[Discounted_price]]</f>
        <v>4928.9906999999994</v>
      </c>
      <c r="J2646">
        <f>VLOOKUP(B2646, Products!$A$2:$E$100, 3, FALSE)</f>
        <v>3</v>
      </c>
      <c r="K2646">
        <f>VLOOKUP(B2646, Products!$A$2:$F$100, 4, FALSE)</f>
        <v>6</v>
      </c>
    </row>
    <row r="2647" spans="1:11" x14ac:dyDescent="0.3">
      <c r="A2647">
        <v>928</v>
      </c>
      <c r="B2647">
        <v>1</v>
      </c>
      <c r="C2647">
        <v>71</v>
      </c>
      <c r="D2647" t="str">
        <f>VLOOKUP(B2647, Products!$A$2:$C$100, 2, FALSE)</f>
        <v>Trek 820 - 2016</v>
      </c>
      <c r="E2647">
        <v>2</v>
      </c>
      <c r="F2647">
        <v>416.99</v>
      </c>
      <c r="G2647">
        <v>0.05</v>
      </c>
      <c r="H2647">
        <v>20.849500000000003</v>
      </c>
      <c r="I2647">
        <f>order_items[[#This Row],[list_price]]-order_items[[#This Row],[Discounted_price]]</f>
        <v>396.14050000000003</v>
      </c>
      <c r="J2647">
        <f>VLOOKUP(B2647, Products!$A$2:$E$100, 3, FALSE)</f>
        <v>9</v>
      </c>
      <c r="K2647">
        <f>VLOOKUP(B2647, Products!$A$2:$F$100, 4, FALSE)</f>
        <v>6</v>
      </c>
    </row>
    <row r="2648" spans="1:11" x14ac:dyDescent="0.3">
      <c r="A2648">
        <v>928</v>
      </c>
      <c r="B2648">
        <v>2</v>
      </c>
      <c r="C2648">
        <v>83</v>
      </c>
      <c r="D2648" t="str">
        <f>VLOOKUP(B2648, Products!$A$2:$C$100, 2, FALSE)</f>
        <v>Ritchey Timberwolf Frameset - 2016</v>
      </c>
      <c r="E2648">
        <v>1</v>
      </c>
      <c r="F2648">
        <v>149.99</v>
      </c>
      <c r="G2648">
        <v>0.2</v>
      </c>
      <c r="H2648">
        <v>29.998000000000005</v>
      </c>
      <c r="I2648">
        <f>order_items[[#This Row],[list_price]]-order_items[[#This Row],[Discounted_price]]</f>
        <v>119.992</v>
      </c>
      <c r="J2648">
        <f>VLOOKUP(B2648, Products!$A$2:$E$100, 3, FALSE)</f>
        <v>5</v>
      </c>
      <c r="K2648">
        <f>VLOOKUP(B2648, Products!$A$2:$F$100, 4, FALSE)</f>
        <v>6</v>
      </c>
    </row>
    <row r="2649" spans="1:11" x14ac:dyDescent="0.3">
      <c r="A2649">
        <v>929</v>
      </c>
      <c r="B2649">
        <v>1</v>
      </c>
      <c r="C2649">
        <v>82</v>
      </c>
      <c r="D2649" t="str">
        <f>VLOOKUP(B2649, Products!$A$2:$C$100, 2, FALSE)</f>
        <v>Trek 820 - 2016</v>
      </c>
      <c r="E2649">
        <v>1</v>
      </c>
      <c r="F2649">
        <v>659.99</v>
      </c>
      <c r="G2649">
        <v>0.2</v>
      </c>
      <c r="H2649">
        <v>131.99800000000002</v>
      </c>
      <c r="I2649">
        <f>order_items[[#This Row],[list_price]]-order_items[[#This Row],[Discounted_price]]</f>
        <v>527.99199999999996</v>
      </c>
      <c r="J2649">
        <f>VLOOKUP(B2649, Products!$A$2:$E$100, 3, FALSE)</f>
        <v>9</v>
      </c>
      <c r="K2649">
        <f>VLOOKUP(B2649, Products!$A$2:$F$100, 4, FALSE)</f>
        <v>6</v>
      </c>
    </row>
    <row r="2650" spans="1:11" x14ac:dyDescent="0.3">
      <c r="A2650">
        <v>929</v>
      </c>
      <c r="B2650">
        <v>2</v>
      </c>
      <c r="C2650">
        <v>63</v>
      </c>
      <c r="D2650" t="str">
        <f>VLOOKUP(B2650, Products!$A$2:$C$100, 2, FALSE)</f>
        <v>Ritchey Timberwolf Frameset - 2016</v>
      </c>
      <c r="E2650">
        <v>2</v>
      </c>
      <c r="F2650">
        <v>3499.99</v>
      </c>
      <c r="G2650">
        <v>0.1</v>
      </c>
      <c r="H2650">
        <v>349.99900000000002</v>
      </c>
      <c r="I2650">
        <f>order_items[[#This Row],[list_price]]-order_items[[#This Row],[Discounted_price]]</f>
        <v>3149.991</v>
      </c>
      <c r="J2650">
        <f>VLOOKUP(B2650, Products!$A$2:$E$100, 3, FALSE)</f>
        <v>5</v>
      </c>
      <c r="K2650">
        <f>VLOOKUP(B2650, Products!$A$2:$F$100, 4, FALSE)</f>
        <v>6</v>
      </c>
    </row>
    <row r="2651" spans="1:11" x14ac:dyDescent="0.3">
      <c r="A2651">
        <v>929</v>
      </c>
      <c r="B2651">
        <v>3</v>
      </c>
      <c r="C2651">
        <v>24</v>
      </c>
      <c r="D2651" t="str">
        <f>VLOOKUP(B2651, Products!$A$2:$C$100, 2, FALSE)</f>
        <v>Surly Wednesday Frameset - 2016</v>
      </c>
      <c r="E2651">
        <v>1</v>
      </c>
      <c r="F2651">
        <v>549.99</v>
      </c>
      <c r="G2651">
        <v>0.05</v>
      </c>
      <c r="H2651">
        <v>27.499500000000001</v>
      </c>
      <c r="I2651">
        <f>order_items[[#This Row],[list_price]]-order_items[[#This Row],[Discounted_price]]</f>
        <v>522.4905</v>
      </c>
      <c r="J2651">
        <f>VLOOKUP(B2651, Products!$A$2:$E$100, 3, FALSE)</f>
        <v>8</v>
      </c>
      <c r="K2651">
        <f>VLOOKUP(B2651, Products!$A$2:$F$100, 4, FALSE)</f>
        <v>6</v>
      </c>
    </row>
    <row r="2652" spans="1:11" x14ac:dyDescent="0.3">
      <c r="A2652">
        <v>930</v>
      </c>
      <c r="B2652">
        <v>1</v>
      </c>
      <c r="C2652">
        <v>56</v>
      </c>
      <c r="D2652" t="str">
        <f>VLOOKUP(B2652, Products!$A$2:$C$100, 2, FALSE)</f>
        <v>Trek 820 - 2016</v>
      </c>
      <c r="E2652">
        <v>2</v>
      </c>
      <c r="F2652">
        <v>5499.99</v>
      </c>
      <c r="G2652">
        <v>7.0000000000000007E-2</v>
      </c>
      <c r="H2652">
        <v>384.99930000000001</v>
      </c>
      <c r="I2652">
        <f>order_items[[#This Row],[list_price]]-order_items[[#This Row],[Discounted_price]]</f>
        <v>5114.9906999999994</v>
      </c>
      <c r="J2652">
        <f>VLOOKUP(B2652, Products!$A$2:$E$100, 3, FALSE)</f>
        <v>9</v>
      </c>
      <c r="K2652">
        <f>VLOOKUP(B2652, Products!$A$2:$F$100, 4, FALSE)</f>
        <v>6</v>
      </c>
    </row>
    <row r="2653" spans="1:11" x14ac:dyDescent="0.3">
      <c r="A2653">
        <v>930</v>
      </c>
      <c r="B2653">
        <v>2</v>
      </c>
      <c r="C2653">
        <v>82</v>
      </c>
      <c r="D2653" t="str">
        <f>VLOOKUP(B2653, Products!$A$2:$C$100, 2, FALSE)</f>
        <v>Ritchey Timberwolf Frameset - 2016</v>
      </c>
      <c r="E2653">
        <v>1</v>
      </c>
      <c r="F2653">
        <v>659.99</v>
      </c>
      <c r="G2653">
        <v>7.0000000000000007E-2</v>
      </c>
      <c r="H2653">
        <v>46.199300000000008</v>
      </c>
      <c r="I2653">
        <f>order_items[[#This Row],[list_price]]-order_items[[#This Row],[Discounted_price]]</f>
        <v>613.79070000000002</v>
      </c>
      <c r="J2653">
        <f>VLOOKUP(B2653, Products!$A$2:$E$100, 3, FALSE)</f>
        <v>5</v>
      </c>
      <c r="K2653">
        <f>VLOOKUP(B2653, Products!$A$2:$F$100, 4, FALSE)</f>
        <v>6</v>
      </c>
    </row>
    <row r="2654" spans="1:11" x14ac:dyDescent="0.3">
      <c r="A2654">
        <v>930</v>
      </c>
      <c r="B2654">
        <v>3</v>
      </c>
      <c r="C2654">
        <v>60</v>
      </c>
      <c r="D2654" t="str">
        <f>VLOOKUP(B2654, Products!$A$2:$C$100, 2, FALSE)</f>
        <v>Surly Wednesday Frameset - 2016</v>
      </c>
      <c r="E2654">
        <v>1</v>
      </c>
      <c r="F2654">
        <v>1559.99</v>
      </c>
      <c r="G2654">
        <v>0.1</v>
      </c>
      <c r="H2654">
        <v>155.99900000000002</v>
      </c>
      <c r="I2654">
        <f>order_items[[#This Row],[list_price]]-order_items[[#This Row],[Discounted_price]]</f>
        <v>1403.991</v>
      </c>
      <c r="J2654">
        <f>VLOOKUP(B2654, Products!$A$2:$E$100, 3, FALSE)</f>
        <v>8</v>
      </c>
      <c r="K2654">
        <f>VLOOKUP(B2654, Products!$A$2:$F$100, 4, FALSE)</f>
        <v>6</v>
      </c>
    </row>
    <row r="2655" spans="1:11" x14ac:dyDescent="0.3">
      <c r="A2655">
        <v>930</v>
      </c>
      <c r="B2655">
        <v>4</v>
      </c>
      <c r="C2655">
        <v>65</v>
      </c>
      <c r="D2655" t="str">
        <f>VLOOKUP(B2655, Products!$A$2:$C$100, 2, FALSE)</f>
        <v>Trek Fuel EX 8 29 - 2016</v>
      </c>
      <c r="E2655">
        <v>2</v>
      </c>
      <c r="F2655">
        <v>346.99</v>
      </c>
      <c r="G2655">
        <v>0.05</v>
      </c>
      <c r="H2655">
        <v>17.349500000000003</v>
      </c>
      <c r="I2655">
        <f>order_items[[#This Row],[list_price]]-order_items[[#This Row],[Discounted_price]]</f>
        <v>329.64050000000003</v>
      </c>
      <c r="J2655">
        <f>VLOOKUP(B2655, Products!$A$2:$E$100, 3, FALSE)</f>
        <v>9</v>
      </c>
      <c r="K2655">
        <f>VLOOKUP(B2655, Products!$A$2:$F$100, 4, FALSE)</f>
        <v>6</v>
      </c>
    </row>
    <row r="2656" spans="1:11" x14ac:dyDescent="0.3">
      <c r="A2656">
        <v>930</v>
      </c>
      <c r="B2656">
        <v>5</v>
      </c>
      <c r="C2656">
        <v>51</v>
      </c>
      <c r="D2656" t="str">
        <f>VLOOKUP(B2656, Products!$A$2:$C$100, 2, FALSE)</f>
        <v>Heller Shagamaw Frame - 2016</v>
      </c>
      <c r="E2656">
        <v>2</v>
      </c>
      <c r="F2656">
        <v>6499.99</v>
      </c>
      <c r="G2656">
        <v>0.1</v>
      </c>
      <c r="H2656">
        <v>649.99900000000002</v>
      </c>
      <c r="I2656">
        <f>order_items[[#This Row],[list_price]]-order_items[[#This Row],[Discounted_price]]</f>
        <v>5849.991</v>
      </c>
      <c r="J2656">
        <f>VLOOKUP(B2656, Products!$A$2:$E$100, 3, FALSE)</f>
        <v>3</v>
      </c>
      <c r="K2656">
        <f>VLOOKUP(B2656, Products!$A$2:$F$100, 4, FALSE)</f>
        <v>6</v>
      </c>
    </row>
    <row r="2657" spans="1:11" x14ac:dyDescent="0.3">
      <c r="A2657">
        <v>931</v>
      </c>
      <c r="B2657">
        <v>1</v>
      </c>
      <c r="C2657">
        <v>49</v>
      </c>
      <c r="D2657" t="str">
        <f>VLOOKUP(B2657, Products!$A$2:$C$100, 2, FALSE)</f>
        <v>Trek 820 - 2016</v>
      </c>
      <c r="E2657">
        <v>2</v>
      </c>
      <c r="F2657">
        <v>3499.99</v>
      </c>
      <c r="G2657">
        <v>7.0000000000000007E-2</v>
      </c>
      <c r="H2657">
        <v>244.99930000000001</v>
      </c>
      <c r="I2657">
        <f>order_items[[#This Row],[list_price]]-order_items[[#This Row],[Discounted_price]]</f>
        <v>3254.9906999999998</v>
      </c>
      <c r="J2657">
        <f>VLOOKUP(B2657, Products!$A$2:$E$100, 3, FALSE)</f>
        <v>9</v>
      </c>
      <c r="K2657">
        <f>VLOOKUP(B2657, Products!$A$2:$F$100, 4, FALSE)</f>
        <v>6</v>
      </c>
    </row>
    <row r="2658" spans="1:11" x14ac:dyDescent="0.3">
      <c r="A2658">
        <v>931</v>
      </c>
      <c r="B2658">
        <v>2</v>
      </c>
      <c r="C2658">
        <v>76</v>
      </c>
      <c r="D2658" t="str">
        <f>VLOOKUP(B2658, Products!$A$2:$C$100, 2, FALSE)</f>
        <v>Ritchey Timberwolf Frameset - 2016</v>
      </c>
      <c r="E2658">
        <v>1</v>
      </c>
      <c r="F2658">
        <v>299.99</v>
      </c>
      <c r="G2658">
        <v>0.2</v>
      </c>
      <c r="H2658">
        <v>59.998000000000005</v>
      </c>
      <c r="I2658">
        <f>order_items[[#This Row],[list_price]]-order_items[[#This Row],[Discounted_price]]</f>
        <v>239.99200000000002</v>
      </c>
      <c r="J2658">
        <f>VLOOKUP(B2658, Products!$A$2:$E$100, 3, FALSE)</f>
        <v>5</v>
      </c>
      <c r="K2658">
        <f>VLOOKUP(B2658, Products!$A$2:$F$100, 4, FALSE)</f>
        <v>6</v>
      </c>
    </row>
    <row r="2659" spans="1:11" x14ac:dyDescent="0.3">
      <c r="A2659">
        <v>932</v>
      </c>
      <c r="B2659">
        <v>1</v>
      </c>
      <c r="C2659">
        <v>74</v>
      </c>
      <c r="D2659" t="str">
        <f>VLOOKUP(B2659, Products!$A$2:$C$100, 2, FALSE)</f>
        <v>Trek 820 - 2016</v>
      </c>
      <c r="E2659">
        <v>1</v>
      </c>
      <c r="F2659">
        <v>439.99</v>
      </c>
      <c r="G2659">
        <v>0.05</v>
      </c>
      <c r="H2659">
        <v>21.999500000000001</v>
      </c>
      <c r="I2659">
        <f>order_items[[#This Row],[list_price]]-order_items[[#This Row],[Discounted_price]]</f>
        <v>417.9905</v>
      </c>
      <c r="J2659">
        <f>VLOOKUP(B2659, Products!$A$2:$E$100, 3, FALSE)</f>
        <v>9</v>
      </c>
      <c r="K2659">
        <f>VLOOKUP(B2659, Products!$A$2:$F$100, 4, FALSE)</f>
        <v>6</v>
      </c>
    </row>
    <row r="2660" spans="1:11" x14ac:dyDescent="0.3">
      <c r="A2660">
        <v>933</v>
      </c>
      <c r="B2660">
        <v>1</v>
      </c>
      <c r="C2660">
        <v>77</v>
      </c>
      <c r="D2660" t="str">
        <f>VLOOKUP(B2660, Products!$A$2:$C$100, 2, FALSE)</f>
        <v>Trek 820 - 2016</v>
      </c>
      <c r="E2660">
        <v>1</v>
      </c>
      <c r="F2660">
        <v>799.99</v>
      </c>
      <c r="G2660">
        <v>7.0000000000000007E-2</v>
      </c>
      <c r="H2660">
        <v>55.999300000000005</v>
      </c>
      <c r="I2660">
        <f>order_items[[#This Row],[list_price]]-order_items[[#This Row],[Discounted_price]]</f>
        <v>743.99070000000006</v>
      </c>
      <c r="J2660">
        <f>VLOOKUP(B2660, Products!$A$2:$E$100, 3, FALSE)</f>
        <v>9</v>
      </c>
      <c r="K2660">
        <f>VLOOKUP(B2660, Products!$A$2:$F$100, 4, FALSE)</f>
        <v>6</v>
      </c>
    </row>
    <row r="2661" spans="1:11" x14ac:dyDescent="0.3">
      <c r="A2661">
        <v>933</v>
      </c>
      <c r="B2661">
        <v>2</v>
      </c>
      <c r="C2661">
        <v>21</v>
      </c>
      <c r="D2661" t="str">
        <f>VLOOKUP(B2661, Products!$A$2:$C$100, 2, FALSE)</f>
        <v>Ritchey Timberwolf Frameset - 2016</v>
      </c>
      <c r="E2661">
        <v>1</v>
      </c>
      <c r="F2661">
        <v>269.99</v>
      </c>
      <c r="G2661">
        <v>0.2</v>
      </c>
      <c r="H2661">
        <v>53.998000000000005</v>
      </c>
      <c r="I2661">
        <f>order_items[[#This Row],[list_price]]-order_items[[#This Row],[Discounted_price]]</f>
        <v>215.99200000000002</v>
      </c>
      <c r="J2661">
        <f>VLOOKUP(B2661, Products!$A$2:$E$100, 3, FALSE)</f>
        <v>5</v>
      </c>
      <c r="K2661">
        <f>VLOOKUP(B2661, Products!$A$2:$F$100, 4, FALSE)</f>
        <v>6</v>
      </c>
    </row>
    <row r="2662" spans="1:11" x14ac:dyDescent="0.3">
      <c r="A2662">
        <v>933</v>
      </c>
      <c r="B2662">
        <v>3</v>
      </c>
      <c r="C2662">
        <v>75</v>
      </c>
      <c r="D2662" t="str">
        <f>VLOOKUP(B2662, Products!$A$2:$C$100, 2, FALSE)</f>
        <v>Surly Wednesday Frameset - 2016</v>
      </c>
      <c r="E2662">
        <v>2</v>
      </c>
      <c r="F2662">
        <v>599.99</v>
      </c>
      <c r="G2662">
        <v>0.05</v>
      </c>
      <c r="H2662">
        <v>29.999500000000001</v>
      </c>
      <c r="I2662">
        <f>order_items[[#This Row],[list_price]]-order_items[[#This Row],[Discounted_price]]</f>
        <v>569.9905</v>
      </c>
      <c r="J2662">
        <f>VLOOKUP(B2662, Products!$A$2:$E$100, 3, FALSE)</f>
        <v>8</v>
      </c>
      <c r="K2662">
        <f>VLOOKUP(B2662, Products!$A$2:$F$100, 4, FALSE)</f>
        <v>6</v>
      </c>
    </row>
    <row r="2663" spans="1:11" x14ac:dyDescent="0.3">
      <c r="A2663">
        <v>934</v>
      </c>
      <c r="B2663">
        <v>1</v>
      </c>
      <c r="C2663">
        <v>35</v>
      </c>
      <c r="D2663" t="str">
        <f>VLOOKUP(B2663, Products!$A$2:$C$100, 2, FALSE)</f>
        <v>Trek 820 - 2016</v>
      </c>
      <c r="E2663">
        <v>2</v>
      </c>
      <c r="F2663">
        <v>832.99</v>
      </c>
      <c r="G2663">
        <v>0.05</v>
      </c>
      <c r="H2663">
        <v>41.649500000000003</v>
      </c>
      <c r="I2663">
        <f>order_items[[#This Row],[list_price]]-order_items[[#This Row],[Discounted_price]]</f>
        <v>791.34050000000002</v>
      </c>
      <c r="J2663">
        <f>VLOOKUP(B2663, Products!$A$2:$E$100, 3, FALSE)</f>
        <v>9</v>
      </c>
      <c r="K2663">
        <f>VLOOKUP(B2663, Products!$A$2:$F$100, 4, FALSE)</f>
        <v>6</v>
      </c>
    </row>
    <row r="2664" spans="1:11" x14ac:dyDescent="0.3">
      <c r="A2664">
        <v>934</v>
      </c>
      <c r="B2664">
        <v>2</v>
      </c>
      <c r="C2664">
        <v>48</v>
      </c>
      <c r="D2664" t="str">
        <f>VLOOKUP(B2664, Products!$A$2:$C$100, 2, FALSE)</f>
        <v>Ritchey Timberwolf Frameset - 2016</v>
      </c>
      <c r="E2664">
        <v>1</v>
      </c>
      <c r="F2664">
        <v>1499.99</v>
      </c>
      <c r="G2664">
        <v>0.05</v>
      </c>
      <c r="H2664">
        <v>74.999499999999998</v>
      </c>
      <c r="I2664">
        <f>order_items[[#This Row],[list_price]]-order_items[[#This Row],[Discounted_price]]</f>
        <v>1424.9905000000001</v>
      </c>
      <c r="J2664">
        <f>VLOOKUP(B2664, Products!$A$2:$E$100, 3, FALSE)</f>
        <v>5</v>
      </c>
      <c r="K2664">
        <f>VLOOKUP(B2664, Products!$A$2:$F$100, 4, FALSE)</f>
        <v>6</v>
      </c>
    </row>
    <row r="2665" spans="1:11" x14ac:dyDescent="0.3">
      <c r="A2665">
        <v>934</v>
      </c>
      <c r="B2665">
        <v>3</v>
      </c>
      <c r="C2665">
        <v>18</v>
      </c>
      <c r="D2665" t="str">
        <f>VLOOKUP(B2665, Products!$A$2:$C$100, 2, FALSE)</f>
        <v>Surly Wednesday Frameset - 2016</v>
      </c>
      <c r="E2665">
        <v>1</v>
      </c>
      <c r="F2665">
        <v>449</v>
      </c>
      <c r="G2665">
        <v>0.1</v>
      </c>
      <c r="H2665">
        <v>44.900000000000006</v>
      </c>
      <c r="I2665">
        <f>order_items[[#This Row],[list_price]]-order_items[[#This Row],[Discounted_price]]</f>
        <v>404.1</v>
      </c>
      <c r="J2665">
        <f>VLOOKUP(B2665, Products!$A$2:$E$100, 3, FALSE)</f>
        <v>8</v>
      </c>
      <c r="K2665">
        <f>VLOOKUP(B2665, Products!$A$2:$F$100, 4, FALSE)</f>
        <v>6</v>
      </c>
    </row>
    <row r="2666" spans="1:11" x14ac:dyDescent="0.3">
      <c r="A2666">
        <v>934</v>
      </c>
      <c r="B2666">
        <v>4</v>
      </c>
      <c r="C2666">
        <v>61</v>
      </c>
      <c r="D2666" t="str">
        <f>VLOOKUP(B2666, Products!$A$2:$C$100, 2, FALSE)</f>
        <v>Trek Fuel EX 8 29 - 2016</v>
      </c>
      <c r="E2666">
        <v>1</v>
      </c>
      <c r="F2666">
        <v>4999.99</v>
      </c>
      <c r="G2666">
        <v>7.0000000000000007E-2</v>
      </c>
      <c r="H2666">
        <v>349.99930000000001</v>
      </c>
      <c r="I2666">
        <f>order_items[[#This Row],[list_price]]-order_items[[#This Row],[Discounted_price]]</f>
        <v>4649.9906999999994</v>
      </c>
      <c r="J2666">
        <f>VLOOKUP(B2666, Products!$A$2:$E$100, 3, FALSE)</f>
        <v>9</v>
      </c>
      <c r="K2666">
        <f>VLOOKUP(B2666, Products!$A$2:$F$100, 4, FALSE)</f>
        <v>6</v>
      </c>
    </row>
    <row r="2667" spans="1:11" x14ac:dyDescent="0.3">
      <c r="A2667">
        <v>934</v>
      </c>
      <c r="B2667">
        <v>5</v>
      </c>
      <c r="C2667">
        <v>56</v>
      </c>
      <c r="D2667" t="str">
        <f>VLOOKUP(B2667, Products!$A$2:$C$100, 2, FALSE)</f>
        <v>Heller Shagamaw Frame - 2016</v>
      </c>
      <c r="E2667">
        <v>2</v>
      </c>
      <c r="F2667">
        <v>5499.99</v>
      </c>
      <c r="G2667">
        <v>0.2</v>
      </c>
      <c r="H2667">
        <v>1099.998</v>
      </c>
      <c r="I2667">
        <f>order_items[[#This Row],[list_price]]-order_items[[#This Row],[Discounted_price]]</f>
        <v>4399.9920000000002</v>
      </c>
      <c r="J2667">
        <f>VLOOKUP(B2667, Products!$A$2:$E$100, 3, FALSE)</f>
        <v>3</v>
      </c>
      <c r="K2667">
        <f>VLOOKUP(B2667, Products!$A$2:$F$100, 4, FALSE)</f>
        <v>6</v>
      </c>
    </row>
    <row r="2668" spans="1:11" x14ac:dyDescent="0.3">
      <c r="A2668">
        <v>935</v>
      </c>
      <c r="B2668">
        <v>1</v>
      </c>
      <c r="C2668">
        <v>65</v>
      </c>
      <c r="D2668" t="str">
        <f>VLOOKUP(B2668, Products!$A$2:$C$100, 2, FALSE)</f>
        <v>Trek 820 - 2016</v>
      </c>
      <c r="E2668">
        <v>2</v>
      </c>
      <c r="F2668">
        <v>346.99</v>
      </c>
      <c r="G2668">
        <v>0.2</v>
      </c>
      <c r="H2668">
        <v>69.39800000000001</v>
      </c>
      <c r="I2668">
        <f>order_items[[#This Row],[list_price]]-order_items[[#This Row],[Discounted_price]]</f>
        <v>277.59199999999998</v>
      </c>
      <c r="J2668">
        <f>VLOOKUP(B2668, Products!$A$2:$E$100, 3, FALSE)</f>
        <v>9</v>
      </c>
      <c r="K2668">
        <f>VLOOKUP(B2668, Products!$A$2:$F$100, 4, FALSE)</f>
        <v>6</v>
      </c>
    </row>
    <row r="2669" spans="1:11" x14ac:dyDescent="0.3">
      <c r="A2669">
        <v>935</v>
      </c>
      <c r="B2669">
        <v>2</v>
      </c>
      <c r="C2669">
        <v>76</v>
      </c>
      <c r="D2669" t="str">
        <f>VLOOKUP(B2669, Products!$A$2:$C$100, 2, FALSE)</f>
        <v>Ritchey Timberwolf Frameset - 2016</v>
      </c>
      <c r="E2669">
        <v>2</v>
      </c>
      <c r="F2669">
        <v>299.99</v>
      </c>
      <c r="G2669">
        <v>7.0000000000000007E-2</v>
      </c>
      <c r="H2669">
        <v>20.999300000000002</v>
      </c>
      <c r="I2669">
        <f>order_items[[#This Row],[list_price]]-order_items[[#This Row],[Discounted_price]]</f>
        <v>278.9907</v>
      </c>
      <c r="J2669">
        <f>VLOOKUP(B2669, Products!$A$2:$E$100, 3, FALSE)</f>
        <v>5</v>
      </c>
      <c r="K2669">
        <f>VLOOKUP(B2669, Products!$A$2:$F$100, 4, FALSE)</f>
        <v>6</v>
      </c>
    </row>
    <row r="2670" spans="1:11" x14ac:dyDescent="0.3">
      <c r="A2670">
        <v>935</v>
      </c>
      <c r="B2670">
        <v>3</v>
      </c>
      <c r="C2670">
        <v>6</v>
      </c>
      <c r="D2670" t="str">
        <f>VLOOKUP(B2670, Products!$A$2:$C$100, 2, FALSE)</f>
        <v>Surly Wednesday Frameset - 2016</v>
      </c>
      <c r="E2670">
        <v>1</v>
      </c>
      <c r="F2670">
        <v>469.99</v>
      </c>
      <c r="G2670">
        <v>7.0000000000000007E-2</v>
      </c>
      <c r="H2670">
        <v>32.899300000000004</v>
      </c>
      <c r="I2670">
        <f>order_items[[#This Row],[list_price]]-order_items[[#This Row],[Discounted_price]]</f>
        <v>437.09070000000003</v>
      </c>
      <c r="J2670">
        <f>VLOOKUP(B2670, Products!$A$2:$E$100, 3, FALSE)</f>
        <v>8</v>
      </c>
      <c r="K2670">
        <f>VLOOKUP(B2670, Products!$A$2:$F$100, 4, FALSE)</f>
        <v>6</v>
      </c>
    </row>
    <row r="2671" spans="1:11" x14ac:dyDescent="0.3">
      <c r="A2671">
        <v>935</v>
      </c>
      <c r="B2671">
        <v>4</v>
      </c>
      <c r="C2671">
        <v>38</v>
      </c>
      <c r="D2671" t="str">
        <f>VLOOKUP(B2671, Products!$A$2:$C$100, 2, FALSE)</f>
        <v>Trek Fuel EX 8 29 - 2016</v>
      </c>
      <c r="E2671">
        <v>1</v>
      </c>
      <c r="F2671">
        <v>549.99</v>
      </c>
      <c r="G2671">
        <v>7.0000000000000007E-2</v>
      </c>
      <c r="H2671">
        <v>38.499300000000005</v>
      </c>
      <c r="I2671">
        <f>order_items[[#This Row],[list_price]]-order_items[[#This Row],[Discounted_price]]</f>
        <v>511.4907</v>
      </c>
      <c r="J2671">
        <f>VLOOKUP(B2671, Products!$A$2:$E$100, 3, FALSE)</f>
        <v>9</v>
      </c>
      <c r="K2671">
        <f>VLOOKUP(B2671, Products!$A$2:$F$100, 4, FALSE)</f>
        <v>6</v>
      </c>
    </row>
    <row r="2672" spans="1:11" x14ac:dyDescent="0.3">
      <c r="A2672">
        <v>936</v>
      </c>
      <c r="B2672">
        <v>1</v>
      </c>
      <c r="C2672">
        <v>70</v>
      </c>
      <c r="D2672" t="str">
        <f>VLOOKUP(B2672, Products!$A$2:$C$100, 2, FALSE)</f>
        <v>Trek 820 - 2016</v>
      </c>
      <c r="E2672">
        <v>1</v>
      </c>
      <c r="F2672">
        <v>659.99</v>
      </c>
      <c r="G2672">
        <v>0.1</v>
      </c>
      <c r="H2672">
        <v>65.999000000000009</v>
      </c>
      <c r="I2672">
        <f>order_items[[#This Row],[list_price]]-order_items[[#This Row],[Discounted_price]]</f>
        <v>593.99099999999999</v>
      </c>
      <c r="J2672">
        <f>VLOOKUP(B2672, Products!$A$2:$E$100, 3, FALSE)</f>
        <v>9</v>
      </c>
      <c r="K2672">
        <f>VLOOKUP(B2672, Products!$A$2:$F$100, 4, FALSE)</f>
        <v>6</v>
      </c>
    </row>
    <row r="2673" spans="1:11" x14ac:dyDescent="0.3">
      <c r="A2673">
        <v>936</v>
      </c>
      <c r="B2673">
        <v>2</v>
      </c>
      <c r="C2673">
        <v>44</v>
      </c>
      <c r="D2673" t="str">
        <f>VLOOKUP(B2673, Products!$A$2:$C$100, 2, FALSE)</f>
        <v>Ritchey Timberwolf Frameset - 2016</v>
      </c>
      <c r="E2673">
        <v>1</v>
      </c>
      <c r="F2673">
        <v>539.99</v>
      </c>
      <c r="G2673">
        <v>7.0000000000000007E-2</v>
      </c>
      <c r="H2673">
        <v>37.799300000000002</v>
      </c>
      <c r="I2673">
        <f>order_items[[#This Row],[list_price]]-order_items[[#This Row],[Discounted_price]]</f>
        <v>502.19069999999999</v>
      </c>
      <c r="J2673">
        <f>VLOOKUP(B2673, Products!$A$2:$E$100, 3, FALSE)</f>
        <v>5</v>
      </c>
      <c r="K2673">
        <f>VLOOKUP(B2673, Products!$A$2:$F$100, 4, FALSE)</f>
        <v>6</v>
      </c>
    </row>
    <row r="2674" spans="1:11" x14ac:dyDescent="0.3">
      <c r="A2674">
        <v>937</v>
      </c>
      <c r="B2674">
        <v>1</v>
      </c>
      <c r="C2674">
        <v>108</v>
      </c>
      <c r="D2674" t="str">
        <f>VLOOKUP(B2674, Products!$A$2:$C$100, 2, FALSE)</f>
        <v>Trek 820 - 2016</v>
      </c>
      <c r="E2674">
        <v>2</v>
      </c>
      <c r="F2674">
        <v>449.99</v>
      </c>
      <c r="G2674">
        <v>0.1</v>
      </c>
      <c r="H2674">
        <v>44.999000000000002</v>
      </c>
      <c r="I2674">
        <f>order_items[[#This Row],[list_price]]-order_items[[#This Row],[Discounted_price]]</f>
        <v>404.99099999999999</v>
      </c>
      <c r="J2674">
        <f>VLOOKUP(B2674, Products!$A$2:$E$100, 3, FALSE)</f>
        <v>9</v>
      </c>
      <c r="K2674">
        <f>VLOOKUP(B2674, Products!$A$2:$F$100, 4, FALSE)</f>
        <v>6</v>
      </c>
    </row>
    <row r="2675" spans="1:11" x14ac:dyDescent="0.3">
      <c r="A2675">
        <v>937</v>
      </c>
      <c r="B2675">
        <v>2</v>
      </c>
      <c r="C2675">
        <v>51</v>
      </c>
      <c r="D2675" t="str">
        <f>VLOOKUP(B2675, Products!$A$2:$C$100, 2, FALSE)</f>
        <v>Ritchey Timberwolf Frameset - 2016</v>
      </c>
      <c r="E2675">
        <v>2</v>
      </c>
      <c r="F2675">
        <v>6499.99</v>
      </c>
      <c r="G2675">
        <v>7.0000000000000007E-2</v>
      </c>
      <c r="H2675">
        <v>454.99930000000001</v>
      </c>
      <c r="I2675">
        <f>order_items[[#This Row],[list_price]]-order_items[[#This Row],[Discounted_price]]</f>
        <v>6044.9906999999994</v>
      </c>
      <c r="J2675">
        <f>VLOOKUP(B2675, Products!$A$2:$E$100, 3, FALSE)</f>
        <v>5</v>
      </c>
      <c r="K2675">
        <f>VLOOKUP(B2675, Products!$A$2:$F$100, 4, FALSE)</f>
        <v>6</v>
      </c>
    </row>
    <row r="2676" spans="1:11" x14ac:dyDescent="0.3">
      <c r="A2676">
        <v>937</v>
      </c>
      <c r="B2676">
        <v>3</v>
      </c>
      <c r="C2676">
        <v>58</v>
      </c>
      <c r="D2676" t="str">
        <f>VLOOKUP(B2676, Products!$A$2:$C$100, 2, FALSE)</f>
        <v>Surly Wednesday Frameset - 2016</v>
      </c>
      <c r="E2676">
        <v>2</v>
      </c>
      <c r="F2676">
        <v>4999.99</v>
      </c>
      <c r="G2676">
        <v>7.0000000000000007E-2</v>
      </c>
      <c r="H2676">
        <v>349.99930000000001</v>
      </c>
      <c r="I2676">
        <f>order_items[[#This Row],[list_price]]-order_items[[#This Row],[Discounted_price]]</f>
        <v>4649.9906999999994</v>
      </c>
      <c r="J2676">
        <f>VLOOKUP(B2676, Products!$A$2:$E$100, 3, FALSE)</f>
        <v>8</v>
      </c>
      <c r="K2676">
        <f>VLOOKUP(B2676, Products!$A$2:$F$100, 4, FALSE)</f>
        <v>6</v>
      </c>
    </row>
    <row r="2677" spans="1:11" x14ac:dyDescent="0.3">
      <c r="A2677">
        <v>937</v>
      </c>
      <c r="B2677">
        <v>4</v>
      </c>
      <c r="C2677">
        <v>28</v>
      </c>
      <c r="D2677" t="str">
        <f>VLOOKUP(B2677, Products!$A$2:$C$100, 2, FALSE)</f>
        <v>Trek Fuel EX 8 29 - 2016</v>
      </c>
      <c r="E2677">
        <v>2</v>
      </c>
      <c r="F2677">
        <v>2499.9899999999998</v>
      </c>
      <c r="G2677">
        <v>7.0000000000000007E-2</v>
      </c>
      <c r="H2677">
        <v>174.99930000000001</v>
      </c>
      <c r="I2677">
        <f>order_items[[#This Row],[list_price]]-order_items[[#This Row],[Discounted_price]]</f>
        <v>2324.9906999999998</v>
      </c>
      <c r="J2677">
        <f>VLOOKUP(B2677, Products!$A$2:$E$100, 3, FALSE)</f>
        <v>9</v>
      </c>
      <c r="K2677">
        <f>VLOOKUP(B2677, Products!$A$2:$F$100, 4, FALSE)</f>
        <v>6</v>
      </c>
    </row>
    <row r="2678" spans="1:11" x14ac:dyDescent="0.3">
      <c r="A2678">
        <v>937</v>
      </c>
      <c r="B2678">
        <v>5</v>
      </c>
      <c r="C2678">
        <v>66</v>
      </c>
      <c r="D2678" t="str">
        <f>VLOOKUP(B2678, Products!$A$2:$C$100, 2, FALSE)</f>
        <v>Heller Shagamaw Frame - 2016</v>
      </c>
      <c r="E2678">
        <v>1</v>
      </c>
      <c r="F2678">
        <v>250.99</v>
      </c>
      <c r="G2678">
        <v>0.2</v>
      </c>
      <c r="H2678">
        <v>50.198000000000008</v>
      </c>
      <c r="I2678">
        <f>order_items[[#This Row],[list_price]]-order_items[[#This Row],[Discounted_price]]</f>
        <v>200.792</v>
      </c>
      <c r="J2678">
        <f>VLOOKUP(B2678, Products!$A$2:$E$100, 3, FALSE)</f>
        <v>3</v>
      </c>
      <c r="K2678">
        <f>VLOOKUP(B2678, Products!$A$2:$F$100, 4, FALSE)</f>
        <v>6</v>
      </c>
    </row>
    <row r="2679" spans="1:11" x14ac:dyDescent="0.3">
      <c r="A2679">
        <v>938</v>
      </c>
      <c r="B2679">
        <v>1</v>
      </c>
      <c r="C2679">
        <v>4</v>
      </c>
      <c r="D2679" t="str">
        <f>VLOOKUP(B2679, Products!$A$2:$C$100, 2, FALSE)</f>
        <v>Trek 820 - 2016</v>
      </c>
      <c r="E2679">
        <v>1</v>
      </c>
      <c r="F2679">
        <v>2899.99</v>
      </c>
      <c r="G2679">
        <v>0.05</v>
      </c>
      <c r="H2679">
        <v>144.99949999999998</v>
      </c>
      <c r="I2679">
        <f>order_items[[#This Row],[list_price]]-order_items[[#This Row],[Discounted_price]]</f>
        <v>2754.9904999999999</v>
      </c>
      <c r="J2679">
        <f>VLOOKUP(B2679, Products!$A$2:$E$100, 3, FALSE)</f>
        <v>9</v>
      </c>
      <c r="K2679">
        <f>VLOOKUP(B2679, Products!$A$2:$F$100, 4, FALSE)</f>
        <v>6</v>
      </c>
    </row>
    <row r="2680" spans="1:11" x14ac:dyDescent="0.3">
      <c r="A2680">
        <v>938</v>
      </c>
      <c r="B2680">
        <v>2</v>
      </c>
      <c r="C2680">
        <v>13</v>
      </c>
      <c r="D2680" t="str">
        <f>VLOOKUP(B2680, Products!$A$2:$C$100, 2, FALSE)</f>
        <v>Ritchey Timberwolf Frameset - 2016</v>
      </c>
      <c r="E2680">
        <v>1</v>
      </c>
      <c r="F2680">
        <v>269.99</v>
      </c>
      <c r="G2680">
        <v>0.05</v>
      </c>
      <c r="H2680">
        <v>13.499500000000001</v>
      </c>
      <c r="I2680">
        <f>order_items[[#This Row],[list_price]]-order_items[[#This Row],[Discounted_price]]</f>
        <v>256.4905</v>
      </c>
      <c r="J2680">
        <f>VLOOKUP(B2680, Products!$A$2:$E$100, 3, FALSE)</f>
        <v>5</v>
      </c>
      <c r="K2680">
        <f>VLOOKUP(B2680, Products!$A$2:$F$100, 4, FALSE)</f>
        <v>6</v>
      </c>
    </row>
    <row r="2681" spans="1:11" x14ac:dyDescent="0.3">
      <c r="A2681">
        <v>939</v>
      </c>
      <c r="B2681">
        <v>1</v>
      </c>
      <c r="C2681">
        <v>5</v>
      </c>
      <c r="D2681" t="str">
        <f>VLOOKUP(B2681, Products!$A$2:$C$100, 2, FALSE)</f>
        <v>Trek 820 - 2016</v>
      </c>
      <c r="E2681">
        <v>1</v>
      </c>
      <c r="F2681">
        <v>1320.99</v>
      </c>
      <c r="G2681">
        <v>0.1</v>
      </c>
      <c r="H2681">
        <v>132.09900000000002</v>
      </c>
      <c r="I2681">
        <f>order_items[[#This Row],[list_price]]-order_items[[#This Row],[Discounted_price]]</f>
        <v>1188.8910000000001</v>
      </c>
      <c r="J2681">
        <f>VLOOKUP(B2681, Products!$A$2:$E$100, 3, FALSE)</f>
        <v>9</v>
      </c>
      <c r="K2681">
        <f>VLOOKUP(B2681, Products!$A$2:$F$100, 4, FALSE)</f>
        <v>6</v>
      </c>
    </row>
    <row r="2682" spans="1:11" x14ac:dyDescent="0.3">
      <c r="A2682">
        <v>939</v>
      </c>
      <c r="B2682">
        <v>2</v>
      </c>
      <c r="C2682">
        <v>107</v>
      </c>
      <c r="D2682" t="str">
        <f>VLOOKUP(B2682, Products!$A$2:$C$100, 2, FALSE)</f>
        <v>Ritchey Timberwolf Frameset - 2016</v>
      </c>
      <c r="E2682">
        <v>2</v>
      </c>
      <c r="F2682">
        <v>416.99</v>
      </c>
      <c r="G2682">
        <v>0.2</v>
      </c>
      <c r="H2682">
        <v>83.39800000000001</v>
      </c>
      <c r="I2682">
        <f>order_items[[#This Row],[list_price]]-order_items[[#This Row],[Discounted_price]]</f>
        <v>333.59199999999998</v>
      </c>
      <c r="J2682">
        <f>VLOOKUP(B2682, Products!$A$2:$E$100, 3, FALSE)</f>
        <v>5</v>
      </c>
      <c r="K2682">
        <f>VLOOKUP(B2682, Products!$A$2:$F$100, 4, FALSE)</f>
        <v>6</v>
      </c>
    </row>
    <row r="2683" spans="1:11" x14ac:dyDescent="0.3">
      <c r="A2683">
        <v>940</v>
      </c>
      <c r="B2683">
        <v>1</v>
      </c>
      <c r="C2683">
        <v>75</v>
      </c>
      <c r="D2683" t="str">
        <f>VLOOKUP(B2683, Products!$A$2:$C$100, 2, FALSE)</f>
        <v>Trek 820 - 2016</v>
      </c>
      <c r="E2683">
        <v>2</v>
      </c>
      <c r="F2683">
        <v>599.99</v>
      </c>
      <c r="G2683">
        <v>0.2</v>
      </c>
      <c r="H2683">
        <v>119.998</v>
      </c>
      <c r="I2683">
        <f>order_items[[#This Row],[list_price]]-order_items[[#This Row],[Discounted_price]]</f>
        <v>479.99200000000002</v>
      </c>
      <c r="J2683">
        <f>VLOOKUP(B2683, Products!$A$2:$E$100, 3, FALSE)</f>
        <v>9</v>
      </c>
      <c r="K2683">
        <f>VLOOKUP(B2683, Products!$A$2:$F$100, 4, FALSE)</f>
        <v>6</v>
      </c>
    </row>
    <row r="2684" spans="1:11" x14ac:dyDescent="0.3">
      <c r="A2684">
        <v>941</v>
      </c>
      <c r="B2684">
        <v>1</v>
      </c>
      <c r="C2684">
        <v>25</v>
      </c>
      <c r="D2684" t="str">
        <f>VLOOKUP(B2684, Products!$A$2:$C$100, 2, FALSE)</f>
        <v>Trek 820 - 2016</v>
      </c>
      <c r="E2684">
        <v>1</v>
      </c>
      <c r="F2684">
        <v>499.99</v>
      </c>
      <c r="G2684">
        <v>0.1</v>
      </c>
      <c r="H2684">
        <v>49.999000000000002</v>
      </c>
      <c r="I2684">
        <f>order_items[[#This Row],[list_price]]-order_items[[#This Row],[Discounted_price]]</f>
        <v>449.99099999999999</v>
      </c>
      <c r="J2684">
        <f>VLOOKUP(B2684, Products!$A$2:$E$100, 3, FALSE)</f>
        <v>9</v>
      </c>
      <c r="K2684">
        <f>VLOOKUP(B2684, Products!$A$2:$F$100, 4, FALSE)</f>
        <v>6</v>
      </c>
    </row>
    <row r="2685" spans="1:11" x14ac:dyDescent="0.3">
      <c r="A2685">
        <v>941</v>
      </c>
      <c r="B2685">
        <v>2</v>
      </c>
      <c r="C2685">
        <v>102</v>
      </c>
      <c r="D2685" t="str">
        <f>VLOOKUP(B2685, Products!$A$2:$C$100, 2, FALSE)</f>
        <v>Ritchey Timberwolf Frameset - 2016</v>
      </c>
      <c r="E2685">
        <v>2</v>
      </c>
      <c r="F2685">
        <v>489.99</v>
      </c>
      <c r="G2685">
        <v>0.05</v>
      </c>
      <c r="H2685">
        <v>24.499500000000001</v>
      </c>
      <c r="I2685">
        <f>order_items[[#This Row],[list_price]]-order_items[[#This Row],[Discounted_price]]</f>
        <v>465.4905</v>
      </c>
      <c r="J2685">
        <f>VLOOKUP(B2685, Products!$A$2:$E$100, 3, FALSE)</f>
        <v>5</v>
      </c>
      <c r="K2685">
        <f>VLOOKUP(B2685, Products!$A$2:$F$100, 4, FALSE)</f>
        <v>6</v>
      </c>
    </row>
    <row r="2686" spans="1:11" x14ac:dyDescent="0.3">
      <c r="A2686">
        <v>941</v>
      </c>
      <c r="B2686">
        <v>3</v>
      </c>
      <c r="C2686">
        <v>11</v>
      </c>
      <c r="D2686" t="str">
        <f>VLOOKUP(B2686, Products!$A$2:$C$100, 2, FALSE)</f>
        <v>Surly Wednesday Frameset - 2016</v>
      </c>
      <c r="E2686">
        <v>2</v>
      </c>
      <c r="F2686">
        <v>1680.99</v>
      </c>
      <c r="G2686">
        <v>7.0000000000000007E-2</v>
      </c>
      <c r="H2686">
        <v>117.66930000000001</v>
      </c>
      <c r="I2686">
        <f>order_items[[#This Row],[list_price]]-order_items[[#This Row],[Discounted_price]]</f>
        <v>1563.3207</v>
      </c>
      <c r="J2686">
        <f>VLOOKUP(B2686, Products!$A$2:$E$100, 3, FALSE)</f>
        <v>8</v>
      </c>
      <c r="K2686">
        <f>VLOOKUP(B2686, Products!$A$2:$F$100, 4, FALSE)</f>
        <v>6</v>
      </c>
    </row>
    <row r="2687" spans="1:11" x14ac:dyDescent="0.3">
      <c r="A2687">
        <v>942</v>
      </c>
      <c r="B2687">
        <v>1</v>
      </c>
      <c r="C2687">
        <v>98</v>
      </c>
      <c r="D2687" t="str">
        <f>VLOOKUP(B2687, Products!$A$2:$C$100, 2, FALSE)</f>
        <v>Trek 820 - 2016</v>
      </c>
      <c r="E2687">
        <v>2</v>
      </c>
      <c r="F2687">
        <v>489.99</v>
      </c>
      <c r="G2687">
        <v>0.05</v>
      </c>
      <c r="H2687">
        <v>24.499500000000001</v>
      </c>
      <c r="I2687">
        <f>order_items[[#This Row],[list_price]]-order_items[[#This Row],[Discounted_price]]</f>
        <v>465.4905</v>
      </c>
      <c r="J2687">
        <f>VLOOKUP(B2687, Products!$A$2:$E$100, 3, FALSE)</f>
        <v>9</v>
      </c>
      <c r="K2687">
        <f>VLOOKUP(B2687, Products!$A$2:$F$100, 4, FALSE)</f>
        <v>6</v>
      </c>
    </row>
    <row r="2688" spans="1:11" x14ac:dyDescent="0.3">
      <c r="A2688">
        <v>942</v>
      </c>
      <c r="B2688">
        <v>2</v>
      </c>
      <c r="C2688">
        <v>110</v>
      </c>
      <c r="D2688" t="str">
        <f>VLOOKUP(B2688, Products!$A$2:$C$100, 2, FALSE)</f>
        <v>Ritchey Timberwolf Frameset - 2016</v>
      </c>
      <c r="E2688">
        <v>2</v>
      </c>
      <c r="F2688">
        <v>470.99</v>
      </c>
      <c r="G2688">
        <v>0.1</v>
      </c>
      <c r="H2688">
        <v>47.099000000000004</v>
      </c>
      <c r="I2688">
        <f>order_items[[#This Row],[list_price]]-order_items[[#This Row],[Discounted_price]]</f>
        <v>423.89100000000002</v>
      </c>
      <c r="J2688">
        <f>VLOOKUP(B2688, Products!$A$2:$E$100, 3, FALSE)</f>
        <v>5</v>
      </c>
      <c r="K2688">
        <f>VLOOKUP(B2688, Products!$A$2:$F$100, 4, FALSE)</f>
        <v>6</v>
      </c>
    </row>
    <row r="2689" spans="1:11" x14ac:dyDescent="0.3">
      <c r="A2689">
        <v>942</v>
      </c>
      <c r="B2689">
        <v>3</v>
      </c>
      <c r="C2689">
        <v>35</v>
      </c>
      <c r="D2689" t="str">
        <f>VLOOKUP(B2689, Products!$A$2:$C$100, 2, FALSE)</f>
        <v>Surly Wednesday Frameset - 2016</v>
      </c>
      <c r="E2689">
        <v>2</v>
      </c>
      <c r="F2689">
        <v>832.99</v>
      </c>
      <c r="G2689">
        <v>7.0000000000000007E-2</v>
      </c>
      <c r="H2689">
        <v>58.309300000000007</v>
      </c>
      <c r="I2689">
        <f>order_items[[#This Row],[list_price]]-order_items[[#This Row],[Discounted_price]]</f>
        <v>774.6807</v>
      </c>
      <c r="J2689">
        <f>VLOOKUP(B2689, Products!$A$2:$E$100, 3, FALSE)</f>
        <v>8</v>
      </c>
      <c r="K2689">
        <f>VLOOKUP(B2689, Products!$A$2:$F$100, 4, FALSE)</f>
        <v>6</v>
      </c>
    </row>
    <row r="2690" spans="1:11" x14ac:dyDescent="0.3">
      <c r="A2690">
        <v>942</v>
      </c>
      <c r="B2690">
        <v>4</v>
      </c>
      <c r="C2690">
        <v>103</v>
      </c>
      <c r="D2690" t="str">
        <f>VLOOKUP(B2690, Products!$A$2:$C$100, 2, FALSE)</f>
        <v>Trek Fuel EX 8 29 - 2016</v>
      </c>
      <c r="E2690">
        <v>1</v>
      </c>
      <c r="F2690">
        <v>551.99</v>
      </c>
      <c r="G2690">
        <v>0.05</v>
      </c>
      <c r="H2690">
        <v>27.599500000000003</v>
      </c>
      <c r="I2690">
        <f>order_items[[#This Row],[list_price]]-order_items[[#This Row],[Discounted_price]]</f>
        <v>524.39049999999997</v>
      </c>
      <c r="J2690">
        <f>VLOOKUP(B2690, Products!$A$2:$E$100, 3, FALSE)</f>
        <v>9</v>
      </c>
      <c r="K2690">
        <f>VLOOKUP(B2690, Products!$A$2:$F$100, 4, FALSE)</f>
        <v>6</v>
      </c>
    </row>
    <row r="2691" spans="1:11" x14ac:dyDescent="0.3">
      <c r="A2691">
        <v>942</v>
      </c>
      <c r="B2691">
        <v>5</v>
      </c>
      <c r="C2691">
        <v>100</v>
      </c>
      <c r="D2691" t="str">
        <f>VLOOKUP(B2691, Products!$A$2:$C$100, 2, FALSE)</f>
        <v>Heller Shagamaw Frame - 2016</v>
      </c>
      <c r="E2691">
        <v>1</v>
      </c>
      <c r="F2691">
        <v>489.99</v>
      </c>
      <c r="G2691">
        <v>0.05</v>
      </c>
      <c r="H2691">
        <v>24.499500000000001</v>
      </c>
      <c r="I2691">
        <f>order_items[[#This Row],[list_price]]-order_items[[#This Row],[Discounted_price]]</f>
        <v>465.4905</v>
      </c>
      <c r="J2691">
        <f>VLOOKUP(B2691, Products!$A$2:$E$100, 3, FALSE)</f>
        <v>3</v>
      </c>
      <c r="K2691">
        <f>VLOOKUP(B2691, Products!$A$2:$F$100, 4, FALSE)</f>
        <v>6</v>
      </c>
    </row>
    <row r="2692" spans="1:11" x14ac:dyDescent="0.3">
      <c r="A2692">
        <v>943</v>
      </c>
      <c r="B2692">
        <v>1</v>
      </c>
      <c r="C2692">
        <v>25</v>
      </c>
      <c r="D2692" t="str">
        <f>VLOOKUP(B2692, Products!$A$2:$C$100, 2, FALSE)</f>
        <v>Trek 820 - 2016</v>
      </c>
      <c r="E2692">
        <v>1</v>
      </c>
      <c r="F2692">
        <v>499.99</v>
      </c>
      <c r="G2692">
        <v>0.2</v>
      </c>
      <c r="H2692">
        <v>99.998000000000005</v>
      </c>
      <c r="I2692">
        <f>order_items[[#This Row],[list_price]]-order_items[[#This Row],[Discounted_price]]</f>
        <v>399.99200000000002</v>
      </c>
      <c r="J2692">
        <f>VLOOKUP(B2692, Products!$A$2:$E$100, 3, FALSE)</f>
        <v>9</v>
      </c>
      <c r="K2692">
        <f>VLOOKUP(B2692, Products!$A$2:$F$100, 4, FALSE)</f>
        <v>6</v>
      </c>
    </row>
    <row r="2693" spans="1:11" x14ac:dyDescent="0.3">
      <c r="A2693">
        <v>943</v>
      </c>
      <c r="B2693">
        <v>2</v>
      </c>
      <c r="C2693">
        <v>82</v>
      </c>
      <c r="D2693" t="str">
        <f>VLOOKUP(B2693, Products!$A$2:$C$100, 2, FALSE)</f>
        <v>Ritchey Timberwolf Frameset - 2016</v>
      </c>
      <c r="E2693">
        <v>1</v>
      </c>
      <c r="F2693">
        <v>659.99</v>
      </c>
      <c r="G2693">
        <v>0.2</v>
      </c>
      <c r="H2693">
        <v>131.99800000000002</v>
      </c>
      <c r="I2693">
        <f>order_items[[#This Row],[list_price]]-order_items[[#This Row],[Discounted_price]]</f>
        <v>527.99199999999996</v>
      </c>
      <c r="J2693">
        <f>VLOOKUP(B2693, Products!$A$2:$E$100, 3, FALSE)</f>
        <v>5</v>
      </c>
      <c r="K2693">
        <f>VLOOKUP(B2693, Products!$A$2:$F$100, 4, FALSE)</f>
        <v>6</v>
      </c>
    </row>
    <row r="2694" spans="1:11" x14ac:dyDescent="0.3">
      <c r="A2694">
        <v>944</v>
      </c>
      <c r="B2694">
        <v>1</v>
      </c>
      <c r="C2694">
        <v>29</v>
      </c>
      <c r="D2694" t="str">
        <f>VLOOKUP(B2694, Products!$A$2:$C$100, 2, FALSE)</f>
        <v>Trek 820 - 2016</v>
      </c>
      <c r="E2694">
        <v>2</v>
      </c>
      <c r="F2694">
        <v>999.99</v>
      </c>
      <c r="G2694">
        <v>7.0000000000000007E-2</v>
      </c>
      <c r="H2694">
        <v>69.999300000000005</v>
      </c>
      <c r="I2694">
        <f>order_items[[#This Row],[list_price]]-order_items[[#This Row],[Discounted_price]]</f>
        <v>929.99070000000006</v>
      </c>
      <c r="J2694">
        <f>VLOOKUP(B2694, Products!$A$2:$E$100, 3, FALSE)</f>
        <v>9</v>
      </c>
      <c r="K2694">
        <f>VLOOKUP(B2694, Products!$A$2:$F$100, 4, FALSE)</f>
        <v>6</v>
      </c>
    </row>
    <row r="2695" spans="1:11" x14ac:dyDescent="0.3">
      <c r="A2695">
        <v>944</v>
      </c>
      <c r="B2695">
        <v>2</v>
      </c>
      <c r="C2695">
        <v>16</v>
      </c>
      <c r="D2695" t="str">
        <f>VLOOKUP(B2695, Products!$A$2:$C$100, 2, FALSE)</f>
        <v>Ritchey Timberwolf Frameset - 2016</v>
      </c>
      <c r="E2695">
        <v>2</v>
      </c>
      <c r="F2695">
        <v>599.99</v>
      </c>
      <c r="G2695">
        <v>0.1</v>
      </c>
      <c r="H2695">
        <v>59.999000000000002</v>
      </c>
      <c r="I2695">
        <f>order_items[[#This Row],[list_price]]-order_items[[#This Row],[Discounted_price]]</f>
        <v>539.99099999999999</v>
      </c>
      <c r="J2695">
        <f>VLOOKUP(B2695, Products!$A$2:$E$100, 3, FALSE)</f>
        <v>5</v>
      </c>
      <c r="K2695">
        <f>VLOOKUP(B2695, Products!$A$2:$F$100, 4, FALSE)</f>
        <v>6</v>
      </c>
    </row>
    <row r="2696" spans="1:11" x14ac:dyDescent="0.3">
      <c r="A2696">
        <v>944</v>
      </c>
      <c r="B2696">
        <v>3</v>
      </c>
      <c r="C2696">
        <v>70</v>
      </c>
      <c r="D2696" t="str">
        <f>VLOOKUP(B2696, Products!$A$2:$C$100, 2, FALSE)</f>
        <v>Surly Wednesday Frameset - 2016</v>
      </c>
      <c r="E2696">
        <v>2</v>
      </c>
      <c r="F2696">
        <v>659.99</v>
      </c>
      <c r="G2696">
        <v>0.2</v>
      </c>
      <c r="H2696">
        <v>131.99800000000002</v>
      </c>
      <c r="I2696">
        <f>order_items[[#This Row],[list_price]]-order_items[[#This Row],[Discounted_price]]</f>
        <v>527.99199999999996</v>
      </c>
      <c r="J2696">
        <f>VLOOKUP(B2696, Products!$A$2:$E$100, 3, FALSE)</f>
        <v>8</v>
      </c>
      <c r="K2696">
        <f>VLOOKUP(B2696, Products!$A$2:$F$100, 4, FALSE)</f>
        <v>6</v>
      </c>
    </row>
    <row r="2697" spans="1:11" x14ac:dyDescent="0.3">
      <c r="A2697">
        <v>944</v>
      </c>
      <c r="B2697">
        <v>4</v>
      </c>
      <c r="C2697">
        <v>85</v>
      </c>
      <c r="D2697" t="str">
        <f>VLOOKUP(B2697, Products!$A$2:$C$100, 2, FALSE)</f>
        <v>Trek Fuel EX 8 29 - 2016</v>
      </c>
      <c r="E2697">
        <v>2</v>
      </c>
      <c r="F2697">
        <v>329.99</v>
      </c>
      <c r="G2697">
        <v>0.2</v>
      </c>
      <c r="H2697">
        <v>65.998000000000005</v>
      </c>
      <c r="I2697">
        <f>order_items[[#This Row],[list_price]]-order_items[[#This Row],[Discounted_price]]</f>
        <v>263.99200000000002</v>
      </c>
      <c r="J2697">
        <f>VLOOKUP(B2697, Products!$A$2:$E$100, 3, FALSE)</f>
        <v>9</v>
      </c>
      <c r="K2697">
        <f>VLOOKUP(B2697, Products!$A$2:$F$100, 4, FALSE)</f>
        <v>6</v>
      </c>
    </row>
    <row r="2698" spans="1:11" x14ac:dyDescent="0.3">
      <c r="A2698">
        <v>944</v>
      </c>
      <c r="B2698">
        <v>5</v>
      </c>
      <c r="C2698">
        <v>69</v>
      </c>
      <c r="D2698" t="str">
        <f>VLOOKUP(B2698, Products!$A$2:$C$100, 2, FALSE)</f>
        <v>Heller Shagamaw Frame - 2016</v>
      </c>
      <c r="E2698">
        <v>2</v>
      </c>
      <c r="F2698">
        <v>416.99</v>
      </c>
      <c r="G2698">
        <v>7.0000000000000007E-2</v>
      </c>
      <c r="H2698">
        <v>29.189300000000003</v>
      </c>
      <c r="I2698">
        <f>order_items[[#This Row],[list_price]]-order_items[[#This Row],[Discounted_price]]</f>
        <v>387.80070000000001</v>
      </c>
      <c r="J2698">
        <f>VLOOKUP(B2698, Products!$A$2:$E$100, 3, FALSE)</f>
        <v>3</v>
      </c>
      <c r="K2698">
        <f>VLOOKUP(B2698, Products!$A$2:$F$100, 4, FALSE)</f>
        <v>6</v>
      </c>
    </row>
    <row r="2699" spans="1:11" x14ac:dyDescent="0.3">
      <c r="A2699">
        <v>945</v>
      </c>
      <c r="B2699">
        <v>1</v>
      </c>
      <c r="C2699">
        <v>105</v>
      </c>
      <c r="D2699" t="str">
        <f>VLOOKUP(B2699, Products!$A$2:$C$100, 2, FALSE)</f>
        <v>Trek 820 - 2016</v>
      </c>
      <c r="E2699">
        <v>1</v>
      </c>
      <c r="F2699">
        <v>533.99</v>
      </c>
      <c r="G2699">
        <v>0.05</v>
      </c>
      <c r="H2699">
        <v>26.6995</v>
      </c>
      <c r="I2699">
        <f>order_items[[#This Row],[list_price]]-order_items[[#This Row],[Discounted_price]]</f>
        <v>507.29050000000001</v>
      </c>
      <c r="J2699">
        <f>VLOOKUP(B2699, Products!$A$2:$E$100, 3, FALSE)</f>
        <v>9</v>
      </c>
      <c r="K2699">
        <f>VLOOKUP(B2699, Products!$A$2:$F$100, 4, FALSE)</f>
        <v>6</v>
      </c>
    </row>
    <row r="2700" spans="1:11" x14ac:dyDescent="0.3">
      <c r="A2700">
        <v>945</v>
      </c>
      <c r="B2700">
        <v>2</v>
      </c>
      <c r="C2700">
        <v>94</v>
      </c>
      <c r="D2700" t="str">
        <f>VLOOKUP(B2700, Products!$A$2:$C$100, 2, FALSE)</f>
        <v>Ritchey Timberwolf Frameset - 2016</v>
      </c>
      <c r="E2700">
        <v>2</v>
      </c>
      <c r="F2700">
        <v>249.99</v>
      </c>
      <c r="G2700">
        <v>0.2</v>
      </c>
      <c r="H2700">
        <v>49.998000000000005</v>
      </c>
      <c r="I2700">
        <f>order_items[[#This Row],[list_price]]-order_items[[#This Row],[Discounted_price]]</f>
        <v>199.99200000000002</v>
      </c>
      <c r="J2700">
        <f>VLOOKUP(B2700, Products!$A$2:$E$100, 3, FALSE)</f>
        <v>5</v>
      </c>
      <c r="K2700">
        <f>VLOOKUP(B2700, Products!$A$2:$F$100, 4, FALSE)</f>
        <v>6</v>
      </c>
    </row>
    <row r="2701" spans="1:11" x14ac:dyDescent="0.3">
      <c r="A2701">
        <v>945</v>
      </c>
      <c r="B2701">
        <v>3</v>
      </c>
      <c r="C2701">
        <v>34</v>
      </c>
      <c r="D2701" t="str">
        <f>VLOOKUP(B2701, Products!$A$2:$C$100, 2, FALSE)</f>
        <v>Surly Wednesday Frameset - 2016</v>
      </c>
      <c r="E2701">
        <v>2</v>
      </c>
      <c r="F2701">
        <v>469.99</v>
      </c>
      <c r="G2701">
        <v>0.05</v>
      </c>
      <c r="H2701">
        <v>23.499500000000001</v>
      </c>
      <c r="I2701">
        <f>order_items[[#This Row],[list_price]]-order_items[[#This Row],[Discounted_price]]</f>
        <v>446.4905</v>
      </c>
      <c r="J2701">
        <f>VLOOKUP(B2701, Products!$A$2:$E$100, 3, FALSE)</f>
        <v>8</v>
      </c>
      <c r="K2701">
        <f>VLOOKUP(B2701, Products!$A$2:$F$100, 4, FALSE)</f>
        <v>6</v>
      </c>
    </row>
    <row r="2702" spans="1:11" x14ac:dyDescent="0.3">
      <c r="A2702">
        <v>945</v>
      </c>
      <c r="B2702">
        <v>4</v>
      </c>
      <c r="C2702">
        <v>44</v>
      </c>
      <c r="D2702" t="str">
        <f>VLOOKUP(B2702, Products!$A$2:$C$100, 2, FALSE)</f>
        <v>Trek Fuel EX 8 29 - 2016</v>
      </c>
      <c r="E2702">
        <v>2</v>
      </c>
      <c r="F2702">
        <v>539.99</v>
      </c>
      <c r="G2702">
        <v>0.1</v>
      </c>
      <c r="H2702">
        <v>53.999000000000002</v>
      </c>
      <c r="I2702">
        <f>order_items[[#This Row],[list_price]]-order_items[[#This Row],[Discounted_price]]</f>
        <v>485.99099999999999</v>
      </c>
      <c r="J2702">
        <f>VLOOKUP(B2702, Products!$A$2:$E$100, 3, FALSE)</f>
        <v>9</v>
      </c>
      <c r="K2702">
        <f>VLOOKUP(B2702, Products!$A$2:$F$100, 4, FALSE)</f>
        <v>6</v>
      </c>
    </row>
    <row r="2703" spans="1:11" x14ac:dyDescent="0.3">
      <c r="A2703">
        <v>945</v>
      </c>
      <c r="B2703">
        <v>5</v>
      </c>
      <c r="C2703">
        <v>50</v>
      </c>
      <c r="D2703" t="str">
        <f>VLOOKUP(B2703, Products!$A$2:$C$100, 2, FALSE)</f>
        <v>Heller Shagamaw Frame - 2016</v>
      </c>
      <c r="E2703">
        <v>2</v>
      </c>
      <c r="F2703">
        <v>5999.99</v>
      </c>
      <c r="G2703">
        <v>0.05</v>
      </c>
      <c r="H2703">
        <v>299.99950000000001</v>
      </c>
      <c r="I2703">
        <f>order_items[[#This Row],[list_price]]-order_items[[#This Row],[Discounted_price]]</f>
        <v>5699.9904999999999</v>
      </c>
      <c r="J2703">
        <f>VLOOKUP(B2703, Products!$A$2:$E$100, 3, FALSE)</f>
        <v>3</v>
      </c>
      <c r="K2703">
        <f>VLOOKUP(B2703, Products!$A$2:$F$100, 4, FALSE)</f>
        <v>6</v>
      </c>
    </row>
    <row r="2704" spans="1:11" x14ac:dyDescent="0.3">
      <c r="A2704">
        <v>946</v>
      </c>
      <c r="B2704">
        <v>1</v>
      </c>
      <c r="C2704">
        <v>7</v>
      </c>
      <c r="D2704" t="str">
        <f>VLOOKUP(B2704, Products!$A$2:$C$100, 2, FALSE)</f>
        <v>Trek 820 - 2016</v>
      </c>
      <c r="E2704">
        <v>1</v>
      </c>
      <c r="F2704">
        <v>3999.99</v>
      </c>
      <c r="G2704">
        <v>0.1</v>
      </c>
      <c r="H2704">
        <v>399.99900000000002</v>
      </c>
      <c r="I2704">
        <f>order_items[[#This Row],[list_price]]-order_items[[#This Row],[Discounted_price]]</f>
        <v>3599.991</v>
      </c>
      <c r="J2704">
        <f>VLOOKUP(B2704, Products!$A$2:$E$100, 3, FALSE)</f>
        <v>9</v>
      </c>
      <c r="K2704">
        <f>VLOOKUP(B2704, Products!$A$2:$F$100, 4, FALSE)</f>
        <v>6</v>
      </c>
    </row>
    <row r="2705" spans="1:11" x14ac:dyDescent="0.3">
      <c r="A2705">
        <v>946</v>
      </c>
      <c r="B2705">
        <v>2</v>
      </c>
      <c r="C2705">
        <v>85</v>
      </c>
      <c r="D2705" t="str">
        <f>VLOOKUP(B2705, Products!$A$2:$C$100, 2, FALSE)</f>
        <v>Ritchey Timberwolf Frameset - 2016</v>
      </c>
      <c r="E2705">
        <v>2</v>
      </c>
      <c r="F2705">
        <v>329.99</v>
      </c>
      <c r="G2705">
        <v>0.2</v>
      </c>
      <c r="H2705">
        <v>65.998000000000005</v>
      </c>
      <c r="I2705">
        <f>order_items[[#This Row],[list_price]]-order_items[[#This Row],[Discounted_price]]</f>
        <v>263.99200000000002</v>
      </c>
      <c r="J2705">
        <f>VLOOKUP(B2705, Products!$A$2:$E$100, 3, FALSE)</f>
        <v>5</v>
      </c>
      <c r="K2705">
        <f>VLOOKUP(B2705, Products!$A$2:$F$100, 4, FALSE)</f>
        <v>6</v>
      </c>
    </row>
    <row r="2706" spans="1:11" x14ac:dyDescent="0.3">
      <c r="A2706">
        <v>946</v>
      </c>
      <c r="B2706">
        <v>3</v>
      </c>
      <c r="C2706">
        <v>62</v>
      </c>
      <c r="D2706" t="str">
        <f>VLOOKUP(B2706, Products!$A$2:$C$100, 2, FALSE)</f>
        <v>Surly Wednesday Frameset - 2016</v>
      </c>
      <c r="E2706">
        <v>1</v>
      </c>
      <c r="F2706">
        <v>3499.99</v>
      </c>
      <c r="G2706">
        <v>0.05</v>
      </c>
      <c r="H2706">
        <v>174.99950000000001</v>
      </c>
      <c r="I2706">
        <f>order_items[[#This Row],[list_price]]-order_items[[#This Row],[Discounted_price]]</f>
        <v>3324.9904999999999</v>
      </c>
      <c r="J2706">
        <f>VLOOKUP(B2706, Products!$A$2:$E$100, 3, FALSE)</f>
        <v>8</v>
      </c>
      <c r="K2706">
        <f>VLOOKUP(B2706, Products!$A$2:$F$100, 4, FALSE)</f>
        <v>6</v>
      </c>
    </row>
    <row r="2707" spans="1:11" x14ac:dyDescent="0.3">
      <c r="A2707">
        <v>946</v>
      </c>
      <c r="B2707">
        <v>4</v>
      </c>
      <c r="C2707">
        <v>22</v>
      </c>
      <c r="D2707" t="str">
        <f>VLOOKUP(B2707, Products!$A$2:$C$100, 2, FALSE)</f>
        <v>Trek Fuel EX 8 29 - 2016</v>
      </c>
      <c r="E2707">
        <v>2</v>
      </c>
      <c r="F2707">
        <v>269.99</v>
      </c>
      <c r="G2707">
        <v>0.2</v>
      </c>
      <c r="H2707">
        <v>53.998000000000005</v>
      </c>
      <c r="I2707">
        <f>order_items[[#This Row],[list_price]]-order_items[[#This Row],[Discounted_price]]</f>
        <v>215.99200000000002</v>
      </c>
      <c r="J2707">
        <f>VLOOKUP(B2707, Products!$A$2:$E$100, 3, FALSE)</f>
        <v>9</v>
      </c>
      <c r="K2707">
        <f>VLOOKUP(B2707, Products!$A$2:$F$100, 4, FALSE)</f>
        <v>6</v>
      </c>
    </row>
    <row r="2708" spans="1:11" x14ac:dyDescent="0.3">
      <c r="A2708">
        <v>946</v>
      </c>
      <c r="B2708">
        <v>5</v>
      </c>
      <c r="C2708">
        <v>56</v>
      </c>
      <c r="D2708" t="str">
        <f>VLOOKUP(B2708, Products!$A$2:$C$100, 2, FALSE)</f>
        <v>Heller Shagamaw Frame - 2016</v>
      </c>
      <c r="E2708">
        <v>2</v>
      </c>
      <c r="F2708">
        <v>5499.99</v>
      </c>
      <c r="G2708">
        <v>7.0000000000000007E-2</v>
      </c>
      <c r="H2708">
        <v>384.99930000000001</v>
      </c>
      <c r="I2708">
        <f>order_items[[#This Row],[list_price]]-order_items[[#This Row],[Discounted_price]]</f>
        <v>5114.9906999999994</v>
      </c>
      <c r="J2708">
        <f>VLOOKUP(B2708, Products!$A$2:$E$100, 3, FALSE)</f>
        <v>3</v>
      </c>
      <c r="K2708">
        <f>VLOOKUP(B2708, Products!$A$2:$F$100, 4, FALSE)</f>
        <v>6</v>
      </c>
    </row>
    <row r="2709" spans="1:11" x14ac:dyDescent="0.3">
      <c r="A2709">
        <v>947</v>
      </c>
      <c r="B2709">
        <v>1</v>
      </c>
      <c r="C2709">
        <v>32</v>
      </c>
      <c r="D2709" t="str">
        <f>VLOOKUP(B2709, Products!$A$2:$C$100, 2, FALSE)</f>
        <v>Trek 820 - 2016</v>
      </c>
      <c r="E2709">
        <v>1</v>
      </c>
      <c r="F2709">
        <v>469.99</v>
      </c>
      <c r="G2709">
        <v>0.05</v>
      </c>
      <c r="H2709">
        <v>23.499500000000001</v>
      </c>
      <c r="I2709">
        <f>order_items[[#This Row],[list_price]]-order_items[[#This Row],[Discounted_price]]</f>
        <v>446.4905</v>
      </c>
      <c r="J2709">
        <f>VLOOKUP(B2709, Products!$A$2:$E$100, 3, FALSE)</f>
        <v>9</v>
      </c>
      <c r="K2709">
        <f>VLOOKUP(B2709, Products!$A$2:$F$100, 4, FALSE)</f>
        <v>6</v>
      </c>
    </row>
    <row r="2710" spans="1:11" x14ac:dyDescent="0.3">
      <c r="A2710">
        <v>947</v>
      </c>
      <c r="B2710">
        <v>2</v>
      </c>
      <c r="C2710">
        <v>42</v>
      </c>
      <c r="D2710" t="str">
        <f>VLOOKUP(B2710, Products!$A$2:$C$100, 2, FALSE)</f>
        <v>Ritchey Timberwolf Frameset - 2016</v>
      </c>
      <c r="E2710">
        <v>2</v>
      </c>
      <c r="F2710">
        <v>2299.9899999999998</v>
      </c>
      <c r="G2710">
        <v>7.0000000000000007E-2</v>
      </c>
      <c r="H2710">
        <v>160.99930000000001</v>
      </c>
      <c r="I2710">
        <f>order_items[[#This Row],[list_price]]-order_items[[#This Row],[Discounted_price]]</f>
        <v>2138.9906999999998</v>
      </c>
      <c r="J2710">
        <f>VLOOKUP(B2710, Products!$A$2:$E$100, 3, FALSE)</f>
        <v>5</v>
      </c>
      <c r="K2710">
        <f>VLOOKUP(B2710, Products!$A$2:$F$100, 4, FALSE)</f>
        <v>6</v>
      </c>
    </row>
    <row r="2711" spans="1:11" x14ac:dyDescent="0.3">
      <c r="A2711">
        <v>947</v>
      </c>
      <c r="B2711">
        <v>3</v>
      </c>
      <c r="C2711">
        <v>44</v>
      </c>
      <c r="D2711" t="str">
        <f>VLOOKUP(B2711, Products!$A$2:$C$100, 2, FALSE)</f>
        <v>Surly Wednesday Frameset - 2016</v>
      </c>
      <c r="E2711">
        <v>1</v>
      </c>
      <c r="F2711">
        <v>539.99</v>
      </c>
      <c r="G2711">
        <v>7.0000000000000007E-2</v>
      </c>
      <c r="H2711">
        <v>37.799300000000002</v>
      </c>
      <c r="I2711">
        <f>order_items[[#This Row],[list_price]]-order_items[[#This Row],[Discounted_price]]</f>
        <v>502.19069999999999</v>
      </c>
      <c r="J2711">
        <f>VLOOKUP(B2711, Products!$A$2:$E$100, 3, FALSE)</f>
        <v>8</v>
      </c>
      <c r="K2711">
        <f>VLOOKUP(B2711, Products!$A$2:$F$100, 4, FALSE)</f>
        <v>6</v>
      </c>
    </row>
    <row r="2712" spans="1:11" x14ac:dyDescent="0.3">
      <c r="A2712">
        <v>948</v>
      </c>
      <c r="B2712">
        <v>1</v>
      </c>
      <c r="C2712">
        <v>23</v>
      </c>
      <c r="D2712" t="str">
        <f>VLOOKUP(B2712, Products!$A$2:$C$100, 2, FALSE)</f>
        <v>Trek 820 - 2016</v>
      </c>
      <c r="E2712">
        <v>2</v>
      </c>
      <c r="F2712">
        <v>299.99</v>
      </c>
      <c r="G2712">
        <v>0.2</v>
      </c>
      <c r="H2712">
        <v>59.998000000000005</v>
      </c>
      <c r="I2712">
        <f>order_items[[#This Row],[list_price]]-order_items[[#This Row],[Discounted_price]]</f>
        <v>239.99200000000002</v>
      </c>
      <c r="J2712">
        <f>VLOOKUP(B2712, Products!$A$2:$E$100, 3, FALSE)</f>
        <v>9</v>
      </c>
      <c r="K2712">
        <f>VLOOKUP(B2712, Products!$A$2:$F$100, 4, FALSE)</f>
        <v>6</v>
      </c>
    </row>
    <row r="2713" spans="1:11" x14ac:dyDescent="0.3">
      <c r="A2713">
        <v>948</v>
      </c>
      <c r="B2713">
        <v>2</v>
      </c>
      <c r="C2713">
        <v>20</v>
      </c>
      <c r="D2713" t="str">
        <f>VLOOKUP(B2713, Products!$A$2:$C$100, 2, FALSE)</f>
        <v>Ritchey Timberwolf Frameset - 2016</v>
      </c>
      <c r="E2713">
        <v>2</v>
      </c>
      <c r="F2713">
        <v>599.99</v>
      </c>
      <c r="G2713">
        <v>0.1</v>
      </c>
      <c r="H2713">
        <v>59.999000000000002</v>
      </c>
      <c r="I2713">
        <f>order_items[[#This Row],[list_price]]-order_items[[#This Row],[Discounted_price]]</f>
        <v>539.99099999999999</v>
      </c>
      <c r="J2713">
        <f>VLOOKUP(B2713, Products!$A$2:$E$100, 3, FALSE)</f>
        <v>5</v>
      </c>
      <c r="K2713">
        <f>VLOOKUP(B2713, Products!$A$2:$F$100, 4, FALSE)</f>
        <v>6</v>
      </c>
    </row>
    <row r="2714" spans="1:11" x14ac:dyDescent="0.3">
      <c r="A2714">
        <v>948</v>
      </c>
      <c r="B2714">
        <v>3</v>
      </c>
      <c r="C2714">
        <v>101</v>
      </c>
      <c r="D2714" t="str">
        <f>VLOOKUP(B2714, Products!$A$2:$C$100, 2, FALSE)</f>
        <v>Surly Wednesday Frameset - 2016</v>
      </c>
      <c r="E2714">
        <v>1</v>
      </c>
      <c r="F2714">
        <v>339.99</v>
      </c>
      <c r="G2714">
        <v>0.2</v>
      </c>
      <c r="H2714">
        <v>67.998000000000005</v>
      </c>
      <c r="I2714">
        <f>order_items[[#This Row],[list_price]]-order_items[[#This Row],[Discounted_price]]</f>
        <v>271.99200000000002</v>
      </c>
      <c r="J2714">
        <f>VLOOKUP(B2714, Products!$A$2:$E$100, 3, FALSE)</f>
        <v>8</v>
      </c>
      <c r="K2714">
        <f>VLOOKUP(B2714, Products!$A$2:$F$100, 4, FALSE)</f>
        <v>6</v>
      </c>
    </row>
    <row r="2715" spans="1:11" x14ac:dyDescent="0.3">
      <c r="A2715">
        <v>948</v>
      </c>
      <c r="B2715">
        <v>4</v>
      </c>
      <c r="C2715">
        <v>92</v>
      </c>
      <c r="D2715" t="str">
        <f>VLOOKUP(B2715, Products!$A$2:$C$100, 2, FALSE)</f>
        <v>Trek Fuel EX 8 29 - 2016</v>
      </c>
      <c r="E2715">
        <v>2</v>
      </c>
      <c r="F2715">
        <v>209.99</v>
      </c>
      <c r="G2715">
        <v>0.2</v>
      </c>
      <c r="H2715">
        <v>41.998000000000005</v>
      </c>
      <c r="I2715">
        <f>order_items[[#This Row],[list_price]]-order_items[[#This Row],[Discounted_price]]</f>
        <v>167.99200000000002</v>
      </c>
      <c r="J2715">
        <f>VLOOKUP(B2715, Products!$A$2:$E$100, 3, FALSE)</f>
        <v>9</v>
      </c>
      <c r="K2715">
        <f>VLOOKUP(B2715, Products!$A$2:$F$100, 4, FALSE)</f>
        <v>6</v>
      </c>
    </row>
    <row r="2716" spans="1:11" x14ac:dyDescent="0.3">
      <c r="A2716">
        <v>948</v>
      </c>
      <c r="B2716">
        <v>5</v>
      </c>
      <c r="C2716">
        <v>72</v>
      </c>
      <c r="D2716" t="str">
        <f>VLOOKUP(B2716, Products!$A$2:$C$100, 2, FALSE)</f>
        <v>Heller Shagamaw Frame - 2016</v>
      </c>
      <c r="E2716">
        <v>2</v>
      </c>
      <c r="F2716">
        <v>619.99</v>
      </c>
      <c r="G2716">
        <v>0.2</v>
      </c>
      <c r="H2716">
        <v>123.998</v>
      </c>
      <c r="I2716">
        <f>order_items[[#This Row],[list_price]]-order_items[[#This Row],[Discounted_price]]</f>
        <v>495.99200000000002</v>
      </c>
      <c r="J2716">
        <f>VLOOKUP(B2716, Products!$A$2:$E$100, 3, FALSE)</f>
        <v>3</v>
      </c>
      <c r="K2716">
        <f>VLOOKUP(B2716, Products!$A$2:$F$100, 4, FALSE)</f>
        <v>6</v>
      </c>
    </row>
    <row r="2717" spans="1:11" x14ac:dyDescent="0.3">
      <c r="A2717">
        <v>949</v>
      </c>
      <c r="B2717">
        <v>1</v>
      </c>
      <c r="C2717">
        <v>9</v>
      </c>
      <c r="D2717" t="str">
        <f>VLOOKUP(B2717, Products!$A$2:$C$100, 2, FALSE)</f>
        <v>Trek 820 - 2016</v>
      </c>
      <c r="E2717">
        <v>2</v>
      </c>
      <c r="F2717">
        <v>2999.99</v>
      </c>
      <c r="G2717">
        <v>0.1</v>
      </c>
      <c r="H2717">
        <v>299.99899999999997</v>
      </c>
      <c r="I2717">
        <f>order_items[[#This Row],[list_price]]-order_items[[#This Row],[Discounted_price]]</f>
        <v>2699.991</v>
      </c>
      <c r="J2717">
        <f>VLOOKUP(B2717, Products!$A$2:$E$100, 3, FALSE)</f>
        <v>9</v>
      </c>
      <c r="K2717">
        <f>VLOOKUP(B2717, Products!$A$2:$F$100, 4, FALSE)</f>
        <v>6</v>
      </c>
    </row>
    <row r="2718" spans="1:11" x14ac:dyDescent="0.3">
      <c r="A2718">
        <v>949</v>
      </c>
      <c r="B2718">
        <v>2</v>
      </c>
      <c r="C2718">
        <v>55</v>
      </c>
      <c r="D2718" t="str">
        <f>VLOOKUP(B2718, Products!$A$2:$C$100, 2, FALSE)</f>
        <v>Ritchey Timberwolf Frameset - 2016</v>
      </c>
      <c r="E2718">
        <v>2</v>
      </c>
      <c r="F2718">
        <v>2699.99</v>
      </c>
      <c r="G2718">
        <v>0.05</v>
      </c>
      <c r="H2718">
        <v>134.99949999999998</v>
      </c>
      <c r="I2718">
        <f>order_items[[#This Row],[list_price]]-order_items[[#This Row],[Discounted_price]]</f>
        <v>2564.9904999999999</v>
      </c>
      <c r="J2718">
        <f>VLOOKUP(B2718, Products!$A$2:$E$100, 3, FALSE)</f>
        <v>5</v>
      </c>
      <c r="K2718">
        <f>VLOOKUP(B2718, Products!$A$2:$F$100, 4, FALSE)</f>
        <v>6</v>
      </c>
    </row>
    <row r="2719" spans="1:11" x14ac:dyDescent="0.3">
      <c r="A2719">
        <v>950</v>
      </c>
      <c r="B2719">
        <v>1</v>
      </c>
      <c r="C2719">
        <v>56</v>
      </c>
      <c r="D2719" t="str">
        <f>VLOOKUP(B2719, Products!$A$2:$C$100, 2, FALSE)</f>
        <v>Trek 820 - 2016</v>
      </c>
      <c r="E2719">
        <v>1</v>
      </c>
      <c r="F2719">
        <v>5499.99</v>
      </c>
      <c r="G2719">
        <v>0.05</v>
      </c>
      <c r="H2719">
        <v>274.99950000000001</v>
      </c>
      <c r="I2719">
        <f>order_items[[#This Row],[list_price]]-order_items[[#This Row],[Discounted_price]]</f>
        <v>5224.9904999999999</v>
      </c>
      <c r="J2719">
        <f>VLOOKUP(B2719, Products!$A$2:$E$100, 3, FALSE)</f>
        <v>9</v>
      </c>
      <c r="K2719">
        <f>VLOOKUP(B2719, Products!$A$2:$F$100, 4, FALSE)</f>
        <v>6</v>
      </c>
    </row>
    <row r="2720" spans="1:11" x14ac:dyDescent="0.3">
      <c r="A2720">
        <v>951</v>
      </c>
      <c r="B2720">
        <v>1</v>
      </c>
      <c r="C2720">
        <v>59</v>
      </c>
      <c r="D2720" t="str">
        <f>VLOOKUP(B2720, Products!$A$2:$C$100, 2, FALSE)</f>
        <v>Trek 820 - 2016</v>
      </c>
      <c r="E2720">
        <v>1</v>
      </c>
      <c r="F2720">
        <v>2599.9899999999998</v>
      </c>
      <c r="G2720">
        <v>0.1</v>
      </c>
      <c r="H2720">
        <v>259.99899999999997</v>
      </c>
      <c r="I2720">
        <f>order_items[[#This Row],[list_price]]-order_items[[#This Row],[Discounted_price]]</f>
        <v>2339.991</v>
      </c>
      <c r="J2720">
        <f>VLOOKUP(B2720, Products!$A$2:$E$100, 3, FALSE)</f>
        <v>9</v>
      </c>
      <c r="K2720">
        <f>VLOOKUP(B2720, Products!$A$2:$F$100, 4, FALSE)</f>
        <v>6</v>
      </c>
    </row>
    <row r="2721" spans="1:11" x14ac:dyDescent="0.3">
      <c r="A2721">
        <v>951</v>
      </c>
      <c r="B2721">
        <v>2</v>
      </c>
      <c r="C2721">
        <v>43</v>
      </c>
      <c r="D2721" t="str">
        <f>VLOOKUP(B2721, Products!$A$2:$C$100, 2, FALSE)</f>
        <v>Ritchey Timberwolf Frameset - 2016</v>
      </c>
      <c r="E2721">
        <v>2</v>
      </c>
      <c r="F2721">
        <v>5299.99</v>
      </c>
      <c r="G2721">
        <v>0.1</v>
      </c>
      <c r="H2721">
        <v>529.99900000000002</v>
      </c>
      <c r="I2721">
        <f>order_items[[#This Row],[list_price]]-order_items[[#This Row],[Discounted_price]]</f>
        <v>4769.991</v>
      </c>
      <c r="J2721">
        <f>VLOOKUP(B2721, Products!$A$2:$E$100, 3, FALSE)</f>
        <v>5</v>
      </c>
      <c r="K2721">
        <f>VLOOKUP(B2721, Products!$A$2:$F$100, 4, FALSE)</f>
        <v>6</v>
      </c>
    </row>
    <row r="2722" spans="1:11" x14ac:dyDescent="0.3">
      <c r="A2722">
        <v>951</v>
      </c>
      <c r="B2722">
        <v>3</v>
      </c>
      <c r="C2722">
        <v>62</v>
      </c>
      <c r="D2722" t="str">
        <f>VLOOKUP(B2722, Products!$A$2:$C$100, 2, FALSE)</f>
        <v>Surly Wednesday Frameset - 2016</v>
      </c>
      <c r="E2722">
        <v>2</v>
      </c>
      <c r="F2722">
        <v>3499.99</v>
      </c>
      <c r="G2722">
        <v>0.2</v>
      </c>
      <c r="H2722">
        <v>699.99800000000005</v>
      </c>
      <c r="I2722">
        <f>order_items[[#This Row],[list_price]]-order_items[[#This Row],[Discounted_price]]</f>
        <v>2799.9919999999997</v>
      </c>
      <c r="J2722">
        <f>VLOOKUP(B2722, Products!$A$2:$E$100, 3, FALSE)</f>
        <v>8</v>
      </c>
      <c r="K2722">
        <f>VLOOKUP(B2722, Products!$A$2:$F$100, 4, FALSE)</f>
        <v>6</v>
      </c>
    </row>
    <row r="2723" spans="1:11" x14ac:dyDescent="0.3">
      <c r="A2723">
        <v>952</v>
      </c>
      <c r="B2723">
        <v>1</v>
      </c>
      <c r="C2723">
        <v>20</v>
      </c>
      <c r="D2723" t="str">
        <f>VLOOKUP(B2723, Products!$A$2:$C$100, 2, FALSE)</f>
        <v>Trek 820 - 2016</v>
      </c>
      <c r="E2723">
        <v>2</v>
      </c>
      <c r="F2723">
        <v>599.99</v>
      </c>
      <c r="G2723">
        <v>7.0000000000000007E-2</v>
      </c>
      <c r="H2723">
        <v>41.999300000000005</v>
      </c>
      <c r="I2723">
        <f>order_items[[#This Row],[list_price]]-order_items[[#This Row],[Discounted_price]]</f>
        <v>557.99070000000006</v>
      </c>
      <c r="J2723">
        <f>VLOOKUP(B2723, Products!$A$2:$E$100, 3, FALSE)</f>
        <v>9</v>
      </c>
      <c r="K2723">
        <f>VLOOKUP(B2723, Products!$A$2:$F$100, 4, FALSE)</f>
        <v>6</v>
      </c>
    </row>
    <row r="2724" spans="1:11" x14ac:dyDescent="0.3">
      <c r="A2724">
        <v>952</v>
      </c>
      <c r="B2724">
        <v>2</v>
      </c>
      <c r="C2724">
        <v>57</v>
      </c>
      <c r="D2724" t="str">
        <f>VLOOKUP(B2724, Products!$A$2:$C$100, 2, FALSE)</f>
        <v>Ritchey Timberwolf Frameset - 2016</v>
      </c>
      <c r="E2724">
        <v>1</v>
      </c>
      <c r="F2724">
        <v>1999.99</v>
      </c>
      <c r="G2724">
        <v>0.05</v>
      </c>
      <c r="H2724">
        <v>99.999500000000012</v>
      </c>
      <c r="I2724">
        <f>order_items[[#This Row],[list_price]]-order_items[[#This Row],[Discounted_price]]</f>
        <v>1899.9904999999999</v>
      </c>
      <c r="J2724">
        <f>VLOOKUP(B2724, Products!$A$2:$E$100, 3, FALSE)</f>
        <v>5</v>
      </c>
      <c r="K2724">
        <f>VLOOKUP(B2724, Products!$A$2:$F$100, 4, FALSE)</f>
        <v>6</v>
      </c>
    </row>
    <row r="2725" spans="1:11" x14ac:dyDescent="0.3">
      <c r="A2725">
        <v>953</v>
      </c>
      <c r="B2725">
        <v>1</v>
      </c>
      <c r="C2725">
        <v>23</v>
      </c>
      <c r="D2725" t="str">
        <f>VLOOKUP(B2725, Products!$A$2:$C$100, 2, FALSE)</f>
        <v>Trek 820 - 2016</v>
      </c>
      <c r="E2725">
        <v>2</v>
      </c>
      <c r="F2725">
        <v>299.99</v>
      </c>
      <c r="G2725">
        <v>7.0000000000000007E-2</v>
      </c>
      <c r="H2725">
        <v>20.999300000000002</v>
      </c>
      <c r="I2725">
        <f>order_items[[#This Row],[list_price]]-order_items[[#This Row],[Discounted_price]]</f>
        <v>278.9907</v>
      </c>
      <c r="J2725">
        <f>VLOOKUP(B2725, Products!$A$2:$E$100, 3, FALSE)</f>
        <v>9</v>
      </c>
      <c r="K2725">
        <f>VLOOKUP(B2725, Products!$A$2:$F$100, 4, FALSE)</f>
        <v>6</v>
      </c>
    </row>
    <row r="2726" spans="1:11" x14ac:dyDescent="0.3">
      <c r="A2726">
        <v>954</v>
      </c>
      <c r="B2726">
        <v>1</v>
      </c>
      <c r="C2726">
        <v>4</v>
      </c>
      <c r="D2726" t="str">
        <f>VLOOKUP(B2726, Products!$A$2:$C$100, 2, FALSE)</f>
        <v>Trek 820 - 2016</v>
      </c>
      <c r="E2726">
        <v>2</v>
      </c>
      <c r="F2726">
        <v>2899.99</v>
      </c>
      <c r="G2726">
        <v>0.1</v>
      </c>
      <c r="H2726">
        <v>289.99899999999997</v>
      </c>
      <c r="I2726">
        <f>order_items[[#This Row],[list_price]]-order_items[[#This Row],[Discounted_price]]</f>
        <v>2609.991</v>
      </c>
      <c r="J2726">
        <f>VLOOKUP(B2726, Products!$A$2:$E$100, 3, FALSE)</f>
        <v>9</v>
      </c>
      <c r="K2726">
        <f>VLOOKUP(B2726, Products!$A$2:$F$100, 4, FALSE)</f>
        <v>6</v>
      </c>
    </row>
    <row r="2727" spans="1:11" x14ac:dyDescent="0.3">
      <c r="A2727">
        <v>955</v>
      </c>
      <c r="B2727">
        <v>1</v>
      </c>
      <c r="C2727">
        <v>43</v>
      </c>
      <c r="D2727" t="str">
        <f>VLOOKUP(B2727, Products!$A$2:$C$100, 2, FALSE)</f>
        <v>Trek 820 - 2016</v>
      </c>
      <c r="E2727">
        <v>1</v>
      </c>
      <c r="F2727">
        <v>5299.99</v>
      </c>
      <c r="G2727">
        <v>0.1</v>
      </c>
      <c r="H2727">
        <v>529.99900000000002</v>
      </c>
      <c r="I2727">
        <f>order_items[[#This Row],[list_price]]-order_items[[#This Row],[Discounted_price]]</f>
        <v>4769.991</v>
      </c>
      <c r="J2727">
        <f>VLOOKUP(B2727, Products!$A$2:$E$100, 3, FALSE)</f>
        <v>9</v>
      </c>
      <c r="K2727">
        <f>VLOOKUP(B2727, Products!$A$2:$F$100, 4, FALSE)</f>
        <v>6</v>
      </c>
    </row>
    <row r="2728" spans="1:11" x14ac:dyDescent="0.3">
      <c r="A2728">
        <v>955</v>
      </c>
      <c r="B2728">
        <v>2</v>
      </c>
      <c r="C2728">
        <v>31</v>
      </c>
      <c r="D2728" t="str">
        <f>VLOOKUP(B2728, Products!$A$2:$C$100, 2, FALSE)</f>
        <v>Ritchey Timberwolf Frameset - 2016</v>
      </c>
      <c r="E2728">
        <v>2</v>
      </c>
      <c r="F2728">
        <v>1632.99</v>
      </c>
      <c r="G2728">
        <v>7.0000000000000007E-2</v>
      </c>
      <c r="H2728">
        <v>114.30930000000001</v>
      </c>
      <c r="I2728">
        <f>order_items[[#This Row],[list_price]]-order_items[[#This Row],[Discounted_price]]</f>
        <v>1518.6806999999999</v>
      </c>
      <c r="J2728">
        <f>VLOOKUP(B2728, Products!$A$2:$E$100, 3, FALSE)</f>
        <v>5</v>
      </c>
      <c r="K2728">
        <f>VLOOKUP(B2728, Products!$A$2:$F$100, 4, FALSE)</f>
        <v>6</v>
      </c>
    </row>
    <row r="2729" spans="1:11" x14ac:dyDescent="0.3">
      <c r="A2729">
        <v>955</v>
      </c>
      <c r="B2729">
        <v>3</v>
      </c>
      <c r="C2729">
        <v>96</v>
      </c>
      <c r="D2729" t="str">
        <f>VLOOKUP(B2729, Products!$A$2:$C$100, 2, FALSE)</f>
        <v>Surly Wednesday Frameset - 2016</v>
      </c>
      <c r="E2729">
        <v>1</v>
      </c>
      <c r="F2729">
        <v>349.99</v>
      </c>
      <c r="G2729">
        <v>0.05</v>
      </c>
      <c r="H2729">
        <v>17.499500000000001</v>
      </c>
      <c r="I2729">
        <f>order_items[[#This Row],[list_price]]-order_items[[#This Row],[Discounted_price]]</f>
        <v>332.4905</v>
      </c>
      <c r="J2729">
        <f>VLOOKUP(B2729, Products!$A$2:$E$100, 3, FALSE)</f>
        <v>8</v>
      </c>
      <c r="K2729">
        <f>VLOOKUP(B2729, Products!$A$2:$F$100, 4, FALSE)</f>
        <v>6</v>
      </c>
    </row>
    <row r="2730" spans="1:11" x14ac:dyDescent="0.3">
      <c r="A2730">
        <v>955</v>
      </c>
      <c r="B2730">
        <v>4</v>
      </c>
      <c r="C2730">
        <v>63</v>
      </c>
      <c r="D2730" t="str">
        <f>VLOOKUP(B2730, Products!$A$2:$C$100, 2, FALSE)</f>
        <v>Trek Fuel EX 8 29 - 2016</v>
      </c>
      <c r="E2730">
        <v>1</v>
      </c>
      <c r="F2730">
        <v>3499.99</v>
      </c>
      <c r="G2730">
        <v>0.2</v>
      </c>
      <c r="H2730">
        <v>699.99800000000005</v>
      </c>
      <c r="I2730">
        <f>order_items[[#This Row],[list_price]]-order_items[[#This Row],[Discounted_price]]</f>
        <v>2799.9919999999997</v>
      </c>
      <c r="J2730">
        <f>VLOOKUP(B2730, Products!$A$2:$E$100, 3, FALSE)</f>
        <v>9</v>
      </c>
      <c r="K2730">
        <f>VLOOKUP(B2730, Products!$A$2:$F$100, 4, FALSE)</f>
        <v>6</v>
      </c>
    </row>
    <row r="2731" spans="1:11" x14ac:dyDescent="0.3">
      <c r="A2731">
        <v>955</v>
      </c>
      <c r="B2731">
        <v>5</v>
      </c>
      <c r="C2731">
        <v>88</v>
      </c>
      <c r="D2731" t="str">
        <f>VLOOKUP(B2731, Products!$A$2:$C$100, 2, FALSE)</f>
        <v>Heller Shagamaw Frame - 2016</v>
      </c>
      <c r="E2731">
        <v>1</v>
      </c>
      <c r="F2731">
        <v>189.99</v>
      </c>
      <c r="G2731">
        <v>0.05</v>
      </c>
      <c r="H2731">
        <v>9.4995000000000012</v>
      </c>
      <c r="I2731">
        <f>order_items[[#This Row],[list_price]]-order_items[[#This Row],[Discounted_price]]</f>
        <v>180.4905</v>
      </c>
      <c r="J2731">
        <f>VLOOKUP(B2731, Products!$A$2:$E$100, 3, FALSE)</f>
        <v>3</v>
      </c>
      <c r="K2731">
        <f>VLOOKUP(B2731, Products!$A$2:$F$100, 4, FALSE)</f>
        <v>6</v>
      </c>
    </row>
    <row r="2732" spans="1:11" x14ac:dyDescent="0.3">
      <c r="A2732">
        <v>956</v>
      </c>
      <c r="B2732">
        <v>1</v>
      </c>
      <c r="C2732">
        <v>76</v>
      </c>
      <c r="D2732" t="str">
        <f>VLOOKUP(B2732, Products!$A$2:$C$100, 2, FALSE)</f>
        <v>Trek 820 - 2016</v>
      </c>
      <c r="E2732">
        <v>2</v>
      </c>
      <c r="F2732">
        <v>299.99</v>
      </c>
      <c r="G2732">
        <v>0.1</v>
      </c>
      <c r="H2732">
        <v>29.999000000000002</v>
      </c>
      <c r="I2732">
        <f>order_items[[#This Row],[list_price]]-order_items[[#This Row],[Discounted_price]]</f>
        <v>269.99099999999999</v>
      </c>
      <c r="J2732">
        <f>VLOOKUP(B2732, Products!$A$2:$E$100, 3, FALSE)</f>
        <v>9</v>
      </c>
      <c r="K2732">
        <f>VLOOKUP(B2732, Products!$A$2:$F$100, 4, FALSE)</f>
        <v>6</v>
      </c>
    </row>
    <row r="2733" spans="1:11" x14ac:dyDescent="0.3">
      <c r="A2733">
        <v>956</v>
      </c>
      <c r="B2733">
        <v>2</v>
      </c>
      <c r="C2733">
        <v>23</v>
      </c>
      <c r="D2733" t="str">
        <f>VLOOKUP(B2733, Products!$A$2:$C$100, 2, FALSE)</f>
        <v>Ritchey Timberwolf Frameset - 2016</v>
      </c>
      <c r="E2733">
        <v>1</v>
      </c>
      <c r="F2733">
        <v>299.99</v>
      </c>
      <c r="G2733">
        <v>0.2</v>
      </c>
      <c r="H2733">
        <v>59.998000000000005</v>
      </c>
      <c r="I2733">
        <f>order_items[[#This Row],[list_price]]-order_items[[#This Row],[Discounted_price]]</f>
        <v>239.99200000000002</v>
      </c>
      <c r="J2733">
        <f>VLOOKUP(B2733, Products!$A$2:$E$100, 3, FALSE)</f>
        <v>5</v>
      </c>
      <c r="K2733">
        <f>VLOOKUP(B2733, Products!$A$2:$F$100, 4, FALSE)</f>
        <v>6</v>
      </c>
    </row>
    <row r="2734" spans="1:11" x14ac:dyDescent="0.3">
      <c r="A2734">
        <v>956</v>
      </c>
      <c r="B2734">
        <v>3</v>
      </c>
      <c r="C2734">
        <v>73</v>
      </c>
      <c r="D2734" t="str">
        <f>VLOOKUP(B2734, Products!$A$2:$C$100, 2, FALSE)</f>
        <v>Surly Wednesday Frameset - 2016</v>
      </c>
      <c r="E2734">
        <v>2</v>
      </c>
      <c r="F2734">
        <v>749.99</v>
      </c>
      <c r="G2734">
        <v>0.1</v>
      </c>
      <c r="H2734">
        <v>74.999000000000009</v>
      </c>
      <c r="I2734">
        <f>order_items[[#This Row],[list_price]]-order_items[[#This Row],[Discounted_price]]</f>
        <v>674.99099999999999</v>
      </c>
      <c r="J2734">
        <f>VLOOKUP(B2734, Products!$A$2:$E$100, 3, FALSE)</f>
        <v>8</v>
      </c>
      <c r="K2734">
        <f>VLOOKUP(B2734, Products!$A$2:$F$100, 4, FALSE)</f>
        <v>6</v>
      </c>
    </row>
    <row r="2735" spans="1:11" x14ac:dyDescent="0.3">
      <c r="A2735">
        <v>956</v>
      </c>
      <c r="B2735">
        <v>4</v>
      </c>
      <c r="C2735">
        <v>13</v>
      </c>
      <c r="D2735" t="str">
        <f>VLOOKUP(B2735, Products!$A$2:$C$100, 2, FALSE)</f>
        <v>Trek Fuel EX 8 29 - 2016</v>
      </c>
      <c r="E2735">
        <v>2</v>
      </c>
      <c r="F2735">
        <v>269.99</v>
      </c>
      <c r="G2735">
        <v>0.2</v>
      </c>
      <c r="H2735">
        <v>53.998000000000005</v>
      </c>
      <c r="I2735">
        <f>order_items[[#This Row],[list_price]]-order_items[[#This Row],[Discounted_price]]</f>
        <v>215.99200000000002</v>
      </c>
      <c r="J2735">
        <f>VLOOKUP(B2735, Products!$A$2:$E$100, 3, FALSE)</f>
        <v>9</v>
      </c>
      <c r="K2735">
        <f>VLOOKUP(B2735, Products!$A$2:$F$100, 4, FALSE)</f>
        <v>6</v>
      </c>
    </row>
    <row r="2736" spans="1:11" x14ac:dyDescent="0.3">
      <c r="A2736">
        <v>956</v>
      </c>
      <c r="B2736">
        <v>5</v>
      </c>
      <c r="C2736">
        <v>79</v>
      </c>
      <c r="D2736" t="str">
        <f>VLOOKUP(B2736, Products!$A$2:$C$100, 2, FALSE)</f>
        <v>Heller Shagamaw Frame - 2016</v>
      </c>
      <c r="E2736">
        <v>2</v>
      </c>
      <c r="F2736">
        <v>402.99</v>
      </c>
      <c r="G2736">
        <v>0.1</v>
      </c>
      <c r="H2736">
        <v>40.299000000000007</v>
      </c>
      <c r="I2736">
        <f>order_items[[#This Row],[list_price]]-order_items[[#This Row],[Discounted_price]]</f>
        <v>362.69100000000003</v>
      </c>
      <c r="J2736">
        <f>VLOOKUP(B2736, Products!$A$2:$E$100, 3, FALSE)</f>
        <v>3</v>
      </c>
      <c r="K2736">
        <f>VLOOKUP(B2736, Products!$A$2:$F$100, 4, FALSE)</f>
        <v>6</v>
      </c>
    </row>
    <row r="2737" spans="1:11" x14ac:dyDescent="0.3">
      <c r="A2737">
        <v>957</v>
      </c>
      <c r="B2737">
        <v>1</v>
      </c>
      <c r="C2737">
        <v>108</v>
      </c>
      <c r="D2737" t="str">
        <f>VLOOKUP(B2737, Products!$A$2:$C$100, 2, FALSE)</f>
        <v>Trek 820 - 2016</v>
      </c>
      <c r="E2737">
        <v>2</v>
      </c>
      <c r="F2737">
        <v>449.99</v>
      </c>
      <c r="G2737">
        <v>0.05</v>
      </c>
      <c r="H2737">
        <v>22.499500000000001</v>
      </c>
      <c r="I2737">
        <f>order_items[[#This Row],[list_price]]-order_items[[#This Row],[Discounted_price]]</f>
        <v>427.4905</v>
      </c>
      <c r="J2737">
        <f>VLOOKUP(B2737, Products!$A$2:$E$100, 3, FALSE)</f>
        <v>9</v>
      </c>
      <c r="K2737">
        <f>VLOOKUP(B2737, Products!$A$2:$F$100, 4, FALSE)</f>
        <v>6</v>
      </c>
    </row>
    <row r="2738" spans="1:11" x14ac:dyDescent="0.3">
      <c r="A2738">
        <v>957</v>
      </c>
      <c r="B2738">
        <v>2</v>
      </c>
      <c r="C2738">
        <v>14</v>
      </c>
      <c r="D2738" t="str">
        <f>VLOOKUP(B2738, Products!$A$2:$C$100, 2, FALSE)</f>
        <v>Ritchey Timberwolf Frameset - 2016</v>
      </c>
      <c r="E2738">
        <v>2</v>
      </c>
      <c r="F2738">
        <v>269.99</v>
      </c>
      <c r="G2738">
        <v>7.0000000000000007E-2</v>
      </c>
      <c r="H2738">
        <v>18.899300000000004</v>
      </c>
      <c r="I2738">
        <f>order_items[[#This Row],[list_price]]-order_items[[#This Row],[Discounted_price]]</f>
        <v>251.0907</v>
      </c>
      <c r="J2738">
        <f>VLOOKUP(B2738, Products!$A$2:$E$100, 3, FALSE)</f>
        <v>5</v>
      </c>
      <c r="K2738">
        <f>VLOOKUP(B2738, Products!$A$2:$F$100, 4, FALSE)</f>
        <v>6</v>
      </c>
    </row>
    <row r="2739" spans="1:11" x14ac:dyDescent="0.3">
      <c r="A2739">
        <v>957</v>
      </c>
      <c r="B2739">
        <v>3</v>
      </c>
      <c r="C2739">
        <v>70</v>
      </c>
      <c r="D2739" t="str">
        <f>VLOOKUP(B2739, Products!$A$2:$C$100, 2, FALSE)</f>
        <v>Surly Wednesday Frameset - 2016</v>
      </c>
      <c r="E2739">
        <v>2</v>
      </c>
      <c r="F2739">
        <v>659.99</v>
      </c>
      <c r="G2739">
        <v>0.05</v>
      </c>
      <c r="H2739">
        <v>32.999500000000005</v>
      </c>
      <c r="I2739">
        <f>order_items[[#This Row],[list_price]]-order_items[[#This Row],[Discounted_price]]</f>
        <v>626.9905</v>
      </c>
      <c r="J2739">
        <f>VLOOKUP(B2739, Products!$A$2:$E$100, 3, FALSE)</f>
        <v>8</v>
      </c>
      <c r="K2739">
        <f>VLOOKUP(B2739, Products!$A$2:$F$100, 4, FALSE)</f>
        <v>6</v>
      </c>
    </row>
    <row r="2740" spans="1:11" x14ac:dyDescent="0.3">
      <c r="A2740">
        <v>957</v>
      </c>
      <c r="B2740">
        <v>4</v>
      </c>
      <c r="C2740">
        <v>66</v>
      </c>
      <c r="D2740" t="str">
        <f>VLOOKUP(B2740, Products!$A$2:$C$100, 2, FALSE)</f>
        <v>Trek Fuel EX 8 29 - 2016</v>
      </c>
      <c r="E2740">
        <v>1</v>
      </c>
      <c r="F2740">
        <v>250.99</v>
      </c>
      <c r="G2740">
        <v>7.0000000000000007E-2</v>
      </c>
      <c r="H2740">
        <v>17.569300000000002</v>
      </c>
      <c r="I2740">
        <f>order_items[[#This Row],[list_price]]-order_items[[#This Row],[Discounted_price]]</f>
        <v>233.42070000000001</v>
      </c>
      <c r="J2740">
        <f>VLOOKUP(B2740, Products!$A$2:$E$100, 3, FALSE)</f>
        <v>9</v>
      </c>
      <c r="K2740">
        <f>VLOOKUP(B2740, Products!$A$2:$F$100, 4, FALSE)</f>
        <v>6</v>
      </c>
    </row>
    <row r="2741" spans="1:11" x14ac:dyDescent="0.3">
      <c r="A2741">
        <v>957</v>
      </c>
      <c r="B2741">
        <v>5</v>
      </c>
      <c r="C2741">
        <v>111</v>
      </c>
      <c r="D2741" t="str">
        <f>VLOOKUP(B2741, Products!$A$2:$C$100, 2, FALSE)</f>
        <v>Heller Shagamaw Frame - 2016</v>
      </c>
      <c r="E2741">
        <v>1</v>
      </c>
      <c r="F2741">
        <v>470.99</v>
      </c>
      <c r="G2741">
        <v>0.05</v>
      </c>
      <c r="H2741">
        <v>23.549500000000002</v>
      </c>
      <c r="I2741">
        <f>order_items[[#This Row],[list_price]]-order_items[[#This Row],[Discounted_price]]</f>
        <v>447.44049999999999</v>
      </c>
      <c r="J2741">
        <f>VLOOKUP(B2741, Products!$A$2:$E$100, 3, FALSE)</f>
        <v>3</v>
      </c>
      <c r="K2741">
        <f>VLOOKUP(B2741, Products!$A$2:$F$100, 4, FALSE)</f>
        <v>6</v>
      </c>
    </row>
    <row r="2742" spans="1:11" x14ac:dyDescent="0.3">
      <c r="A2742">
        <v>958</v>
      </c>
      <c r="B2742">
        <v>1</v>
      </c>
      <c r="C2742">
        <v>51</v>
      </c>
      <c r="D2742" t="str">
        <f>VLOOKUP(B2742, Products!$A$2:$C$100, 2, FALSE)</f>
        <v>Trek 820 - 2016</v>
      </c>
      <c r="E2742">
        <v>1</v>
      </c>
      <c r="F2742">
        <v>6499.99</v>
      </c>
      <c r="G2742">
        <v>0.1</v>
      </c>
      <c r="H2742">
        <v>649.99900000000002</v>
      </c>
      <c r="I2742">
        <f>order_items[[#This Row],[list_price]]-order_items[[#This Row],[Discounted_price]]</f>
        <v>5849.991</v>
      </c>
      <c r="J2742">
        <f>VLOOKUP(B2742, Products!$A$2:$E$100, 3, FALSE)</f>
        <v>9</v>
      </c>
      <c r="K2742">
        <f>VLOOKUP(B2742, Products!$A$2:$F$100, 4, FALSE)</f>
        <v>6</v>
      </c>
    </row>
    <row r="2743" spans="1:11" x14ac:dyDescent="0.3">
      <c r="A2743">
        <v>958</v>
      </c>
      <c r="B2743">
        <v>2</v>
      </c>
      <c r="C2743">
        <v>76</v>
      </c>
      <c r="D2743" t="str">
        <f>VLOOKUP(B2743, Products!$A$2:$C$100, 2, FALSE)</f>
        <v>Ritchey Timberwolf Frameset - 2016</v>
      </c>
      <c r="E2743">
        <v>1</v>
      </c>
      <c r="F2743">
        <v>299.99</v>
      </c>
      <c r="G2743">
        <v>0.2</v>
      </c>
      <c r="H2743">
        <v>59.998000000000005</v>
      </c>
      <c r="I2743">
        <f>order_items[[#This Row],[list_price]]-order_items[[#This Row],[Discounted_price]]</f>
        <v>239.99200000000002</v>
      </c>
      <c r="J2743">
        <f>VLOOKUP(B2743, Products!$A$2:$E$100, 3, FALSE)</f>
        <v>5</v>
      </c>
      <c r="K2743">
        <f>VLOOKUP(B2743, Products!$A$2:$F$100, 4, FALSE)</f>
        <v>6</v>
      </c>
    </row>
    <row r="2744" spans="1:11" x14ac:dyDescent="0.3">
      <c r="A2744">
        <v>959</v>
      </c>
      <c r="B2744">
        <v>1</v>
      </c>
      <c r="C2744">
        <v>15</v>
      </c>
      <c r="D2744" t="str">
        <f>VLOOKUP(B2744, Products!$A$2:$C$100, 2, FALSE)</f>
        <v>Trek 820 - 2016</v>
      </c>
      <c r="E2744">
        <v>1</v>
      </c>
      <c r="F2744">
        <v>529.99</v>
      </c>
      <c r="G2744">
        <v>0.2</v>
      </c>
      <c r="H2744">
        <v>105.998</v>
      </c>
      <c r="I2744">
        <f>order_items[[#This Row],[list_price]]-order_items[[#This Row],[Discounted_price]]</f>
        <v>423.99200000000002</v>
      </c>
      <c r="J2744">
        <f>VLOOKUP(B2744, Products!$A$2:$E$100, 3, FALSE)</f>
        <v>9</v>
      </c>
      <c r="K2744">
        <f>VLOOKUP(B2744, Products!$A$2:$F$100, 4, FALSE)</f>
        <v>6</v>
      </c>
    </row>
    <row r="2745" spans="1:11" x14ac:dyDescent="0.3">
      <c r="A2745">
        <v>959</v>
      </c>
      <c r="B2745">
        <v>2</v>
      </c>
      <c r="C2745">
        <v>72</v>
      </c>
      <c r="D2745" t="str">
        <f>VLOOKUP(B2745, Products!$A$2:$C$100, 2, FALSE)</f>
        <v>Ritchey Timberwolf Frameset - 2016</v>
      </c>
      <c r="E2745">
        <v>1</v>
      </c>
      <c r="F2745">
        <v>619.99</v>
      </c>
      <c r="G2745">
        <v>0.1</v>
      </c>
      <c r="H2745">
        <v>61.999000000000002</v>
      </c>
      <c r="I2745">
        <f>order_items[[#This Row],[list_price]]-order_items[[#This Row],[Discounted_price]]</f>
        <v>557.99099999999999</v>
      </c>
      <c r="J2745">
        <f>VLOOKUP(B2745, Products!$A$2:$E$100, 3, FALSE)</f>
        <v>5</v>
      </c>
      <c r="K2745">
        <f>VLOOKUP(B2745, Products!$A$2:$F$100, 4, FALSE)</f>
        <v>6</v>
      </c>
    </row>
    <row r="2746" spans="1:11" x14ac:dyDescent="0.3">
      <c r="A2746">
        <v>959</v>
      </c>
      <c r="B2746">
        <v>3</v>
      </c>
      <c r="C2746">
        <v>41</v>
      </c>
      <c r="D2746" t="str">
        <f>VLOOKUP(B2746, Products!$A$2:$C$100, 2, FALSE)</f>
        <v>Surly Wednesday Frameset - 2016</v>
      </c>
      <c r="E2746">
        <v>1</v>
      </c>
      <c r="F2746">
        <v>1469.99</v>
      </c>
      <c r="G2746">
        <v>0.05</v>
      </c>
      <c r="H2746">
        <v>73.499499999999998</v>
      </c>
      <c r="I2746">
        <f>order_items[[#This Row],[list_price]]-order_items[[#This Row],[Discounted_price]]</f>
        <v>1396.4905000000001</v>
      </c>
      <c r="J2746">
        <f>VLOOKUP(B2746, Products!$A$2:$E$100, 3, FALSE)</f>
        <v>8</v>
      </c>
      <c r="K2746">
        <f>VLOOKUP(B2746, Products!$A$2:$F$100, 4, FALSE)</f>
        <v>6</v>
      </c>
    </row>
    <row r="2747" spans="1:11" x14ac:dyDescent="0.3">
      <c r="A2747">
        <v>959</v>
      </c>
      <c r="B2747">
        <v>4</v>
      </c>
      <c r="C2747">
        <v>65</v>
      </c>
      <c r="D2747" t="str">
        <f>VLOOKUP(B2747, Products!$A$2:$C$100, 2, FALSE)</f>
        <v>Trek Fuel EX 8 29 - 2016</v>
      </c>
      <c r="E2747">
        <v>1</v>
      </c>
      <c r="F2747">
        <v>346.99</v>
      </c>
      <c r="G2747">
        <v>7.0000000000000007E-2</v>
      </c>
      <c r="H2747">
        <v>24.289300000000004</v>
      </c>
      <c r="I2747">
        <f>order_items[[#This Row],[list_price]]-order_items[[#This Row],[Discounted_price]]</f>
        <v>322.70069999999998</v>
      </c>
      <c r="J2747">
        <f>VLOOKUP(B2747, Products!$A$2:$E$100, 3, FALSE)</f>
        <v>9</v>
      </c>
      <c r="K2747">
        <f>VLOOKUP(B2747, Products!$A$2:$F$100, 4, FALSE)</f>
        <v>6</v>
      </c>
    </row>
    <row r="2748" spans="1:11" x14ac:dyDescent="0.3">
      <c r="A2748">
        <v>960</v>
      </c>
      <c r="B2748">
        <v>1</v>
      </c>
      <c r="C2748">
        <v>73</v>
      </c>
      <c r="D2748" t="str">
        <f>VLOOKUP(B2748, Products!$A$2:$C$100, 2, FALSE)</f>
        <v>Trek 820 - 2016</v>
      </c>
      <c r="E2748">
        <v>2</v>
      </c>
      <c r="F2748">
        <v>749.99</v>
      </c>
      <c r="G2748">
        <v>0.05</v>
      </c>
      <c r="H2748">
        <v>37.499500000000005</v>
      </c>
      <c r="I2748">
        <f>order_items[[#This Row],[list_price]]-order_items[[#This Row],[Discounted_price]]</f>
        <v>712.4905</v>
      </c>
      <c r="J2748">
        <f>VLOOKUP(B2748, Products!$A$2:$E$100, 3, FALSE)</f>
        <v>9</v>
      </c>
      <c r="K2748">
        <f>VLOOKUP(B2748, Products!$A$2:$F$100, 4, FALSE)</f>
        <v>6</v>
      </c>
    </row>
    <row r="2749" spans="1:11" x14ac:dyDescent="0.3">
      <c r="A2749">
        <v>960</v>
      </c>
      <c r="B2749">
        <v>2</v>
      </c>
      <c r="C2749">
        <v>52</v>
      </c>
      <c r="D2749" t="str">
        <f>VLOOKUP(B2749, Products!$A$2:$C$100, 2, FALSE)</f>
        <v>Ritchey Timberwolf Frameset - 2016</v>
      </c>
      <c r="E2749">
        <v>1</v>
      </c>
      <c r="F2749">
        <v>875.99</v>
      </c>
      <c r="G2749">
        <v>0.1</v>
      </c>
      <c r="H2749">
        <v>87.599000000000004</v>
      </c>
      <c r="I2749">
        <f>order_items[[#This Row],[list_price]]-order_items[[#This Row],[Discounted_price]]</f>
        <v>788.39099999999996</v>
      </c>
      <c r="J2749">
        <f>VLOOKUP(B2749, Products!$A$2:$E$100, 3, FALSE)</f>
        <v>5</v>
      </c>
      <c r="K2749">
        <f>VLOOKUP(B2749, Products!$A$2:$F$100, 4, FALSE)</f>
        <v>6</v>
      </c>
    </row>
    <row r="2750" spans="1:11" x14ac:dyDescent="0.3">
      <c r="A2750">
        <v>960</v>
      </c>
      <c r="B2750">
        <v>3</v>
      </c>
      <c r="C2750">
        <v>48</v>
      </c>
      <c r="D2750" t="str">
        <f>VLOOKUP(B2750, Products!$A$2:$C$100, 2, FALSE)</f>
        <v>Surly Wednesday Frameset - 2016</v>
      </c>
      <c r="E2750">
        <v>2</v>
      </c>
      <c r="F2750">
        <v>1499.99</v>
      </c>
      <c r="G2750">
        <v>0.05</v>
      </c>
      <c r="H2750">
        <v>74.999499999999998</v>
      </c>
      <c r="I2750">
        <f>order_items[[#This Row],[list_price]]-order_items[[#This Row],[Discounted_price]]</f>
        <v>1424.9905000000001</v>
      </c>
      <c r="J2750">
        <f>VLOOKUP(B2750, Products!$A$2:$E$100, 3, FALSE)</f>
        <v>8</v>
      </c>
      <c r="K2750">
        <f>VLOOKUP(B2750, Products!$A$2:$F$100, 4, FALSE)</f>
        <v>6</v>
      </c>
    </row>
    <row r="2751" spans="1:11" x14ac:dyDescent="0.3">
      <c r="A2751">
        <v>960</v>
      </c>
      <c r="B2751">
        <v>4</v>
      </c>
      <c r="C2751">
        <v>83</v>
      </c>
      <c r="D2751" t="str">
        <f>VLOOKUP(B2751, Products!$A$2:$C$100, 2, FALSE)</f>
        <v>Trek Fuel EX 8 29 - 2016</v>
      </c>
      <c r="E2751">
        <v>2</v>
      </c>
      <c r="F2751">
        <v>149.99</v>
      </c>
      <c r="G2751">
        <v>0.1</v>
      </c>
      <c r="H2751">
        <v>14.999000000000002</v>
      </c>
      <c r="I2751">
        <f>order_items[[#This Row],[list_price]]-order_items[[#This Row],[Discounted_price]]</f>
        <v>134.99100000000001</v>
      </c>
      <c r="J2751">
        <f>VLOOKUP(B2751, Products!$A$2:$E$100, 3, FALSE)</f>
        <v>9</v>
      </c>
      <c r="K2751">
        <f>VLOOKUP(B2751, Products!$A$2:$F$100, 4, FALSE)</f>
        <v>6</v>
      </c>
    </row>
    <row r="2752" spans="1:11" x14ac:dyDescent="0.3">
      <c r="A2752">
        <v>961</v>
      </c>
      <c r="B2752">
        <v>1</v>
      </c>
      <c r="C2752">
        <v>105</v>
      </c>
      <c r="D2752" t="str">
        <f>VLOOKUP(B2752, Products!$A$2:$C$100, 2, FALSE)</f>
        <v>Trek 820 - 2016</v>
      </c>
      <c r="E2752">
        <v>1</v>
      </c>
      <c r="F2752">
        <v>533.99</v>
      </c>
      <c r="G2752">
        <v>0.1</v>
      </c>
      <c r="H2752">
        <v>53.399000000000001</v>
      </c>
      <c r="I2752">
        <f>order_items[[#This Row],[list_price]]-order_items[[#This Row],[Discounted_price]]</f>
        <v>480.59100000000001</v>
      </c>
      <c r="J2752">
        <f>VLOOKUP(B2752, Products!$A$2:$E$100, 3, FALSE)</f>
        <v>9</v>
      </c>
      <c r="K2752">
        <f>VLOOKUP(B2752, Products!$A$2:$F$100, 4, FALSE)</f>
        <v>6</v>
      </c>
    </row>
    <row r="2753" spans="1:11" x14ac:dyDescent="0.3">
      <c r="A2753">
        <v>961</v>
      </c>
      <c r="B2753">
        <v>2</v>
      </c>
      <c r="C2753">
        <v>47</v>
      </c>
      <c r="D2753" t="str">
        <f>VLOOKUP(B2753, Products!$A$2:$C$100, 2, FALSE)</f>
        <v>Ritchey Timberwolf Frameset - 2016</v>
      </c>
      <c r="E2753">
        <v>2</v>
      </c>
      <c r="F2753">
        <v>5299.99</v>
      </c>
      <c r="G2753">
        <v>0.2</v>
      </c>
      <c r="H2753">
        <v>1059.998</v>
      </c>
      <c r="I2753">
        <f>order_items[[#This Row],[list_price]]-order_items[[#This Row],[Discounted_price]]</f>
        <v>4239.9920000000002</v>
      </c>
      <c r="J2753">
        <f>VLOOKUP(B2753, Products!$A$2:$E$100, 3, FALSE)</f>
        <v>5</v>
      </c>
      <c r="K2753">
        <f>VLOOKUP(B2753, Products!$A$2:$F$100, 4, FALSE)</f>
        <v>6</v>
      </c>
    </row>
    <row r="2754" spans="1:11" x14ac:dyDescent="0.3">
      <c r="A2754">
        <v>961</v>
      </c>
      <c r="B2754">
        <v>3</v>
      </c>
      <c r="C2754">
        <v>65</v>
      </c>
      <c r="D2754" t="str">
        <f>VLOOKUP(B2754, Products!$A$2:$C$100, 2, FALSE)</f>
        <v>Surly Wednesday Frameset - 2016</v>
      </c>
      <c r="E2754">
        <v>2</v>
      </c>
      <c r="F2754">
        <v>346.99</v>
      </c>
      <c r="G2754">
        <v>7.0000000000000007E-2</v>
      </c>
      <c r="H2754">
        <v>24.289300000000004</v>
      </c>
      <c r="I2754">
        <f>order_items[[#This Row],[list_price]]-order_items[[#This Row],[Discounted_price]]</f>
        <v>322.70069999999998</v>
      </c>
      <c r="J2754">
        <f>VLOOKUP(B2754, Products!$A$2:$E$100, 3, FALSE)</f>
        <v>8</v>
      </c>
      <c r="K2754">
        <f>VLOOKUP(B2754, Products!$A$2:$F$100, 4, FALSE)</f>
        <v>6</v>
      </c>
    </row>
    <row r="2755" spans="1:11" x14ac:dyDescent="0.3">
      <c r="A2755">
        <v>962</v>
      </c>
      <c r="B2755">
        <v>1</v>
      </c>
      <c r="C2755">
        <v>65</v>
      </c>
      <c r="D2755" t="str">
        <f>VLOOKUP(B2755, Products!$A$2:$C$100, 2, FALSE)</f>
        <v>Trek 820 - 2016</v>
      </c>
      <c r="E2755">
        <v>2</v>
      </c>
      <c r="F2755">
        <v>346.99</v>
      </c>
      <c r="G2755">
        <v>7.0000000000000007E-2</v>
      </c>
      <c r="H2755">
        <v>24.289300000000004</v>
      </c>
      <c r="I2755">
        <f>order_items[[#This Row],[list_price]]-order_items[[#This Row],[Discounted_price]]</f>
        <v>322.70069999999998</v>
      </c>
      <c r="J2755">
        <f>VLOOKUP(B2755, Products!$A$2:$E$100, 3, FALSE)</f>
        <v>9</v>
      </c>
      <c r="K2755">
        <f>VLOOKUP(B2755, Products!$A$2:$F$100, 4, FALSE)</f>
        <v>6</v>
      </c>
    </row>
    <row r="2756" spans="1:11" x14ac:dyDescent="0.3">
      <c r="A2756">
        <v>962</v>
      </c>
      <c r="B2756">
        <v>2</v>
      </c>
      <c r="C2756">
        <v>64</v>
      </c>
      <c r="D2756" t="str">
        <f>VLOOKUP(B2756, Products!$A$2:$C$100, 2, FALSE)</f>
        <v>Ritchey Timberwolf Frameset - 2016</v>
      </c>
      <c r="E2756">
        <v>2</v>
      </c>
      <c r="F2756">
        <v>489.99</v>
      </c>
      <c r="G2756">
        <v>7.0000000000000007E-2</v>
      </c>
      <c r="H2756">
        <v>34.299300000000002</v>
      </c>
      <c r="I2756">
        <f>order_items[[#This Row],[list_price]]-order_items[[#This Row],[Discounted_price]]</f>
        <v>455.69069999999999</v>
      </c>
      <c r="J2756">
        <f>VLOOKUP(B2756, Products!$A$2:$E$100, 3, FALSE)</f>
        <v>5</v>
      </c>
      <c r="K2756">
        <f>VLOOKUP(B2756, Products!$A$2:$F$100, 4, FALSE)</f>
        <v>6</v>
      </c>
    </row>
    <row r="2757" spans="1:11" x14ac:dyDescent="0.3">
      <c r="A2757">
        <v>963</v>
      </c>
      <c r="B2757">
        <v>1</v>
      </c>
      <c r="C2757">
        <v>4</v>
      </c>
      <c r="D2757" t="str">
        <f>VLOOKUP(B2757, Products!$A$2:$C$100, 2, FALSE)</f>
        <v>Trek 820 - 2016</v>
      </c>
      <c r="E2757">
        <v>1</v>
      </c>
      <c r="F2757">
        <v>2899.99</v>
      </c>
      <c r="G2757">
        <v>7.0000000000000007E-2</v>
      </c>
      <c r="H2757">
        <v>202.99930000000001</v>
      </c>
      <c r="I2757">
        <f>order_items[[#This Row],[list_price]]-order_items[[#This Row],[Discounted_price]]</f>
        <v>2696.9906999999998</v>
      </c>
      <c r="J2757">
        <f>VLOOKUP(B2757, Products!$A$2:$E$100, 3, FALSE)</f>
        <v>9</v>
      </c>
      <c r="K2757">
        <f>VLOOKUP(B2757, Products!$A$2:$F$100, 4, FALSE)</f>
        <v>6</v>
      </c>
    </row>
    <row r="2758" spans="1:11" x14ac:dyDescent="0.3">
      <c r="A2758">
        <v>964</v>
      </c>
      <c r="B2758">
        <v>1</v>
      </c>
      <c r="C2758">
        <v>90</v>
      </c>
      <c r="D2758" t="str">
        <f>VLOOKUP(B2758, Products!$A$2:$C$100, 2, FALSE)</f>
        <v>Trek 820 - 2016</v>
      </c>
      <c r="E2758">
        <v>1</v>
      </c>
      <c r="F2758">
        <v>209.99</v>
      </c>
      <c r="G2758">
        <v>0.2</v>
      </c>
      <c r="H2758">
        <v>41.998000000000005</v>
      </c>
      <c r="I2758">
        <f>order_items[[#This Row],[list_price]]-order_items[[#This Row],[Discounted_price]]</f>
        <v>167.99200000000002</v>
      </c>
      <c r="J2758">
        <f>VLOOKUP(B2758, Products!$A$2:$E$100, 3, FALSE)</f>
        <v>9</v>
      </c>
      <c r="K2758">
        <f>VLOOKUP(B2758, Products!$A$2:$F$100, 4, FALSE)</f>
        <v>6</v>
      </c>
    </row>
    <row r="2759" spans="1:11" x14ac:dyDescent="0.3">
      <c r="A2759">
        <v>964</v>
      </c>
      <c r="B2759">
        <v>2</v>
      </c>
      <c r="C2759">
        <v>74</v>
      </c>
      <c r="D2759" t="str">
        <f>VLOOKUP(B2759, Products!$A$2:$C$100, 2, FALSE)</f>
        <v>Ritchey Timberwolf Frameset - 2016</v>
      </c>
      <c r="E2759">
        <v>1</v>
      </c>
      <c r="F2759">
        <v>439.99</v>
      </c>
      <c r="G2759">
        <v>0.2</v>
      </c>
      <c r="H2759">
        <v>87.998000000000005</v>
      </c>
      <c r="I2759">
        <f>order_items[[#This Row],[list_price]]-order_items[[#This Row],[Discounted_price]]</f>
        <v>351.99200000000002</v>
      </c>
      <c r="J2759">
        <f>VLOOKUP(B2759, Products!$A$2:$E$100, 3, FALSE)</f>
        <v>5</v>
      </c>
      <c r="K2759">
        <f>VLOOKUP(B2759, Products!$A$2:$F$100, 4, FALSE)</f>
        <v>6</v>
      </c>
    </row>
    <row r="2760" spans="1:11" x14ac:dyDescent="0.3">
      <c r="A2760">
        <v>965</v>
      </c>
      <c r="B2760">
        <v>1</v>
      </c>
      <c r="C2760">
        <v>90</v>
      </c>
      <c r="D2760" t="str">
        <f>VLOOKUP(B2760, Products!$A$2:$C$100, 2, FALSE)</f>
        <v>Trek 820 - 2016</v>
      </c>
      <c r="E2760">
        <v>2</v>
      </c>
      <c r="F2760">
        <v>209.99</v>
      </c>
      <c r="G2760">
        <v>0.1</v>
      </c>
      <c r="H2760">
        <v>20.999000000000002</v>
      </c>
      <c r="I2760">
        <f>order_items[[#This Row],[list_price]]-order_items[[#This Row],[Discounted_price]]</f>
        <v>188.99100000000001</v>
      </c>
      <c r="J2760">
        <f>VLOOKUP(B2760, Products!$A$2:$E$100, 3, FALSE)</f>
        <v>9</v>
      </c>
      <c r="K2760">
        <f>VLOOKUP(B2760, Products!$A$2:$F$100, 4, FALSE)</f>
        <v>6</v>
      </c>
    </row>
    <row r="2761" spans="1:11" x14ac:dyDescent="0.3">
      <c r="A2761">
        <v>966</v>
      </c>
      <c r="B2761">
        <v>1</v>
      </c>
      <c r="C2761">
        <v>88</v>
      </c>
      <c r="D2761" t="str">
        <f>VLOOKUP(B2761, Products!$A$2:$C$100, 2, FALSE)</f>
        <v>Trek 820 - 2016</v>
      </c>
      <c r="E2761">
        <v>1</v>
      </c>
      <c r="F2761">
        <v>189.99</v>
      </c>
      <c r="G2761">
        <v>0.05</v>
      </c>
      <c r="H2761">
        <v>9.4995000000000012</v>
      </c>
      <c r="I2761">
        <f>order_items[[#This Row],[list_price]]-order_items[[#This Row],[Discounted_price]]</f>
        <v>180.4905</v>
      </c>
      <c r="J2761">
        <f>VLOOKUP(B2761, Products!$A$2:$E$100, 3, FALSE)</f>
        <v>9</v>
      </c>
      <c r="K2761">
        <f>VLOOKUP(B2761, Products!$A$2:$F$100, 4, FALSE)</f>
        <v>6</v>
      </c>
    </row>
    <row r="2762" spans="1:11" x14ac:dyDescent="0.3">
      <c r="A2762">
        <v>966</v>
      </c>
      <c r="B2762">
        <v>2</v>
      </c>
      <c r="C2762">
        <v>73</v>
      </c>
      <c r="D2762" t="str">
        <f>VLOOKUP(B2762, Products!$A$2:$C$100, 2, FALSE)</f>
        <v>Ritchey Timberwolf Frameset - 2016</v>
      </c>
      <c r="E2762">
        <v>1</v>
      </c>
      <c r="F2762">
        <v>749.99</v>
      </c>
      <c r="G2762">
        <v>7.0000000000000007E-2</v>
      </c>
      <c r="H2762">
        <v>52.499300000000005</v>
      </c>
      <c r="I2762">
        <f>order_items[[#This Row],[list_price]]-order_items[[#This Row],[Discounted_price]]</f>
        <v>697.49070000000006</v>
      </c>
      <c r="J2762">
        <f>VLOOKUP(B2762, Products!$A$2:$E$100, 3, FALSE)</f>
        <v>5</v>
      </c>
      <c r="K2762">
        <f>VLOOKUP(B2762, Products!$A$2:$F$100, 4, FALSE)</f>
        <v>6</v>
      </c>
    </row>
    <row r="2763" spans="1:11" x14ac:dyDescent="0.3">
      <c r="A2763">
        <v>967</v>
      </c>
      <c r="B2763">
        <v>1</v>
      </c>
      <c r="C2763">
        <v>66</v>
      </c>
      <c r="D2763" t="str">
        <f>VLOOKUP(B2763, Products!$A$2:$C$100, 2, FALSE)</f>
        <v>Trek 820 - 2016</v>
      </c>
      <c r="E2763">
        <v>1</v>
      </c>
      <c r="F2763">
        <v>250.99</v>
      </c>
      <c r="G2763">
        <v>0.2</v>
      </c>
      <c r="H2763">
        <v>50.198000000000008</v>
      </c>
      <c r="I2763">
        <f>order_items[[#This Row],[list_price]]-order_items[[#This Row],[Discounted_price]]</f>
        <v>200.792</v>
      </c>
      <c r="J2763">
        <f>VLOOKUP(B2763, Products!$A$2:$E$100, 3, FALSE)</f>
        <v>9</v>
      </c>
      <c r="K2763">
        <f>VLOOKUP(B2763, Products!$A$2:$F$100, 4, FALSE)</f>
        <v>6</v>
      </c>
    </row>
    <row r="2764" spans="1:11" x14ac:dyDescent="0.3">
      <c r="A2764">
        <v>967</v>
      </c>
      <c r="B2764">
        <v>2</v>
      </c>
      <c r="C2764">
        <v>77</v>
      </c>
      <c r="D2764" t="str">
        <f>VLOOKUP(B2764, Products!$A$2:$C$100, 2, FALSE)</f>
        <v>Ritchey Timberwolf Frameset - 2016</v>
      </c>
      <c r="E2764">
        <v>2</v>
      </c>
      <c r="F2764">
        <v>799.99</v>
      </c>
      <c r="G2764">
        <v>0.05</v>
      </c>
      <c r="H2764">
        <v>39.999500000000005</v>
      </c>
      <c r="I2764">
        <f>order_items[[#This Row],[list_price]]-order_items[[#This Row],[Discounted_price]]</f>
        <v>759.9905</v>
      </c>
      <c r="J2764">
        <f>VLOOKUP(B2764, Products!$A$2:$E$100, 3, FALSE)</f>
        <v>5</v>
      </c>
      <c r="K2764">
        <f>VLOOKUP(B2764, Products!$A$2:$F$100, 4, FALSE)</f>
        <v>6</v>
      </c>
    </row>
    <row r="2765" spans="1:11" x14ac:dyDescent="0.3">
      <c r="A2765">
        <v>967</v>
      </c>
      <c r="B2765">
        <v>3</v>
      </c>
      <c r="C2765">
        <v>87</v>
      </c>
      <c r="D2765" t="str">
        <f>VLOOKUP(B2765, Products!$A$2:$C$100, 2, FALSE)</f>
        <v>Surly Wednesday Frameset - 2016</v>
      </c>
      <c r="E2765">
        <v>1</v>
      </c>
      <c r="F2765">
        <v>189.99</v>
      </c>
      <c r="G2765">
        <v>0.1</v>
      </c>
      <c r="H2765">
        <v>18.999000000000002</v>
      </c>
      <c r="I2765">
        <f>order_items[[#This Row],[list_price]]-order_items[[#This Row],[Discounted_price]]</f>
        <v>170.99100000000001</v>
      </c>
      <c r="J2765">
        <f>VLOOKUP(B2765, Products!$A$2:$E$100, 3, FALSE)</f>
        <v>8</v>
      </c>
      <c r="K2765">
        <f>VLOOKUP(B2765, Products!$A$2:$F$100, 4, FALSE)</f>
        <v>6</v>
      </c>
    </row>
    <row r="2766" spans="1:11" x14ac:dyDescent="0.3">
      <c r="A2766">
        <v>967</v>
      </c>
      <c r="B2766">
        <v>4</v>
      </c>
      <c r="C2766">
        <v>103</v>
      </c>
      <c r="D2766" t="str">
        <f>VLOOKUP(B2766, Products!$A$2:$C$100, 2, FALSE)</f>
        <v>Trek Fuel EX 8 29 - 2016</v>
      </c>
      <c r="E2766">
        <v>1</v>
      </c>
      <c r="F2766">
        <v>551.99</v>
      </c>
      <c r="G2766">
        <v>0.2</v>
      </c>
      <c r="H2766">
        <v>110.39800000000001</v>
      </c>
      <c r="I2766">
        <f>order_items[[#This Row],[list_price]]-order_items[[#This Row],[Discounted_price]]</f>
        <v>441.59199999999998</v>
      </c>
      <c r="J2766">
        <f>VLOOKUP(B2766, Products!$A$2:$E$100, 3, FALSE)</f>
        <v>9</v>
      </c>
      <c r="K2766">
        <f>VLOOKUP(B2766, Products!$A$2:$F$100, 4, FALSE)</f>
        <v>6</v>
      </c>
    </row>
    <row r="2767" spans="1:11" x14ac:dyDescent="0.3">
      <c r="A2767">
        <v>968</v>
      </c>
      <c r="B2767">
        <v>1</v>
      </c>
      <c r="C2767">
        <v>87</v>
      </c>
      <c r="D2767" t="str">
        <f>VLOOKUP(B2767, Products!$A$2:$C$100, 2, FALSE)</f>
        <v>Trek 820 - 2016</v>
      </c>
      <c r="E2767">
        <v>1</v>
      </c>
      <c r="F2767">
        <v>189.99</v>
      </c>
      <c r="G2767">
        <v>0.2</v>
      </c>
      <c r="H2767">
        <v>37.998000000000005</v>
      </c>
      <c r="I2767">
        <f>order_items[[#This Row],[list_price]]-order_items[[#This Row],[Discounted_price]]</f>
        <v>151.99200000000002</v>
      </c>
      <c r="J2767">
        <f>VLOOKUP(B2767, Products!$A$2:$E$100, 3, FALSE)</f>
        <v>9</v>
      </c>
      <c r="K2767">
        <f>VLOOKUP(B2767, Products!$A$2:$F$100, 4, FALSE)</f>
        <v>6</v>
      </c>
    </row>
    <row r="2768" spans="1:11" x14ac:dyDescent="0.3">
      <c r="A2768">
        <v>968</v>
      </c>
      <c r="B2768">
        <v>2</v>
      </c>
      <c r="C2768">
        <v>61</v>
      </c>
      <c r="D2768" t="str">
        <f>VLOOKUP(B2768, Products!$A$2:$C$100, 2, FALSE)</f>
        <v>Ritchey Timberwolf Frameset - 2016</v>
      </c>
      <c r="E2768">
        <v>2</v>
      </c>
      <c r="F2768">
        <v>4999.99</v>
      </c>
      <c r="G2768">
        <v>0.05</v>
      </c>
      <c r="H2768">
        <v>249.99950000000001</v>
      </c>
      <c r="I2768">
        <f>order_items[[#This Row],[list_price]]-order_items[[#This Row],[Discounted_price]]</f>
        <v>4749.9904999999999</v>
      </c>
      <c r="J2768">
        <f>VLOOKUP(B2768, Products!$A$2:$E$100, 3, FALSE)</f>
        <v>5</v>
      </c>
      <c r="K2768">
        <f>VLOOKUP(B2768, Products!$A$2:$F$100, 4, FALSE)</f>
        <v>6</v>
      </c>
    </row>
    <row r="2769" spans="1:11" x14ac:dyDescent="0.3">
      <c r="A2769">
        <v>968</v>
      </c>
      <c r="B2769">
        <v>3</v>
      </c>
      <c r="C2769">
        <v>10</v>
      </c>
      <c r="D2769" t="str">
        <f>VLOOKUP(B2769, Products!$A$2:$C$100, 2, FALSE)</f>
        <v>Surly Wednesday Frameset - 2016</v>
      </c>
      <c r="E2769">
        <v>2</v>
      </c>
      <c r="F2769">
        <v>1549</v>
      </c>
      <c r="G2769">
        <v>0.05</v>
      </c>
      <c r="H2769">
        <v>77.45</v>
      </c>
      <c r="I2769">
        <f>order_items[[#This Row],[list_price]]-order_items[[#This Row],[Discounted_price]]</f>
        <v>1471.55</v>
      </c>
      <c r="J2769">
        <f>VLOOKUP(B2769, Products!$A$2:$E$100, 3, FALSE)</f>
        <v>8</v>
      </c>
      <c r="K2769">
        <f>VLOOKUP(B2769, Products!$A$2:$F$100, 4, FALSE)</f>
        <v>6</v>
      </c>
    </row>
    <row r="2770" spans="1:11" x14ac:dyDescent="0.3">
      <c r="A2770">
        <v>969</v>
      </c>
      <c r="B2770">
        <v>1</v>
      </c>
      <c r="C2770">
        <v>74</v>
      </c>
      <c r="D2770" t="str">
        <f>VLOOKUP(B2770, Products!$A$2:$C$100, 2, FALSE)</f>
        <v>Trek 820 - 2016</v>
      </c>
      <c r="E2770">
        <v>1</v>
      </c>
      <c r="F2770">
        <v>439.99</v>
      </c>
      <c r="G2770">
        <v>0.2</v>
      </c>
      <c r="H2770">
        <v>87.998000000000005</v>
      </c>
      <c r="I2770">
        <f>order_items[[#This Row],[list_price]]-order_items[[#This Row],[Discounted_price]]</f>
        <v>351.99200000000002</v>
      </c>
      <c r="J2770">
        <f>VLOOKUP(B2770, Products!$A$2:$E$100, 3, FALSE)</f>
        <v>9</v>
      </c>
      <c r="K2770">
        <f>VLOOKUP(B2770, Products!$A$2:$F$100, 4, FALSE)</f>
        <v>6</v>
      </c>
    </row>
    <row r="2771" spans="1:11" x14ac:dyDescent="0.3">
      <c r="A2771">
        <v>969</v>
      </c>
      <c r="B2771">
        <v>2</v>
      </c>
      <c r="C2771">
        <v>36</v>
      </c>
      <c r="D2771" t="str">
        <f>VLOOKUP(B2771, Products!$A$2:$C$100, 2, FALSE)</f>
        <v>Ritchey Timberwolf Frameset - 2016</v>
      </c>
      <c r="E2771">
        <v>1</v>
      </c>
      <c r="F2771">
        <v>832.99</v>
      </c>
      <c r="G2771">
        <v>0.1</v>
      </c>
      <c r="H2771">
        <v>83.299000000000007</v>
      </c>
      <c r="I2771">
        <f>order_items[[#This Row],[list_price]]-order_items[[#This Row],[Discounted_price]]</f>
        <v>749.69100000000003</v>
      </c>
      <c r="J2771">
        <f>VLOOKUP(B2771, Products!$A$2:$E$100, 3, FALSE)</f>
        <v>5</v>
      </c>
      <c r="K2771">
        <f>VLOOKUP(B2771, Products!$A$2:$F$100, 4, FALSE)</f>
        <v>6</v>
      </c>
    </row>
    <row r="2772" spans="1:11" x14ac:dyDescent="0.3">
      <c r="A2772">
        <v>970</v>
      </c>
      <c r="B2772">
        <v>1</v>
      </c>
      <c r="C2772">
        <v>85</v>
      </c>
      <c r="D2772" t="str">
        <f>VLOOKUP(B2772, Products!$A$2:$C$100, 2, FALSE)</f>
        <v>Trek 820 - 2016</v>
      </c>
      <c r="E2772">
        <v>1</v>
      </c>
      <c r="F2772">
        <v>329.99</v>
      </c>
      <c r="G2772">
        <v>0.1</v>
      </c>
      <c r="H2772">
        <v>32.999000000000002</v>
      </c>
      <c r="I2772">
        <f>order_items[[#This Row],[list_price]]-order_items[[#This Row],[Discounted_price]]</f>
        <v>296.99099999999999</v>
      </c>
      <c r="J2772">
        <f>VLOOKUP(B2772, Products!$A$2:$E$100, 3, FALSE)</f>
        <v>9</v>
      </c>
      <c r="K2772">
        <f>VLOOKUP(B2772, Products!$A$2:$F$100, 4, FALSE)</f>
        <v>6</v>
      </c>
    </row>
    <row r="2773" spans="1:11" x14ac:dyDescent="0.3">
      <c r="A2773">
        <v>970</v>
      </c>
      <c r="B2773">
        <v>2</v>
      </c>
      <c r="C2773">
        <v>48</v>
      </c>
      <c r="D2773" t="str">
        <f>VLOOKUP(B2773, Products!$A$2:$C$100, 2, FALSE)</f>
        <v>Ritchey Timberwolf Frameset - 2016</v>
      </c>
      <c r="E2773">
        <v>2</v>
      </c>
      <c r="F2773">
        <v>1499.99</v>
      </c>
      <c r="G2773">
        <v>0.1</v>
      </c>
      <c r="H2773">
        <v>149.999</v>
      </c>
      <c r="I2773">
        <f>order_items[[#This Row],[list_price]]-order_items[[#This Row],[Discounted_price]]</f>
        <v>1349.991</v>
      </c>
      <c r="J2773">
        <f>VLOOKUP(B2773, Products!$A$2:$E$100, 3, FALSE)</f>
        <v>5</v>
      </c>
      <c r="K2773">
        <f>VLOOKUP(B2773, Products!$A$2:$F$100, 4, FALSE)</f>
        <v>6</v>
      </c>
    </row>
    <row r="2774" spans="1:11" x14ac:dyDescent="0.3">
      <c r="A2774">
        <v>970</v>
      </c>
      <c r="B2774">
        <v>3</v>
      </c>
      <c r="C2774">
        <v>54</v>
      </c>
      <c r="D2774" t="str">
        <f>VLOOKUP(B2774, Products!$A$2:$C$100, 2, FALSE)</f>
        <v>Surly Wednesday Frameset - 2016</v>
      </c>
      <c r="E2774">
        <v>2</v>
      </c>
      <c r="F2774">
        <v>3199.99</v>
      </c>
      <c r="G2774">
        <v>0.1</v>
      </c>
      <c r="H2774">
        <v>319.99900000000002</v>
      </c>
      <c r="I2774">
        <f>order_items[[#This Row],[list_price]]-order_items[[#This Row],[Discounted_price]]</f>
        <v>2879.991</v>
      </c>
      <c r="J2774">
        <f>VLOOKUP(B2774, Products!$A$2:$E$100, 3, FALSE)</f>
        <v>8</v>
      </c>
      <c r="K2774">
        <f>VLOOKUP(B2774, Products!$A$2:$F$100, 4, FALSE)</f>
        <v>6</v>
      </c>
    </row>
    <row r="2775" spans="1:11" x14ac:dyDescent="0.3">
      <c r="A2775">
        <v>970</v>
      </c>
      <c r="B2775">
        <v>4</v>
      </c>
      <c r="C2775">
        <v>68</v>
      </c>
      <c r="D2775" t="str">
        <f>VLOOKUP(B2775, Products!$A$2:$C$100, 2, FALSE)</f>
        <v>Trek Fuel EX 8 29 - 2016</v>
      </c>
      <c r="E2775">
        <v>1</v>
      </c>
      <c r="F2775">
        <v>449.99</v>
      </c>
      <c r="G2775">
        <v>0.1</v>
      </c>
      <c r="H2775">
        <v>44.999000000000002</v>
      </c>
      <c r="I2775">
        <f>order_items[[#This Row],[list_price]]-order_items[[#This Row],[Discounted_price]]</f>
        <v>404.99099999999999</v>
      </c>
      <c r="J2775">
        <f>VLOOKUP(B2775, Products!$A$2:$E$100, 3, FALSE)</f>
        <v>9</v>
      </c>
      <c r="K2775">
        <f>VLOOKUP(B2775, Products!$A$2:$F$100, 4, FALSE)</f>
        <v>6</v>
      </c>
    </row>
    <row r="2776" spans="1:11" x14ac:dyDescent="0.3">
      <c r="A2776">
        <v>971</v>
      </c>
      <c r="B2776">
        <v>1</v>
      </c>
      <c r="C2776">
        <v>70</v>
      </c>
      <c r="D2776" t="str">
        <f>VLOOKUP(B2776, Products!$A$2:$C$100, 2, FALSE)</f>
        <v>Trek 820 - 2016</v>
      </c>
      <c r="E2776">
        <v>2</v>
      </c>
      <c r="F2776">
        <v>659.99</v>
      </c>
      <c r="G2776">
        <v>0.05</v>
      </c>
      <c r="H2776">
        <v>32.999500000000005</v>
      </c>
      <c r="I2776">
        <f>order_items[[#This Row],[list_price]]-order_items[[#This Row],[Discounted_price]]</f>
        <v>626.9905</v>
      </c>
      <c r="J2776">
        <f>VLOOKUP(B2776, Products!$A$2:$E$100, 3, FALSE)</f>
        <v>9</v>
      </c>
      <c r="K2776">
        <f>VLOOKUP(B2776, Products!$A$2:$F$100, 4, FALSE)</f>
        <v>6</v>
      </c>
    </row>
    <row r="2777" spans="1:11" x14ac:dyDescent="0.3">
      <c r="A2777">
        <v>971</v>
      </c>
      <c r="B2777">
        <v>2</v>
      </c>
      <c r="C2777">
        <v>65</v>
      </c>
      <c r="D2777" t="str">
        <f>VLOOKUP(B2777, Products!$A$2:$C$100, 2, FALSE)</f>
        <v>Ritchey Timberwolf Frameset - 2016</v>
      </c>
      <c r="E2777">
        <v>2</v>
      </c>
      <c r="F2777">
        <v>346.99</v>
      </c>
      <c r="G2777">
        <v>7.0000000000000007E-2</v>
      </c>
      <c r="H2777">
        <v>24.289300000000004</v>
      </c>
      <c r="I2777">
        <f>order_items[[#This Row],[list_price]]-order_items[[#This Row],[Discounted_price]]</f>
        <v>322.70069999999998</v>
      </c>
      <c r="J2777">
        <f>VLOOKUP(B2777, Products!$A$2:$E$100, 3, FALSE)</f>
        <v>5</v>
      </c>
      <c r="K2777">
        <f>VLOOKUP(B2777, Products!$A$2:$F$100, 4, FALSE)</f>
        <v>6</v>
      </c>
    </row>
    <row r="2778" spans="1:11" x14ac:dyDescent="0.3">
      <c r="A2778">
        <v>971</v>
      </c>
      <c r="B2778">
        <v>3</v>
      </c>
      <c r="C2778">
        <v>8</v>
      </c>
      <c r="D2778" t="str">
        <f>VLOOKUP(B2778, Products!$A$2:$C$100, 2, FALSE)</f>
        <v>Surly Wednesday Frameset - 2016</v>
      </c>
      <c r="E2778">
        <v>2</v>
      </c>
      <c r="F2778">
        <v>1799.99</v>
      </c>
      <c r="G2778">
        <v>0.05</v>
      </c>
      <c r="H2778">
        <v>89.999500000000012</v>
      </c>
      <c r="I2778">
        <f>order_items[[#This Row],[list_price]]-order_items[[#This Row],[Discounted_price]]</f>
        <v>1709.9904999999999</v>
      </c>
      <c r="J2778">
        <f>VLOOKUP(B2778, Products!$A$2:$E$100, 3, FALSE)</f>
        <v>8</v>
      </c>
      <c r="K2778">
        <f>VLOOKUP(B2778, Products!$A$2:$F$100, 4, FALSE)</f>
        <v>6</v>
      </c>
    </row>
    <row r="2779" spans="1:11" x14ac:dyDescent="0.3">
      <c r="A2779">
        <v>971</v>
      </c>
      <c r="B2779">
        <v>4</v>
      </c>
      <c r="C2779">
        <v>12</v>
      </c>
      <c r="D2779" t="str">
        <f>VLOOKUP(B2779, Products!$A$2:$C$100, 2, FALSE)</f>
        <v>Trek Fuel EX 8 29 - 2016</v>
      </c>
      <c r="E2779">
        <v>2</v>
      </c>
      <c r="F2779">
        <v>549.99</v>
      </c>
      <c r="G2779">
        <v>7.0000000000000007E-2</v>
      </c>
      <c r="H2779">
        <v>38.499300000000005</v>
      </c>
      <c r="I2779">
        <f>order_items[[#This Row],[list_price]]-order_items[[#This Row],[Discounted_price]]</f>
        <v>511.4907</v>
      </c>
      <c r="J2779">
        <f>VLOOKUP(B2779, Products!$A$2:$E$100, 3, FALSE)</f>
        <v>9</v>
      </c>
      <c r="K2779">
        <f>VLOOKUP(B2779, Products!$A$2:$F$100, 4, FALSE)</f>
        <v>6</v>
      </c>
    </row>
    <row r="2780" spans="1:11" x14ac:dyDescent="0.3">
      <c r="A2780">
        <v>971</v>
      </c>
      <c r="B2780">
        <v>5</v>
      </c>
      <c r="C2780">
        <v>38</v>
      </c>
      <c r="D2780" t="str">
        <f>VLOOKUP(B2780, Products!$A$2:$C$100, 2, FALSE)</f>
        <v>Heller Shagamaw Frame - 2016</v>
      </c>
      <c r="E2780">
        <v>1</v>
      </c>
      <c r="F2780">
        <v>549.99</v>
      </c>
      <c r="G2780">
        <v>0.2</v>
      </c>
      <c r="H2780">
        <v>109.998</v>
      </c>
      <c r="I2780">
        <f>order_items[[#This Row],[list_price]]-order_items[[#This Row],[Discounted_price]]</f>
        <v>439.99200000000002</v>
      </c>
      <c r="J2780">
        <f>VLOOKUP(B2780, Products!$A$2:$E$100, 3, FALSE)</f>
        <v>3</v>
      </c>
      <c r="K2780">
        <f>VLOOKUP(B2780, Products!$A$2:$F$100, 4, FALSE)</f>
        <v>6</v>
      </c>
    </row>
    <row r="2781" spans="1:11" x14ac:dyDescent="0.3">
      <c r="A2781">
        <v>972</v>
      </c>
      <c r="B2781">
        <v>1</v>
      </c>
      <c r="C2781">
        <v>100</v>
      </c>
      <c r="D2781" t="str">
        <f>VLOOKUP(B2781, Products!$A$2:$C$100, 2, FALSE)</f>
        <v>Trek 820 - 2016</v>
      </c>
      <c r="E2781">
        <v>1</v>
      </c>
      <c r="F2781">
        <v>489.99</v>
      </c>
      <c r="G2781">
        <v>0.2</v>
      </c>
      <c r="H2781">
        <v>97.998000000000005</v>
      </c>
      <c r="I2781">
        <f>order_items[[#This Row],[list_price]]-order_items[[#This Row],[Discounted_price]]</f>
        <v>391.99200000000002</v>
      </c>
      <c r="J2781">
        <f>VLOOKUP(B2781, Products!$A$2:$E$100, 3, FALSE)</f>
        <v>9</v>
      </c>
      <c r="K2781">
        <f>VLOOKUP(B2781, Products!$A$2:$F$100, 4, FALSE)</f>
        <v>6</v>
      </c>
    </row>
    <row r="2782" spans="1:11" x14ac:dyDescent="0.3">
      <c r="A2782">
        <v>972</v>
      </c>
      <c r="B2782">
        <v>2</v>
      </c>
      <c r="C2782">
        <v>63</v>
      </c>
      <c r="D2782" t="str">
        <f>VLOOKUP(B2782, Products!$A$2:$C$100, 2, FALSE)</f>
        <v>Ritchey Timberwolf Frameset - 2016</v>
      </c>
      <c r="E2782">
        <v>1</v>
      </c>
      <c r="F2782">
        <v>3499.99</v>
      </c>
      <c r="G2782">
        <v>7.0000000000000007E-2</v>
      </c>
      <c r="H2782">
        <v>244.99930000000001</v>
      </c>
      <c r="I2782">
        <f>order_items[[#This Row],[list_price]]-order_items[[#This Row],[Discounted_price]]</f>
        <v>3254.9906999999998</v>
      </c>
      <c r="J2782">
        <f>VLOOKUP(B2782, Products!$A$2:$E$100, 3, FALSE)</f>
        <v>5</v>
      </c>
      <c r="K2782">
        <f>VLOOKUP(B2782, Products!$A$2:$F$100, 4, FALSE)</f>
        <v>6</v>
      </c>
    </row>
    <row r="2783" spans="1:11" x14ac:dyDescent="0.3">
      <c r="A2783">
        <v>973</v>
      </c>
      <c r="B2783">
        <v>1</v>
      </c>
      <c r="C2783">
        <v>4</v>
      </c>
      <c r="D2783" t="str">
        <f>VLOOKUP(B2783, Products!$A$2:$C$100, 2, FALSE)</f>
        <v>Trek 820 - 2016</v>
      </c>
      <c r="E2783">
        <v>2</v>
      </c>
      <c r="F2783">
        <v>2899.99</v>
      </c>
      <c r="G2783">
        <v>0.1</v>
      </c>
      <c r="H2783">
        <v>289.99899999999997</v>
      </c>
      <c r="I2783">
        <f>order_items[[#This Row],[list_price]]-order_items[[#This Row],[Discounted_price]]</f>
        <v>2609.991</v>
      </c>
      <c r="J2783">
        <f>VLOOKUP(B2783, Products!$A$2:$E$100, 3, FALSE)</f>
        <v>9</v>
      </c>
      <c r="K2783">
        <f>VLOOKUP(B2783, Products!$A$2:$F$100, 4, FALSE)</f>
        <v>6</v>
      </c>
    </row>
    <row r="2784" spans="1:11" x14ac:dyDescent="0.3">
      <c r="A2784">
        <v>973</v>
      </c>
      <c r="B2784">
        <v>2</v>
      </c>
      <c r="C2784">
        <v>28</v>
      </c>
      <c r="D2784" t="str">
        <f>VLOOKUP(B2784, Products!$A$2:$C$100, 2, FALSE)</f>
        <v>Ritchey Timberwolf Frameset - 2016</v>
      </c>
      <c r="E2784">
        <v>2</v>
      </c>
      <c r="F2784">
        <v>2499.9899999999998</v>
      </c>
      <c r="G2784">
        <v>0.1</v>
      </c>
      <c r="H2784">
        <v>249.999</v>
      </c>
      <c r="I2784">
        <f>order_items[[#This Row],[list_price]]-order_items[[#This Row],[Discounted_price]]</f>
        <v>2249.991</v>
      </c>
      <c r="J2784">
        <f>VLOOKUP(B2784, Products!$A$2:$E$100, 3, FALSE)</f>
        <v>5</v>
      </c>
      <c r="K2784">
        <f>VLOOKUP(B2784, Products!$A$2:$F$100, 4, FALSE)</f>
        <v>6</v>
      </c>
    </row>
    <row r="2785" spans="1:11" x14ac:dyDescent="0.3">
      <c r="A2785">
        <v>973</v>
      </c>
      <c r="B2785">
        <v>3</v>
      </c>
      <c r="C2785">
        <v>47</v>
      </c>
      <c r="D2785" t="str">
        <f>VLOOKUP(B2785, Products!$A$2:$C$100, 2, FALSE)</f>
        <v>Surly Wednesday Frameset - 2016</v>
      </c>
      <c r="E2785">
        <v>2</v>
      </c>
      <c r="F2785">
        <v>5299.99</v>
      </c>
      <c r="G2785">
        <v>0.05</v>
      </c>
      <c r="H2785">
        <v>264.99950000000001</v>
      </c>
      <c r="I2785">
        <f>order_items[[#This Row],[list_price]]-order_items[[#This Row],[Discounted_price]]</f>
        <v>5034.9904999999999</v>
      </c>
      <c r="J2785">
        <f>VLOOKUP(B2785, Products!$A$2:$E$100, 3, FALSE)</f>
        <v>8</v>
      </c>
      <c r="K2785">
        <f>VLOOKUP(B2785, Products!$A$2:$F$100, 4, FALSE)</f>
        <v>6</v>
      </c>
    </row>
    <row r="2786" spans="1:11" x14ac:dyDescent="0.3">
      <c r="A2786">
        <v>973</v>
      </c>
      <c r="B2786">
        <v>4</v>
      </c>
      <c r="C2786">
        <v>71</v>
      </c>
      <c r="D2786" t="str">
        <f>VLOOKUP(B2786, Products!$A$2:$C$100, 2, FALSE)</f>
        <v>Trek Fuel EX 8 29 - 2016</v>
      </c>
      <c r="E2786">
        <v>1</v>
      </c>
      <c r="F2786">
        <v>416.99</v>
      </c>
      <c r="G2786">
        <v>7.0000000000000007E-2</v>
      </c>
      <c r="H2786">
        <v>29.189300000000003</v>
      </c>
      <c r="I2786">
        <f>order_items[[#This Row],[list_price]]-order_items[[#This Row],[Discounted_price]]</f>
        <v>387.80070000000001</v>
      </c>
      <c r="J2786">
        <f>VLOOKUP(B2786, Products!$A$2:$E$100, 3, FALSE)</f>
        <v>9</v>
      </c>
      <c r="K2786">
        <f>VLOOKUP(B2786, Products!$A$2:$F$100, 4, FALSE)</f>
        <v>6</v>
      </c>
    </row>
    <row r="2787" spans="1:11" x14ac:dyDescent="0.3">
      <c r="A2787">
        <v>974</v>
      </c>
      <c r="B2787">
        <v>1</v>
      </c>
      <c r="C2787">
        <v>33</v>
      </c>
      <c r="D2787" t="str">
        <f>VLOOKUP(B2787, Products!$A$2:$C$100, 2, FALSE)</f>
        <v>Trek 820 - 2016</v>
      </c>
      <c r="E2787">
        <v>2</v>
      </c>
      <c r="F2787">
        <v>469.99</v>
      </c>
      <c r="G2787">
        <v>0.1</v>
      </c>
      <c r="H2787">
        <v>46.999000000000002</v>
      </c>
      <c r="I2787">
        <f>order_items[[#This Row],[list_price]]-order_items[[#This Row],[Discounted_price]]</f>
        <v>422.99099999999999</v>
      </c>
      <c r="J2787">
        <f>VLOOKUP(B2787, Products!$A$2:$E$100, 3, FALSE)</f>
        <v>9</v>
      </c>
      <c r="K2787">
        <f>VLOOKUP(B2787, Products!$A$2:$F$100, 4, FALSE)</f>
        <v>6</v>
      </c>
    </row>
    <row r="2788" spans="1:11" x14ac:dyDescent="0.3">
      <c r="A2788">
        <v>974</v>
      </c>
      <c r="B2788">
        <v>2</v>
      </c>
      <c r="C2788">
        <v>22</v>
      </c>
      <c r="D2788" t="str">
        <f>VLOOKUP(B2788, Products!$A$2:$C$100, 2, FALSE)</f>
        <v>Ritchey Timberwolf Frameset - 2016</v>
      </c>
      <c r="E2788">
        <v>2</v>
      </c>
      <c r="F2788">
        <v>269.99</v>
      </c>
      <c r="G2788">
        <v>0.2</v>
      </c>
      <c r="H2788">
        <v>53.998000000000005</v>
      </c>
      <c r="I2788">
        <f>order_items[[#This Row],[list_price]]-order_items[[#This Row],[Discounted_price]]</f>
        <v>215.99200000000002</v>
      </c>
      <c r="J2788">
        <f>VLOOKUP(B2788, Products!$A$2:$E$100, 3, FALSE)</f>
        <v>5</v>
      </c>
      <c r="K2788">
        <f>VLOOKUP(B2788, Products!$A$2:$F$100, 4, FALSE)</f>
        <v>6</v>
      </c>
    </row>
    <row r="2789" spans="1:11" x14ac:dyDescent="0.3">
      <c r="A2789">
        <v>975</v>
      </c>
      <c r="B2789">
        <v>1</v>
      </c>
      <c r="C2789">
        <v>110</v>
      </c>
      <c r="D2789" t="str">
        <f>VLOOKUP(B2789, Products!$A$2:$C$100, 2, FALSE)</f>
        <v>Trek 820 - 2016</v>
      </c>
      <c r="E2789">
        <v>2</v>
      </c>
      <c r="F2789">
        <v>470.99</v>
      </c>
      <c r="G2789">
        <v>0.2</v>
      </c>
      <c r="H2789">
        <v>94.198000000000008</v>
      </c>
      <c r="I2789">
        <f>order_items[[#This Row],[list_price]]-order_items[[#This Row],[Discounted_price]]</f>
        <v>376.79200000000003</v>
      </c>
      <c r="J2789">
        <f>VLOOKUP(B2789, Products!$A$2:$E$100, 3, FALSE)</f>
        <v>9</v>
      </c>
      <c r="K2789">
        <f>VLOOKUP(B2789, Products!$A$2:$F$100, 4, FALSE)</f>
        <v>6</v>
      </c>
    </row>
    <row r="2790" spans="1:11" x14ac:dyDescent="0.3">
      <c r="A2790">
        <v>976</v>
      </c>
      <c r="B2790">
        <v>1</v>
      </c>
      <c r="C2790">
        <v>26</v>
      </c>
      <c r="D2790" t="str">
        <f>VLOOKUP(B2790, Products!$A$2:$C$100, 2, FALSE)</f>
        <v>Trek 820 - 2016</v>
      </c>
      <c r="E2790">
        <v>2</v>
      </c>
      <c r="F2790">
        <v>599.99</v>
      </c>
      <c r="G2790">
        <v>0.1</v>
      </c>
      <c r="H2790">
        <v>59.999000000000002</v>
      </c>
      <c r="I2790">
        <f>order_items[[#This Row],[list_price]]-order_items[[#This Row],[Discounted_price]]</f>
        <v>539.99099999999999</v>
      </c>
      <c r="J2790">
        <f>VLOOKUP(B2790, Products!$A$2:$E$100, 3, FALSE)</f>
        <v>9</v>
      </c>
      <c r="K2790">
        <f>VLOOKUP(B2790, Products!$A$2:$F$100, 4, FALSE)</f>
        <v>6</v>
      </c>
    </row>
    <row r="2791" spans="1:11" x14ac:dyDescent="0.3">
      <c r="A2791">
        <v>976</v>
      </c>
      <c r="B2791">
        <v>2</v>
      </c>
      <c r="C2791">
        <v>39</v>
      </c>
      <c r="D2791" t="str">
        <f>VLOOKUP(B2791, Products!$A$2:$C$100, 2, FALSE)</f>
        <v>Ritchey Timberwolf Frameset - 2016</v>
      </c>
      <c r="E2791">
        <v>1</v>
      </c>
      <c r="F2791">
        <v>1499.99</v>
      </c>
      <c r="G2791">
        <v>7.0000000000000007E-2</v>
      </c>
      <c r="H2791">
        <v>104.99930000000001</v>
      </c>
      <c r="I2791">
        <f>order_items[[#This Row],[list_price]]-order_items[[#This Row],[Discounted_price]]</f>
        <v>1394.9907000000001</v>
      </c>
      <c r="J2791">
        <f>VLOOKUP(B2791, Products!$A$2:$E$100, 3, FALSE)</f>
        <v>5</v>
      </c>
      <c r="K2791">
        <f>VLOOKUP(B2791, Products!$A$2:$F$100, 4, FALSE)</f>
        <v>6</v>
      </c>
    </row>
    <row r="2792" spans="1:11" x14ac:dyDescent="0.3">
      <c r="A2792">
        <v>977</v>
      </c>
      <c r="B2792">
        <v>1</v>
      </c>
      <c r="C2792">
        <v>52</v>
      </c>
      <c r="D2792" t="str">
        <f>VLOOKUP(B2792, Products!$A$2:$C$100, 2, FALSE)</f>
        <v>Trek 820 - 2016</v>
      </c>
      <c r="E2792">
        <v>2</v>
      </c>
      <c r="F2792">
        <v>875.99</v>
      </c>
      <c r="G2792">
        <v>0.1</v>
      </c>
      <c r="H2792">
        <v>87.599000000000004</v>
      </c>
      <c r="I2792">
        <f>order_items[[#This Row],[list_price]]-order_items[[#This Row],[Discounted_price]]</f>
        <v>788.39099999999996</v>
      </c>
      <c r="J2792">
        <f>VLOOKUP(B2792, Products!$A$2:$E$100, 3, FALSE)</f>
        <v>9</v>
      </c>
      <c r="K2792">
        <f>VLOOKUP(B2792, Products!$A$2:$F$100, 4, FALSE)</f>
        <v>6</v>
      </c>
    </row>
    <row r="2793" spans="1:11" x14ac:dyDescent="0.3">
      <c r="A2793">
        <v>977</v>
      </c>
      <c r="B2793">
        <v>2</v>
      </c>
      <c r="C2793">
        <v>69</v>
      </c>
      <c r="D2793" t="str">
        <f>VLOOKUP(B2793, Products!$A$2:$C$100, 2, FALSE)</f>
        <v>Ritchey Timberwolf Frameset - 2016</v>
      </c>
      <c r="E2793">
        <v>2</v>
      </c>
      <c r="F2793">
        <v>416.99</v>
      </c>
      <c r="G2793">
        <v>0.05</v>
      </c>
      <c r="H2793">
        <v>20.849500000000003</v>
      </c>
      <c r="I2793">
        <f>order_items[[#This Row],[list_price]]-order_items[[#This Row],[Discounted_price]]</f>
        <v>396.14050000000003</v>
      </c>
      <c r="J2793">
        <f>VLOOKUP(B2793, Products!$A$2:$E$100, 3, FALSE)</f>
        <v>5</v>
      </c>
      <c r="K2793">
        <f>VLOOKUP(B2793, Products!$A$2:$F$100, 4, FALSE)</f>
        <v>6</v>
      </c>
    </row>
    <row r="2794" spans="1:11" x14ac:dyDescent="0.3">
      <c r="A2794">
        <v>977</v>
      </c>
      <c r="B2794">
        <v>3</v>
      </c>
      <c r="C2794">
        <v>27</v>
      </c>
      <c r="D2794" t="str">
        <f>VLOOKUP(B2794, Products!$A$2:$C$100, 2, FALSE)</f>
        <v>Surly Wednesday Frameset - 2016</v>
      </c>
      <c r="E2794">
        <v>1</v>
      </c>
      <c r="F2794">
        <v>999.99</v>
      </c>
      <c r="G2794">
        <v>0.05</v>
      </c>
      <c r="H2794">
        <v>49.999500000000005</v>
      </c>
      <c r="I2794">
        <f>order_items[[#This Row],[list_price]]-order_items[[#This Row],[Discounted_price]]</f>
        <v>949.9905</v>
      </c>
      <c r="J2794">
        <f>VLOOKUP(B2794, Products!$A$2:$E$100, 3, FALSE)</f>
        <v>8</v>
      </c>
      <c r="K2794">
        <f>VLOOKUP(B2794, Products!$A$2:$F$100, 4, FALSE)</f>
        <v>6</v>
      </c>
    </row>
    <row r="2795" spans="1:11" x14ac:dyDescent="0.3">
      <c r="A2795">
        <v>977</v>
      </c>
      <c r="B2795">
        <v>4</v>
      </c>
      <c r="C2795">
        <v>80</v>
      </c>
      <c r="D2795" t="str">
        <f>VLOOKUP(B2795, Products!$A$2:$C$100, 2, FALSE)</f>
        <v>Trek Fuel EX 8 29 - 2016</v>
      </c>
      <c r="E2795">
        <v>2</v>
      </c>
      <c r="F2795">
        <v>761.99</v>
      </c>
      <c r="G2795">
        <v>0.05</v>
      </c>
      <c r="H2795">
        <v>38.099499999999999</v>
      </c>
      <c r="I2795">
        <f>order_items[[#This Row],[list_price]]-order_items[[#This Row],[Discounted_price]]</f>
        <v>723.89049999999997</v>
      </c>
      <c r="J2795">
        <f>VLOOKUP(B2795, Products!$A$2:$E$100, 3, FALSE)</f>
        <v>9</v>
      </c>
      <c r="K2795">
        <f>VLOOKUP(B2795, Products!$A$2:$F$100, 4, FALSE)</f>
        <v>6</v>
      </c>
    </row>
    <row r="2796" spans="1:11" x14ac:dyDescent="0.3">
      <c r="A2796">
        <v>978</v>
      </c>
      <c r="B2796">
        <v>1</v>
      </c>
      <c r="C2796">
        <v>106</v>
      </c>
      <c r="D2796" t="str">
        <f>VLOOKUP(B2796, Products!$A$2:$C$100, 2, FALSE)</f>
        <v>Trek 820 - 2016</v>
      </c>
      <c r="E2796">
        <v>2</v>
      </c>
      <c r="F2796">
        <v>449.99</v>
      </c>
      <c r="G2796">
        <v>0.05</v>
      </c>
      <c r="H2796">
        <v>22.499500000000001</v>
      </c>
      <c r="I2796">
        <f>order_items[[#This Row],[list_price]]-order_items[[#This Row],[Discounted_price]]</f>
        <v>427.4905</v>
      </c>
      <c r="J2796">
        <f>VLOOKUP(B2796, Products!$A$2:$E$100, 3, FALSE)</f>
        <v>9</v>
      </c>
      <c r="K2796">
        <f>VLOOKUP(B2796, Products!$A$2:$F$100, 4, FALSE)</f>
        <v>6</v>
      </c>
    </row>
    <row r="2797" spans="1:11" x14ac:dyDescent="0.3">
      <c r="A2797">
        <v>978</v>
      </c>
      <c r="B2797">
        <v>2</v>
      </c>
      <c r="C2797">
        <v>25</v>
      </c>
      <c r="D2797" t="str">
        <f>VLOOKUP(B2797, Products!$A$2:$C$100, 2, FALSE)</f>
        <v>Ritchey Timberwolf Frameset - 2016</v>
      </c>
      <c r="E2797">
        <v>2</v>
      </c>
      <c r="F2797">
        <v>499.99</v>
      </c>
      <c r="G2797">
        <v>0.2</v>
      </c>
      <c r="H2797">
        <v>99.998000000000005</v>
      </c>
      <c r="I2797">
        <f>order_items[[#This Row],[list_price]]-order_items[[#This Row],[Discounted_price]]</f>
        <v>399.99200000000002</v>
      </c>
      <c r="J2797">
        <f>VLOOKUP(B2797, Products!$A$2:$E$100, 3, FALSE)</f>
        <v>5</v>
      </c>
      <c r="K2797">
        <f>VLOOKUP(B2797, Products!$A$2:$F$100, 4, FALSE)</f>
        <v>6</v>
      </c>
    </row>
    <row r="2798" spans="1:11" x14ac:dyDescent="0.3">
      <c r="A2798">
        <v>978</v>
      </c>
      <c r="B2798">
        <v>3</v>
      </c>
      <c r="C2798">
        <v>108</v>
      </c>
      <c r="D2798" t="str">
        <f>VLOOKUP(B2798, Products!$A$2:$C$100, 2, FALSE)</f>
        <v>Surly Wednesday Frameset - 2016</v>
      </c>
      <c r="E2798">
        <v>2</v>
      </c>
      <c r="F2798">
        <v>449.99</v>
      </c>
      <c r="G2798">
        <v>0.05</v>
      </c>
      <c r="H2798">
        <v>22.499500000000001</v>
      </c>
      <c r="I2798">
        <f>order_items[[#This Row],[list_price]]-order_items[[#This Row],[Discounted_price]]</f>
        <v>427.4905</v>
      </c>
      <c r="J2798">
        <f>VLOOKUP(B2798, Products!$A$2:$E$100, 3, FALSE)</f>
        <v>8</v>
      </c>
      <c r="K2798">
        <f>VLOOKUP(B2798, Products!$A$2:$F$100, 4, FALSE)</f>
        <v>6</v>
      </c>
    </row>
    <row r="2799" spans="1:11" x14ac:dyDescent="0.3">
      <c r="A2799">
        <v>979</v>
      </c>
      <c r="B2799">
        <v>1</v>
      </c>
      <c r="C2799">
        <v>55</v>
      </c>
      <c r="D2799" t="str">
        <f>VLOOKUP(B2799, Products!$A$2:$C$100, 2, FALSE)</f>
        <v>Trek 820 - 2016</v>
      </c>
      <c r="E2799">
        <v>1</v>
      </c>
      <c r="F2799">
        <v>2699.99</v>
      </c>
      <c r="G2799">
        <v>0.05</v>
      </c>
      <c r="H2799">
        <v>134.99949999999998</v>
      </c>
      <c r="I2799">
        <f>order_items[[#This Row],[list_price]]-order_items[[#This Row],[Discounted_price]]</f>
        <v>2564.9904999999999</v>
      </c>
      <c r="J2799">
        <f>VLOOKUP(B2799, Products!$A$2:$E$100, 3, FALSE)</f>
        <v>9</v>
      </c>
      <c r="K2799">
        <f>VLOOKUP(B2799, Products!$A$2:$F$100, 4, FALSE)</f>
        <v>6</v>
      </c>
    </row>
    <row r="2800" spans="1:11" x14ac:dyDescent="0.3">
      <c r="A2800">
        <v>979</v>
      </c>
      <c r="B2800">
        <v>2</v>
      </c>
      <c r="C2800">
        <v>71</v>
      </c>
      <c r="D2800" t="str">
        <f>VLOOKUP(B2800, Products!$A$2:$C$100, 2, FALSE)</f>
        <v>Ritchey Timberwolf Frameset - 2016</v>
      </c>
      <c r="E2800">
        <v>2</v>
      </c>
      <c r="F2800">
        <v>416.99</v>
      </c>
      <c r="G2800">
        <v>0.2</v>
      </c>
      <c r="H2800">
        <v>83.39800000000001</v>
      </c>
      <c r="I2800">
        <f>order_items[[#This Row],[list_price]]-order_items[[#This Row],[Discounted_price]]</f>
        <v>333.59199999999998</v>
      </c>
      <c r="J2800">
        <f>VLOOKUP(B2800, Products!$A$2:$E$100, 3, FALSE)</f>
        <v>5</v>
      </c>
      <c r="K2800">
        <f>VLOOKUP(B2800, Products!$A$2:$F$100, 4, FALSE)</f>
        <v>6</v>
      </c>
    </row>
    <row r="2801" spans="1:11" x14ac:dyDescent="0.3">
      <c r="A2801">
        <v>979</v>
      </c>
      <c r="B2801">
        <v>3</v>
      </c>
      <c r="C2801">
        <v>12</v>
      </c>
      <c r="D2801" t="str">
        <f>VLOOKUP(B2801, Products!$A$2:$C$100, 2, FALSE)</f>
        <v>Surly Wednesday Frameset - 2016</v>
      </c>
      <c r="E2801">
        <v>2</v>
      </c>
      <c r="F2801">
        <v>549.99</v>
      </c>
      <c r="G2801">
        <v>0.1</v>
      </c>
      <c r="H2801">
        <v>54.999000000000002</v>
      </c>
      <c r="I2801">
        <f>order_items[[#This Row],[list_price]]-order_items[[#This Row],[Discounted_price]]</f>
        <v>494.99099999999999</v>
      </c>
      <c r="J2801">
        <f>VLOOKUP(B2801, Products!$A$2:$E$100, 3, FALSE)</f>
        <v>8</v>
      </c>
      <c r="K2801">
        <f>VLOOKUP(B2801, Products!$A$2:$F$100, 4, FALSE)</f>
        <v>6</v>
      </c>
    </row>
    <row r="2802" spans="1:11" x14ac:dyDescent="0.3">
      <c r="A2802">
        <v>979</v>
      </c>
      <c r="B2802">
        <v>4</v>
      </c>
      <c r="C2802">
        <v>52</v>
      </c>
      <c r="D2802" t="str">
        <f>VLOOKUP(B2802, Products!$A$2:$C$100, 2, FALSE)</f>
        <v>Trek Fuel EX 8 29 - 2016</v>
      </c>
      <c r="E2802">
        <v>1</v>
      </c>
      <c r="F2802">
        <v>875.99</v>
      </c>
      <c r="G2802">
        <v>0.2</v>
      </c>
      <c r="H2802">
        <v>175.19800000000001</v>
      </c>
      <c r="I2802">
        <f>order_items[[#This Row],[list_price]]-order_items[[#This Row],[Discounted_price]]</f>
        <v>700.79200000000003</v>
      </c>
      <c r="J2802">
        <f>VLOOKUP(B2802, Products!$A$2:$E$100, 3, FALSE)</f>
        <v>9</v>
      </c>
      <c r="K2802">
        <f>VLOOKUP(B2802, Products!$A$2:$F$100, 4, FALSE)</f>
        <v>6</v>
      </c>
    </row>
    <row r="2803" spans="1:11" x14ac:dyDescent="0.3">
      <c r="A2803">
        <v>980</v>
      </c>
      <c r="B2803">
        <v>1</v>
      </c>
      <c r="C2803">
        <v>49</v>
      </c>
      <c r="D2803" t="str">
        <f>VLOOKUP(B2803, Products!$A$2:$C$100, 2, FALSE)</f>
        <v>Trek 820 - 2016</v>
      </c>
      <c r="E2803">
        <v>2</v>
      </c>
      <c r="F2803">
        <v>3499.99</v>
      </c>
      <c r="G2803">
        <v>0.2</v>
      </c>
      <c r="H2803">
        <v>699.99800000000005</v>
      </c>
      <c r="I2803">
        <f>order_items[[#This Row],[list_price]]-order_items[[#This Row],[Discounted_price]]</f>
        <v>2799.9919999999997</v>
      </c>
      <c r="J2803">
        <f>VLOOKUP(B2803, Products!$A$2:$E$100, 3, FALSE)</f>
        <v>9</v>
      </c>
      <c r="K2803">
        <f>VLOOKUP(B2803, Products!$A$2:$F$100, 4, FALSE)</f>
        <v>6</v>
      </c>
    </row>
    <row r="2804" spans="1:11" x14ac:dyDescent="0.3">
      <c r="A2804">
        <v>980</v>
      </c>
      <c r="B2804">
        <v>2</v>
      </c>
      <c r="C2804">
        <v>9</v>
      </c>
      <c r="D2804" t="str">
        <f>VLOOKUP(B2804, Products!$A$2:$C$100, 2, FALSE)</f>
        <v>Ritchey Timberwolf Frameset - 2016</v>
      </c>
      <c r="E2804">
        <v>1</v>
      </c>
      <c r="F2804">
        <v>2999.99</v>
      </c>
      <c r="G2804">
        <v>0.1</v>
      </c>
      <c r="H2804">
        <v>299.99899999999997</v>
      </c>
      <c r="I2804">
        <f>order_items[[#This Row],[list_price]]-order_items[[#This Row],[Discounted_price]]</f>
        <v>2699.991</v>
      </c>
      <c r="J2804">
        <f>VLOOKUP(B2804, Products!$A$2:$E$100, 3, FALSE)</f>
        <v>5</v>
      </c>
      <c r="K2804">
        <f>VLOOKUP(B2804, Products!$A$2:$F$100, 4, FALSE)</f>
        <v>6</v>
      </c>
    </row>
    <row r="2805" spans="1:11" x14ac:dyDescent="0.3">
      <c r="A2805">
        <v>980</v>
      </c>
      <c r="B2805">
        <v>3</v>
      </c>
      <c r="C2805">
        <v>64</v>
      </c>
      <c r="D2805" t="str">
        <f>VLOOKUP(B2805, Products!$A$2:$C$100, 2, FALSE)</f>
        <v>Surly Wednesday Frameset - 2016</v>
      </c>
      <c r="E2805">
        <v>1</v>
      </c>
      <c r="F2805">
        <v>489.99</v>
      </c>
      <c r="G2805">
        <v>0.1</v>
      </c>
      <c r="H2805">
        <v>48.999000000000002</v>
      </c>
      <c r="I2805">
        <f>order_items[[#This Row],[list_price]]-order_items[[#This Row],[Discounted_price]]</f>
        <v>440.99099999999999</v>
      </c>
      <c r="J2805">
        <f>VLOOKUP(B2805, Products!$A$2:$E$100, 3, FALSE)</f>
        <v>8</v>
      </c>
      <c r="K2805">
        <f>VLOOKUP(B2805, Products!$A$2:$F$100, 4, FALSE)</f>
        <v>6</v>
      </c>
    </row>
    <row r="2806" spans="1:11" x14ac:dyDescent="0.3">
      <c r="A2806">
        <v>981</v>
      </c>
      <c r="B2806">
        <v>1</v>
      </c>
      <c r="C2806">
        <v>35</v>
      </c>
      <c r="D2806" t="str">
        <f>VLOOKUP(B2806, Products!$A$2:$C$100, 2, FALSE)</f>
        <v>Trek 820 - 2016</v>
      </c>
      <c r="E2806">
        <v>1</v>
      </c>
      <c r="F2806">
        <v>832.99</v>
      </c>
      <c r="G2806">
        <v>0.1</v>
      </c>
      <c r="H2806">
        <v>83.299000000000007</v>
      </c>
      <c r="I2806">
        <f>order_items[[#This Row],[list_price]]-order_items[[#This Row],[Discounted_price]]</f>
        <v>749.69100000000003</v>
      </c>
      <c r="J2806">
        <f>VLOOKUP(B2806, Products!$A$2:$E$100, 3, FALSE)</f>
        <v>9</v>
      </c>
      <c r="K2806">
        <f>VLOOKUP(B2806, Products!$A$2:$F$100, 4, FALSE)</f>
        <v>6</v>
      </c>
    </row>
    <row r="2807" spans="1:11" x14ac:dyDescent="0.3">
      <c r="A2807">
        <v>981</v>
      </c>
      <c r="B2807">
        <v>2</v>
      </c>
      <c r="C2807">
        <v>95</v>
      </c>
      <c r="D2807" t="str">
        <f>VLOOKUP(B2807, Products!$A$2:$C$100, 2, FALSE)</f>
        <v>Ritchey Timberwolf Frameset - 2016</v>
      </c>
      <c r="E2807">
        <v>2</v>
      </c>
      <c r="F2807">
        <v>299.99</v>
      </c>
      <c r="G2807">
        <v>0.05</v>
      </c>
      <c r="H2807">
        <v>14.999500000000001</v>
      </c>
      <c r="I2807">
        <f>order_items[[#This Row],[list_price]]-order_items[[#This Row],[Discounted_price]]</f>
        <v>284.9905</v>
      </c>
      <c r="J2807">
        <f>VLOOKUP(B2807, Products!$A$2:$E$100, 3, FALSE)</f>
        <v>5</v>
      </c>
      <c r="K2807">
        <f>VLOOKUP(B2807, Products!$A$2:$F$100, 4, FALSE)</f>
        <v>6</v>
      </c>
    </row>
    <row r="2808" spans="1:11" x14ac:dyDescent="0.3">
      <c r="A2808">
        <v>981</v>
      </c>
      <c r="B2808">
        <v>3</v>
      </c>
      <c r="C2808">
        <v>21</v>
      </c>
      <c r="D2808" t="str">
        <f>VLOOKUP(B2808, Products!$A$2:$C$100, 2, FALSE)</f>
        <v>Surly Wednesday Frameset - 2016</v>
      </c>
      <c r="E2808">
        <v>2</v>
      </c>
      <c r="F2808">
        <v>269.99</v>
      </c>
      <c r="G2808">
        <v>7.0000000000000007E-2</v>
      </c>
      <c r="H2808">
        <v>18.899300000000004</v>
      </c>
      <c r="I2808">
        <f>order_items[[#This Row],[list_price]]-order_items[[#This Row],[Discounted_price]]</f>
        <v>251.0907</v>
      </c>
      <c r="J2808">
        <f>VLOOKUP(B2808, Products!$A$2:$E$100, 3, FALSE)</f>
        <v>8</v>
      </c>
      <c r="K2808">
        <f>VLOOKUP(B2808, Products!$A$2:$F$100, 4, FALSE)</f>
        <v>6</v>
      </c>
    </row>
    <row r="2809" spans="1:11" x14ac:dyDescent="0.3">
      <c r="A2809">
        <v>981</v>
      </c>
      <c r="B2809">
        <v>4</v>
      </c>
      <c r="C2809">
        <v>36</v>
      </c>
      <c r="D2809" t="str">
        <f>VLOOKUP(B2809, Products!$A$2:$C$100, 2, FALSE)</f>
        <v>Trek Fuel EX 8 29 - 2016</v>
      </c>
      <c r="E2809">
        <v>2</v>
      </c>
      <c r="F2809">
        <v>832.99</v>
      </c>
      <c r="G2809">
        <v>0.1</v>
      </c>
      <c r="H2809">
        <v>83.299000000000007</v>
      </c>
      <c r="I2809">
        <f>order_items[[#This Row],[list_price]]-order_items[[#This Row],[Discounted_price]]</f>
        <v>749.69100000000003</v>
      </c>
      <c r="J2809">
        <f>VLOOKUP(B2809, Products!$A$2:$E$100, 3, FALSE)</f>
        <v>9</v>
      </c>
      <c r="K2809">
        <f>VLOOKUP(B2809, Products!$A$2:$F$100, 4, FALSE)</f>
        <v>6</v>
      </c>
    </row>
    <row r="2810" spans="1:11" x14ac:dyDescent="0.3">
      <c r="A2810">
        <v>981</v>
      </c>
      <c r="B2810">
        <v>5</v>
      </c>
      <c r="C2810">
        <v>61</v>
      </c>
      <c r="D2810" t="str">
        <f>VLOOKUP(B2810, Products!$A$2:$C$100, 2, FALSE)</f>
        <v>Heller Shagamaw Frame - 2016</v>
      </c>
      <c r="E2810">
        <v>1</v>
      </c>
      <c r="F2810">
        <v>4999.99</v>
      </c>
      <c r="G2810">
        <v>7.0000000000000007E-2</v>
      </c>
      <c r="H2810">
        <v>349.99930000000001</v>
      </c>
      <c r="I2810">
        <f>order_items[[#This Row],[list_price]]-order_items[[#This Row],[Discounted_price]]</f>
        <v>4649.9906999999994</v>
      </c>
      <c r="J2810">
        <f>VLOOKUP(B2810, Products!$A$2:$E$100, 3, FALSE)</f>
        <v>3</v>
      </c>
      <c r="K2810">
        <f>VLOOKUP(B2810, Products!$A$2:$F$100, 4, FALSE)</f>
        <v>6</v>
      </c>
    </row>
    <row r="2811" spans="1:11" x14ac:dyDescent="0.3">
      <c r="A2811">
        <v>982</v>
      </c>
      <c r="B2811">
        <v>1</v>
      </c>
      <c r="C2811">
        <v>22</v>
      </c>
      <c r="D2811" t="str">
        <f>VLOOKUP(B2811, Products!$A$2:$C$100, 2, FALSE)</f>
        <v>Trek 820 - 2016</v>
      </c>
      <c r="E2811">
        <v>2</v>
      </c>
      <c r="F2811">
        <v>269.99</v>
      </c>
      <c r="G2811">
        <v>0.1</v>
      </c>
      <c r="H2811">
        <v>26.999000000000002</v>
      </c>
      <c r="I2811">
        <f>order_items[[#This Row],[list_price]]-order_items[[#This Row],[Discounted_price]]</f>
        <v>242.99100000000001</v>
      </c>
      <c r="J2811">
        <f>VLOOKUP(B2811, Products!$A$2:$E$100, 3, FALSE)</f>
        <v>9</v>
      </c>
      <c r="K2811">
        <f>VLOOKUP(B2811, Products!$A$2:$F$100, 4, FALSE)</f>
        <v>6</v>
      </c>
    </row>
    <row r="2812" spans="1:11" x14ac:dyDescent="0.3">
      <c r="A2812">
        <v>982</v>
      </c>
      <c r="B2812">
        <v>2</v>
      </c>
      <c r="C2812">
        <v>110</v>
      </c>
      <c r="D2812" t="str">
        <f>VLOOKUP(B2812, Products!$A$2:$C$100, 2, FALSE)</f>
        <v>Ritchey Timberwolf Frameset - 2016</v>
      </c>
      <c r="E2812">
        <v>1</v>
      </c>
      <c r="F2812">
        <v>470.99</v>
      </c>
      <c r="G2812">
        <v>7.0000000000000007E-2</v>
      </c>
      <c r="H2812">
        <v>32.969300000000004</v>
      </c>
      <c r="I2812">
        <f>order_items[[#This Row],[list_price]]-order_items[[#This Row],[Discounted_price]]</f>
        <v>438.02070000000003</v>
      </c>
      <c r="J2812">
        <f>VLOOKUP(B2812, Products!$A$2:$E$100, 3, FALSE)</f>
        <v>5</v>
      </c>
      <c r="K2812">
        <f>VLOOKUP(B2812, Products!$A$2:$F$100, 4, FALSE)</f>
        <v>6</v>
      </c>
    </row>
    <row r="2813" spans="1:11" x14ac:dyDescent="0.3">
      <c r="A2813">
        <v>982</v>
      </c>
      <c r="B2813">
        <v>3</v>
      </c>
      <c r="C2813">
        <v>52</v>
      </c>
      <c r="D2813" t="str">
        <f>VLOOKUP(B2813, Products!$A$2:$C$100, 2, FALSE)</f>
        <v>Surly Wednesday Frameset - 2016</v>
      </c>
      <c r="E2813">
        <v>1</v>
      </c>
      <c r="F2813">
        <v>875.99</v>
      </c>
      <c r="G2813">
        <v>7.0000000000000007E-2</v>
      </c>
      <c r="H2813">
        <v>61.319300000000005</v>
      </c>
      <c r="I2813">
        <f>order_items[[#This Row],[list_price]]-order_items[[#This Row],[Discounted_price]]</f>
        <v>814.67070000000001</v>
      </c>
      <c r="J2813">
        <f>VLOOKUP(B2813, Products!$A$2:$E$100, 3, FALSE)</f>
        <v>8</v>
      </c>
      <c r="K2813">
        <f>VLOOKUP(B2813, Products!$A$2:$F$100, 4, FALSE)</f>
        <v>6</v>
      </c>
    </row>
    <row r="2814" spans="1:11" x14ac:dyDescent="0.3">
      <c r="A2814">
        <v>982</v>
      </c>
      <c r="B2814">
        <v>4</v>
      </c>
      <c r="C2814">
        <v>40</v>
      </c>
      <c r="D2814" t="str">
        <f>VLOOKUP(B2814, Products!$A$2:$C$100, 2, FALSE)</f>
        <v>Trek Fuel EX 8 29 - 2016</v>
      </c>
      <c r="E2814">
        <v>2</v>
      </c>
      <c r="F2814">
        <v>4999.99</v>
      </c>
      <c r="G2814">
        <v>0.05</v>
      </c>
      <c r="H2814">
        <v>249.99950000000001</v>
      </c>
      <c r="I2814">
        <f>order_items[[#This Row],[list_price]]-order_items[[#This Row],[Discounted_price]]</f>
        <v>4749.9904999999999</v>
      </c>
      <c r="J2814">
        <f>VLOOKUP(B2814, Products!$A$2:$E$100, 3, FALSE)</f>
        <v>9</v>
      </c>
      <c r="K2814">
        <f>VLOOKUP(B2814, Products!$A$2:$F$100, 4, FALSE)</f>
        <v>6</v>
      </c>
    </row>
    <row r="2815" spans="1:11" x14ac:dyDescent="0.3">
      <c r="A2815">
        <v>983</v>
      </c>
      <c r="B2815">
        <v>1</v>
      </c>
      <c r="C2815">
        <v>63</v>
      </c>
      <c r="D2815" t="str">
        <f>VLOOKUP(B2815, Products!$A$2:$C$100, 2, FALSE)</f>
        <v>Trek 820 - 2016</v>
      </c>
      <c r="E2815">
        <v>1</v>
      </c>
      <c r="F2815">
        <v>3499.99</v>
      </c>
      <c r="G2815">
        <v>0.1</v>
      </c>
      <c r="H2815">
        <v>349.99900000000002</v>
      </c>
      <c r="I2815">
        <f>order_items[[#This Row],[list_price]]-order_items[[#This Row],[Discounted_price]]</f>
        <v>3149.991</v>
      </c>
      <c r="J2815">
        <f>VLOOKUP(B2815, Products!$A$2:$E$100, 3, FALSE)</f>
        <v>9</v>
      </c>
      <c r="K2815">
        <f>VLOOKUP(B2815, Products!$A$2:$F$100, 4, FALSE)</f>
        <v>6</v>
      </c>
    </row>
    <row r="2816" spans="1:11" x14ac:dyDescent="0.3">
      <c r="A2816">
        <v>983</v>
      </c>
      <c r="B2816">
        <v>2</v>
      </c>
      <c r="C2816">
        <v>20</v>
      </c>
      <c r="D2816" t="str">
        <f>VLOOKUP(B2816, Products!$A$2:$C$100, 2, FALSE)</f>
        <v>Ritchey Timberwolf Frameset - 2016</v>
      </c>
      <c r="E2816">
        <v>2</v>
      </c>
      <c r="F2816">
        <v>599.99</v>
      </c>
      <c r="G2816">
        <v>0.2</v>
      </c>
      <c r="H2816">
        <v>119.998</v>
      </c>
      <c r="I2816">
        <f>order_items[[#This Row],[list_price]]-order_items[[#This Row],[Discounted_price]]</f>
        <v>479.99200000000002</v>
      </c>
      <c r="J2816">
        <f>VLOOKUP(B2816, Products!$A$2:$E$100, 3, FALSE)</f>
        <v>5</v>
      </c>
      <c r="K2816">
        <f>VLOOKUP(B2816, Products!$A$2:$F$100, 4, FALSE)</f>
        <v>6</v>
      </c>
    </row>
    <row r="2817" spans="1:11" x14ac:dyDescent="0.3">
      <c r="A2817">
        <v>983</v>
      </c>
      <c r="B2817">
        <v>3</v>
      </c>
      <c r="C2817">
        <v>68</v>
      </c>
      <c r="D2817" t="str">
        <f>VLOOKUP(B2817, Products!$A$2:$C$100, 2, FALSE)</f>
        <v>Surly Wednesday Frameset - 2016</v>
      </c>
      <c r="E2817">
        <v>1</v>
      </c>
      <c r="F2817">
        <v>449.99</v>
      </c>
      <c r="G2817">
        <v>7.0000000000000007E-2</v>
      </c>
      <c r="H2817">
        <v>31.499300000000005</v>
      </c>
      <c r="I2817">
        <f>order_items[[#This Row],[list_price]]-order_items[[#This Row],[Discounted_price]]</f>
        <v>418.4907</v>
      </c>
      <c r="J2817">
        <f>VLOOKUP(B2817, Products!$A$2:$E$100, 3, FALSE)</f>
        <v>8</v>
      </c>
      <c r="K2817">
        <f>VLOOKUP(B2817, Products!$A$2:$F$100, 4, FALSE)</f>
        <v>6</v>
      </c>
    </row>
    <row r="2818" spans="1:11" x14ac:dyDescent="0.3">
      <c r="A2818">
        <v>983</v>
      </c>
      <c r="B2818">
        <v>4</v>
      </c>
      <c r="C2818">
        <v>81</v>
      </c>
      <c r="D2818" t="str">
        <f>VLOOKUP(B2818, Products!$A$2:$C$100, 2, FALSE)</f>
        <v>Trek Fuel EX 8 29 - 2016</v>
      </c>
      <c r="E2818">
        <v>2</v>
      </c>
      <c r="F2818">
        <v>1099.99</v>
      </c>
      <c r="G2818">
        <v>7.0000000000000007E-2</v>
      </c>
      <c r="H2818">
        <v>76.999300000000005</v>
      </c>
      <c r="I2818">
        <f>order_items[[#This Row],[list_price]]-order_items[[#This Row],[Discounted_price]]</f>
        <v>1022.9907000000001</v>
      </c>
      <c r="J2818">
        <f>VLOOKUP(B2818, Products!$A$2:$E$100, 3, FALSE)</f>
        <v>9</v>
      </c>
      <c r="K2818">
        <f>VLOOKUP(B2818, Products!$A$2:$F$100, 4, FALSE)</f>
        <v>6</v>
      </c>
    </row>
    <row r="2819" spans="1:11" x14ac:dyDescent="0.3">
      <c r="A2819">
        <v>983</v>
      </c>
      <c r="B2819">
        <v>5</v>
      </c>
      <c r="C2819">
        <v>88</v>
      </c>
      <c r="D2819" t="str">
        <f>VLOOKUP(B2819, Products!$A$2:$C$100, 2, FALSE)</f>
        <v>Heller Shagamaw Frame - 2016</v>
      </c>
      <c r="E2819">
        <v>1</v>
      </c>
      <c r="F2819">
        <v>189.99</v>
      </c>
      <c r="G2819">
        <v>0.05</v>
      </c>
      <c r="H2819">
        <v>9.4995000000000012</v>
      </c>
      <c r="I2819">
        <f>order_items[[#This Row],[list_price]]-order_items[[#This Row],[Discounted_price]]</f>
        <v>180.4905</v>
      </c>
      <c r="J2819">
        <f>VLOOKUP(B2819, Products!$A$2:$E$100, 3, FALSE)</f>
        <v>3</v>
      </c>
      <c r="K2819">
        <f>VLOOKUP(B2819, Products!$A$2:$F$100, 4, FALSE)</f>
        <v>6</v>
      </c>
    </row>
    <row r="2820" spans="1:11" x14ac:dyDescent="0.3">
      <c r="A2820">
        <v>984</v>
      </c>
      <c r="B2820">
        <v>1</v>
      </c>
      <c r="C2820">
        <v>68</v>
      </c>
      <c r="D2820" t="str">
        <f>VLOOKUP(B2820, Products!$A$2:$C$100, 2, FALSE)</f>
        <v>Trek 820 - 2016</v>
      </c>
      <c r="E2820">
        <v>1</v>
      </c>
      <c r="F2820">
        <v>449.99</v>
      </c>
      <c r="G2820">
        <v>0.2</v>
      </c>
      <c r="H2820">
        <v>89.998000000000005</v>
      </c>
      <c r="I2820">
        <f>order_items[[#This Row],[list_price]]-order_items[[#This Row],[Discounted_price]]</f>
        <v>359.99200000000002</v>
      </c>
      <c r="J2820">
        <f>VLOOKUP(B2820, Products!$A$2:$E$100, 3, FALSE)</f>
        <v>9</v>
      </c>
      <c r="K2820">
        <f>VLOOKUP(B2820, Products!$A$2:$F$100, 4, FALSE)</f>
        <v>6</v>
      </c>
    </row>
    <row r="2821" spans="1:11" x14ac:dyDescent="0.3">
      <c r="A2821">
        <v>984</v>
      </c>
      <c r="B2821">
        <v>2</v>
      </c>
      <c r="C2821">
        <v>81</v>
      </c>
      <c r="D2821" t="str">
        <f>VLOOKUP(B2821, Products!$A$2:$C$100, 2, FALSE)</f>
        <v>Ritchey Timberwolf Frameset - 2016</v>
      </c>
      <c r="E2821">
        <v>2</v>
      </c>
      <c r="F2821">
        <v>1099.99</v>
      </c>
      <c r="G2821">
        <v>0.2</v>
      </c>
      <c r="H2821">
        <v>219.99800000000002</v>
      </c>
      <c r="I2821">
        <f>order_items[[#This Row],[list_price]]-order_items[[#This Row],[Discounted_price]]</f>
        <v>879.99199999999996</v>
      </c>
      <c r="J2821">
        <f>VLOOKUP(B2821, Products!$A$2:$E$100, 3, FALSE)</f>
        <v>5</v>
      </c>
      <c r="K2821">
        <f>VLOOKUP(B2821, Products!$A$2:$F$100, 4, FALSE)</f>
        <v>6</v>
      </c>
    </row>
    <row r="2822" spans="1:11" x14ac:dyDescent="0.3">
      <c r="A2822">
        <v>984</v>
      </c>
      <c r="B2822">
        <v>3</v>
      </c>
      <c r="C2822">
        <v>12</v>
      </c>
      <c r="D2822" t="str">
        <f>VLOOKUP(B2822, Products!$A$2:$C$100, 2, FALSE)</f>
        <v>Surly Wednesday Frameset - 2016</v>
      </c>
      <c r="E2822">
        <v>1</v>
      </c>
      <c r="F2822">
        <v>549.99</v>
      </c>
      <c r="G2822">
        <v>0.1</v>
      </c>
      <c r="H2822">
        <v>54.999000000000002</v>
      </c>
      <c r="I2822">
        <f>order_items[[#This Row],[list_price]]-order_items[[#This Row],[Discounted_price]]</f>
        <v>494.99099999999999</v>
      </c>
      <c r="J2822">
        <f>VLOOKUP(B2822, Products!$A$2:$E$100, 3, FALSE)</f>
        <v>8</v>
      </c>
      <c r="K2822">
        <f>VLOOKUP(B2822, Products!$A$2:$F$100, 4, FALSE)</f>
        <v>6</v>
      </c>
    </row>
    <row r="2823" spans="1:11" x14ac:dyDescent="0.3">
      <c r="A2823">
        <v>984</v>
      </c>
      <c r="B2823">
        <v>4</v>
      </c>
      <c r="C2823">
        <v>111</v>
      </c>
      <c r="D2823" t="str">
        <f>VLOOKUP(B2823, Products!$A$2:$C$100, 2, FALSE)</f>
        <v>Trek Fuel EX 8 29 - 2016</v>
      </c>
      <c r="E2823">
        <v>1</v>
      </c>
      <c r="F2823">
        <v>470.99</v>
      </c>
      <c r="G2823">
        <v>0.2</v>
      </c>
      <c r="H2823">
        <v>94.198000000000008</v>
      </c>
      <c r="I2823">
        <f>order_items[[#This Row],[list_price]]-order_items[[#This Row],[Discounted_price]]</f>
        <v>376.79200000000003</v>
      </c>
      <c r="J2823">
        <f>VLOOKUP(B2823, Products!$A$2:$E$100, 3, FALSE)</f>
        <v>9</v>
      </c>
      <c r="K2823">
        <f>VLOOKUP(B2823, Products!$A$2:$F$100, 4, FALSE)</f>
        <v>6</v>
      </c>
    </row>
    <row r="2824" spans="1:11" x14ac:dyDescent="0.3">
      <c r="A2824">
        <v>985</v>
      </c>
      <c r="B2824">
        <v>1</v>
      </c>
      <c r="C2824">
        <v>5</v>
      </c>
      <c r="D2824" t="str">
        <f>VLOOKUP(B2824, Products!$A$2:$C$100, 2, FALSE)</f>
        <v>Trek 820 - 2016</v>
      </c>
      <c r="E2824">
        <v>2</v>
      </c>
      <c r="F2824">
        <v>1320.99</v>
      </c>
      <c r="G2824">
        <v>7.0000000000000007E-2</v>
      </c>
      <c r="H2824">
        <v>92.469300000000004</v>
      </c>
      <c r="I2824">
        <f>order_items[[#This Row],[list_price]]-order_items[[#This Row],[Discounted_price]]</f>
        <v>1228.5207</v>
      </c>
      <c r="J2824">
        <f>VLOOKUP(B2824, Products!$A$2:$E$100, 3, FALSE)</f>
        <v>9</v>
      </c>
      <c r="K2824">
        <f>VLOOKUP(B2824, Products!$A$2:$F$100, 4, FALSE)</f>
        <v>6</v>
      </c>
    </row>
    <row r="2825" spans="1:11" x14ac:dyDescent="0.3">
      <c r="A2825">
        <v>985</v>
      </c>
      <c r="B2825">
        <v>2</v>
      </c>
      <c r="C2825">
        <v>59</v>
      </c>
      <c r="D2825" t="str">
        <f>VLOOKUP(B2825, Products!$A$2:$C$100, 2, FALSE)</f>
        <v>Ritchey Timberwolf Frameset - 2016</v>
      </c>
      <c r="E2825">
        <v>1</v>
      </c>
      <c r="F2825">
        <v>2599.9899999999998</v>
      </c>
      <c r="G2825">
        <v>0.2</v>
      </c>
      <c r="H2825">
        <v>519.99799999999993</v>
      </c>
      <c r="I2825">
        <f>order_items[[#This Row],[list_price]]-order_items[[#This Row],[Discounted_price]]</f>
        <v>2079.9919999999997</v>
      </c>
      <c r="J2825">
        <f>VLOOKUP(B2825, Products!$A$2:$E$100, 3, FALSE)</f>
        <v>5</v>
      </c>
      <c r="K2825">
        <f>VLOOKUP(B2825, Products!$A$2:$F$100, 4, FALSE)</f>
        <v>6</v>
      </c>
    </row>
    <row r="2826" spans="1:11" x14ac:dyDescent="0.3">
      <c r="A2826">
        <v>985</v>
      </c>
      <c r="B2826">
        <v>3</v>
      </c>
      <c r="C2826">
        <v>78</v>
      </c>
      <c r="D2826" t="str">
        <f>VLOOKUP(B2826, Products!$A$2:$C$100, 2, FALSE)</f>
        <v>Surly Wednesday Frameset - 2016</v>
      </c>
      <c r="E2826">
        <v>2</v>
      </c>
      <c r="F2826">
        <v>647.99</v>
      </c>
      <c r="G2826">
        <v>0.05</v>
      </c>
      <c r="H2826">
        <v>32.399500000000003</v>
      </c>
      <c r="I2826">
        <f>order_items[[#This Row],[list_price]]-order_items[[#This Row],[Discounted_price]]</f>
        <v>615.59050000000002</v>
      </c>
      <c r="J2826">
        <f>VLOOKUP(B2826, Products!$A$2:$E$100, 3, FALSE)</f>
        <v>8</v>
      </c>
      <c r="K2826">
        <f>VLOOKUP(B2826, Products!$A$2:$F$100, 4, FALSE)</f>
        <v>6</v>
      </c>
    </row>
    <row r="2827" spans="1:11" x14ac:dyDescent="0.3">
      <c r="A2827">
        <v>986</v>
      </c>
      <c r="B2827">
        <v>1</v>
      </c>
      <c r="C2827">
        <v>87</v>
      </c>
      <c r="D2827" t="str">
        <f>VLOOKUP(B2827, Products!$A$2:$C$100, 2, FALSE)</f>
        <v>Trek 820 - 2016</v>
      </c>
      <c r="E2827">
        <v>1</v>
      </c>
      <c r="F2827">
        <v>189.99</v>
      </c>
      <c r="G2827">
        <v>0.1</v>
      </c>
      <c r="H2827">
        <v>18.999000000000002</v>
      </c>
      <c r="I2827">
        <f>order_items[[#This Row],[list_price]]-order_items[[#This Row],[Discounted_price]]</f>
        <v>170.99100000000001</v>
      </c>
      <c r="J2827">
        <f>VLOOKUP(B2827, Products!$A$2:$E$100, 3, FALSE)</f>
        <v>9</v>
      </c>
      <c r="K2827">
        <f>VLOOKUP(B2827, Products!$A$2:$F$100, 4, FALSE)</f>
        <v>6</v>
      </c>
    </row>
    <row r="2828" spans="1:11" x14ac:dyDescent="0.3">
      <c r="A2828">
        <v>986</v>
      </c>
      <c r="B2828">
        <v>2</v>
      </c>
      <c r="C2828">
        <v>78</v>
      </c>
      <c r="D2828" t="str">
        <f>VLOOKUP(B2828, Products!$A$2:$C$100, 2, FALSE)</f>
        <v>Ritchey Timberwolf Frameset - 2016</v>
      </c>
      <c r="E2828">
        <v>1</v>
      </c>
      <c r="F2828">
        <v>647.99</v>
      </c>
      <c r="G2828">
        <v>0.05</v>
      </c>
      <c r="H2828">
        <v>32.399500000000003</v>
      </c>
      <c r="I2828">
        <f>order_items[[#This Row],[list_price]]-order_items[[#This Row],[Discounted_price]]</f>
        <v>615.59050000000002</v>
      </c>
      <c r="J2828">
        <f>VLOOKUP(B2828, Products!$A$2:$E$100, 3, FALSE)</f>
        <v>5</v>
      </c>
      <c r="K2828">
        <f>VLOOKUP(B2828, Products!$A$2:$F$100, 4, FALSE)</f>
        <v>6</v>
      </c>
    </row>
    <row r="2829" spans="1:11" x14ac:dyDescent="0.3">
      <c r="A2829">
        <v>986</v>
      </c>
      <c r="B2829">
        <v>3</v>
      </c>
      <c r="C2829">
        <v>26</v>
      </c>
      <c r="D2829" t="str">
        <f>VLOOKUP(B2829, Products!$A$2:$C$100, 2, FALSE)</f>
        <v>Surly Wednesday Frameset - 2016</v>
      </c>
      <c r="E2829">
        <v>2</v>
      </c>
      <c r="F2829">
        <v>599.99</v>
      </c>
      <c r="G2829">
        <v>7.0000000000000007E-2</v>
      </c>
      <c r="H2829">
        <v>41.999300000000005</v>
      </c>
      <c r="I2829">
        <f>order_items[[#This Row],[list_price]]-order_items[[#This Row],[Discounted_price]]</f>
        <v>557.99070000000006</v>
      </c>
      <c r="J2829">
        <f>VLOOKUP(B2829, Products!$A$2:$E$100, 3, FALSE)</f>
        <v>8</v>
      </c>
      <c r="K2829">
        <f>VLOOKUP(B2829, Products!$A$2:$F$100, 4, FALSE)</f>
        <v>6</v>
      </c>
    </row>
    <row r="2830" spans="1:11" x14ac:dyDescent="0.3">
      <c r="A2830">
        <v>987</v>
      </c>
      <c r="B2830">
        <v>1</v>
      </c>
      <c r="C2830">
        <v>51</v>
      </c>
      <c r="D2830" t="str">
        <f>VLOOKUP(B2830, Products!$A$2:$C$100, 2, FALSE)</f>
        <v>Trek 820 - 2016</v>
      </c>
      <c r="E2830">
        <v>2</v>
      </c>
      <c r="F2830">
        <v>6499.99</v>
      </c>
      <c r="G2830">
        <v>0.1</v>
      </c>
      <c r="H2830">
        <v>649.99900000000002</v>
      </c>
      <c r="I2830">
        <f>order_items[[#This Row],[list_price]]-order_items[[#This Row],[Discounted_price]]</f>
        <v>5849.991</v>
      </c>
      <c r="J2830">
        <f>VLOOKUP(B2830, Products!$A$2:$E$100, 3, FALSE)</f>
        <v>9</v>
      </c>
      <c r="K2830">
        <f>VLOOKUP(B2830, Products!$A$2:$F$100, 4, FALSE)</f>
        <v>6</v>
      </c>
    </row>
    <row r="2831" spans="1:11" x14ac:dyDescent="0.3">
      <c r="A2831">
        <v>987</v>
      </c>
      <c r="B2831">
        <v>2</v>
      </c>
      <c r="C2831">
        <v>60</v>
      </c>
      <c r="D2831" t="str">
        <f>VLOOKUP(B2831, Products!$A$2:$C$100, 2, FALSE)</f>
        <v>Ritchey Timberwolf Frameset - 2016</v>
      </c>
      <c r="E2831">
        <v>2</v>
      </c>
      <c r="F2831">
        <v>1559.99</v>
      </c>
      <c r="G2831">
        <v>0.2</v>
      </c>
      <c r="H2831">
        <v>311.99800000000005</v>
      </c>
      <c r="I2831">
        <f>order_items[[#This Row],[list_price]]-order_items[[#This Row],[Discounted_price]]</f>
        <v>1247.992</v>
      </c>
      <c r="J2831">
        <f>VLOOKUP(B2831, Products!$A$2:$E$100, 3, FALSE)</f>
        <v>5</v>
      </c>
      <c r="K2831">
        <f>VLOOKUP(B2831, Products!$A$2:$F$100, 4, FALSE)</f>
        <v>6</v>
      </c>
    </row>
    <row r="2832" spans="1:11" x14ac:dyDescent="0.3">
      <c r="A2832">
        <v>987</v>
      </c>
      <c r="B2832">
        <v>3</v>
      </c>
      <c r="C2832">
        <v>80</v>
      </c>
      <c r="D2832" t="str">
        <f>VLOOKUP(B2832, Products!$A$2:$C$100, 2, FALSE)</f>
        <v>Surly Wednesday Frameset - 2016</v>
      </c>
      <c r="E2832">
        <v>1</v>
      </c>
      <c r="F2832">
        <v>761.99</v>
      </c>
      <c r="G2832">
        <v>7.0000000000000007E-2</v>
      </c>
      <c r="H2832">
        <v>53.339300000000009</v>
      </c>
      <c r="I2832">
        <f>order_items[[#This Row],[list_price]]-order_items[[#This Row],[Discounted_price]]</f>
        <v>708.65070000000003</v>
      </c>
      <c r="J2832">
        <f>VLOOKUP(B2832, Products!$A$2:$E$100, 3, FALSE)</f>
        <v>8</v>
      </c>
      <c r="K2832">
        <f>VLOOKUP(B2832, Products!$A$2:$F$100, 4, FALSE)</f>
        <v>6</v>
      </c>
    </row>
    <row r="2833" spans="1:11" x14ac:dyDescent="0.3">
      <c r="A2833">
        <v>988</v>
      </c>
      <c r="B2833">
        <v>1</v>
      </c>
      <c r="C2833">
        <v>35</v>
      </c>
      <c r="D2833" t="str">
        <f>VLOOKUP(B2833, Products!$A$2:$C$100, 2, FALSE)</f>
        <v>Trek 820 - 2016</v>
      </c>
      <c r="E2833">
        <v>1</v>
      </c>
      <c r="F2833">
        <v>832.99</v>
      </c>
      <c r="G2833">
        <v>0.2</v>
      </c>
      <c r="H2833">
        <v>166.59800000000001</v>
      </c>
      <c r="I2833">
        <f>order_items[[#This Row],[list_price]]-order_items[[#This Row],[Discounted_price]]</f>
        <v>666.39200000000005</v>
      </c>
      <c r="J2833">
        <f>VLOOKUP(B2833, Products!$A$2:$E$100, 3, FALSE)</f>
        <v>9</v>
      </c>
      <c r="K2833">
        <f>VLOOKUP(B2833, Products!$A$2:$F$100, 4, FALSE)</f>
        <v>6</v>
      </c>
    </row>
    <row r="2834" spans="1:11" x14ac:dyDescent="0.3">
      <c r="A2834">
        <v>988</v>
      </c>
      <c r="B2834">
        <v>2</v>
      </c>
      <c r="C2834">
        <v>38</v>
      </c>
      <c r="D2834" t="str">
        <f>VLOOKUP(B2834, Products!$A$2:$C$100, 2, FALSE)</f>
        <v>Ritchey Timberwolf Frameset - 2016</v>
      </c>
      <c r="E2834">
        <v>1</v>
      </c>
      <c r="F2834">
        <v>549.99</v>
      </c>
      <c r="G2834">
        <v>7.0000000000000007E-2</v>
      </c>
      <c r="H2834">
        <v>38.499300000000005</v>
      </c>
      <c r="I2834">
        <f>order_items[[#This Row],[list_price]]-order_items[[#This Row],[Discounted_price]]</f>
        <v>511.4907</v>
      </c>
      <c r="J2834">
        <f>VLOOKUP(B2834, Products!$A$2:$E$100, 3, FALSE)</f>
        <v>5</v>
      </c>
      <c r="K2834">
        <f>VLOOKUP(B2834, Products!$A$2:$F$100, 4, FALSE)</f>
        <v>6</v>
      </c>
    </row>
    <row r="2835" spans="1:11" x14ac:dyDescent="0.3">
      <c r="A2835">
        <v>988</v>
      </c>
      <c r="B2835">
        <v>3</v>
      </c>
      <c r="C2835">
        <v>12</v>
      </c>
      <c r="D2835" t="str">
        <f>VLOOKUP(B2835, Products!$A$2:$C$100, 2, FALSE)</f>
        <v>Surly Wednesday Frameset - 2016</v>
      </c>
      <c r="E2835">
        <v>2</v>
      </c>
      <c r="F2835">
        <v>549.99</v>
      </c>
      <c r="G2835">
        <v>7.0000000000000007E-2</v>
      </c>
      <c r="H2835">
        <v>38.499300000000005</v>
      </c>
      <c r="I2835">
        <f>order_items[[#This Row],[list_price]]-order_items[[#This Row],[Discounted_price]]</f>
        <v>511.4907</v>
      </c>
      <c r="J2835">
        <f>VLOOKUP(B2835, Products!$A$2:$E$100, 3, FALSE)</f>
        <v>8</v>
      </c>
      <c r="K2835">
        <f>VLOOKUP(B2835, Products!$A$2:$F$100, 4, FALSE)</f>
        <v>6</v>
      </c>
    </row>
    <row r="2836" spans="1:11" x14ac:dyDescent="0.3">
      <c r="A2836">
        <v>989</v>
      </c>
      <c r="B2836">
        <v>1</v>
      </c>
      <c r="C2836">
        <v>99</v>
      </c>
      <c r="D2836" t="str">
        <f>VLOOKUP(B2836, Products!$A$2:$C$100, 2, FALSE)</f>
        <v>Trek 820 - 2016</v>
      </c>
      <c r="E2836">
        <v>1</v>
      </c>
      <c r="F2836">
        <v>299.99</v>
      </c>
      <c r="G2836">
        <v>0.05</v>
      </c>
      <c r="H2836">
        <v>14.999500000000001</v>
      </c>
      <c r="I2836">
        <f>order_items[[#This Row],[list_price]]-order_items[[#This Row],[Discounted_price]]</f>
        <v>284.9905</v>
      </c>
      <c r="J2836">
        <f>VLOOKUP(B2836, Products!$A$2:$E$100, 3, FALSE)</f>
        <v>9</v>
      </c>
      <c r="K2836">
        <f>VLOOKUP(B2836, Products!$A$2:$F$100, 4, FALSE)</f>
        <v>6</v>
      </c>
    </row>
    <row r="2837" spans="1:11" x14ac:dyDescent="0.3">
      <c r="A2837">
        <v>989</v>
      </c>
      <c r="B2837">
        <v>2</v>
      </c>
      <c r="C2837">
        <v>27</v>
      </c>
      <c r="D2837" t="str">
        <f>VLOOKUP(B2837, Products!$A$2:$C$100, 2, FALSE)</f>
        <v>Ritchey Timberwolf Frameset - 2016</v>
      </c>
      <c r="E2837">
        <v>1</v>
      </c>
      <c r="F2837">
        <v>999.99</v>
      </c>
      <c r="G2837">
        <v>0.1</v>
      </c>
      <c r="H2837">
        <v>99.999000000000009</v>
      </c>
      <c r="I2837">
        <f>order_items[[#This Row],[list_price]]-order_items[[#This Row],[Discounted_price]]</f>
        <v>899.99099999999999</v>
      </c>
      <c r="J2837">
        <f>VLOOKUP(B2837, Products!$A$2:$E$100, 3, FALSE)</f>
        <v>5</v>
      </c>
      <c r="K2837">
        <f>VLOOKUP(B2837, Products!$A$2:$F$100, 4, FALSE)</f>
        <v>6</v>
      </c>
    </row>
    <row r="2838" spans="1:11" x14ac:dyDescent="0.3">
      <c r="A2838">
        <v>989</v>
      </c>
      <c r="B2838">
        <v>3</v>
      </c>
      <c r="C2838">
        <v>70</v>
      </c>
      <c r="D2838" t="str">
        <f>VLOOKUP(B2838, Products!$A$2:$C$100, 2, FALSE)</f>
        <v>Surly Wednesday Frameset - 2016</v>
      </c>
      <c r="E2838">
        <v>1</v>
      </c>
      <c r="F2838">
        <v>659.99</v>
      </c>
      <c r="G2838">
        <v>0.1</v>
      </c>
      <c r="H2838">
        <v>65.999000000000009</v>
      </c>
      <c r="I2838">
        <f>order_items[[#This Row],[list_price]]-order_items[[#This Row],[Discounted_price]]</f>
        <v>593.99099999999999</v>
      </c>
      <c r="J2838">
        <f>VLOOKUP(B2838, Products!$A$2:$E$100, 3, FALSE)</f>
        <v>8</v>
      </c>
      <c r="K2838">
        <f>VLOOKUP(B2838, Products!$A$2:$F$100, 4, FALSE)</f>
        <v>6</v>
      </c>
    </row>
    <row r="2839" spans="1:11" x14ac:dyDescent="0.3">
      <c r="A2839">
        <v>989</v>
      </c>
      <c r="B2839">
        <v>4</v>
      </c>
      <c r="C2839">
        <v>84</v>
      </c>
      <c r="D2839" t="str">
        <f>VLOOKUP(B2839, Products!$A$2:$C$100, 2, FALSE)</f>
        <v>Trek Fuel EX 8 29 - 2016</v>
      </c>
      <c r="E2839">
        <v>2</v>
      </c>
      <c r="F2839">
        <v>109.99</v>
      </c>
      <c r="G2839">
        <v>7.0000000000000007E-2</v>
      </c>
      <c r="H2839">
        <v>7.6993</v>
      </c>
      <c r="I2839">
        <f>order_items[[#This Row],[list_price]]-order_items[[#This Row],[Discounted_price]]</f>
        <v>102.2907</v>
      </c>
      <c r="J2839">
        <f>VLOOKUP(B2839, Products!$A$2:$E$100, 3, FALSE)</f>
        <v>9</v>
      </c>
      <c r="K2839">
        <f>VLOOKUP(B2839, Products!$A$2:$F$100, 4, FALSE)</f>
        <v>6</v>
      </c>
    </row>
    <row r="2840" spans="1:11" x14ac:dyDescent="0.3">
      <c r="A2840">
        <v>989</v>
      </c>
      <c r="B2840">
        <v>5</v>
      </c>
      <c r="C2840">
        <v>5</v>
      </c>
      <c r="D2840" t="str">
        <f>VLOOKUP(B2840, Products!$A$2:$C$100, 2, FALSE)</f>
        <v>Heller Shagamaw Frame - 2016</v>
      </c>
      <c r="E2840">
        <v>1</v>
      </c>
      <c r="F2840">
        <v>1320.99</v>
      </c>
      <c r="G2840">
        <v>0.1</v>
      </c>
      <c r="H2840">
        <v>132.09900000000002</v>
      </c>
      <c r="I2840">
        <f>order_items[[#This Row],[list_price]]-order_items[[#This Row],[Discounted_price]]</f>
        <v>1188.8910000000001</v>
      </c>
      <c r="J2840">
        <f>VLOOKUP(B2840, Products!$A$2:$E$100, 3, FALSE)</f>
        <v>3</v>
      </c>
      <c r="K2840">
        <f>VLOOKUP(B2840, Products!$A$2:$F$100, 4, FALSE)</f>
        <v>6</v>
      </c>
    </row>
    <row r="2841" spans="1:11" x14ac:dyDescent="0.3">
      <c r="A2841">
        <v>990</v>
      </c>
      <c r="B2841">
        <v>1</v>
      </c>
      <c r="C2841">
        <v>6</v>
      </c>
      <c r="D2841" t="str">
        <f>VLOOKUP(B2841, Products!$A$2:$C$100, 2, FALSE)</f>
        <v>Trek 820 - 2016</v>
      </c>
      <c r="E2841">
        <v>2</v>
      </c>
      <c r="F2841">
        <v>469.99</v>
      </c>
      <c r="G2841">
        <v>0.2</v>
      </c>
      <c r="H2841">
        <v>93.998000000000005</v>
      </c>
      <c r="I2841">
        <f>order_items[[#This Row],[list_price]]-order_items[[#This Row],[Discounted_price]]</f>
        <v>375.99200000000002</v>
      </c>
      <c r="J2841">
        <f>VLOOKUP(B2841, Products!$A$2:$E$100, 3, FALSE)</f>
        <v>9</v>
      </c>
      <c r="K2841">
        <f>VLOOKUP(B2841, Products!$A$2:$F$100, 4, FALSE)</f>
        <v>6</v>
      </c>
    </row>
    <row r="2842" spans="1:11" x14ac:dyDescent="0.3">
      <c r="A2842">
        <v>990</v>
      </c>
      <c r="B2842">
        <v>2</v>
      </c>
      <c r="C2842">
        <v>29</v>
      </c>
      <c r="D2842" t="str">
        <f>VLOOKUP(B2842, Products!$A$2:$C$100, 2, FALSE)</f>
        <v>Ritchey Timberwolf Frameset - 2016</v>
      </c>
      <c r="E2842">
        <v>1</v>
      </c>
      <c r="F2842">
        <v>999.99</v>
      </c>
      <c r="G2842">
        <v>0.1</v>
      </c>
      <c r="H2842">
        <v>99.999000000000009</v>
      </c>
      <c r="I2842">
        <f>order_items[[#This Row],[list_price]]-order_items[[#This Row],[Discounted_price]]</f>
        <v>899.99099999999999</v>
      </c>
      <c r="J2842">
        <f>VLOOKUP(B2842, Products!$A$2:$E$100, 3, FALSE)</f>
        <v>5</v>
      </c>
      <c r="K2842">
        <f>VLOOKUP(B2842, Products!$A$2:$F$100, 4, FALSE)</f>
        <v>6</v>
      </c>
    </row>
    <row r="2843" spans="1:11" x14ac:dyDescent="0.3">
      <c r="A2843">
        <v>990</v>
      </c>
      <c r="B2843">
        <v>3</v>
      </c>
      <c r="C2843">
        <v>91</v>
      </c>
      <c r="D2843" t="str">
        <f>VLOOKUP(B2843, Products!$A$2:$C$100, 2, FALSE)</f>
        <v>Surly Wednesday Frameset - 2016</v>
      </c>
      <c r="E2843">
        <v>1</v>
      </c>
      <c r="F2843">
        <v>349.99</v>
      </c>
      <c r="G2843">
        <v>0.1</v>
      </c>
      <c r="H2843">
        <v>34.999000000000002</v>
      </c>
      <c r="I2843">
        <f>order_items[[#This Row],[list_price]]-order_items[[#This Row],[Discounted_price]]</f>
        <v>314.99099999999999</v>
      </c>
      <c r="J2843">
        <f>VLOOKUP(B2843, Products!$A$2:$E$100, 3, FALSE)</f>
        <v>8</v>
      </c>
      <c r="K2843">
        <f>VLOOKUP(B2843, Products!$A$2:$F$100, 4, FALSE)</f>
        <v>6</v>
      </c>
    </row>
    <row r="2844" spans="1:11" x14ac:dyDescent="0.3">
      <c r="A2844">
        <v>990</v>
      </c>
      <c r="B2844">
        <v>4</v>
      </c>
      <c r="C2844">
        <v>14</v>
      </c>
      <c r="D2844" t="str">
        <f>VLOOKUP(B2844, Products!$A$2:$C$100, 2, FALSE)</f>
        <v>Trek Fuel EX 8 29 - 2016</v>
      </c>
      <c r="E2844">
        <v>2</v>
      </c>
      <c r="F2844">
        <v>269.99</v>
      </c>
      <c r="G2844">
        <v>0.1</v>
      </c>
      <c r="H2844">
        <v>26.999000000000002</v>
      </c>
      <c r="I2844">
        <f>order_items[[#This Row],[list_price]]-order_items[[#This Row],[Discounted_price]]</f>
        <v>242.99100000000001</v>
      </c>
      <c r="J2844">
        <f>VLOOKUP(B2844, Products!$A$2:$E$100, 3, FALSE)</f>
        <v>9</v>
      </c>
      <c r="K2844">
        <f>VLOOKUP(B2844, Products!$A$2:$F$100, 4, FALSE)</f>
        <v>6</v>
      </c>
    </row>
    <row r="2845" spans="1:11" x14ac:dyDescent="0.3">
      <c r="A2845">
        <v>991</v>
      </c>
      <c r="B2845">
        <v>1</v>
      </c>
      <c r="C2845">
        <v>9</v>
      </c>
      <c r="D2845" t="str">
        <f>VLOOKUP(B2845, Products!$A$2:$C$100, 2, FALSE)</f>
        <v>Trek 820 - 2016</v>
      </c>
      <c r="E2845">
        <v>2</v>
      </c>
      <c r="F2845">
        <v>2999.99</v>
      </c>
      <c r="G2845">
        <v>0.2</v>
      </c>
      <c r="H2845">
        <v>599.99799999999993</v>
      </c>
      <c r="I2845">
        <f>order_items[[#This Row],[list_price]]-order_items[[#This Row],[Discounted_price]]</f>
        <v>2399.9919999999997</v>
      </c>
      <c r="J2845">
        <f>VLOOKUP(B2845, Products!$A$2:$E$100, 3, FALSE)</f>
        <v>9</v>
      </c>
      <c r="K2845">
        <f>VLOOKUP(B2845, Products!$A$2:$F$100, 4, FALSE)</f>
        <v>6</v>
      </c>
    </row>
    <row r="2846" spans="1:11" x14ac:dyDescent="0.3">
      <c r="A2846">
        <v>991</v>
      </c>
      <c r="B2846">
        <v>2</v>
      </c>
      <c r="C2846">
        <v>79</v>
      </c>
      <c r="D2846" t="str">
        <f>VLOOKUP(B2846, Products!$A$2:$C$100, 2, FALSE)</f>
        <v>Ritchey Timberwolf Frameset - 2016</v>
      </c>
      <c r="E2846">
        <v>1</v>
      </c>
      <c r="F2846">
        <v>402.99</v>
      </c>
      <c r="G2846">
        <v>0.2</v>
      </c>
      <c r="H2846">
        <v>80.598000000000013</v>
      </c>
      <c r="I2846">
        <f>order_items[[#This Row],[list_price]]-order_items[[#This Row],[Discounted_price]]</f>
        <v>322.392</v>
      </c>
      <c r="J2846">
        <f>VLOOKUP(B2846, Products!$A$2:$E$100, 3, FALSE)</f>
        <v>5</v>
      </c>
      <c r="K2846">
        <f>VLOOKUP(B2846, Products!$A$2:$F$100, 4, FALSE)</f>
        <v>6</v>
      </c>
    </row>
    <row r="2847" spans="1:11" x14ac:dyDescent="0.3">
      <c r="A2847">
        <v>991</v>
      </c>
      <c r="B2847">
        <v>3</v>
      </c>
      <c r="C2847">
        <v>34</v>
      </c>
      <c r="D2847" t="str">
        <f>VLOOKUP(B2847, Products!$A$2:$C$100, 2, FALSE)</f>
        <v>Surly Wednesday Frameset - 2016</v>
      </c>
      <c r="E2847">
        <v>1</v>
      </c>
      <c r="F2847">
        <v>469.99</v>
      </c>
      <c r="G2847">
        <v>0.2</v>
      </c>
      <c r="H2847">
        <v>93.998000000000005</v>
      </c>
      <c r="I2847">
        <f>order_items[[#This Row],[list_price]]-order_items[[#This Row],[Discounted_price]]</f>
        <v>375.99200000000002</v>
      </c>
      <c r="J2847">
        <f>VLOOKUP(B2847, Products!$A$2:$E$100, 3, FALSE)</f>
        <v>8</v>
      </c>
      <c r="K2847">
        <f>VLOOKUP(B2847, Products!$A$2:$F$100, 4, FALSE)</f>
        <v>6</v>
      </c>
    </row>
    <row r="2848" spans="1:11" x14ac:dyDescent="0.3">
      <c r="A2848">
        <v>992</v>
      </c>
      <c r="B2848">
        <v>1</v>
      </c>
      <c r="C2848">
        <v>45</v>
      </c>
      <c r="D2848" t="str">
        <f>VLOOKUP(B2848, Products!$A$2:$C$100, 2, FALSE)</f>
        <v>Trek 820 - 2016</v>
      </c>
      <c r="E2848">
        <v>1</v>
      </c>
      <c r="F2848">
        <v>869.99</v>
      </c>
      <c r="G2848">
        <v>7.0000000000000007E-2</v>
      </c>
      <c r="H2848">
        <v>60.899300000000004</v>
      </c>
      <c r="I2848">
        <f>order_items[[#This Row],[list_price]]-order_items[[#This Row],[Discounted_price]]</f>
        <v>809.09069999999997</v>
      </c>
      <c r="J2848">
        <f>VLOOKUP(B2848, Products!$A$2:$E$100, 3, FALSE)</f>
        <v>9</v>
      </c>
      <c r="K2848">
        <f>VLOOKUP(B2848, Products!$A$2:$F$100, 4, FALSE)</f>
        <v>6</v>
      </c>
    </row>
    <row r="2849" spans="1:11" x14ac:dyDescent="0.3">
      <c r="A2849">
        <v>992</v>
      </c>
      <c r="B2849">
        <v>2</v>
      </c>
      <c r="C2849">
        <v>102</v>
      </c>
      <c r="D2849" t="str">
        <f>VLOOKUP(B2849, Products!$A$2:$C$100, 2, FALSE)</f>
        <v>Ritchey Timberwolf Frameset - 2016</v>
      </c>
      <c r="E2849">
        <v>1</v>
      </c>
      <c r="F2849">
        <v>489.99</v>
      </c>
      <c r="G2849">
        <v>0.1</v>
      </c>
      <c r="H2849">
        <v>48.999000000000002</v>
      </c>
      <c r="I2849">
        <f>order_items[[#This Row],[list_price]]-order_items[[#This Row],[Discounted_price]]</f>
        <v>440.99099999999999</v>
      </c>
      <c r="J2849">
        <f>VLOOKUP(B2849, Products!$A$2:$E$100, 3, FALSE)</f>
        <v>5</v>
      </c>
      <c r="K2849">
        <f>VLOOKUP(B2849, Products!$A$2:$F$100, 4, FALSE)</f>
        <v>6</v>
      </c>
    </row>
    <row r="2850" spans="1:11" x14ac:dyDescent="0.3">
      <c r="A2850">
        <v>992</v>
      </c>
      <c r="B2850">
        <v>3</v>
      </c>
      <c r="C2850">
        <v>20</v>
      </c>
      <c r="D2850" t="str">
        <f>VLOOKUP(B2850, Products!$A$2:$C$100, 2, FALSE)</f>
        <v>Surly Wednesday Frameset - 2016</v>
      </c>
      <c r="E2850">
        <v>1</v>
      </c>
      <c r="F2850">
        <v>599.99</v>
      </c>
      <c r="G2850">
        <v>0.2</v>
      </c>
      <c r="H2850">
        <v>119.998</v>
      </c>
      <c r="I2850">
        <f>order_items[[#This Row],[list_price]]-order_items[[#This Row],[Discounted_price]]</f>
        <v>479.99200000000002</v>
      </c>
      <c r="J2850">
        <f>VLOOKUP(B2850, Products!$A$2:$E$100, 3, FALSE)</f>
        <v>8</v>
      </c>
      <c r="K2850">
        <f>VLOOKUP(B2850, Products!$A$2:$F$100, 4, FALSE)</f>
        <v>6</v>
      </c>
    </row>
    <row r="2851" spans="1:11" x14ac:dyDescent="0.3">
      <c r="A2851">
        <v>992</v>
      </c>
      <c r="B2851">
        <v>4</v>
      </c>
      <c r="C2851">
        <v>101</v>
      </c>
      <c r="D2851" t="str">
        <f>VLOOKUP(B2851, Products!$A$2:$C$100, 2, FALSE)</f>
        <v>Trek Fuel EX 8 29 - 2016</v>
      </c>
      <c r="E2851">
        <v>2</v>
      </c>
      <c r="F2851">
        <v>339.99</v>
      </c>
      <c r="G2851">
        <v>0.2</v>
      </c>
      <c r="H2851">
        <v>67.998000000000005</v>
      </c>
      <c r="I2851">
        <f>order_items[[#This Row],[list_price]]-order_items[[#This Row],[Discounted_price]]</f>
        <v>271.99200000000002</v>
      </c>
      <c r="J2851">
        <f>VLOOKUP(B2851, Products!$A$2:$E$100, 3, FALSE)</f>
        <v>9</v>
      </c>
      <c r="K2851">
        <f>VLOOKUP(B2851, Products!$A$2:$F$100, 4, FALSE)</f>
        <v>6</v>
      </c>
    </row>
    <row r="2852" spans="1:11" x14ac:dyDescent="0.3">
      <c r="A2852">
        <v>992</v>
      </c>
      <c r="B2852">
        <v>5</v>
      </c>
      <c r="C2852">
        <v>7</v>
      </c>
      <c r="D2852" t="str">
        <f>VLOOKUP(B2852, Products!$A$2:$C$100, 2, FALSE)</f>
        <v>Heller Shagamaw Frame - 2016</v>
      </c>
      <c r="E2852">
        <v>1</v>
      </c>
      <c r="F2852">
        <v>3999.99</v>
      </c>
      <c r="G2852">
        <v>0.05</v>
      </c>
      <c r="H2852">
        <v>199.99950000000001</v>
      </c>
      <c r="I2852">
        <f>order_items[[#This Row],[list_price]]-order_items[[#This Row],[Discounted_price]]</f>
        <v>3799.9904999999999</v>
      </c>
      <c r="J2852">
        <f>VLOOKUP(B2852, Products!$A$2:$E$100, 3, FALSE)</f>
        <v>3</v>
      </c>
      <c r="K2852">
        <f>VLOOKUP(B2852, Products!$A$2:$F$100, 4, FALSE)</f>
        <v>6</v>
      </c>
    </row>
    <row r="2853" spans="1:11" x14ac:dyDescent="0.3">
      <c r="A2853">
        <v>993</v>
      </c>
      <c r="B2853">
        <v>1</v>
      </c>
      <c r="C2853">
        <v>58</v>
      </c>
      <c r="D2853" t="str">
        <f>VLOOKUP(B2853, Products!$A$2:$C$100, 2, FALSE)</f>
        <v>Trek 820 - 2016</v>
      </c>
      <c r="E2853">
        <v>1</v>
      </c>
      <c r="F2853">
        <v>4999.99</v>
      </c>
      <c r="G2853">
        <v>0.2</v>
      </c>
      <c r="H2853">
        <v>999.99800000000005</v>
      </c>
      <c r="I2853">
        <f>order_items[[#This Row],[list_price]]-order_items[[#This Row],[Discounted_price]]</f>
        <v>3999.9919999999997</v>
      </c>
      <c r="J2853">
        <f>VLOOKUP(B2853, Products!$A$2:$E$100, 3, FALSE)</f>
        <v>9</v>
      </c>
      <c r="K2853">
        <f>VLOOKUP(B2853, Products!$A$2:$F$100, 4, FALSE)</f>
        <v>6</v>
      </c>
    </row>
    <row r="2854" spans="1:11" x14ac:dyDescent="0.3">
      <c r="A2854">
        <v>993</v>
      </c>
      <c r="B2854">
        <v>2</v>
      </c>
      <c r="C2854">
        <v>36</v>
      </c>
      <c r="D2854" t="str">
        <f>VLOOKUP(B2854, Products!$A$2:$C$100, 2, FALSE)</f>
        <v>Ritchey Timberwolf Frameset - 2016</v>
      </c>
      <c r="E2854">
        <v>2</v>
      </c>
      <c r="F2854">
        <v>832.99</v>
      </c>
      <c r="G2854">
        <v>0.1</v>
      </c>
      <c r="H2854">
        <v>83.299000000000007</v>
      </c>
      <c r="I2854">
        <f>order_items[[#This Row],[list_price]]-order_items[[#This Row],[Discounted_price]]</f>
        <v>749.69100000000003</v>
      </c>
      <c r="J2854">
        <f>VLOOKUP(B2854, Products!$A$2:$E$100, 3, FALSE)</f>
        <v>5</v>
      </c>
      <c r="K2854">
        <f>VLOOKUP(B2854, Products!$A$2:$F$100, 4, FALSE)</f>
        <v>6</v>
      </c>
    </row>
    <row r="2855" spans="1:11" x14ac:dyDescent="0.3">
      <c r="A2855">
        <v>993</v>
      </c>
      <c r="B2855">
        <v>3</v>
      </c>
      <c r="C2855">
        <v>10</v>
      </c>
      <c r="D2855" t="str">
        <f>VLOOKUP(B2855, Products!$A$2:$C$100, 2, FALSE)</f>
        <v>Surly Wednesday Frameset - 2016</v>
      </c>
      <c r="E2855">
        <v>2</v>
      </c>
      <c r="F2855">
        <v>1549</v>
      </c>
      <c r="G2855">
        <v>0.05</v>
      </c>
      <c r="H2855">
        <v>77.45</v>
      </c>
      <c r="I2855">
        <f>order_items[[#This Row],[list_price]]-order_items[[#This Row],[Discounted_price]]</f>
        <v>1471.55</v>
      </c>
      <c r="J2855">
        <f>VLOOKUP(B2855, Products!$A$2:$E$100, 3, FALSE)</f>
        <v>8</v>
      </c>
      <c r="K2855">
        <f>VLOOKUP(B2855, Products!$A$2:$F$100, 4, FALSE)</f>
        <v>6</v>
      </c>
    </row>
    <row r="2856" spans="1:11" x14ac:dyDescent="0.3">
      <c r="A2856">
        <v>993</v>
      </c>
      <c r="B2856">
        <v>4</v>
      </c>
      <c r="C2856">
        <v>99</v>
      </c>
      <c r="D2856" t="str">
        <f>VLOOKUP(B2856, Products!$A$2:$C$100, 2, FALSE)</f>
        <v>Trek Fuel EX 8 29 - 2016</v>
      </c>
      <c r="E2856">
        <v>2</v>
      </c>
      <c r="F2856">
        <v>299.99</v>
      </c>
      <c r="G2856">
        <v>7.0000000000000007E-2</v>
      </c>
      <c r="H2856">
        <v>20.999300000000002</v>
      </c>
      <c r="I2856">
        <f>order_items[[#This Row],[list_price]]-order_items[[#This Row],[Discounted_price]]</f>
        <v>278.9907</v>
      </c>
      <c r="J2856">
        <f>VLOOKUP(B2856, Products!$A$2:$E$100, 3, FALSE)</f>
        <v>9</v>
      </c>
      <c r="K2856">
        <f>VLOOKUP(B2856, Products!$A$2:$F$100, 4, FALSE)</f>
        <v>6</v>
      </c>
    </row>
    <row r="2857" spans="1:11" x14ac:dyDescent="0.3">
      <c r="A2857">
        <v>993</v>
      </c>
      <c r="B2857">
        <v>5</v>
      </c>
      <c r="C2857">
        <v>79</v>
      </c>
      <c r="D2857" t="str">
        <f>VLOOKUP(B2857, Products!$A$2:$C$100, 2, FALSE)</f>
        <v>Heller Shagamaw Frame - 2016</v>
      </c>
      <c r="E2857">
        <v>2</v>
      </c>
      <c r="F2857">
        <v>402.99</v>
      </c>
      <c r="G2857">
        <v>0.1</v>
      </c>
      <c r="H2857">
        <v>40.299000000000007</v>
      </c>
      <c r="I2857">
        <f>order_items[[#This Row],[list_price]]-order_items[[#This Row],[Discounted_price]]</f>
        <v>362.69100000000003</v>
      </c>
      <c r="J2857">
        <f>VLOOKUP(B2857, Products!$A$2:$E$100, 3, FALSE)</f>
        <v>3</v>
      </c>
      <c r="K2857">
        <f>VLOOKUP(B2857, Products!$A$2:$F$100, 4, FALSE)</f>
        <v>6</v>
      </c>
    </row>
    <row r="2858" spans="1:11" x14ac:dyDescent="0.3">
      <c r="A2858">
        <v>994</v>
      </c>
      <c r="B2858">
        <v>1</v>
      </c>
      <c r="C2858">
        <v>37</v>
      </c>
      <c r="D2858" t="str">
        <f>VLOOKUP(B2858, Products!$A$2:$C$100, 2, FALSE)</f>
        <v>Trek 820 - 2016</v>
      </c>
      <c r="E2858">
        <v>2</v>
      </c>
      <c r="F2858">
        <v>379.99</v>
      </c>
      <c r="G2858">
        <v>0.1</v>
      </c>
      <c r="H2858">
        <v>37.999000000000002</v>
      </c>
      <c r="I2858">
        <f>order_items[[#This Row],[list_price]]-order_items[[#This Row],[Discounted_price]]</f>
        <v>341.99099999999999</v>
      </c>
      <c r="J2858">
        <f>VLOOKUP(B2858, Products!$A$2:$E$100, 3, FALSE)</f>
        <v>9</v>
      </c>
      <c r="K2858">
        <f>VLOOKUP(B2858, Products!$A$2:$F$100, 4, FALSE)</f>
        <v>6</v>
      </c>
    </row>
    <row r="2859" spans="1:11" x14ac:dyDescent="0.3">
      <c r="A2859">
        <v>994</v>
      </c>
      <c r="B2859">
        <v>2</v>
      </c>
      <c r="C2859">
        <v>45</v>
      </c>
      <c r="D2859" t="str">
        <f>VLOOKUP(B2859, Products!$A$2:$C$100, 2, FALSE)</f>
        <v>Ritchey Timberwolf Frameset - 2016</v>
      </c>
      <c r="E2859">
        <v>1</v>
      </c>
      <c r="F2859">
        <v>869.99</v>
      </c>
      <c r="G2859">
        <v>0.2</v>
      </c>
      <c r="H2859">
        <v>173.99800000000002</v>
      </c>
      <c r="I2859">
        <f>order_items[[#This Row],[list_price]]-order_items[[#This Row],[Discounted_price]]</f>
        <v>695.99199999999996</v>
      </c>
      <c r="J2859">
        <f>VLOOKUP(B2859, Products!$A$2:$E$100, 3, FALSE)</f>
        <v>5</v>
      </c>
      <c r="K2859">
        <f>VLOOKUP(B2859, Products!$A$2:$F$100, 4, FALSE)</f>
        <v>6</v>
      </c>
    </row>
    <row r="2860" spans="1:11" x14ac:dyDescent="0.3">
      <c r="A2860">
        <v>994</v>
      </c>
      <c r="B2860">
        <v>3</v>
      </c>
      <c r="C2860">
        <v>66</v>
      </c>
      <c r="D2860" t="str">
        <f>VLOOKUP(B2860, Products!$A$2:$C$100, 2, FALSE)</f>
        <v>Surly Wednesday Frameset - 2016</v>
      </c>
      <c r="E2860">
        <v>1</v>
      </c>
      <c r="F2860">
        <v>250.99</v>
      </c>
      <c r="G2860">
        <v>7.0000000000000007E-2</v>
      </c>
      <c r="H2860">
        <v>17.569300000000002</v>
      </c>
      <c r="I2860">
        <f>order_items[[#This Row],[list_price]]-order_items[[#This Row],[Discounted_price]]</f>
        <v>233.42070000000001</v>
      </c>
      <c r="J2860">
        <f>VLOOKUP(B2860, Products!$A$2:$E$100, 3, FALSE)</f>
        <v>8</v>
      </c>
      <c r="K2860">
        <f>VLOOKUP(B2860, Products!$A$2:$F$100, 4, FALSE)</f>
        <v>6</v>
      </c>
    </row>
    <row r="2861" spans="1:11" x14ac:dyDescent="0.3">
      <c r="A2861">
        <v>995</v>
      </c>
      <c r="B2861">
        <v>1</v>
      </c>
      <c r="C2861">
        <v>16</v>
      </c>
      <c r="D2861" t="str">
        <f>VLOOKUP(B2861, Products!$A$2:$C$100, 2, FALSE)</f>
        <v>Trek 820 - 2016</v>
      </c>
      <c r="E2861">
        <v>2</v>
      </c>
      <c r="F2861">
        <v>599.99</v>
      </c>
      <c r="G2861">
        <v>0.1</v>
      </c>
      <c r="H2861">
        <v>59.999000000000002</v>
      </c>
      <c r="I2861">
        <f>order_items[[#This Row],[list_price]]-order_items[[#This Row],[Discounted_price]]</f>
        <v>539.99099999999999</v>
      </c>
      <c r="J2861">
        <f>VLOOKUP(B2861, Products!$A$2:$E$100, 3, FALSE)</f>
        <v>9</v>
      </c>
      <c r="K2861">
        <f>VLOOKUP(B2861, Products!$A$2:$F$100, 4, FALSE)</f>
        <v>6</v>
      </c>
    </row>
    <row r="2862" spans="1:11" x14ac:dyDescent="0.3">
      <c r="A2862">
        <v>995</v>
      </c>
      <c r="B2862">
        <v>2</v>
      </c>
      <c r="C2862">
        <v>90</v>
      </c>
      <c r="D2862" t="str">
        <f>VLOOKUP(B2862, Products!$A$2:$C$100, 2, FALSE)</f>
        <v>Ritchey Timberwolf Frameset - 2016</v>
      </c>
      <c r="E2862">
        <v>1</v>
      </c>
      <c r="F2862">
        <v>209.99</v>
      </c>
      <c r="G2862">
        <v>0.2</v>
      </c>
      <c r="H2862">
        <v>41.998000000000005</v>
      </c>
      <c r="I2862">
        <f>order_items[[#This Row],[list_price]]-order_items[[#This Row],[Discounted_price]]</f>
        <v>167.99200000000002</v>
      </c>
      <c r="J2862">
        <f>VLOOKUP(B2862, Products!$A$2:$E$100, 3, FALSE)</f>
        <v>5</v>
      </c>
      <c r="K2862">
        <f>VLOOKUP(B2862, Products!$A$2:$F$100, 4, FALSE)</f>
        <v>6</v>
      </c>
    </row>
    <row r="2863" spans="1:11" x14ac:dyDescent="0.3">
      <c r="A2863">
        <v>995</v>
      </c>
      <c r="B2863">
        <v>3</v>
      </c>
      <c r="C2863">
        <v>101</v>
      </c>
      <c r="D2863" t="str">
        <f>VLOOKUP(B2863, Products!$A$2:$C$100, 2, FALSE)</f>
        <v>Surly Wednesday Frameset - 2016</v>
      </c>
      <c r="E2863">
        <v>1</v>
      </c>
      <c r="F2863">
        <v>339.99</v>
      </c>
      <c r="G2863">
        <v>0.1</v>
      </c>
      <c r="H2863">
        <v>33.999000000000002</v>
      </c>
      <c r="I2863">
        <f>order_items[[#This Row],[list_price]]-order_items[[#This Row],[Discounted_price]]</f>
        <v>305.99099999999999</v>
      </c>
      <c r="J2863">
        <f>VLOOKUP(B2863, Products!$A$2:$E$100, 3, FALSE)</f>
        <v>8</v>
      </c>
      <c r="K2863">
        <f>VLOOKUP(B2863, Products!$A$2:$F$100, 4, FALSE)</f>
        <v>6</v>
      </c>
    </row>
    <row r="2864" spans="1:11" x14ac:dyDescent="0.3">
      <c r="A2864">
        <v>996</v>
      </c>
      <c r="B2864">
        <v>1</v>
      </c>
      <c r="C2864">
        <v>68</v>
      </c>
      <c r="D2864" t="str">
        <f>VLOOKUP(B2864, Products!$A$2:$C$100, 2, FALSE)</f>
        <v>Trek 820 - 2016</v>
      </c>
      <c r="E2864">
        <v>2</v>
      </c>
      <c r="F2864">
        <v>449.99</v>
      </c>
      <c r="G2864">
        <v>0.05</v>
      </c>
      <c r="H2864">
        <v>22.499500000000001</v>
      </c>
      <c r="I2864">
        <f>order_items[[#This Row],[list_price]]-order_items[[#This Row],[Discounted_price]]</f>
        <v>427.4905</v>
      </c>
      <c r="J2864">
        <f>VLOOKUP(B2864, Products!$A$2:$E$100, 3, FALSE)</f>
        <v>9</v>
      </c>
      <c r="K2864">
        <f>VLOOKUP(B2864, Products!$A$2:$F$100, 4, FALSE)</f>
        <v>6</v>
      </c>
    </row>
    <row r="2865" spans="1:11" x14ac:dyDescent="0.3">
      <c r="A2865">
        <v>996</v>
      </c>
      <c r="B2865">
        <v>2</v>
      </c>
      <c r="C2865">
        <v>32</v>
      </c>
      <c r="D2865" t="str">
        <f>VLOOKUP(B2865, Products!$A$2:$C$100, 2, FALSE)</f>
        <v>Ritchey Timberwolf Frameset - 2016</v>
      </c>
      <c r="E2865">
        <v>1</v>
      </c>
      <c r="F2865">
        <v>469.99</v>
      </c>
      <c r="G2865">
        <v>0.05</v>
      </c>
      <c r="H2865">
        <v>23.499500000000001</v>
      </c>
      <c r="I2865">
        <f>order_items[[#This Row],[list_price]]-order_items[[#This Row],[Discounted_price]]</f>
        <v>446.4905</v>
      </c>
      <c r="J2865">
        <f>VLOOKUP(B2865, Products!$A$2:$E$100, 3, FALSE)</f>
        <v>5</v>
      </c>
      <c r="K2865">
        <f>VLOOKUP(B2865, Products!$A$2:$F$100, 4, FALSE)</f>
        <v>6</v>
      </c>
    </row>
    <row r="2866" spans="1:11" x14ac:dyDescent="0.3">
      <c r="A2866">
        <v>997</v>
      </c>
      <c r="B2866">
        <v>1</v>
      </c>
      <c r="C2866">
        <v>86</v>
      </c>
      <c r="D2866" t="str">
        <f>VLOOKUP(B2866, Products!$A$2:$C$100, 2, FALSE)</f>
        <v>Trek 820 - 2016</v>
      </c>
      <c r="E2866">
        <v>2</v>
      </c>
      <c r="F2866">
        <v>149.99</v>
      </c>
      <c r="G2866">
        <v>7.0000000000000007E-2</v>
      </c>
      <c r="H2866">
        <v>10.499300000000002</v>
      </c>
      <c r="I2866">
        <f>order_items[[#This Row],[list_price]]-order_items[[#This Row],[Discounted_price]]</f>
        <v>139.4907</v>
      </c>
      <c r="J2866">
        <f>VLOOKUP(B2866, Products!$A$2:$E$100, 3, FALSE)</f>
        <v>9</v>
      </c>
      <c r="K2866">
        <f>VLOOKUP(B2866, Products!$A$2:$F$100, 4, FALSE)</f>
        <v>6</v>
      </c>
    </row>
    <row r="2867" spans="1:11" x14ac:dyDescent="0.3">
      <c r="A2867">
        <v>997</v>
      </c>
      <c r="B2867">
        <v>2</v>
      </c>
      <c r="C2867">
        <v>105</v>
      </c>
      <c r="D2867" t="str">
        <f>VLOOKUP(B2867, Products!$A$2:$C$100, 2, FALSE)</f>
        <v>Ritchey Timberwolf Frameset - 2016</v>
      </c>
      <c r="E2867">
        <v>2</v>
      </c>
      <c r="F2867">
        <v>533.99</v>
      </c>
      <c r="G2867">
        <v>0.2</v>
      </c>
      <c r="H2867">
        <v>106.798</v>
      </c>
      <c r="I2867">
        <f>order_items[[#This Row],[list_price]]-order_items[[#This Row],[Discounted_price]]</f>
        <v>427.19200000000001</v>
      </c>
      <c r="J2867">
        <f>VLOOKUP(B2867, Products!$A$2:$E$100, 3, FALSE)</f>
        <v>5</v>
      </c>
      <c r="K2867">
        <f>VLOOKUP(B2867, Products!$A$2:$F$100, 4, FALSE)</f>
        <v>6</v>
      </c>
    </row>
    <row r="2868" spans="1:11" x14ac:dyDescent="0.3">
      <c r="A2868">
        <v>997</v>
      </c>
      <c r="B2868">
        <v>3</v>
      </c>
      <c r="C2868">
        <v>14</v>
      </c>
      <c r="D2868" t="str">
        <f>VLOOKUP(B2868, Products!$A$2:$C$100, 2, FALSE)</f>
        <v>Surly Wednesday Frameset - 2016</v>
      </c>
      <c r="E2868">
        <v>2</v>
      </c>
      <c r="F2868">
        <v>269.99</v>
      </c>
      <c r="G2868">
        <v>7.0000000000000007E-2</v>
      </c>
      <c r="H2868">
        <v>18.899300000000004</v>
      </c>
      <c r="I2868">
        <f>order_items[[#This Row],[list_price]]-order_items[[#This Row],[Discounted_price]]</f>
        <v>251.0907</v>
      </c>
      <c r="J2868">
        <f>VLOOKUP(B2868, Products!$A$2:$E$100, 3, FALSE)</f>
        <v>8</v>
      </c>
      <c r="K2868">
        <f>VLOOKUP(B2868, Products!$A$2:$F$100, 4, FALSE)</f>
        <v>6</v>
      </c>
    </row>
    <row r="2869" spans="1:11" x14ac:dyDescent="0.3">
      <c r="A2869">
        <v>998</v>
      </c>
      <c r="B2869">
        <v>1</v>
      </c>
      <c r="C2869">
        <v>26</v>
      </c>
      <c r="D2869" t="str">
        <f>VLOOKUP(B2869, Products!$A$2:$C$100, 2, FALSE)</f>
        <v>Trek 820 - 2016</v>
      </c>
      <c r="E2869">
        <v>2</v>
      </c>
      <c r="F2869">
        <v>599.99</v>
      </c>
      <c r="G2869">
        <v>0.05</v>
      </c>
      <c r="H2869">
        <v>29.999500000000001</v>
      </c>
      <c r="I2869">
        <f>order_items[[#This Row],[list_price]]-order_items[[#This Row],[Discounted_price]]</f>
        <v>569.9905</v>
      </c>
      <c r="J2869">
        <f>VLOOKUP(B2869, Products!$A$2:$E$100, 3, FALSE)</f>
        <v>9</v>
      </c>
      <c r="K2869">
        <f>VLOOKUP(B2869, Products!$A$2:$F$100, 4, FALSE)</f>
        <v>6</v>
      </c>
    </row>
    <row r="2870" spans="1:11" x14ac:dyDescent="0.3">
      <c r="A2870">
        <v>998</v>
      </c>
      <c r="B2870">
        <v>2</v>
      </c>
      <c r="C2870">
        <v>105</v>
      </c>
      <c r="D2870" t="str">
        <f>VLOOKUP(B2870, Products!$A$2:$C$100, 2, FALSE)</f>
        <v>Ritchey Timberwolf Frameset - 2016</v>
      </c>
      <c r="E2870">
        <v>1</v>
      </c>
      <c r="F2870">
        <v>533.99</v>
      </c>
      <c r="G2870">
        <v>0.2</v>
      </c>
      <c r="H2870">
        <v>106.798</v>
      </c>
      <c r="I2870">
        <f>order_items[[#This Row],[list_price]]-order_items[[#This Row],[Discounted_price]]</f>
        <v>427.19200000000001</v>
      </c>
      <c r="J2870">
        <f>VLOOKUP(B2870, Products!$A$2:$E$100, 3, FALSE)</f>
        <v>5</v>
      </c>
      <c r="K2870">
        <f>VLOOKUP(B2870, Products!$A$2:$F$100, 4, FALSE)</f>
        <v>6</v>
      </c>
    </row>
    <row r="2871" spans="1:11" x14ac:dyDescent="0.3">
      <c r="A2871">
        <v>999</v>
      </c>
      <c r="B2871">
        <v>1</v>
      </c>
      <c r="C2871">
        <v>70</v>
      </c>
      <c r="D2871" t="str">
        <f>VLOOKUP(B2871, Products!$A$2:$C$100, 2, FALSE)</f>
        <v>Trek 820 - 2016</v>
      </c>
      <c r="E2871">
        <v>2</v>
      </c>
      <c r="F2871">
        <v>659.99</v>
      </c>
      <c r="G2871">
        <v>7.0000000000000007E-2</v>
      </c>
      <c r="H2871">
        <v>46.199300000000008</v>
      </c>
      <c r="I2871">
        <f>order_items[[#This Row],[list_price]]-order_items[[#This Row],[Discounted_price]]</f>
        <v>613.79070000000002</v>
      </c>
      <c r="J2871">
        <f>VLOOKUP(B2871, Products!$A$2:$E$100, 3, FALSE)</f>
        <v>9</v>
      </c>
      <c r="K2871">
        <f>VLOOKUP(B2871, Products!$A$2:$F$100, 4, FALSE)</f>
        <v>6</v>
      </c>
    </row>
    <row r="2872" spans="1:11" x14ac:dyDescent="0.3">
      <c r="A2872">
        <v>999</v>
      </c>
      <c r="B2872">
        <v>2</v>
      </c>
      <c r="C2872">
        <v>106</v>
      </c>
      <c r="D2872" t="str">
        <f>VLOOKUP(B2872, Products!$A$2:$C$100, 2, FALSE)</f>
        <v>Ritchey Timberwolf Frameset - 2016</v>
      </c>
      <c r="E2872">
        <v>1</v>
      </c>
      <c r="F2872">
        <v>449.99</v>
      </c>
      <c r="G2872">
        <v>0.05</v>
      </c>
      <c r="H2872">
        <v>22.499500000000001</v>
      </c>
      <c r="I2872">
        <f>order_items[[#This Row],[list_price]]-order_items[[#This Row],[Discounted_price]]</f>
        <v>427.4905</v>
      </c>
      <c r="J2872">
        <f>VLOOKUP(B2872, Products!$A$2:$E$100, 3, FALSE)</f>
        <v>5</v>
      </c>
      <c r="K2872">
        <f>VLOOKUP(B2872, Products!$A$2:$F$100, 4, FALSE)</f>
        <v>6</v>
      </c>
    </row>
    <row r="2873" spans="1:11" x14ac:dyDescent="0.3">
      <c r="A2873">
        <v>1000</v>
      </c>
      <c r="B2873">
        <v>1</v>
      </c>
      <c r="C2873">
        <v>65</v>
      </c>
      <c r="D2873" t="str">
        <f>VLOOKUP(B2873, Products!$A$2:$C$100, 2, FALSE)</f>
        <v>Trek 820 - 2016</v>
      </c>
      <c r="E2873">
        <v>2</v>
      </c>
      <c r="F2873">
        <v>346.99</v>
      </c>
      <c r="G2873">
        <v>0.05</v>
      </c>
      <c r="H2873">
        <v>17.349500000000003</v>
      </c>
      <c r="I2873">
        <f>order_items[[#This Row],[list_price]]-order_items[[#This Row],[Discounted_price]]</f>
        <v>329.64050000000003</v>
      </c>
      <c r="J2873">
        <f>VLOOKUP(B2873, Products!$A$2:$E$100, 3, FALSE)</f>
        <v>9</v>
      </c>
      <c r="K2873">
        <f>VLOOKUP(B2873, Products!$A$2:$F$100, 4, FALSE)</f>
        <v>6</v>
      </c>
    </row>
    <row r="2874" spans="1:11" x14ac:dyDescent="0.3">
      <c r="A2874">
        <v>1000</v>
      </c>
      <c r="B2874">
        <v>2</v>
      </c>
      <c r="C2874">
        <v>111</v>
      </c>
      <c r="D2874" t="str">
        <f>VLOOKUP(B2874, Products!$A$2:$C$100, 2, FALSE)</f>
        <v>Ritchey Timberwolf Frameset - 2016</v>
      </c>
      <c r="E2874">
        <v>1</v>
      </c>
      <c r="F2874">
        <v>470.99</v>
      </c>
      <c r="G2874">
        <v>0.1</v>
      </c>
      <c r="H2874">
        <v>47.099000000000004</v>
      </c>
      <c r="I2874">
        <f>order_items[[#This Row],[list_price]]-order_items[[#This Row],[Discounted_price]]</f>
        <v>423.89100000000002</v>
      </c>
      <c r="J2874">
        <f>VLOOKUP(B2874, Products!$A$2:$E$100, 3, FALSE)</f>
        <v>5</v>
      </c>
      <c r="K2874">
        <f>VLOOKUP(B2874, Products!$A$2:$F$100, 4, FALSE)</f>
        <v>6</v>
      </c>
    </row>
    <row r="2875" spans="1:11" x14ac:dyDescent="0.3">
      <c r="A2875">
        <v>1000</v>
      </c>
      <c r="B2875">
        <v>3</v>
      </c>
      <c r="C2875">
        <v>19</v>
      </c>
      <c r="D2875" t="str">
        <f>VLOOKUP(B2875, Products!$A$2:$C$100, 2, FALSE)</f>
        <v>Surly Wednesday Frameset - 2016</v>
      </c>
      <c r="E2875">
        <v>2</v>
      </c>
      <c r="F2875">
        <v>449</v>
      </c>
      <c r="G2875">
        <v>7.0000000000000007E-2</v>
      </c>
      <c r="H2875">
        <v>31.430000000000003</v>
      </c>
      <c r="I2875">
        <f>order_items[[#This Row],[list_price]]-order_items[[#This Row],[Discounted_price]]</f>
        <v>417.57</v>
      </c>
      <c r="J2875">
        <f>VLOOKUP(B2875, Products!$A$2:$E$100, 3, FALSE)</f>
        <v>8</v>
      </c>
      <c r="K2875">
        <f>VLOOKUP(B2875, Products!$A$2:$F$100, 4, FALSE)</f>
        <v>6</v>
      </c>
    </row>
    <row r="2876" spans="1:11" x14ac:dyDescent="0.3">
      <c r="A2876">
        <v>1000</v>
      </c>
      <c r="B2876">
        <v>4</v>
      </c>
      <c r="C2876">
        <v>29</v>
      </c>
      <c r="D2876" t="str">
        <f>VLOOKUP(B2876, Products!$A$2:$C$100, 2, FALSE)</f>
        <v>Trek Fuel EX 8 29 - 2016</v>
      </c>
      <c r="E2876">
        <v>2</v>
      </c>
      <c r="F2876">
        <v>999.99</v>
      </c>
      <c r="G2876">
        <v>0.05</v>
      </c>
      <c r="H2876">
        <v>49.999500000000005</v>
      </c>
      <c r="I2876">
        <f>order_items[[#This Row],[list_price]]-order_items[[#This Row],[Discounted_price]]</f>
        <v>949.9905</v>
      </c>
      <c r="J2876">
        <f>VLOOKUP(B2876, Products!$A$2:$E$100, 3, FALSE)</f>
        <v>9</v>
      </c>
      <c r="K2876">
        <f>VLOOKUP(B2876, Products!$A$2:$F$100, 4, FALSE)</f>
        <v>6</v>
      </c>
    </row>
    <row r="2877" spans="1:11" x14ac:dyDescent="0.3">
      <c r="A2877">
        <v>1001</v>
      </c>
      <c r="B2877">
        <v>1</v>
      </c>
      <c r="C2877">
        <v>72</v>
      </c>
      <c r="D2877" t="str">
        <f>VLOOKUP(B2877, Products!$A$2:$C$100, 2, FALSE)</f>
        <v>Trek 820 - 2016</v>
      </c>
      <c r="E2877">
        <v>1</v>
      </c>
      <c r="F2877">
        <v>619.99</v>
      </c>
      <c r="G2877">
        <v>0.05</v>
      </c>
      <c r="H2877">
        <v>30.999500000000001</v>
      </c>
      <c r="I2877">
        <f>order_items[[#This Row],[list_price]]-order_items[[#This Row],[Discounted_price]]</f>
        <v>588.9905</v>
      </c>
      <c r="J2877">
        <f>VLOOKUP(B2877, Products!$A$2:$E$100, 3, FALSE)</f>
        <v>9</v>
      </c>
      <c r="K2877">
        <f>VLOOKUP(B2877, Products!$A$2:$F$100, 4, FALSE)</f>
        <v>6</v>
      </c>
    </row>
    <row r="2878" spans="1:11" x14ac:dyDescent="0.3">
      <c r="A2878">
        <v>1001</v>
      </c>
      <c r="B2878">
        <v>2</v>
      </c>
      <c r="C2878">
        <v>45</v>
      </c>
      <c r="D2878" t="str">
        <f>VLOOKUP(B2878, Products!$A$2:$C$100, 2, FALSE)</f>
        <v>Ritchey Timberwolf Frameset - 2016</v>
      </c>
      <c r="E2878">
        <v>2</v>
      </c>
      <c r="F2878">
        <v>869.99</v>
      </c>
      <c r="G2878">
        <v>0.05</v>
      </c>
      <c r="H2878">
        <v>43.499500000000005</v>
      </c>
      <c r="I2878">
        <f>order_items[[#This Row],[list_price]]-order_items[[#This Row],[Discounted_price]]</f>
        <v>826.4905</v>
      </c>
      <c r="J2878">
        <f>VLOOKUP(B2878, Products!$A$2:$E$100, 3, FALSE)</f>
        <v>5</v>
      </c>
      <c r="K2878">
        <f>VLOOKUP(B2878, Products!$A$2:$F$100, 4, FALSE)</f>
        <v>6</v>
      </c>
    </row>
    <row r="2879" spans="1:11" x14ac:dyDescent="0.3">
      <c r="A2879">
        <v>1001</v>
      </c>
      <c r="B2879">
        <v>3</v>
      </c>
      <c r="C2879">
        <v>58</v>
      </c>
      <c r="D2879" t="str">
        <f>VLOOKUP(B2879, Products!$A$2:$C$100, 2, FALSE)</f>
        <v>Surly Wednesday Frameset - 2016</v>
      </c>
      <c r="E2879">
        <v>1</v>
      </c>
      <c r="F2879">
        <v>4999.99</v>
      </c>
      <c r="G2879">
        <v>0.1</v>
      </c>
      <c r="H2879">
        <v>499.99900000000002</v>
      </c>
      <c r="I2879">
        <f>order_items[[#This Row],[list_price]]-order_items[[#This Row],[Discounted_price]]</f>
        <v>4499.991</v>
      </c>
      <c r="J2879">
        <f>VLOOKUP(B2879, Products!$A$2:$E$100, 3, FALSE)</f>
        <v>8</v>
      </c>
      <c r="K2879">
        <f>VLOOKUP(B2879, Products!$A$2:$F$100, 4, FALSE)</f>
        <v>6</v>
      </c>
    </row>
    <row r="2880" spans="1:11" x14ac:dyDescent="0.3">
      <c r="A2880">
        <v>1001</v>
      </c>
      <c r="B2880">
        <v>4</v>
      </c>
      <c r="C2880">
        <v>111</v>
      </c>
      <c r="D2880" t="str">
        <f>VLOOKUP(B2880, Products!$A$2:$C$100, 2, FALSE)</f>
        <v>Trek Fuel EX 8 29 - 2016</v>
      </c>
      <c r="E2880">
        <v>1</v>
      </c>
      <c r="F2880">
        <v>470.99</v>
      </c>
      <c r="G2880">
        <v>7.0000000000000007E-2</v>
      </c>
      <c r="H2880">
        <v>32.969300000000004</v>
      </c>
      <c r="I2880">
        <f>order_items[[#This Row],[list_price]]-order_items[[#This Row],[Discounted_price]]</f>
        <v>438.02070000000003</v>
      </c>
      <c r="J2880">
        <f>VLOOKUP(B2880, Products!$A$2:$E$100, 3, FALSE)</f>
        <v>9</v>
      </c>
      <c r="K2880">
        <f>VLOOKUP(B2880, Products!$A$2:$F$100, 4, FALSE)</f>
        <v>6</v>
      </c>
    </row>
    <row r="2881" spans="1:11" x14ac:dyDescent="0.3">
      <c r="A2881">
        <v>1002</v>
      </c>
      <c r="B2881">
        <v>1</v>
      </c>
      <c r="C2881">
        <v>100</v>
      </c>
      <c r="D2881" t="str">
        <f>VLOOKUP(B2881, Products!$A$2:$C$100, 2, FALSE)</f>
        <v>Trek 820 - 2016</v>
      </c>
      <c r="E2881">
        <v>1</v>
      </c>
      <c r="F2881">
        <v>489.99</v>
      </c>
      <c r="G2881">
        <v>0.05</v>
      </c>
      <c r="H2881">
        <v>24.499500000000001</v>
      </c>
      <c r="I2881">
        <f>order_items[[#This Row],[list_price]]-order_items[[#This Row],[Discounted_price]]</f>
        <v>465.4905</v>
      </c>
      <c r="J2881">
        <f>VLOOKUP(B2881, Products!$A$2:$E$100, 3, FALSE)</f>
        <v>9</v>
      </c>
      <c r="K2881">
        <f>VLOOKUP(B2881, Products!$A$2:$F$100, 4, FALSE)</f>
        <v>6</v>
      </c>
    </row>
    <row r="2882" spans="1:11" x14ac:dyDescent="0.3">
      <c r="A2882">
        <v>1002</v>
      </c>
      <c r="B2882">
        <v>2</v>
      </c>
      <c r="C2882">
        <v>83</v>
      </c>
      <c r="D2882" t="str">
        <f>VLOOKUP(B2882, Products!$A$2:$C$100, 2, FALSE)</f>
        <v>Ritchey Timberwolf Frameset - 2016</v>
      </c>
      <c r="E2882">
        <v>1</v>
      </c>
      <c r="F2882">
        <v>149.99</v>
      </c>
      <c r="G2882">
        <v>0.1</v>
      </c>
      <c r="H2882">
        <v>14.999000000000002</v>
      </c>
      <c r="I2882">
        <f>order_items[[#This Row],[list_price]]-order_items[[#This Row],[Discounted_price]]</f>
        <v>134.99100000000001</v>
      </c>
      <c r="J2882">
        <f>VLOOKUP(B2882, Products!$A$2:$E$100, 3, FALSE)</f>
        <v>5</v>
      </c>
      <c r="K2882">
        <f>VLOOKUP(B2882, Products!$A$2:$F$100, 4, FALSE)</f>
        <v>6</v>
      </c>
    </row>
    <row r="2883" spans="1:11" x14ac:dyDescent="0.3">
      <c r="A2883">
        <v>1002</v>
      </c>
      <c r="B2883">
        <v>3</v>
      </c>
      <c r="C2883">
        <v>8</v>
      </c>
      <c r="D2883" t="str">
        <f>VLOOKUP(B2883, Products!$A$2:$C$100, 2, FALSE)</f>
        <v>Surly Wednesday Frameset - 2016</v>
      </c>
      <c r="E2883">
        <v>2</v>
      </c>
      <c r="F2883">
        <v>1799.99</v>
      </c>
      <c r="G2883">
        <v>0.1</v>
      </c>
      <c r="H2883">
        <v>179.99900000000002</v>
      </c>
      <c r="I2883">
        <f>order_items[[#This Row],[list_price]]-order_items[[#This Row],[Discounted_price]]</f>
        <v>1619.991</v>
      </c>
      <c r="J2883">
        <f>VLOOKUP(B2883, Products!$A$2:$E$100, 3, FALSE)</f>
        <v>8</v>
      </c>
      <c r="K2883">
        <f>VLOOKUP(B2883, Products!$A$2:$F$100, 4, FALSE)</f>
        <v>6</v>
      </c>
    </row>
    <row r="2884" spans="1:11" x14ac:dyDescent="0.3">
      <c r="A2884">
        <v>1002</v>
      </c>
      <c r="B2884">
        <v>4</v>
      </c>
      <c r="C2884">
        <v>79</v>
      </c>
      <c r="D2884" t="str">
        <f>VLOOKUP(B2884, Products!$A$2:$C$100, 2, FALSE)</f>
        <v>Trek Fuel EX 8 29 - 2016</v>
      </c>
      <c r="E2884">
        <v>1</v>
      </c>
      <c r="F2884">
        <v>402.99</v>
      </c>
      <c r="G2884">
        <v>0.2</v>
      </c>
      <c r="H2884">
        <v>80.598000000000013</v>
      </c>
      <c r="I2884">
        <f>order_items[[#This Row],[list_price]]-order_items[[#This Row],[Discounted_price]]</f>
        <v>322.392</v>
      </c>
      <c r="J2884">
        <f>VLOOKUP(B2884, Products!$A$2:$E$100, 3, FALSE)</f>
        <v>9</v>
      </c>
      <c r="K2884">
        <f>VLOOKUP(B2884, Products!$A$2:$F$100, 4, FALSE)</f>
        <v>6</v>
      </c>
    </row>
    <row r="2885" spans="1:11" x14ac:dyDescent="0.3">
      <c r="A2885">
        <v>1003</v>
      </c>
      <c r="B2885">
        <v>1</v>
      </c>
      <c r="C2885">
        <v>34</v>
      </c>
      <c r="D2885" t="str">
        <f>VLOOKUP(B2885, Products!$A$2:$C$100, 2, FALSE)</f>
        <v>Trek 820 - 2016</v>
      </c>
      <c r="E2885">
        <v>2</v>
      </c>
      <c r="F2885">
        <v>469.99</v>
      </c>
      <c r="G2885">
        <v>0.05</v>
      </c>
      <c r="H2885">
        <v>23.499500000000001</v>
      </c>
      <c r="I2885">
        <f>order_items[[#This Row],[list_price]]-order_items[[#This Row],[Discounted_price]]</f>
        <v>446.4905</v>
      </c>
      <c r="J2885">
        <f>VLOOKUP(B2885, Products!$A$2:$E$100, 3, FALSE)</f>
        <v>9</v>
      </c>
      <c r="K2885">
        <f>VLOOKUP(B2885, Products!$A$2:$F$100, 4, FALSE)</f>
        <v>6</v>
      </c>
    </row>
    <row r="2886" spans="1:11" x14ac:dyDescent="0.3">
      <c r="A2886">
        <v>1003</v>
      </c>
      <c r="B2886">
        <v>2</v>
      </c>
      <c r="C2886">
        <v>51</v>
      </c>
      <c r="D2886" t="str">
        <f>VLOOKUP(B2886, Products!$A$2:$C$100, 2, FALSE)</f>
        <v>Ritchey Timberwolf Frameset - 2016</v>
      </c>
      <c r="E2886">
        <v>2</v>
      </c>
      <c r="F2886">
        <v>6499.99</v>
      </c>
      <c r="G2886">
        <v>0.05</v>
      </c>
      <c r="H2886">
        <v>324.99950000000001</v>
      </c>
      <c r="I2886">
        <f>order_items[[#This Row],[list_price]]-order_items[[#This Row],[Discounted_price]]</f>
        <v>6174.9904999999999</v>
      </c>
      <c r="J2886">
        <f>VLOOKUP(B2886, Products!$A$2:$E$100, 3, FALSE)</f>
        <v>5</v>
      </c>
      <c r="K2886">
        <f>VLOOKUP(B2886, Products!$A$2:$F$100, 4, FALSE)</f>
        <v>6</v>
      </c>
    </row>
    <row r="2887" spans="1:11" x14ac:dyDescent="0.3">
      <c r="A2887">
        <v>1004</v>
      </c>
      <c r="B2887">
        <v>1</v>
      </c>
      <c r="C2887">
        <v>36</v>
      </c>
      <c r="D2887" t="str">
        <f>VLOOKUP(B2887, Products!$A$2:$C$100, 2, FALSE)</f>
        <v>Trek 820 - 2016</v>
      </c>
      <c r="E2887">
        <v>2</v>
      </c>
      <c r="F2887">
        <v>832.99</v>
      </c>
      <c r="G2887">
        <v>0.1</v>
      </c>
      <c r="H2887">
        <v>83.299000000000007</v>
      </c>
      <c r="I2887">
        <f>order_items[[#This Row],[list_price]]-order_items[[#This Row],[Discounted_price]]</f>
        <v>749.69100000000003</v>
      </c>
      <c r="J2887">
        <f>VLOOKUP(B2887, Products!$A$2:$E$100, 3, FALSE)</f>
        <v>9</v>
      </c>
      <c r="K2887">
        <f>VLOOKUP(B2887, Products!$A$2:$F$100, 4, FALSE)</f>
        <v>6</v>
      </c>
    </row>
    <row r="2888" spans="1:11" x14ac:dyDescent="0.3">
      <c r="A2888">
        <v>1005</v>
      </c>
      <c r="B2888">
        <v>1</v>
      </c>
      <c r="C2888">
        <v>14</v>
      </c>
      <c r="D2888" t="str">
        <f>VLOOKUP(B2888, Products!$A$2:$C$100, 2, FALSE)</f>
        <v>Trek 820 - 2016</v>
      </c>
      <c r="E2888">
        <v>2</v>
      </c>
      <c r="F2888">
        <v>269.99</v>
      </c>
      <c r="G2888">
        <v>0.2</v>
      </c>
      <c r="H2888">
        <v>53.998000000000005</v>
      </c>
      <c r="I2888">
        <f>order_items[[#This Row],[list_price]]-order_items[[#This Row],[Discounted_price]]</f>
        <v>215.99200000000002</v>
      </c>
      <c r="J2888">
        <f>VLOOKUP(B2888, Products!$A$2:$E$100, 3, FALSE)</f>
        <v>9</v>
      </c>
      <c r="K2888">
        <f>VLOOKUP(B2888, Products!$A$2:$F$100, 4, FALSE)</f>
        <v>6</v>
      </c>
    </row>
    <row r="2889" spans="1:11" x14ac:dyDescent="0.3">
      <c r="A2889">
        <v>1005</v>
      </c>
      <c r="B2889">
        <v>2</v>
      </c>
      <c r="C2889">
        <v>81</v>
      </c>
      <c r="D2889" t="str">
        <f>VLOOKUP(B2889, Products!$A$2:$C$100, 2, FALSE)</f>
        <v>Ritchey Timberwolf Frameset - 2016</v>
      </c>
      <c r="E2889">
        <v>2</v>
      </c>
      <c r="F2889">
        <v>1099.99</v>
      </c>
      <c r="G2889">
        <v>0.1</v>
      </c>
      <c r="H2889">
        <v>109.99900000000001</v>
      </c>
      <c r="I2889">
        <f>order_items[[#This Row],[list_price]]-order_items[[#This Row],[Discounted_price]]</f>
        <v>989.99099999999999</v>
      </c>
      <c r="J2889">
        <f>VLOOKUP(B2889, Products!$A$2:$E$100, 3, FALSE)</f>
        <v>5</v>
      </c>
      <c r="K2889">
        <f>VLOOKUP(B2889, Products!$A$2:$F$100, 4, FALSE)</f>
        <v>6</v>
      </c>
    </row>
    <row r="2890" spans="1:11" x14ac:dyDescent="0.3">
      <c r="A2890">
        <v>1005</v>
      </c>
      <c r="B2890">
        <v>3</v>
      </c>
      <c r="C2890">
        <v>99</v>
      </c>
      <c r="D2890" t="str">
        <f>VLOOKUP(B2890, Products!$A$2:$C$100, 2, FALSE)</f>
        <v>Surly Wednesday Frameset - 2016</v>
      </c>
      <c r="E2890">
        <v>1</v>
      </c>
      <c r="F2890">
        <v>299.99</v>
      </c>
      <c r="G2890">
        <v>0.1</v>
      </c>
      <c r="H2890">
        <v>29.999000000000002</v>
      </c>
      <c r="I2890">
        <f>order_items[[#This Row],[list_price]]-order_items[[#This Row],[Discounted_price]]</f>
        <v>269.99099999999999</v>
      </c>
      <c r="J2890">
        <f>VLOOKUP(B2890, Products!$A$2:$E$100, 3, FALSE)</f>
        <v>8</v>
      </c>
      <c r="K2890">
        <f>VLOOKUP(B2890, Products!$A$2:$F$100, 4, FALSE)</f>
        <v>6</v>
      </c>
    </row>
    <row r="2891" spans="1:11" x14ac:dyDescent="0.3">
      <c r="A2891">
        <v>1006</v>
      </c>
      <c r="B2891">
        <v>1</v>
      </c>
      <c r="C2891">
        <v>20</v>
      </c>
      <c r="D2891" t="str">
        <f>VLOOKUP(B2891, Products!$A$2:$C$100, 2, FALSE)</f>
        <v>Trek 820 - 2016</v>
      </c>
      <c r="E2891">
        <v>1</v>
      </c>
      <c r="F2891">
        <v>599.99</v>
      </c>
      <c r="G2891">
        <v>7.0000000000000007E-2</v>
      </c>
      <c r="H2891">
        <v>41.999300000000005</v>
      </c>
      <c r="I2891">
        <f>order_items[[#This Row],[list_price]]-order_items[[#This Row],[Discounted_price]]</f>
        <v>557.99070000000006</v>
      </c>
      <c r="J2891">
        <f>VLOOKUP(B2891, Products!$A$2:$E$100, 3, FALSE)</f>
        <v>9</v>
      </c>
      <c r="K2891">
        <f>VLOOKUP(B2891, Products!$A$2:$F$100, 4, FALSE)</f>
        <v>6</v>
      </c>
    </row>
    <row r="2892" spans="1:11" x14ac:dyDescent="0.3">
      <c r="A2892">
        <v>1006</v>
      </c>
      <c r="B2892">
        <v>2</v>
      </c>
      <c r="C2892">
        <v>68</v>
      </c>
      <c r="D2892" t="str">
        <f>VLOOKUP(B2892, Products!$A$2:$C$100, 2, FALSE)</f>
        <v>Ritchey Timberwolf Frameset - 2016</v>
      </c>
      <c r="E2892">
        <v>1</v>
      </c>
      <c r="F2892">
        <v>449.99</v>
      </c>
      <c r="G2892">
        <v>0.1</v>
      </c>
      <c r="H2892">
        <v>44.999000000000002</v>
      </c>
      <c r="I2892">
        <f>order_items[[#This Row],[list_price]]-order_items[[#This Row],[Discounted_price]]</f>
        <v>404.99099999999999</v>
      </c>
      <c r="J2892">
        <f>VLOOKUP(B2892, Products!$A$2:$E$100, 3, FALSE)</f>
        <v>5</v>
      </c>
      <c r="K2892">
        <f>VLOOKUP(B2892, Products!$A$2:$F$100, 4, FALSE)</f>
        <v>6</v>
      </c>
    </row>
    <row r="2893" spans="1:11" x14ac:dyDescent="0.3">
      <c r="A2893">
        <v>1006</v>
      </c>
      <c r="B2893">
        <v>3</v>
      </c>
      <c r="C2893">
        <v>56</v>
      </c>
      <c r="D2893" t="str">
        <f>VLOOKUP(B2893, Products!$A$2:$C$100, 2, FALSE)</f>
        <v>Surly Wednesday Frameset - 2016</v>
      </c>
      <c r="E2893">
        <v>2</v>
      </c>
      <c r="F2893">
        <v>5499.99</v>
      </c>
      <c r="G2893">
        <v>7.0000000000000007E-2</v>
      </c>
      <c r="H2893">
        <v>384.99930000000001</v>
      </c>
      <c r="I2893">
        <f>order_items[[#This Row],[list_price]]-order_items[[#This Row],[Discounted_price]]</f>
        <v>5114.9906999999994</v>
      </c>
      <c r="J2893">
        <f>VLOOKUP(B2893, Products!$A$2:$E$100, 3, FALSE)</f>
        <v>8</v>
      </c>
      <c r="K2893">
        <f>VLOOKUP(B2893, Products!$A$2:$F$100, 4, FALSE)</f>
        <v>6</v>
      </c>
    </row>
    <row r="2894" spans="1:11" x14ac:dyDescent="0.3">
      <c r="A2894">
        <v>1006</v>
      </c>
      <c r="B2894">
        <v>4</v>
      </c>
      <c r="C2894">
        <v>65</v>
      </c>
      <c r="D2894" t="str">
        <f>VLOOKUP(B2894, Products!$A$2:$C$100, 2, FALSE)</f>
        <v>Trek Fuel EX 8 29 - 2016</v>
      </c>
      <c r="E2894">
        <v>1</v>
      </c>
      <c r="F2894">
        <v>346.99</v>
      </c>
      <c r="G2894">
        <v>0.1</v>
      </c>
      <c r="H2894">
        <v>34.699000000000005</v>
      </c>
      <c r="I2894">
        <f>order_items[[#This Row],[list_price]]-order_items[[#This Row],[Discounted_price]]</f>
        <v>312.291</v>
      </c>
      <c r="J2894">
        <f>VLOOKUP(B2894, Products!$A$2:$E$100, 3, FALSE)</f>
        <v>9</v>
      </c>
      <c r="K2894">
        <f>VLOOKUP(B2894, Products!$A$2:$F$100, 4, FALSE)</f>
        <v>6</v>
      </c>
    </row>
    <row r="2895" spans="1:11" x14ac:dyDescent="0.3">
      <c r="A2895">
        <v>1006</v>
      </c>
      <c r="B2895">
        <v>5</v>
      </c>
      <c r="C2895">
        <v>46</v>
      </c>
      <c r="D2895" t="str">
        <f>VLOOKUP(B2895, Products!$A$2:$C$100, 2, FALSE)</f>
        <v>Heller Shagamaw Frame - 2016</v>
      </c>
      <c r="E2895">
        <v>1</v>
      </c>
      <c r="F2895">
        <v>1409.99</v>
      </c>
      <c r="G2895">
        <v>0.1</v>
      </c>
      <c r="H2895">
        <v>140.999</v>
      </c>
      <c r="I2895">
        <f>order_items[[#This Row],[list_price]]-order_items[[#This Row],[Discounted_price]]</f>
        <v>1268.991</v>
      </c>
      <c r="J2895">
        <f>VLOOKUP(B2895, Products!$A$2:$E$100, 3, FALSE)</f>
        <v>3</v>
      </c>
      <c r="K2895">
        <f>VLOOKUP(B2895, Products!$A$2:$F$100, 4, FALSE)</f>
        <v>6</v>
      </c>
    </row>
    <row r="2896" spans="1:11" x14ac:dyDescent="0.3">
      <c r="A2896">
        <v>1007</v>
      </c>
      <c r="B2896">
        <v>1</v>
      </c>
      <c r="C2896">
        <v>26</v>
      </c>
      <c r="D2896" t="str">
        <f>VLOOKUP(B2896, Products!$A$2:$C$100, 2, FALSE)</f>
        <v>Trek 820 - 2016</v>
      </c>
      <c r="E2896">
        <v>1</v>
      </c>
      <c r="F2896">
        <v>599.99</v>
      </c>
      <c r="G2896">
        <v>0.2</v>
      </c>
      <c r="H2896">
        <v>119.998</v>
      </c>
      <c r="I2896">
        <f>order_items[[#This Row],[list_price]]-order_items[[#This Row],[Discounted_price]]</f>
        <v>479.99200000000002</v>
      </c>
      <c r="J2896">
        <f>VLOOKUP(B2896, Products!$A$2:$E$100, 3, FALSE)</f>
        <v>9</v>
      </c>
      <c r="K2896">
        <f>VLOOKUP(B2896, Products!$A$2:$F$100, 4, FALSE)</f>
        <v>6</v>
      </c>
    </row>
    <row r="2897" spans="1:11" x14ac:dyDescent="0.3">
      <c r="A2897">
        <v>1007</v>
      </c>
      <c r="B2897">
        <v>2</v>
      </c>
      <c r="C2897">
        <v>11</v>
      </c>
      <c r="D2897" t="str">
        <f>VLOOKUP(B2897, Products!$A$2:$C$100, 2, FALSE)</f>
        <v>Ritchey Timberwolf Frameset - 2016</v>
      </c>
      <c r="E2897">
        <v>1</v>
      </c>
      <c r="F2897">
        <v>1680.99</v>
      </c>
      <c r="G2897">
        <v>0.05</v>
      </c>
      <c r="H2897">
        <v>84.049500000000009</v>
      </c>
      <c r="I2897">
        <f>order_items[[#This Row],[list_price]]-order_items[[#This Row],[Discounted_price]]</f>
        <v>1596.9404999999999</v>
      </c>
      <c r="J2897">
        <f>VLOOKUP(B2897, Products!$A$2:$E$100, 3, FALSE)</f>
        <v>5</v>
      </c>
      <c r="K2897">
        <f>VLOOKUP(B2897, Products!$A$2:$F$100, 4, FALSE)</f>
        <v>6</v>
      </c>
    </row>
    <row r="2898" spans="1:11" x14ac:dyDescent="0.3">
      <c r="A2898">
        <v>1007</v>
      </c>
      <c r="B2898">
        <v>3</v>
      </c>
      <c r="C2898">
        <v>85</v>
      </c>
      <c r="D2898" t="str">
        <f>VLOOKUP(B2898, Products!$A$2:$C$100, 2, FALSE)</f>
        <v>Surly Wednesday Frameset - 2016</v>
      </c>
      <c r="E2898">
        <v>2</v>
      </c>
      <c r="F2898">
        <v>329.99</v>
      </c>
      <c r="G2898">
        <v>0.1</v>
      </c>
      <c r="H2898">
        <v>32.999000000000002</v>
      </c>
      <c r="I2898">
        <f>order_items[[#This Row],[list_price]]-order_items[[#This Row],[Discounted_price]]</f>
        <v>296.99099999999999</v>
      </c>
      <c r="J2898">
        <f>VLOOKUP(B2898, Products!$A$2:$E$100, 3, FALSE)</f>
        <v>8</v>
      </c>
      <c r="K2898">
        <f>VLOOKUP(B2898, Products!$A$2:$F$100, 4, FALSE)</f>
        <v>6</v>
      </c>
    </row>
    <row r="2899" spans="1:11" x14ac:dyDescent="0.3">
      <c r="A2899">
        <v>1007</v>
      </c>
      <c r="B2899">
        <v>4</v>
      </c>
      <c r="C2899">
        <v>76</v>
      </c>
      <c r="D2899" t="str">
        <f>VLOOKUP(B2899, Products!$A$2:$C$100, 2, FALSE)</f>
        <v>Trek Fuel EX 8 29 - 2016</v>
      </c>
      <c r="E2899">
        <v>1</v>
      </c>
      <c r="F2899">
        <v>299.99</v>
      </c>
      <c r="G2899">
        <v>0.2</v>
      </c>
      <c r="H2899">
        <v>59.998000000000005</v>
      </c>
      <c r="I2899">
        <f>order_items[[#This Row],[list_price]]-order_items[[#This Row],[Discounted_price]]</f>
        <v>239.99200000000002</v>
      </c>
      <c r="J2899">
        <f>VLOOKUP(B2899, Products!$A$2:$E$100, 3, FALSE)</f>
        <v>9</v>
      </c>
      <c r="K2899">
        <f>VLOOKUP(B2899, Products!$A$2:$F$100, 4, FALSE)</f>
        <v>6</v>
      </c>
    </row>
    <row r="2900" spans="1:11" x14ac:dyDescent="0.3">
      <c r="A2900">
        <v>1007</v>
      </c>
      <c r="B2900">
        <v>5</v>
      </c>
      <c r="C2900">
        <v>106</v>
      </c>
      <c r="D2900" t="str">
        <f>VLOOKUP(B2900, Products!$A$2:$C$100, 2, FALSE)</f>
        <v>Heller Shagamaw Frame - 2016</v>
      </c>
      <c r="E2900">
        <v>2</v>
      </c>
      <c r="F2900">
        <v>449.99</v>
      </c>
      <c r="G2900">
        <v>0.1</v>
      </c>
      <c r="H2900">
        <v>44.999000000000002</v>
      </c>
      <c r="I2900">
        <f>order_items[[#This Row],[list_price]]-order_items[[#This Row],[Discounted_price]]</f>
        <v>404.99099999999999</v>
      </c>
      <c r="J2900">
        <f>VLOOKUP(B2900, Products!$A$2:$E$100, 3, FALSE)</f>
        <v>3</v>
      </c>
      <c r="K2900">
        <f>VLOOKUP(B2900, Products!$A$2:$F$100, 4, FALSE)</f>
        <v>6</v>
      </c>
    </row>
    <row r="2901" spans="1:11" x14ac:dyDescent="0.3">
      <c r="A2901">
        <v>1008</v>
      </c>
      <c r="B2901">
        <v>1</v>
      </c>
      <c r="C2901">
        <v>71</v>
      </c>
      <c r="D2901" t="str">
        <f>VLOOKUP(B2901, Products!$A$2:$C$100, 2, FALSE)</f>
        <v>Trek 820 - 2016</v>
      </c>
      <c r="E2901">
        <v>1</v>
      </c>
      <c r="F2901">
        <v>416.99</v>
      </c>
      <c r="G2901">
        <v>0.2</v>
      </c>
      <c r="H2901">
        <v>83.39800000000001</v>
      </c>
      <c r="I2901">
        <f>order_items[[#This Row],[list_price]]-order_items[[#This Row],[Discounted_price]]</f>
        <v>333.59199999999998</v>
      </c>
      <c r="J2901">
        <f>VLOOKUP(B2901, Products!$A$2:$E$100, 3, FALSE)</f>
        <v>9</v>
      </c>
      <c r="K2901">
        <f>VLOOKUP(B2901, Products!$A$2:$F$100, 4, FALSE)</f>
        <v>6</v>
      </c>
    </row>
    <row r="2902" spans="1:11" x14ac:dyDescent="0.3">
      <c r="A2902">
        <v>1008</v>
      </c>
      <c r="B2902">
        <v>2</v>
      </c>
      <c r="C2902">
        <v>2</v>
      </c>
      <c r="D2902" t="str">
        <f>VLOOKUP(B2902, Products!$A$2:$C$100, 2, FALSE)</f>
        <v>Ritchey Timberwolf Frameset - 2016</v>
      </c>
      <c r="E2902">
        <v>1</v>
      </c>
      <c r="F2902">
        <v>749.99</v>
      </c>
      <c r="G2902">
        <v>0.1</v>
      </c>
      <c r="H2902">
        <v>74.999000000000009</v>
      </c>
      <c r="I2902">
        <f>order_items[[#This Row],[list_price]]-order_items[[#This Row],[Discounted_price]]</f>
        <v>674.99099999999999</v>
      </c>
      <c r="J2902">
        <f>VLOOKUP(B2902, Products!$A$2:$E$100, 3, FALSE)</f>
        <v>5</v>
      </c>
      <c r="K2902">
        <f>VLOOKUP(B2902, Products!$A$2:$F$100, 4, FALSE)</f>
        <v>6</v>
      </c>
    </row>
    <row r="2903" spans="1:11" x14ac:dyDescent="0.3">
      <c r="A2903">
        <v>1008</v>
      </c>
      <c r="B2903">
        <v>3</v>
      </c>
      <c r="C2903">
        <v>95</v>
      </c>
      <c r="D2903" t="str">
        <f>VLOOKUP(B2903, Products!$A$2:$C$100, 2, FALSE)</f>
        <v>Surly Wednesday Frameset - 2016</v>
      </c>
      <c r="E2903">
        <v>1</v>
      </c>
      <c r="F2903">
        <v>299.99</v>
      </c>
      <c r="G2903">
        <v>7.0000000000000007E-2</v>
      </c>
      <c r="H2903">
        <v>20.999300000000002</v>
      </c>
      <c r="I2903">
        <f>order_items[[#This Row],[list_price]]-order_items[[#This Row],[Discounted_price]]</f>
        <v>278.9907</v>
      </c>
      <c r="J2903">
        <f>VLOOKUP(B2903, Products!$A$2:$E$100, 3, FALSE)</f>
        <v>8</v>
      </c>
      <c r="K2903">
        <f>VLOOKUP(B2903, Products!$A$2:$F$100, 4, FALSE)</f>
        <v>6</v>
      </c>
    </row>
    <row r="2904" spans="1:11" x14ac:dyDescent="0.3">
      <c r="A2904">
        <v>1009</v>
      </c>
      <c r="B2904">
        <v>1</v>
      </c>
      <c r="C2904">
        <v>95</v>
      </c>
      <c r="D2904" t="str">
        <f>VLOOKUP(B2904, Products!$A$2:$C$100, 2, FALSE)</f>
        <v>Trek 820 - 2016</v>
      </c>
      <c r="E2904">
        <v>2</v>
      </c>
      <c r="F2904">
        <v>299.99</v>
      </c>
      <c r="G2904">
        <v>7.0000000000000007E-2</v>
      </c>
      <c r="H2904">
        <v>20.999300000000002</v>
      </c>
      <c r="I2904">
        <f>order_items[[#This Row],[list_price]]-order_items[[#This Row],[Discounted_price]]</f>
        <v>278.9907</v>
      </c>
      <c r="J2904">
        <f>VLOOKUP(B2904, Products!$A$2:$E$100, 3, FALSE)</f>
        <v>9</v>
      </c>
      <c r="K2904">
        <f>VLOOKUP(B2904, Products!$A$2:$F$100, 4, FALSE)</f>
        <v>6</v>
      </c>
    </row>
    <row r="2905" spans="1:11" x14ac:dyDescent="0.3">
      <c r="A2905">
        <v>1009</v>
      </c>
      <c r="B2905">
        <v>2</v>
      </c>
      <c r="C2905">
        <v>44</v>
      </c>
      <c r="D2905" t="str">
        <f>VLOOKUP(B2905, Products!$A$2:$C$100, 2, FALSE)</f>
        <v>Ritchey Timberwolf Frameset - 2016</v>
      </c>
      <c r="E2905">
        <v>1</v>
      </c>
      <c r="F2905">
        <v>539.99</v>
      </c>
      <c r="G2905">
        <v>7.0000000000000007E-2</v>
      </c>
      <c r="H2905">
        <v>37.799300000000002</v>
      </c>
      <c r="I2905">
        <f>order_items[[#This Row],[list_price]]-order_items[[#This Row],[Discounted_price]]</f>
        <v>502.19069999999999</v>
      </c>
      <c r="J2905">
        <f>VLOOKUP(B2905, Products!$A$2:$E$100, 3, FALSE)</f>
        <v>5</v>
      </c>
      <c r="K2905">
        <f>VLOOKUP(B2905, Products!$A$2:$F$100, 4, FALSE)</f>
        <v>6</v>
      </c>
    </row>
    <row r="2906" spans="1:11" x14ac:dyDescent="0.3">
      <c r="A2906">
        <v>1010</v>
      </c>
      <c r="B2906">
        <v>1</v>
      </c>
      <c r="C2906">
        <v>109</v>
      </c>
      <c r="D2906" t="str">
        <f>VLOOKUP(B2906, Products!$A$2:$C$100, 2, FALSE)</f>
        <v>Trek 820 - 2016</v>
      </c>
      <c r="E2906">
        <v>2</v>
      </c>
      <c r="F2906">
        <v>416.99</v>
      </c>
      <c r="G2906">
        <v>0.1</v>
      </c>
      <c r="H2906">
        <v>41.699000000000005</v>
      </c>
      <c r="I2906">
        <f>order_items[[#This Row],[list_price]]-order_items[[#This Row],[Discounted_price]]</f>
        <v>375.291</v>
      </c>
      <c r="J2906">
        <f>VLOOKUP(B2906, Products!$A$2:$E$100, 3, FALSE)</f>
        <v>9</v>
      </c>
      <c r="K2906">
        <f>VLOOKUP(B2906, Products!$A$2:$F$100, 4, FALSE)</f>
        <v>6</v>
      </c>
    </row>
    <row r="2907" spans="1:11" x14ac:dyDescent="0.3">
      <c r="A2907">
        <v>1011</v>
      </c>
      <c r="B2907">
        <v>1</v>
      </c>
      <c r="C2907">
        <v>88</v>
      </c>
      <c r="D2907" t="str">
        <f>VLOOKUP(B2907, Products!$A$2:$C$100, 2, FALSE)</f>
        <v>Trek 820 - 2016</v>
      </c>
      <c r="E2907">
        <v>1</v>
      </c>
      <c r="F2907">
        <v>189.99</v>
      </c>
      <c r="G2907">
        <v>0.2</v>
      </c>
      <c r="H2907">
        <v>37.998000000000005</v>
      </c>
      <c r="I2907">
        <f>order_items[[#This Row],[list_price]]-order_items[[#This Row],[Discounted_price]]</f>
        <v>151.99200000000002</v>
      </c>
      <c r="J2907">
        <f>VLOOKUP(B2907, Products!$A$2:$E$100, 3, FALSE)</f>
        <v>9</v>
      </c>
      <c r="K2907">
        <f>VLOOKUP(B2907, Products!$A$2:$F$100, 4, FALSE)</f>
        <v>6</v>
      </c>
    </row>
    <row r="2908" spans="1:11" x14ac:dyDescent="0.3">
      <c r="A2908">
        <v>1011</v>
      </c>
      <c r="B2908">
        <v>2</v>
      </c>
      <c r="C2908">
        <v>99</v>
      </c>
      <c r="D2908" t="str">
        <f>VLOOKUP(B2908, Products!$A$2:$C$100, 2, FALSE)</f>
        <v>Ritchey Timberwolf Frameset - 2016</v>
      </c>
      <c r="E2908">
        <v>2</v>
      </c>
      <c r="F2908">
        <v>299.99</v>
      </c>
      <c r="G2908">
        <v>0.2</v>
      </c>
      <c r="H2908">
        <v>59.998000000000005</v>
      </c>
      <c r="I2908">
        <f>order_items[[#This Row],[list_price]]-order_items[[#This Row],[Discounted_price]]</f>
        <v>239.99200000000002</v>
      </c>
      <c r="J2908">
        <f>VLOOKUP(B2908, Products!$A$2:$E$100, 3, FALSE)</f>
        <v>5</v>
      </c>
      <c r="K2908">
        <f>VLOOKUP(B2908, Products!$A$2:$F$100, 4, FALSE)</f>
        <v>6</v>
      </c>
    </row>
    <row r="2909" spans="1:11" x14ac:dyDescent="0.3">
      <c r="A2909">
        <v>1011</v>
      </c>
      <c r="B2909">
        <v>3</v>
      </c>
      <c r="C2909">
        <v>16</v>
      </c>
      <c r="D2909" t="str">
        <f>VLOOKUP(B2909, Products!$A$2:$C$100, 2, FALSE)</f>
        <v>Surly Wednesday Frameset - 2016</v>
      </c>
      <c r="E2909">
        <v>2</v>
      </c>
      <c r="F2909">
        <v>599.99</v>
      </c>
      <c r="G2909">
        <v>0.2</v>
      </c>
      <c r="H2909">
        <v>119.998</v>
      </c>
      <c r="I2909">
        <f>order_items[[#This Row],[list_price]]-order_items[[#This Row],[Discounted_price]]</f>
        <v>479.99200000000002</v>
      </c>
      <c r="J2909">
        <f>VLOOKUP(B2909, Products!$A$2:$E$100, 3, FALSE)</f>
        <v>8</v>
      </c>
      <c r="K2909">
        <f>VLOOKUP(B2909, Products!$A$2:$F$100, 4, FALSE)</f>
        <v>6</v>
      </c>
    </row>
    <row r="2910" spans="1:11" x14ac:dyDescent="0.3">
      <c r="A2910">
        <v>1011</v>
      </c>
      <c r="B2910">
        <v>4</v>
      </c>
      <c r="C2910">
        <v>68</v>
      </c>
      <c r="D2910" t="str">
        <f>VLOOKUP(B2910, Products!$A$2:$C$100, 2, FALSE)</f>
        <v>Trek Fuel EX 8 29 - 2016</v>
      </c>
      <c r="E2910">
        <v>2</v>
      </c>
      <c r="F2910">
        <v>449.99</v>
      </c>
      <c r="G2910">
        <v>0.05</v>
      </c>
      <c r="H2910">
        <v>22.499500000000001</v>
      </c>
      <c r="I2910">
        <f>order_items[[#This Row],[list_price]]-order_items[[#This Row],[Discounted_price]]</f>
        <v>427.4905</v>
      </c>
      <c r="J2910">
        <f>VLOOKUP(B2910, Products!$A$2:$E$100, 3, FALSE)</f>
        <v>9</v>
      </c>
      <c r="K2910">
        <f>VLOOKUP(B2910, Products!$A$2:$F$100, 4, FALSE)</f>
        <v>6</v>
      </c>
    </row>
    <row r="2911" spans="1:11" x14ac:dyDescent="0.3">
      <c r="A2911">
        <v>1012</v>
      </c>
      <c r="B2911">
        <v>1</v>
      </c>
      <c r="C2911">
        <v>8</v>
      </c>
      <c r="D2911" t="str">
        <f>VLOOKUP(B2911, Products!$A$2:$C$100, 2, FALSE)</f>
        <v>Trek 820 - 2016</v>
      </c>
      <c r="E2911">
        <v>1</v>
      </c>
      <c r="F2911">
        <v>1799.99</v>
      </c>
      <c r="G2911">
        <v>7.0000000000000007E-2</v>
      </c>
      <c r="H2911">
        <v>125.99930000000002</v>
      </c>
      <c r="I2911">
        <f>order_items[[#This Row],[list_price]]-order_items[[#This Row],[Discounted_price]]</f>
        <v>1673.9907000000001</v>
      </c>
      <c r="J2911">
        <f>VLOOKUP(B2911, Products!$A$2:$E$100, 3, FALSE)</f>
        <v>9</v>
      </c>
      <c r="K2911">
        <f>VLOOKUP(B2911, Products!$A$2:$F$100, 4, FALSE)</f>
        <v>6</v>
      </c>
    </row>
    <row r="2912" spans="1:11" x14ac:dyDescent="0.3">
      <c r="A2912">
        <v>1012</v>
      </c>
      <c r="B2912">
        <v>2</v>
      </c>
      <c r="C2912">
        <v>64</v>
      </c>
      <c r="D2912" t="str">
        <f>VLOOKUP(B2912, Products!$A$2:$C$100, 2, FALSE)</f>
        <v>Ritchey Timberwolf Frameset - 2016</v>
      </c>
      <c r="E2912">
        <v>1</v>
      </c>
      <c r="F2912">
        <v>489.99</v>
      </c>
      <c r="G2912">
        <v>0.2</v>
      </c>
      <c r="H2912">
        <v>97.998000000000005</v>
      </c>
      <c r="I2912">
        <f>order_items[[#This Row],[list_price]]-order_items[[#This Row],[Discounted_price]]</f>
        <v>391.99200000000002</v>
      </c>
      <c r="J2912">
        <f>VLOOKUP(B2912, Products!$A$2:$E$100, 3, FALSE)</f>
        <v>5</v>
      </c>
      <c r="K2912">
        <f>VLOOKUP(B2912, Products!$A$2:$F$100, 4, FALSE)</f>
        <v>6</v>
      </c>
    </row>
    <row r="2913" spans="1:11" x14ac:dyDescent="0.3">
      <c r="A2913">
        <v>1013</v>
      </c>
      <c r="B2913">
        <v>1</v>
      </c>
      <c r="C2913">
        <v>60</v>
      </c>
      <c r="D2913" t="str">
        <f>VLOOKUP(B2913, Products!$A$2:$C$100, 2, FALSE)</f>
        <v>Trek 820 - 2016</v>
      </c>
      <c r="E2913">
        <v>2</v>
      </c>
      <c r="F2913">
        <v>1559.99</v>
      </c>
      <c r="G2913">
        <v>0.05</v>
      </c>
      <c r="H2913">
        <v>77.999500000000012</v>
      </c>
      <c r="I2913">
        <f>order_items[[#This Row],[list_price]]-order_items[[#This Row],[Discounted_price]]</f>
        <v>1481.9904999999999</v>
      </c>
      <c r="J2913">
        <f>VLOOKUP(B2913, Products!$A$2:$E$100, 3, FALSE)</f>
        <v>9</v>
      </c>
      <c r="K2913">
        <f>VLOOKUP(B2913, Products!$A$2:$F$100, 4, FALSE)</f>
        <v>6</v>
      </c>
    </row>
    <row r="2914" spans="1:11" x14ac:dyDescent="0.3">
      <c r="A2914">
        <v>1014</v>
      </c>
      <c r="B2914">
        <v>1</v>
      </c>
      <c r="C2914">
        <v>97</v>
      </c>
      <c r="D2914" t="str">
        <f>VLOOKUP(B2914, Products!$A$2:$C$100, 2, FALSE)</f>
        <v>Trek 820 - 2016</v>
      </c>
      <c r="E2914">
        <v>1</v>
      </c>
      <c r="F2914">
        <v>349.99</v>
      </c>
      <c r="G2914">
        <v>0.2</v>
      </c>
      <c r="H2914">
        <v>69.998000000000005</v>
      </c>
      <c r="I2914">
        <f>order_items[[#This Row],[list_price]]-order_items[[#This Row],[Discounted_price]]</f>
        <v>279.99200000000002</v>
      </c>
      <c r="J2914">
        <f>VLOOKUP(B2914, Products!$A$2:$E$100, 3, FALSE)</f>
        <v>9</v>
      </c>
      <c r="K2914">
        <f>VLOOKUP(B2914, Products!$A$2:$F$100, 4, FALSE)</f>
        <v>6</v>
      </c>
    </row>
    <row r="2915" spans="1:11" x14ac:dyDescent="0.3">
      <c r="A2915">
        <v>1014</v>
      </c>
      <c r="B2915">
        <v>2</v>
      </c>
      <c r="C2915">
        <v>45</v>
      </c>
      <c r="D2915" t="str">
        <f>VLOOKUP(B2915, Products!$A$2:$C$100, 2, FALSE)</f>
        <v>Ritchey Timberwolf Frameset - 2016</v>
      </c>
      <c r="E2915">
        <v>2</v>
      </c>
      <c r="F2915">
        <v>869.99</v>
      </c>
      <c r="G2915">
        <v>0.05</v>
      </c>
      <c r="H2915">
        <v>43.499500000000005</v>
      </c>
      <c r="I2915">
        <f>order_items[[#This Row],[list_price]]-order_items[[#This Row],[Discounted_price]]</f>
        <v>826.4905</v>
      </c>
      <c r="J2915">
        <f>VLOOKUP(B2915, Products!$A$2:$E$100, 3, FALSE)</f>
        <v>5</v>
      </c>
      <c r="K2915">
        <f>VLOOKUP(B2915, Products!$A$2:$F$100, 4, FALSE)</f>
        <v>6</v>
      </c>
    </row>
    <row r="2916" spans="1:11" x14ac:dyDescent="0.3">
      <c r="A2916">
        <v>1014</v>
      </c>
      <c r="B2916">
        <v>3</v>
      </c>
      <c r="C2916">
        <v>81</v>
      </c>
      <c r="D2916" t="str">
        <f>VLOOKUP(B2916, Products!$A$2:$C$100, 2, FALSE)</f>
        <v>Surly Wednesday Frameset - 2016</v>
      </c>
      <c r="E2916">
        <v>2</v>
      </c>
      <c r="F2916">
        <v>1099.99</v>
      </c>
      <c r="G2916">
        <v>0.1</v>
      </c>
      <c r="H2916">
        <v>109.99900000000001</v>
      </c>
      <c r="I2916">
        <f>order_items[[#This Row],[list_price]]-order_items[[#This Row],[Discounted_price]]</f>
        <v>989.99099999999999</v>
      </c>
      <c r="J2916">
        <f>VLOOKUP(B2916, Products!$A$2:$E$100, 3, FALSE)</f>
        <v>8</v>
      </c>
      <c r="K2916">
        <f>VLOOKUP(B2916, Products!$A$2:$F$100, 4, FALSE)</f>
        <v>6</v>
      </c>
    </row>
    <row r="2917" spans="1:11" x14ac:dyDescent="0.3">
      <c r="A2917">
        <v>1014</v>
      </c>
      <c r="B2917">
        <v>4</v>
      </c>
      <c r="C2917">
        <v>59</v>
      </c>
      <c r="D2917" t="str">
        <f>VLOOKUP(B2917, Products!$A$2:$C$100, 2, FALSE)</f>
        <v>Trek Fuel EX 8 29 - 2016</v>
      </c>
      <c r="E2917">
        <v>1</v>
      </c>
      <c r="F2917">
        <v>2599.9899999999998</v>
      </c>
      <c r="G2917">
        <v>0.05</v>
      </c>
      <c r="H2917">
        <v>129.99949999999998</v>
      </c>
      <c r="I2917">
        <f>order_items[[#This Row],[list_price]]-order_items[[#This Row],[Discounted_price]]</f>
        <v>2469.9904999999999</v>
      </c>
      <c r="J2917">
        <f>VLOOKUP(B2917, Products!$A$2:$E$100, 3, FALSE)</f>
        <v>9</v>
      </c>
      <c r="K2917">
        <f>VLOOKUP(B2917, Products!$A$2:$F$100, 4, FALSE)</f>
        <v>6</v>
      </c>
    </row>
    <row r="2918" spans="1:11" x14ac:dyDescent="0.3">
      <c r="A2918">
        <v>1015</v>
      </c>
      <c r="B2918">
        <v>1</v>
      </c>
      <c r="C2918">
        <v>6</v>
      </c>
      <c r="D2918" t="str">
        <f>VLOOKUP(B2918, Products!$A$2:$C$100, 2, FALSE)</f>
        <v>Trek 820 - 2016</v>
      </c>
      <c r="E2918">
        <v>2</v>
      </c>
      <c r="F2918">
        <v>469.99</v>
      </c>
      <c r="G2918">
        <v>0.1</v>
      </c>
      <c r="H2918">
        <v>46.999000000000002</v>
      </c>
      <c r="I2918">
        <f>order_items[[#This Row],[list_price]]-order_items[[#This Row],[Discounted_price]]</f>
        <v>422.99099999999999</v>
      </c>
      <c r="J2918">
        <f>VLOOKUP(B2918, Products!$A$2:$E$100, 3, FALSE)</f>
        <v>9</v>
      </c>
      <c r="K2918">
        <f>VLOOKUP(B2918, Products!$A$2:$F$100, 4, FALSE)</f>
        <v>6</v>
      </c>
    </row>
    <row r="2919" spans="1:11" x14ac:dyDescent="0.3">
      <c r="A2919">
        <v>1015</v>
      </c>
      <c r="B2919">
        <v>2</v>
      </c>
      <c r="C2919">
        <v>73</v>
      </c>
      <c r="D2919" t="str">
        <f>VLOOKUP(B2919, Products!$A$2:$C$100, 2, FALSE)</f>
        <v>Ritchey Timberwolf Frameset - 2016</v>
      </c>
      <c r="E2919">
        <v>2</v>
      </c>
      <c r="F2919">
        <v>749.99</v>
      </c>
      <c r="G2919">
        <v>0.2</v>
      </c>
      <c r="H2919">
        <v>149.99800000000002</v>
      </c>
      <c r="I2919">
        <f>order_items[[#This Row],[list_price]]-order_items[[#This Row],[Discounted_price]]</f>
        <v>599.99199999999996</v>
      </c>
      <c r="J2919">
        <f>VLOOKUP(B2919, Products!$A$2:$E$100, 3, FALSE)</f>
        <v>5</v>
      </c>
      <c r="K2919">
        <f>VLOOKUP(B2919, Products!$A$2:$F$100, 4, FALSE)</f>
        <v>6</v>
      </c>
    </row>
    <row r="2920" spans="1:11" x14ac:dyDescent="0.3">
      <c r="A2920">
        <v>1015</v>
      </c>
      <c r="B2920">
        <v>3</v>
      </c>
      <c r="C2920">
        <v>101</v>
      </c>
      <c r="D2920" t="str">
        <f>VLOOKUP(B2920, Products!$A$2:$C$100, 2, FALSE)</f>
        <v>Surly Wednesday Frameset - 2016</v>
      </c>
      <c r="E2920">
        <v>2</v>
      </c>
      <c r="F2920">
        <v>339.99</v>
      </c>
      <c r="G2920">
        <v>0.1</v>
      </c>
      <c r="H2920">
        <v>33.999000000000002</v>
      </c>
      <c r="I2920">
        <f>order_items[[#This Row],[list_price]]-order_items[[#This Row],[Discounted_price]]</f>
        <v>305.99099999999999</v>
      </c>
      <c r="J2920">
        <f>VLOOKUP(B2920, Products!$A$2:$E$100, 3, FALSE)</f>
        <v>8</v>
      </c>
      <c r="K2920">
        <f>VLOOKUP(B2920, Products!$A$2:$F$100, 4, FALSE)</f>
        <v>6</v>
      </c>
    </row>
    <row r="2921" spans="1:11" x14ac:dyDescent="0.3">
      <c r="A2921">
        <v>1015</v>
      </c>
      <c r="B2921">
        <v>4</v>
      </c>
      <c r="C2921">
        <v>13</v>
      </c>
      <c r="D2921" t="str">
        <f>VLOOKUP(B2921, Products!$A$2:$C$100, 2, FALSE)</f>
        <v>Trek Fuel EX 8 29 - 2016</v>
      </c>
      <c r="E2921">
        <v>1</v>
      </c>
      <c r="F2921">
        <v>269.99</v>
      </c>
      <c r="G2921">
        <v>0.2</v>
      </c>
      <c r="H2921">
        <v>53.998000000000005</v>
      </c>
      <c r="I2921">
        <f>order_items[[#This Row],[list_price]]-order_items[[#This Row],[Discounted_price]]</f>
        <v>215.99200000000002</v>
      </c>
      <c r="J2921">
        <f>VLOOKUP(B2921, Products!$A$2:$E$100, 3, FALSE)</f>
        <v>9</v>
      </c>
      <c r="K2921">
        <f>VLOOKUP(B2921, Products!$A$2:$F$100, 4, FALSE)</f>
        <v>6</v>
      </c>
    </row>
    <row r="2922" spans="1:11" x14ac:dyDescent="0.3">
      <c r="A2922">
        <v>1016</v>
      </c>
      <c r="B2922">
        <v>1</v>
      </c>
      <c r="C2922">
        <v>76</v>
      </c>
      <c r="D2922" t="str">
        <f>VLOOKUP(B2922, Products!$A$2:$C$100, 2, FALSE)</f>
        <v>Trek 820 - 2016</v>
      </c>
      <c r="E2922">
        <v>2</v>
      </c>
      <c r="F2922">
        <v>299.99</v>
      </c>
      <c r="G2922">
        <v>7.0000000000000007E-2</v>
      </c>
      <c r="H2922">
        <v>20.999300000000002</v>
      </c>
      <c r="I2922">
        <f>order_items[[#This Row],[list_price]]-order_items[[#This Row],[Discounted_price]]</f>
        <v>278.9907</v>
      </c>
      <c r="J2922">
        <f>VLOOKUP(B2922, Products!$A$2:$E$100, 3, FALSE)</f>
        <v>9</v>
      </c>
      <c r="K2922">
        <f>VLOOKUP(B2922, Products!$A$2:$F$100, 4, FALSE)</f>
        <v>6</v>
      </c>
    </row>
    <row r="2923" spans="1:11" x14ac:dyDescent="0.3">
      <c r="A2923">
        <v>1017</v>
      </c>
      <c r="B2923">
        <v>1</v>
      </c>
      <c r="C2923">
        <v>89</v>
      </c>
      <c r="D2923" t="str">
        <f>VLOOKUP(B2923, Products!$A$2:$C$100, 2, FALSE)</f>
        <v>Trek 820 - 2016</v>
      </c>
      <c r="E2923">
        <v>1</v>
      </c>
      <c r="F2923">
        <v>209.99</v>
      </c>
      <c r="G2923">
        <v>7.0000000000000007E-2</v>
      </c>
      <c r="H2923">
        <v>14.699300000000003</v>
      </c>
      <c r="I2923">
        <f>order_items[[#This Row],[list_price]]-order_items[[#This Row],[Discounted_price]]</f>
        <v>195.29070000000002</v>
      </c>
      <c r="J2923">
        <f>VLOOKUP(B2923, Products!$A$2:$E$100, 3, FALSE)</f>
        <v>9</v>
      </c>
      <c r="K2923">
        <f>VLOOKUP(B2923, Products!$A$2:$F$100, 4, FALSE)</f>
        <v>6</v>
      </c>
    </row>
    <row r="2924" spans="1:11" x14ac:dyDescent="0.3">
      <c r="A2924">
        <v>1017</v>
      </c>
      <c r="B2924">
        <v>2</v>
      </c>
      <c r="C2924">
        <v>82</v>
      </c>
      <c r="D2924" t="str">
        <f>VLOOKUP(B2924, Products!$A$2:$C$100, 2, FALSE)</f>
        <v>Ritchey Timberwolf Frameset - 2016</v>
      </c>
      <c r="E2924">
        <v>2</v>
      </c>
      <c r="F2924">
        <v>659.99</v>
      </c>
      <c r="G2924">
        <v>0.2</v>
      </c>
      <c r="H2924">
        <v>131.99800000000002</v>
      </c>
      <c r="I2924">
        <f>order_items[[#This Row],[list_price]]-order_items[[#This Row],[Discounted_price]]</f>
        <v>527.99199999999996</v>
      </c>
      <c r="J2924">
        <f>VLOOKUP(B2924, Products!$A$2:$E$100, 3, FALSE)</f>
        <v>5</v>
      </c>
      <c r="K2924">
        <f>VLOOKUP(B2924, Products!$A$2:$F$100, 4, FALSE)</f>
        <v>6</v>
      </c>
    </row>
    <row r="2925" spans="1:11" x14ac:dyDescent="0.3">
      <c r="A2925">
        <v>1017</v>
      </c>
      <c r="B2925">
        <v>3</v>
      </c>
      <c r="C2925">
        <v>100</v>
      </c>
      <c r="D2925" t="str">
        <f>VLOOKUP(B2925, Products!$A$2:$C$100, 2, FALSE)</f>
        <v>Surly Wednesday Frameset - 2016</v>
      </c>
      <c r="E2925">
        <v>1</v>
      </c>
      <c r="F2925">
        <v>489.99</v>
      </c>
      <c r="G2925">
        <v>0.2</v>
      </c>
      <c r="H2925">
        <v>97.998000000000005</v>
      </c>
      <c r="I2925">
        <f>order_items[[#This Row],[list_price]]-order_items[[#This Row],[Discounted_price]]</f>
        <v>391.99200000000002</v>
      </c>
      <c r="J2925">
        <f>VLOOKUP(B2925, Products!$A$2:$E$100, 3, FALSE)</f>
        <v>8</v>
      </c>
      <c r="K2925">
        <f>VLOOKUP(B2925, Products!$A$2:$F$100, 4, FALSE)</f>
        <v>6</v>
      </c>
    </row>
    <row r="2926" spans="1:11" x14ac:dyDescent="0.3">
      <c r="A2926">
        <v>1017</v>
      </c>
      <c r="B2926">
        <v>4</v>
      </c>
      <c r="C2926">
        <v>18</v>
      </c>
      <c r="D2926" t="str">
        <f>VLOOKUP(B2926, Products!$A$2:$C$100, 2, FALSE)</f>
        <v>Trek Fuel EX 8 29 - 2016</v>
      </c>
      <c r="E2926">
        <v>2</v>
      </c>
      <c r="F2926">
        <v>449</v>
      </c>
      <c r="G2926">
        <v>0.2</v>
      </c>
      <c r="H2926">
        <v>89.800000000000011</v>
      </c>
      <c r="I2926">
        <f>order_items[[#This Row],[list_price]]-order_items[[#This Row],[Discounted_price]]</f>
        <v>359.2</v>
      </c>
      <c r="J2926">
        <f>VLOOKUP(B2926, Products!$A$2:$E$100, 3, FALSE)</f>
        <v>9</v>
      </c>
      <c r="K2926">
        <f>VLOOKUP(B2926, Products!$A$2:$F$100, 4, FALSE)</f>
        <v>6</v>
      </c>
    </row>
    <row r="2927" spans="1:11" x14ac:dyDescent="0.3">
      <c r="A2927">
        <v>1017</v>
      </c>
      <c r="B2927">
        <v>5</v>
      </c>
      <c r="C2927">
        <v>77</v>
      </c>
      <c r="D2927" t="str">
        <f>VLOOKUP(B2927, Products!$A$2:$C$100, 2, FALSE)</f>
        <v>Heller Shagamaw Frame - 2016</v>
      </c>
      <c r="E2927">
        <v>2</v>
      </c>
      <c r="F2927">
        <v>799.99</v>
      </c>
      <c r="G2927">
        <v>0.1</v>
      </c>
      <c r="H2927">
        <v>79.999000000000009</v>
      </c>
      <c r="I2927">
        <f>order_items[[#This Row],[list_price]]-order_items[[#This Row],[Discounted_price]]</f>
        <v>719.99099999999999</v>
      </c>
      <c r="J2927">
        <f>VLOOKUP(B2927, Products!$A$2:$E$100, 3, FALSE)</f>
        <v>3</v>
      </c>
      <c r="K2927">
        <f>VLOOKUP(B2927, Products!$A$2:$F$100, 4, FALSE)</f>
        <v>6</v>
      </c>
    </row>
    <row r="2928" spans="1:11" x14ac:dyDescent="0.3">
      <c r="A2928">
        <v>1018</v>
      </c>
      <c r="B2928">
        <v>1</v>
      </c>
      <c r="C2928">
        <v>76</v>
      </c>
      <c r="D2928" t="str">
        <f>VLOOKUP(B2928, Products!$A$2:$C$100, 2, FALSE)</f>
        <v>Trek 820 - 2016</v>
      </c>
      <c r="E2928">
        <v>2</v>
      </c>
      <c r="F2928">
        <v>299.99</v>
      </c>
      <c r="G2928">
        <v>7.0000000000000007E-2</v>
      </c>
      <c r="H2928">
        <v>20.999300000000002</v>
      </c>
      <c r="I2928">
        <f>order_items[[#This Row],[list_price]]-order_items[[#This Row],[Discounted_price]]</f>
        <v>278.9907</v>
      </c>
      <c r="J2928">
        <f>VLOOKUP(B2928, Products!$A$2:$E$100, 3, FALSE)</f>
        <v>9</v>
      </c>
      <c r="K2928">
        <f>VLOOKUP(B2928, Products!$A$2:$F$100, 4, FALSE)</f>
        <v>6</v>
      </c>
    </row>
    <row r="2929" spans="1:11" x14ac:dyDescent="0.3">
      <c r="A2929">
        <v>1018</v>
      </c>
      <c r="B2929">
        <v>2</v>
      </c>
      <c r="C2929">
        <v>97</v>
      </c>
      <c r="D2929" t="str">
        <f>VLOOKUP(B2929, Products!$A$2:$C$100, 2, FALSE)</f>
        <v>Ritchey Timberwolf Frameset - 2016</v>
      </c>
      <c r="E2929">
        <v>2</v>
      </c>
      <c r="F2929">
        <v>349.99</v>
      </c>
      <c r="G2929">
        <v>0.1</v>
      </c>
      <c r="H2929">
        <v>34.999000000000002</v>
      </c>
      <c r="I2929">
        <f>order_items[[#This Row],[list_price]]-order_items[[#This Row],[Discounted_price]]</f>
        <v>314.99099999999999</v>
      </c>
      <c r="J2929">
        <f>VLOOKUP(B2929, Products!$A$2:$E$100, 3, FALSE)</f>
        <v>5</v>
      </c>
      <c r="K2929">
        <f>VLOOKUP(B2929, Products!$A$2:$F$100, 4, FALSE)</f>
        <v>6</v>
      </c>
    </row>
    <row r="2930" spans="1:11" x14ac:dyDescent="0.3">
      <c r="A2930">
        <v>1018</v>
      </c>
      <c r="B2930">
        <v>3</v>
      </c>
      <c r="C2930">
        <v>91</v>
      </c>
      <c r="D2930" t="str">
        <f>VLOOKUP(B2930, Products!$A$2:$C$100, 2, FALSE)</f>
        <v>Surly Wednesday Frameset - 2016</v>
      </c>
      <c r="E2930">
        <v>1</v>
      </c>
      <c r="F2930">
        <v>349.99</v>
      </c>
      <c r="G2930">
        <v>0.2</v>
      </c>
      <c r="H2930">
        <v>69.998000000000005</v>
      </c>
      <c r="I2930">
        <f>order_items[[#This Row],[list_price]]-order_items[[#This Row],[Discounted_price]]</f>
        <v>279.99200000000002</v>
      </c>
      <c r="J2930">
        <f>VLOOKUP(B2930, Products!$A$2:$E$100, 3, FALSE)</f>
        <v>8</v>
      </c>
      <c r="K2930">
        <f>VLOOKUP(B2930, Products!$A$2:$F$100, 4, FALSE)</f>
        <v>6</v>
      </c>
    </row>
    <row r="2931" spans="1:11" x14ac:dyDescent="0.3">
      <c r="A2931">
        <v>1019</v>
      </c>
      <c r="B2931">
        <v>1</v>
      </c>
      <c r="C2931">
        <v>30</v>
      </c>
      <c r="D2931" t="str">
        <f>VLOOKUP(B2931, Products!$A$2:$C$100, 2, FALSE)</f>
        <v>Trek 820 - 2016</v>
      </c>
      <c r="E2931">
        <v>1</v>
      </c>
      <c r="F2931">
        <v>999.99</v>
      </c>
      <c r="G2931">
        <v>0.1</v>
      </c>
      <c r="H2931">
        <v>99.999000000000009</v>
      </c>
      <c r="I2931">
        <f>order_items[[#This Row],[list_price]]-order_items[[#This Row],[Discounted_price]]</f>
        <v>899.99099999999999</v>
      </c>
      <c r="J2931">
        <f>VLOOKUP(B2931, Products!$A$2:$E$100, 3, FALSE)</f>
        <v>9</v>
      </c>
      <c r="K2931">
        <f>VLOOKUP(B2931, Products!$A$2:$F$100, 4, FALSE)</f>
        <v>6</v>
      </c>
    </row>
    <row r="2932" spans="1:11" x14ac:dyDescent="0.3">
      <c r="A2932">
        <v>1019</v>
      </c>
      <c r="B2932">
        <v>2</v>
      </c>
      <c r="C2932">
        <v>52</v>
      </c>
      <c r="D2932" t="str">
        <f>VLOOKUP(B2932, Products!$A$2:$C$100, 2, FALSE)</f>
        <v>Ritchey Timberwolf Frameset - 2016</v>
      </c>
      <c r="E2932">
        <v>1</v>
      </c>
      <c r="F2932">
        <v>875.99</v>
      </c>
      <c r="G2932">
        <v>0.2</v>
      </c>
      <c r="H2932">
        <v>175.19800000000001</v>
      </c>
      <c r="I2932">
        <f>order_items[[#This Row],[list_price]]-order_items[[#This Row],[Discounted_price]]</f>
        <v>700.79200000000003</v>
      </c>
      <c r="J2932">
        <f>VLOOKUP(B2932, Products!$A$2:$E$100, 3, FALSE)</f>
        <v>5</v>
      </c>
      <c r="K2932">
        <f>VLOOKUP(B2932, Products!$A$2:$F$100, 4, FALSE)</f>
        <v>6</v>
      </c>
    </row>
    <row r="2933" spans="1:11" x14ac:dyDescent="0.3">
      <c r="A2933">
        <v>1019</v>
      </c>
      <c r="B2933">
        <v>3</v>
      </c>
      <c r="C2933">
        <v>37</v>
      </c>
      <c r="D2933" t="str">
        <f>VLOOKUP(B2933, Products!$A$2:$C$100, 2, FALSE)</f>
        <v>Surly Wednesday Frameset - 2016</v>
      </c>
      <c r="E2933">
        <v>1</v>
      </c>
      <c r="F2933">
        <v>379.99</v>
      </c>
      <c r="G2933">
        <v>0.05</v>
      </c>
      <c r="H2933">
        <v>18.999500000000001</v>
      </c>
      <c r="I2933">
        <f>order_items[[#This Row],[list_price]]-order_items[[#This Row],[Discounted_price]]</f>
        <v>360.9905</v>
      </c>
      <c r="J2933">
        <f>VLOOKUP(B2933, Products!$A$2:$E$100, 3, FALSE)</f>
        <v>8</v>
      </c>
      <c r="K2933">
        <f>VLOOKUP(B2933, Products!$A$2:$F$100, 4, FALSE)</f>
        <v>6</v>
      </c>
    </row>
    <row r="2934" spans="1:11" x14ac:dyDescent="0.3">
      <c r="A2934">
        <v>1019</v>
      </c>
      <c r="B2934">
        <v>4</v>
      </c>
      <c r="C2934">
        <v>93</v>
      </c>
      <c r="D2934" t="str">
        <f>VLOOKUP(B2934, Products!$A$2:$C$100, 2, FALSE)</f>
        <v>Trek Fuel EX 8 29 - 2016</v>
      </c>
      <c r="E2934">
        <v>2</v>
      </c>
      <c r="F2934">
        <v>209.99</v>
      </c>
      <c r="G2934">
        <v>0.2</v>
      </c>
      <c r="H2934">
        <v>41.998000000000005</v>
      </c>
      <c r="I2934">
        <f>order_items[[#This Row],[list_price]]-order_items[[#This Row],[Discounted_price]]</f>
        <v>167.99200000000002</v>
      </c>
      <c r="J2934">
        <f>VLOOKUP(B2934, Products!$A$2:$E$100, 3, FALSE)</f>
        <v>9</v>
      </c>
      <c r="K2934">
        <f>VLOOKUP(B2934, Products!$A$2:$F$100, 4, FALSE)</f>
        <v>6</v>
      </c>
    </row>
    <row r="2935" spans="1:11" x14ac:dyDescent="0.3">
      <c r="A2935">
        <v>1020</v>
      </c>
      <c r="B2935">
        <v>1</v>
      </c>
      <c r="C2935">
        <v>20</v>
      </c>
      <c r="D2935" t="str">
        <f>VLOOKUP(B2935, Products!$A$2:$C$100, 2, FALSE)</f>
        <v>Trek 820 - 2016</v>
      </c>
      <c r="E2935">
        <v>2</v>
      </c>
      <c r="F2935">
        <v>599.99</v>
      </c>
      <c r="G2935">
        <v>0.05</v>
      </c>
      <c r="H2935">
        <v>29.999500000000001</v>
      </c>
      <c r="I2935">
        <f>order_items[[#This Row],[list_price]]-order_items[[#This Row],[Discounted_price]]</f>
        <v>569.9905</v>
      </c>
      <c r="J2935">
        <f>VLOOKUP(B2935, Products!$A$2:$E$100, 3, FALSE)</f>
        <v>9</v>
      </c>
      <c r="K2935">
        <f>VLOOKUP(B2935, Products!$A$2:$F$100, 4, FALSE)</f>
        <v>6</v>
      </c>
    </row>
    <row r="2936" spans="1:11" x14ac:dyDescent="0.3">
      <c r="A2936">
        <v>1020</v>
      </c>
      <c r="B2936">
        <v>2</v>
      </c>
      <c r="C2936">
        <v>69</v>
      </c>
      <c r="D2936" t="str">
        <f>VLOOKUP(B2936, Products!$A$2:$C$100, 2, FALSE)</f>
        <v>Ritchey Timberwolf Frameset - 2016</v>
      </c>
      <c r="E2936">
        <v>2</v>
      </c>
      <c r="F2936">
        <v>416.99</v>
      </c>
      <c r="G2936">
        <v>0.05</v>
      </c>
      <c r="H2936">
        <v>20.849500000000003</v>
      </c>
      <c r="I2936">
        <f>order_items[[#This Row],[list_price]]-order_items[[#This Row],[Discounted_price]]</f>
        <v>396.14050000000003</v>
      </c>
      <c r="J2936">
        <f>VLOOKUP(B2936, Products!$A$2:$E$100, 3, FALSE)</f>
        <v>5</v>
      </c>
      <c r="K2936">
        <f>VLOOKUP(B2936, Products!$A$2:$F$100, 4, FALSE)</f>
        <v>6</v>
      </c>
    </row>
    <row r="2937" spans="1:11" x14ac:dyDescent="0.3">
      <c r="A2937">
        <v>1020</v>
      </c>
      <c r="B2937">
        <v>3</v>
      </c>
      <c r="C2937">
        <v>15</v>
      </c>
      <c r="D2937" t="str">
        <f>VLOOKUP(B2937, Products!$A$2:$C$100, 2, FALSE)</f>
        <v>Surly Wednesday Frameset - 2016</v>
      </c>
      <c r="E2937">
        <v>1</v>
      </c>
      <c r="F2937">
        <v>529.99</v>
      </c>
      <c r="G2937">
        <v>7.0000000000000007E-2</v>
      </c>
      <c r="H2937">
        <v>37.099300000000007</v>
      </c>
      <c r="I2937">
        <f>order_items[[#This Row],[list_price]]-order_items[[#This Row],[Discounted_price]]</f>
        <v>492.89069999999998</v>
      </c>
      <c r="J2937">
        <f>VLOOKUP(B2937, Products!$A$2:$E$100, 3, FALSE)</f>
        <v>8</v>
      </c>
      <c r="K2937">
        <f>VLOOKUP(B2937, Products!$A$2:$F$100, 4, FALSE)</f>
        <v>6</v>
      </c>
    </row>
    <row r="2938" spans="1:11" x14ac:dyDescent="0.3">
      <c r="A2938">
        <v>1020</v>
      </c>
      <c r="B2938">
        <v>4</v>
      </c>
      <c r="C2938">
        <v>57</v>
      </c>
      <c r="D2938" t="str">
        <f>VLOOKUP(B2938, Products!$A$2:$C$100, 2, FALSE)</f>
        <v>Trek Fuel EX 8 29 - 2016</v>
      </c>
      <c r="E2938">
        <v>2</v>
      </c>
      <c r="F2938">
        <v>1999.99</v>
      </c>
      <c r="G2938">
        <v>0.1</v>
      </c>
      <c r="H2938">
        <v>199.99900000000002</v>
      </c>
      <c r="I2938">
        <f>order_items[[#This Row],[list_price]]-order_items[[#This Row],[Discounted_price]]</f>
        <v>1799.991</v>
      </c>
      <c r="J2938">
        <f>VLOOKUP(B2938, Products!$A$2:$E$100, 3, FALSE)</f>
        <v>9</v>
      </c>
      <c r="K2938">
        <f>VLOOKUP(B2938, Products!$A$2:$F$100, 4, FALSE)</f>
        <v>6</v>
      </c>
    </row>
    <row r="2939" spans="1:11" x14ac:dyDescent="0.3">
      <c r="A2939">
        <v>1020</v>
      </c>
      <c r="B2939">
        <v>5</v>
      </c>
      <c r="C2939">
        <v>40</v>
      </c>
      <c r="D2939" t="str">
        <f>VLOOKUP(B2939, Products!$A$2:$C$100, 2, FALSE)</f>
        <v>Heller Shagamaw Frame - 2016</v>
      </c>
      <c r="E2939">
        <v>2</v>
      </c>
      <c r="F2939">
        <v>4999.99</v>
      </c>
      <c r="G2939">
        <v>0.05</v>
      </c>
      <c r="H2939">
        <v>249.99950000000001</v>
      </c>
      <c r="I2939">
        <f>order_items[[#This Row],[list_price]]-order_items[[#This Row],[Discounted_price]]</f>
        <v>4749.9904999999999</v>
      </c>
      <c r="J2939">
        <f>VLOOKUP(B2939, Products!$A$2:$E$100, 3, FALSE)</f>
        <v>3</v>
      </c>
      <c r="K2939">
        <f>VLOOKUP(B2939, Products!$A$2:$F$100, 4, FALSE)</f>
        <v>6</v>
      </c>
    </row>
    <row r="2940" spans="1:11" x14ac:dyDescent="0.3">
      <c r="A2940">
        <v>1021</v>
      </c>
      <c r="B2940">
        <v>1</v>
      </c>
      <c r="C2940">
        <v>49</v>
      </c>
      <c r="D2940" t="str">
        <f>VLOOKUP(B2940, Products!$A$2:$C$100, 2, FALSE)</f>
        <v>Trek 820 - 2016</v>
      </c>
      <c r="E2940">
        <v>2</v>
      </c>
      <c r="F2940">
        <v>3499.99</v>
      </c>
      <c r="G2940">
        <v>7.0000000000000007E-2</v>
      </c>
      <c r="H2940">
        <v>244.99930000000001</v>
      </c>
      <c r="I2940">
        <f>order_items[[#This Row],[list_price]]-order_items[[#This Row],[Discounted_price]]</f>
        <v>3254.9906999999998</v>
      </c>
      <c r="J2940">
        <f>VLOOKUP(B2940, Products!$A$2:$E$100, 3, FALSE)</f>
        <v>9</v>
      </c>
      <c r="K2940">
        <f>VLOOKUP(B2940, Products!$A$2:$F$100, 4, FALSE)</f>
        <v>6</v>
      </c>
    </row>
    <row r="2941" spans="1:11" x14ac:dyDescent="0.3">
      <c r="A2941">
        <v>1021</v>
      </c>
      <c r="B2941">
        <v>2</v>
      </c>
      <c r="C2941">
        <v>23</v>
      </c>
      <c r="D2941" t="str">
        <f>VLOOKUP(B2941, Products!$A$2:$C$100, 2, FALSE)</f>
        <v>Ritchey Timberwolf Frameset - 2016</v>
      </c>
      <c r="E2941">
        <v>2</v>
      </c>
      <c r="F2941">
        <v>299.99</v>
      </c>
      <c r="G2941">
        <v>7.0000000000000007E-2</v>
      </c>
      <c r="H2941">
        <v>20.999300000000002</v>
      </c>
      <c r="I2941">
        <f>order_items[[#This Row],[list_price]]-order_items[[#This Row],[Discounted_price]]</f>
        <v>278.9907</v>
      </c>
      <c r="J2941">
        <f>VLOOKUP(B2941, Products!$A$2:$E$100, 3, FALSE)</f>
        <v>5</v>
      </c>
      <c r="K2941">
        <f>VLOOKUP(B2941, Products!$A$2:$F$100, 4, FALSE)</f>
        <v>6</v>
      </c>
    </row>
    <row r="2942" spans="1:11" x14ac:dyDescent="0.3">
      <c r="A2942">
        <v>1022</v>
      </c>
      <c r="B2942">
        <v>1</v>
      </c>
      <c r="C2942">
        <v>33</v>
      </c>
      <c r="D2942" t="str">
        <f>VLOOKUP(B2942, Products!$A$2:$C$100, 2, FALSE)</f>
        <v>Trek 820 - 2016</v>
      </c>
      <c r="E2942">
        <v>1</v>
      </c>
      <c r="F2942">
        <v>469.99</v>
      </c>
      <c r="G2942">
        <v>0.2</v>
      </c>
      <c r="H2942">
        <v>93.998000000000005</v>
      </c>
      <c r="I2942">
        <f>order_items[[#This Row],[list_price]]-order_items[[#This Row],[Discounted_price]]</f>
        <v>375.99200000000002</v>
      </c>
      <c r="J2942">
        <f>VLOOKUP(B2942, Products!$A$2:$E$100, 3, FALSE)</f>
        <v>9</v>
      </c>
      <c r="K2942">
        <f>VLOOKUP(B2942, Products!$A$2:$F$100, 4, FALSE)</f>
        <v>6</v>
      </c>
    </row>
    <row r="2943" spans="1:11" x14ac:dyDescent="0.3">
      <c r="A2943">
        <v>1022</v>
      </c>
      <c r="B2943">
        <v>2</v>
      </c>
      <c r="C2943">
        <v>46</v>
      </c>
      <c r="D2943" t="str">
        <f>VLOOKUP(B2943, Products!$A$2:$C$100, 2, FALSE)</f>
        <v>Ritchey Timberwolf Frameset - 2016</v>
      </c>
      <c r="E2943">
        <v>1</v>
      </c>
      <c r="F2943">
        <v>1409.99</v>
      </c>
      <c r="G2943">
        <v>0.1</v>
      </c>
      <c r="H2943">
        <v>140.999</v>
      </c>
      <c r="I2943">
        <f>order_items[[#This Row],[list_price]]-order_items[[#This Row],[Discounted_price]]</f>
        <v>1268.991</v>
      </c>
      <c r="J2943">
        <f>VLOOKUP(B2943, Products!$A$2:$E$100, 3, FALSE)</f>
        <v>5</v>
      </c>
      <c r="K2943">
        <f>VLOOKUP(B2943, Products!$A$2:$F$100, 4, FALSE)</f>
        <v>6</v>
      </c>
    </row>
    <row r="2944" spans="1:11" x14ac:dyDescent="0.3">
      <c r="A2944">
        <v>1022</v>
      </c>
      <c r="B2944">
        <v>3</v>
      </c>
      <c r="C2944">
        <v>65</v>
      </c>
      <c r="D2944" t="str">
        <f>VLOOKUP(B2944, Products!$A$2:$C$100, 2, FALSE)</f>
        <v>Surly Wednesday Frameset - 2016</v>
      </c>
      <c r="E2944">
        <v>1</v>
      </c>
      <c r="F2944">
        <v>346.99</v>
      </c>
      <c r="G2944">
        <v>7.0000000000000007E-2</v>
      </c>
      <c r="H2944">
        <v>24.289300000000004</v>
      </c>
      <c r="I2944">
        <f>order_items[[#This Row],[list_price]]-order_items[[#This Row],[Discounted_price]]</f>
        <v>322.70069999999998</v>
      </c>
      <c r="J2944">
        <f>VLOOKUP(B2944, Products!$A$2:$E$100, 3, FALSE)</f>
        <v>8</v>
      </c>
      <c r="K2944">
        <f>VLOOKUP(B2944, Products!$A$2:$F$100, 4, FALSE)</f>
        <v>6</v>
      </c>
    </row>
    <row r="2945" spans="1:11" x14ac:dyDescent="0.3">
      <c r="A2945">
        <v>1022</v>
      </c>
      <c r="B2945">
        <v>4</v>
      </c>
      <c r="C2945">
        <v>5</v>
      </c>
      <c r="D2945" t="str">
        <f>VLOOKUP(B2945, Products!$A$2:$C$100, 2, FALSE)</f>
        <v>Trek Fuel EX 8 29 - 2016</v>
      </c>
      <c r="E2945">
        <v>1</v>
      </c>
      <c r="F2945">
        <v>1320.99</v>
      </c>
      <c r="G2945">
        <v>7.0000000000000007E-2</v>
      </c>
      <c r="H2945">
        <v>92.469300000000004</v>
      </c>
      <c r="I2945">
        <f>order_items[[#This Row],[list_price]]-order_items[[#This Row],[Discounted_price]]</f>
        <v>1228.5207</v>
      </c>
      <c r="J2945">
        <f>VLOOKUP(B2945, Products!$A$2:$E$100, 3, FALSE)</f>
        <v>9</v>
      </c>
      <c r="K2945">
        <f>VLOOKUP(B2945, Products!$A$2:$F$100, 4, FALSE)</f>
        <v>6</v>
      </c>
    </row>
    <row r="2946" spans="1:11" x14ac:dyDescent="0.3">
      <c r="A2946">
        <v>1023</v>
      </c>
      <c r="B2946">
        <v>1</v>
      </c>
      <c r="C2946">
        <v>91</v>
      </c>
      <c r="D2946" t="str">
        <f>VLOOKUP(B2946, Products!$A$2:$C$100, 2, FALSE)</f>
        <v>Trek 820 - 2016</v>
      </c>
      <c r="E2946">
        <v>1</v>
      </c>
      <c r="F2946">
        <v>349.99</v>
      </c>
      <c r="G2946">
        <v>7.0000000000000007E-2</v>
      </c>
      <c r="H2946">
        <v>24.499300000000002</v>
      </c>
      <c r="I2946">
        <f>order_items[[#This Row],[list_price]]-order_items[[#This Row],[Discounted_price]]</f>
        <v>325.4907</v>
      </c>
      <c r="J2946">
        <f>VLOOKUP(B2946, Products!$A$2:$E$100, 3, FALSE)</f>
        <v>9</v>
      </c>
      <c r="K2946">
        <f>VLOOKUP(B2946, Products!$A$2:$F$100, 4, FALSE)</f>
        <v>6</v>
      </c>
    </row>
    <row r="2947" spans="1:11" x14ac:dyDescent="0.3">
      <c r="A2947">
        <v>1023</v>
      </c>
      <c r="B2947">
        <v>2</v>
      </c>
      <c r="C2947">
        <v>43</v>
      </c>
      <c r="D2947" t="str">
        <f>VLOOKUP(B2947, Products!$A$2:$C$100, 2, FALSE)</f>
        <v>Ritchey Timberwolf Frameset - 2016</v>
      </c>
      <c r="E2947">
        <v>2</v>
      </c>
      <c r="F2947">
        <v>5299.99</v>
      </c>
      <c r="G2947">
        <v>0.1</v>
      </c>
      <c r="H2947">
        <v>529.99900000000002</v>
      </c>
      <c r="I2947">
        <f>order_items[[#This Row],[list_price]]-order_items[[#This Row],[Discounted_price]]</f>
        <v>4769.991</v>
      </c>
      <c r="J2947">
        <f>VLOOKUP(B2947, Products!$A$2:$E$100, 3, FALSE)</f>
        <v>5</v>
      </c>
      <c r="K2947">
        <f>VLOOKUP(B2947, Products!$A$2:$F$100, 4, FALSE)</f>
        <v>6</v>
      </c>
    </row>
    <row r="2948" spans="1:11" x14ac:dyDescent="0.3">
      <c r="A2948">
        <v>1024</v>
      </c>
      <c r="B2948">
        <v>1</v>
      </c>
      <c r="C2948">
        <v>104</v>
      </c>
      <c r="D2948" t="str">
        <f>VLOOKUP(B2948, Products!$A$2:$C$100, 2, FALSE)</f>
        <v>Trek 820 - 2016</v>
      </c>
      <c r="E2948">
        <v>1</v>
      </c>
      <c r="F2948">
        <v>481.99</v>
      </c>
      <c r="G2948">
        <v>0.2</v>
      </c>
      <c r="H2948">
        <v>96.39800000000001</v>
      </c>
      <c r="I2948">
        <f>order_items[[#This Row],[list_price]]-order_items[[#This Row],[Discounted_price]]</f>
        <v>385.59199999999998</v>
      </c>
      <c r="J2948">
        <f>VLOOKUP(B2948, Products!$A$2:$E$100, 3, FALSE)</f>
        <v>9</v>
      </c>
      <c r="K2948">
        <f>VLOOKUP(B2948, Products!$A$2:$F$100, 4, FALSE)</f>
        <v>6</v>
      </c>
    </row>
    <row r="2949" spans="1:11" x14ac:dyDescent="0.3">
      <c r="A2949">
        <v>1024</v>
      </c>
      <c r="B2949">
        <v>2</v>
      </c>
      <c r="C2949">
        <v>28</v>
      </c>
      <c r="D2949" t="str">
        <f>VLOOKUP(B2949, Products!$A$2:$C$100, 2, FALSE)</f>
        <v>Ritchey Timberwolf Frameset - 2016</v>
      </c>
      <c r="E2949">
        <v>2</v>
      </c>
      <c r="F2949">
        <v>2499.9899999999998</v>
      </c>
      <c r="G2949">
        <v>0.05</v>
      </c>
      <c r="H2949">
        <v>124.9995</v>
      </c>
      <c r="I2949">
        <f>order_items[[#This Row],[list_price]]-order_items[[#This Row],[Discounted_price]]</f>
        <v>2374.9904999999999</v>
      </c>
      <c r="J2949">
        <f>VLOOKUP(B2949, Products!$A$2:$E$100, 3, FALSE)</f>
        <v>5</v>
      </c>
      <c r="K2949">
        <f>VLOOKUP(B2949, Products!$A$2:$F$100, 4, FALSE)</f>
        <v>6</v>
      </c>
    </row>
    <row r="2950" spans="1:11" x14ac:dyDescent="0.3">
      <c r="A2950">
        <v>1024</v>
      </c>
      <c r="B2950">
        <v>3</v>
      </c>
      <c r="C2950">
        <v>98</v>
      </c>
      <c r="D2950" t="str">
        <f>VLOOKUP(B2950, Products!$A$2:$C$100, 2, FALSE)</f>
        <v>Surly Wednesday Frameset - 2016</v>
      </c>
      <c r="E2950">
        <v>2</v>
      </c>
      <c r="F2950">
        <v>489.99</v>
      </c>
      <c r="G2950">
        <v>0.2</v>
      </c>
      <c r="H2950">
        <v>97.998000000000005</v>
      </c>
      <c r="I2950">
        <f>order_items[[#This Row],[list_price]]-order_items[[#This Row],[Discounted_price]]</f>
        <v>391.99200000000002</v>
      </c>
      <c r="J2950">
        <f>VLOOKUP(B2950, Products!$A$2:$E$100, 3, FALSE)</f>
        <v>8</v>
      </c>
      <c r="K2950">
        <f>VLOOKUP(B2950, Products!$A$2:$F$100, 4, FALSE)</f>
        <v>6</v>
      </c>
    </row>
    <row r="2951" spans="1:11" x14ac:dyDescent="0.3">
      <c r="A2951">
        <v>1024</v>
      </c>
      <c r="B2951">
        <v>4</v>
      </c>
      <c r="C2951">
        <v>96</v>
      </c>
      <c r="D2951" t="str">
        <f>VLOOKUP(B2951, Products!$A$2:$C$100, 2, FALSE)</f>
        <v>Trek Fuel EX 8 29 - 2016</v>
      </c>
      <c r="E2951">
        <v>2</v>
      </c>
      <c r="F2951">
        <v>349.99</v>
      </c>
      <c r="G2951">
        <v>0.1</v>
      </c>
      <c r="H2951">
        <v>34.999000000000002</v>
      </c>
      <c r="I2951">
        <f>order_items[[#This Row],[list_price]]-order_items[[#This Row],[Discounted_price]]</f>
        <v>314.99099999999999</v>
      </c>
      <c r="J2951">
        <f>VLOOKUP(B2951, Products!$A$2:$E$100, 3, FALSE)</f>
        <v>9</v>
      </c>
      <c r="K2951">
        <f>VLOOKUP(B2951, Products!$A$2:$F$100, 4, FALSE)</f>
        <v>6</v>
      </c>
    </row>
    <row r="2952" spans="1:11" x14ac:dyDescent="0.3">
      <c r="A2952">
        <v>1024</v>
      </c>
      <c r="B2952">
        <v>5</v>
      </c>
      <c r="C2952">
        <v>91</v>
      </c>
      <c r="D2952" t="str">
        <f>VLOOKUP(B2952, Products!$A$2:$C$100, 2, FALSE)</f>
        <v>Heller Shagamaw Frame - 2016</v>
      </c>
      <c r="E2952">
        <v>1</v>
      </c>
      <c r="F2952">
        <v>349.99</v>
      </c>
      <c r="G2952">
        <v>0.2</v>
      </c>
      <c r="H2952">
        <v>69.998000000000005</v>
      </c>
      <c r="I2952">
        <f>order_items[[#This Row],[list_price]]-order_items[[#This Row],[Discounted_price]]</f>
        <v>279.99200000000002</v>
      </c>
      <c r="J2952">
        <f>VLOOKUP(B2952, Products!$A$2:$E$100, 3, FALSE)</f>
        <v>3</v>
      </c>
      <c r="K2952">
        <f>VLOOKUP(B2952, Products!$A$2:$F$100, 4, FALSE)</f>
        <v>6</v>
      </c>
    </row>
    <row r="2953" spans="1:11" x14ac:dyDescent="0.3">
      <c r="A2953">
        <v>1025</v>
      </c>
      <c r="B2953">
        <v>1</v>
      </c>
      <c r="C2953">
        <v>89</v>
      </c>
      <c r="D2953" t="str">
        <f>VLOOKUP(B2953, Products!$A$2:$C$100, 2, FALSE)</f>
        <v>Trek 820 - 2016</v>
      </c>
      <c r="E2953">
        <v>1</v>
      </c>
      <c r="F2953">
        <v>209.99</v>
      </c>
      <c r="G2953">
        <v>7.0000000000000007E-2</v>
      </c>
      <c r="H2953">
        <v>14.699300000000003</v>
      </c>
      <c r="I2953">
        <f>order_items[[#This Row],[list_price]]-order_items[[#This Row],[Discounted_price]]</f>
        <v>195.29070000000002</v>
      </c>
      <c r="J2953">
        <f>VLOOKUP(B2953, Products!$A$2:$E$100, 3, FALSE)</f>
        <v>9</v>
      </c>
      <c r="K2953">
        <f>VLOOKUP(B2953, Products!$A$2:$F$100, 4, FALSE)</f>
        <v>6</v>
      </c>
    </row>
    <row r="2954" spans="1:11" x14ac:dyDescent="0.3">
      <c r="A2954">
        <v>1025</v>
      </c>
      <c r="B2954">
        <v>2</v>
      </c>
      <c r="C2954">
        <v>102</v>
      </c>
      <c r="D2954" t="str">
        <f>VLOOKUP(B2954, Products!$A$2:$C$100, 2, FALSE)</f>
        <v>Ritchey Timberwolf Frameset - 2016</v>
      </c>
      <c r="E2954">
        <v>1</v>
      </c>
      <c r="F2954">
        <v>489.99</v>
      </c>
      <c r="G2954">
        <v>0.1</v>
      </c>
      <c r="H2954">
        <v>48.999000000000002</v>
      </c>
      <c r="I2954">
        <f>order_items[[#This Row],[list_price]]-order_items[[#This Row],[Discounted_price]]</f>
        <v>440.99099999999999</v>
      </c>
      <c r="J2954">
        <f>VLOOKUP(B2954, Products!$A$2:$E$100, 3, FALSE)</f>
        <v>5</v>
      </c>
      <c r="K2954">
        <f>VLOOKUP(B2954, Products!$A$2:$F$100, 4, FALSE)</f>
        <v>6</v>
      </c>
    </row>
    <row r="2955" spans="1:11" x14ac:dyDescent="0.3">
      <c r="A2955">
        <v>1025</v>
      </c>
      <c r="B2955">
        <v>3</v>
      </c>
      <c r="C2955">
        <v>39</v>
      </c>
      <c r="D2955" t="str">
        <f>VLOOKUP(B2955, Products!$A$2:$C$100, 2, FALSE)</f>
        <v>Surly Wednesday Frameset - 2016</v>
      </c>
      <c r="E2955">
        <v>1</v>
      </c>
      <c r="F2955">
        <v>1499.99</v>
      </c>
      <c r="G2955">
        <v>0.1</v>
      </c>
      <c r="H2955">
        <v>149.999</v>
      </c>
      <c r="I2955">
        <f>order_items[[#This Row],[list_price]]-order_items[[#This Row],[Discounted_price]]</f>
        <v>1349.991</v>
      </c>
      <c r="J2955">
        <f>VLOOKUP(B2955, Products!$A$2:$E$100, 3, FALSE)</f>
        <v>8</v>
      </c>
      <c r="K2955">
        <f>VLOOKUP(B2955, Products!$A$2:$F$100, 4, FALSE)</f>
        <v>6</v>
      </c>
    </row>
    <row r="2956" spans="1:11" x14ac:dyDescent="0.3">
      <c r="A2956">
        <v>1025</v>
      </c>
      <c r="B2956">
        <v>4</v>
      </c>
      <c r="C2956">
        <v>15</v>
      </c>
      <c r="D2956" t="str">
        <f>VLOOKUP(B2956, Products!$A$2:$C$100, 2, FALSE)</f>
        <v>Trek Fuel EX 8 29 - 2016</v>
      </c>
      <c r="E2956">
        <v>1</v>
      </c>
      <c r="F2956">
        <v>529.99</v>
      </c>
      <c r="G2956">
        <v>0.05</v>
      </c>
      <c r="H2956">
        <v>26.499500000000001</v>
      </c>
      <c r="I2956">
        <f>order_items[[#This Row],[list_price]]-order_items[[#This Row],[Discounted_price]]</f>
        <v>503.4905</v>
      </c>
      <c r="J2956">
        <f>VLOOKUP(B2956, Products!$A$2:$E$100, 3, FALSE)</f>
        <v>9</v>
      </c>
      <c r="K2956">
        <f>VLOOKUP(B2956, Products!$A$2:$F$100, 4, FALSE)</f>
        <v>6</v>
      </c>
    </row>
    <row r="2957" spans="1:11" x14ac:dyDescent="0.3">
      <c r="A2957">
        <v>1025</v>
      </c>
      <c r="B2957">
        <v>5</v>
      </c>
      <c r="C2957">
        <v>66</v>
      </c>
      <c r="D2957" t="str">
        <f>VLOOKUP(B2957, Products!$A$2:$C$100, 2, FALSE)</f>
        <v>Heller Shagamaw Frame - 2016</v>
      </c>
      <c r="E2957">
        <v>2</v>
      </c>
      <c r="F2957">
        <v>250.99</v>
      </c>
      <c r="G2957">
        <v>0.05</v>
      </c>
      <c r="H2957">
        <v>12.549500000000002</v>
      </c>
      <c r="I2957">
        <f>order_items[[#This Row],[list_price]]-order_items[[#This Row],[Discounted_price]]</f>
        <v>238.44050000000001</v>
      </c>
      <c r="J2957">
        <f>VLOOKUP(B2957, Products!$A$2:$E$100, 3, FALSE)</f>
        <v>3</v>
      </c>
      <c r="K2957">
        <f>VLOOKUP(B2957, Products!$A$2:$F$100, 4, FALSE)</f>
        <v>6</v>
      </c>
    </row>
    <row r="2958" spans="1:11" x14ac:dyDescent="0.3">
      <c r="A2958">
        <v>1026</v>
      </c>
      <c r="B2958">
        <v>1</v>
      </c>
      <c r="C2958">
        <v>7</v>
      </c>
      <c r="D2958" t="str">
        <f>VLOOKUP(B2958, Products!$A$2:$C$100, 2, FALSE)</f>
        <v>Trek 820 - 2016</v>
      </c>
      <c r="E2958">
        <v>2</v>
      </c>
      <c r="F2958">
        <v>3999.99</v>
      </c>
      <c r="G2958">
        <v>7.0000000000000007E-2</v>
      </c>
      <c r="H2958">
        <v>279.99930000000001</v>
      </c>
      <c r="I2958">
        <f>order_items[[#This Row],[list_price]]-order_items[[#This Row],[Discounted_price]]</f>
        <v>3719.9906999999998</v>
      </c>
      <c r="J2958">
        <f>VLOOKUP(B2958, Products!$A$2:$E$100, 3, FALSE)</f>
        <v>9</v>
      </c>
      <c r="K2958">
        <f>VLOOKUP(B2958, Products!$A$2:$F$100, 4, FALSE)</f>
        <v>6</v>
      </c>
    </row>
    <row r="2959" spans="1:11" x14ac:dyDescent="0.3">
      <c r="A2959">
        <v>1027</v>
      </c>
      <c r="B2959">
        <v>1</v>
      </c>
      <c r="C2959">
        <v>95</v>
      </c>
      <c r="D2959" t="str">
        <f>VLOOKUP(B2959, Products!$A$2:$C$100, 2, FALSE)</f>
        <v>Trek 820 - 2016</v>
      </c>
      <c r="E2959">
        <v>2</v>
      </c>
      <c r="F2959">
        <v>299.99</v>
      </c>
      <c r="G2959">
        <v>0.1</v>
      </c>
      <c r="H2959">
        <v>29.999000000000002</v>
      </c>
      <c r="I2959">
        <f>order_items[[#This Row],[list_price]]-order_items[[#This Row],[Discounted_price]]</f>
        <v>269.99099999999999</v>
      </c>
      <c r="J2959">
        <f>VLOOKUP(B2959, Products!$A$2:$E$100, 3, FALSE)</f>
        <v>9</v>
      </c>
      <c r="K2959">
        <f>VLOOKUP(B2959, Products!$A$2:$F$100, 4, FALSE)</f>
        <v>6</v>
      </c>
    </row>
    <row r="2960" spans="1:11" x14ac:dyDescent="0.3">
      <c r="A2960">
        <v>1027</v>
      </c>
      <c r="B2960">
        <v>2</v>
      </c>
      <c r="C2960">
        <v>14</v>
      </c>
      <c r="D2960" t="str">
        <f>VLOOKUP(B2960, Products!$A$2:$C$100, 2, FALSE)</f>
        <v>Ritchey Timberwolf Frameset - 2016</v>
      </c>
      <c r="E2960">
        <v>2</v>
      </c>
      <c r="F2960">
        <v>269.99</v>
      </c>
      <c r="G2960">
        <v>0.05</v>
      </c>
      <c r="H2960">
        <v>13.499500000000001</v>
      </c>
      <c r="I2960">
        <f>order_items[[#This Row],[list_price]]-order_items[[#This Row],[Discounted_price]]</f>
        <v>256.4905</v>
      </c>
      <c r="J2960">
        <f>VLOOKUP(B2960, Products!$A$2:$E$100, 3, FALSE)</f>
        <v>5</v>
      </c>
      <c r="K2960">
        <f>VLOOKUP(B2960, Products!$A$2:$F$100, 4, FALSE)</f>
        <v>6</v>
      </c>
    </row>
    <row r="2961" spans="1:11" x14ac:dyDescent="0.3">
      <c r="A2961">
        <v>1028</v>
      </c>
      <c r="B2961">
        <v>1</v>
      </c>
      <c r="C2961">
        <v>111</v>
      </c>
      <c r="D2961" t="str">
        <f>VLOOKUP(B2961, Products!$A$2:$C$100, 2, FALSE)</f>
        <v>Trek 820 - 2016</v>
      </c>
      <c r="E2961">
        <v>2</v>
      </c>
      <c r="F2961">
        <v>470.99</v>
      </c>
      <c r="G2961">
        <v>0.1</v>
      </c>
      <c r="H2961">
        <v>47.099000000000004</v>
      </c>
      <c r="I2961">
        <f>order_items[[#This Row],[list_price]]-order_items[[#This Row],[Discounted_price]]</f>
        <v>423.89100000000002</v>
      </c>
      <c r="J2961">
        <f>VLOOKUP(B2961, Products!$A$2:$E$100, 3, FALSE)</f>
        <v>9</v>
      </c>
      <c r="K2961">
        <f>VLOOKUP(B2961, Products!$A$2:$F$100, 4, FALSE)</f>
        <v>6</v>
      </c>
    </row>
    <row r="2962" spans="1:11" x14ac:dyDescent="0.3">
      <c r="A2962">
        <v>1028</v>
      </c>
      <c r="B2962">
        <v>2</v>
      </c>
      <c r="C2962">
        <v>10</v>
      </c>
      <c r="D2962" t="str">
        <f>VLOOKUP(B2962, Products!$A$2:$C$100, 2, FALSE)</f>
        <v>Ritchey Timberwolf Frameset - 2016</v>
      </c>
      <c r="E2962">
        <v>1</v>
      </c>
      <c r="F2962">
        <v>1549</v>
      </c>
      <c r="G2962">
        <v>0.2</v>
      </c>
      <c r="H2962">
        <v>309.8</v>
      </c>
      <c r="I2962">
        <f>order_items[[#This Row],[list_price]]-order_items[[#This Row],[Discounted_price]]</f>
        <v>1239.2</v>
      </c>
      <c r="J2962">
        <f>VLOOKUP(B2962, Products!$A$2:$E$100, 3, FALSE)</f>
        <v>5</v>
      </c>
      <c r="K2962">
        <f>VLOOKUP(B2962, Products!$A$2:$F$100, 4, FALSE)</f>
        <v>6</v>
      </c>
    </row>
    <row r="2963" spans="1:11" x14ac:dyDescent="0.3">
      <c r="A2963">
        <v>1028</v>
      </c>
      <c r="B2963">
        <v>3</v>
      </c>
      <c r="C2963">
        <v>41</v>
      </c>
      <c r="D2963" t="str">
        <f>VLOOKUP(B2963, Products!$A$2:$C$100, 2, FALSE)</f>
        <v>Surly Wednesday Frameset - 2016</v>
      </c>
      <c r="E2963">
        <v>1</v>
      </c>
      <c r="F2963">
        <v>1469.99</v>
      </c>
      <c r="G2963">
        <v>0.2</v>
      </c>
      <c r="H2963">
        <v>293.99799999999999</v>
      </c>
      <c r="I2963">
        <f>order_items[[#This Row],[list_price]]-order_items[[#This Row],[Discounted_price]]</f>
        <v>1175.992</v>
      </c>
      <c r="J2963">
        <f>VLOOKUP(B2963, Products!$A$2:$E$100, 3, FALSE)</f>
        <v>8</v>
      </c>
      <c r="K2963">
        <f>VLOOKUP(B2963, Products!$A$2:$F$100, 4, FALSE)</f>
        <v>6</v>
      </c>
    </row>
    <row r="2964" spans="1:11" x14ac:dyDescent="0.3">
      <c r="A2964">
        <v>1028</v>
      </c>
      <c r="B2964">
        <v>4</v>
      </c>
      <c r="C2964">
        <v>35</v>
      </c>
      <c r="D2964" t="str">
        <f>VLOOKUP(B2964, Products!$A$2:$C$100, 2, FALSE)</f>
        <v>Trek Fuel EX 8 29 - 2016</v>
      </c>
      <c r="E2964">
        <v>2</v>
      </c>
      <c r="F2964">
        <v>832.99</v>
      </c>
      <c r="G2964">
        <v>0.1</v>
      </c>
      <c r="H2964">
        <v>83.299000000000007</v>
      </c>
      <c r="I2964">
        <f>order_items[[#This Row],[list_price]]-order_items[[#This Row],[Discounted_price]]</f>
        <v>749.69100000000003</v>
      </c>
      <c r="J2964">
        <f>VLOOKUP(B2964, Products!$A$2:$E$100, 3, FALSE)</f>
        <v>9</v>
      </c>
      <c r="K2964">
        <f>VLOOKUP(B2964, Products!$A$2:$F$100, 4, FALSE)</f>
        <v>6</v>
      </c>
    </row>
    <row r="2965" spans="1:11" x14ac:dyDescent="0.3">
      <c r="A2965">
        <v>1028</v>
      </c>
      <c r="B2965">
        <v>5</v>
      </c>
      <c r="C2965">
        <v>108</v>
      </c>
      <c r="D2965" t="str">
        <f>VLOOKUP(B2965, Products!$A$2:$C$100, 2, FALSE)</f>
        <v>Heller Shagamaw Frame - 2016</v>
      </c>
      <c r="E2965">
        <v>1</v>
      </c>
      <c r="F2965">
        <v>449.99</v>
      </c>
      <c r="G2965">
        <v>0.2</v>
      </c>
      <c r="H2965">
        <v>89.998000000000005</v>
      </c>
      <c r="I2965">
        <f>order_items[[#This Row],[list_price]]-order_items[[#This Row],[Discounted_price]]</f>
        <v>359.99200000000002</v>
      </c>
      <c r="J2965">
        <f>VLOOKUP(B2965, Products!$A$2:$E$100, 3, FALSE)</f>
        <v>3</v>
      </c>
      <c r="K2965">
        <f>VLOOKUP(B2965, Products!$A$2:$F$100, 4, FALSE)</f>
        <v>6</v>
      </c>
    </row>
    <row r="2966" spans="1:11" x14ac:dyDescent="0.3">
      <c r="A2966">
        <v>1029</v>
      </c>
      <c r="B2966">
        <v>1</v>
      </c>
      <c r="C2966">
        <v>20</v>
      </c>
      <c r="D2966" t="str">
        <f>VLOOKUP(B2966, Products!$A$2:$C$100, 2, FALSE)</f>
        <v>Trek 820 - 2016</v>
      </c>
      <c r="E2966">
        <v>1</v>
      </c>
      <c r="F2966">
        <v>599.99</v>
      </c>
      <c r="G2966">
        <v>0.2</v>
      </c>
      <c r="H2966">
        <v>119.998</v>
      </c>
      <c r="I2966">
        <f>order_items[[#This Row],[list_price]]-order_items[[#This Row],[Discounted_price]]</f>
        <v>479.99200000000002</v>
      </c>
      <c r="J2966">
        <f>VLOOKUP(B2966, Products!$A$2:$E$100, 3, FALSE)</f>
        <v>9</v>
      </c>
      <c r="K2966">
        <f>VLOOKUP(B2966, Products!$A$2:$F$100, 4, FALSE)</f>
        <v>6</v>
      </c>
    </row>
    <row r="2967" spans="1:11" x14ac:dyDescent="0.3">
      <c r="A2967">
        <v>1029</v>
      </c>
      <c r="B2967">
        <v>2</v>
      </c>
      <c r="C2967">
        <v>55</v>
      </c>
      <c r="D2967" t="str">
        <f>VLOOKUP(B2967, Products!$A$2:$C$100, 2, FALSE)</f>
        <v>Ritchey Timberwolf Frameset - 2016</v>
      </c>
      <c r="E2967">
        <v>1</v>
      </c>
      <c r="F2967">
        <v>2699.99</v>
      </c>
      <c r="G2967">
        <v>0.1</v>
      </c>
      <c r="H2967">
        <v>269.99899999999997</v>
      </c>
      <c r="I2967">
        <f>order_items[[#This Row],[list_price]]-order_items[[#This Row],[Discounted_price]]</f>
        <v>2429.991</v>
      </c>
      <c r="J2967">
        <f>VLOOKUP(B2967, Products!$A$2:$E$100, 3, FALSE)</f>
        <v>5</v>
      </c>
      <c r="K2967">
        <f>VLOOKUP(B2967, Products!$A$2:$F$100, 4, FALSE)</f>
        <v>6</v>
      </c>
    </row>
    <row r="2968" spans="1:11" x14ac:dyDescent="0.3">
      <c r="A2968">
        <v>1029</v>
      </c>
      <c r="B2968">
        <v>3</v>
      </c>
      <c r="C2968">
        <v>40</v>
      </c>
      <c r="D2968" t="str">
        <f>VLOOKUP(B2968, Products!$A$2:$C$100, 2, FALSE)</f>
        <v>Surly Wednesday Frameset - 2016</v>
      </c>
      <c r="E2968">
        <v>1</v>
      </c>
      <c r="F2968">
        <v>4999.99</v>
      </c>
      <c r="G2968">
        <v>0.2</v>
      </c>
      <c r="H2968">
        <v>999.99800000000005</v>
      </c>
      <c r="I2968">
        <f>order_items[[#This Row],[list_price]]-order_items[[#This Row],[Discounted_price]]</f>
        <v>3999.9919999999997</v>
      </c>
      <c r="J2968">
        <f>VLOOKUP(B2968, Products!$A$2:$E$100, 3, FALSE)</f>
        <v>8</v>
      </c>
      <c r="K2968">
        <f>VLOOKUP(B2968, Products!$A$2:$F$100, 4, FALSE)</f>
        <v>6</v>
      </c>
    </row>
    <row r="2969" spans="1:11" x14ac:dyDescent="0.3">
      <c r="A2969">
        <v>1029</v>
      </c>
      <c r="B2969">
        <v>4</v>
      </c>
      <c r="C2969">
        <v>68</v>
      </c>
      <c r="D2969" t="str">
        <f>VLOOKUP(B2969, Products!$A$2:$C$100, 2, FALSE)</f>
        <v>Trek Fuel EX 8 29 - 2016</v>
      </c>
      <c r="E2969">
        <v>2</v>
      </c>
      <c r="F2969">
        <v>449.99</v>
      </c>
      <c r="G2969">
        <v>0.1</v>
      </c>
      <c r="H2969">
        <v>44.999000000000002</v>
      </c>
      <c r="I2969">
        <f>order_items[[#This Row],[list_price]]-order_items[[#This Row],[Discounted_price]]</f>
        <v>404.99099999999999</v>
      </c>
      <c r="J2969">
        <f>VLOOKUP(B2969, Products!$A$2:$E$100, 3, FALSE)</f>
        <v>9</v>
      </c>
      <c r="K2969">
        <f>VLOOKUP(B2969, Products!$A$2:$F$100, 4, FALSE)</f>
        <v>6</v>
      </c>
    </row>
    <row r="2970" spans="1:11" x14ac:dyDescent="0.3">
      <c r="A2970">
        <v>1030</v>
      </c>
      <c r="B2970">
        <v>1</v>
      </c>
      <c r="C2970">
        <v>27</v>
      </c>
      <c r="D2970" t="str">
        <f>VLOOKUP(B2970, Products!$A$2:$C$100, 2, FALSE)</f>
        <v>Trek 820 - 2016</v>
      </c>
      <c r="E2970">
        <v>1</v>
      </c>
      <c r="F2970">
        <v>999.99</v>
      </c>
      <c r="G2970">
        <v>0.05</v>
      </c>
      <c r="H2970">
        <v>49.999500000000005</v>
      </c>
      <c r="I2970">
        <f>order_items[[#This Row],[list_price]]-order_items[[#This Row],[Discounted_price]]</f>
        <v>949.9905</v>
      </c>
      <c r="J2970">
        <f>VLOOKUP(B2970, Products!$A$2:$E$100, 3, FALSE)</f>
        <v>9</v>
      </c>
      <c r="K2970">
        <f>VLOOKUP(B2970, Products!$A$2:$F$100, 4, FALSE)</f>
        <v>6</v>
      </c>
    </row>
    <row r="2971" spans="1:11" x14ac:dyDescent="0.3">
      <c r="A2971">
        <v>1030</v>
      </c>
      <c r="B2971">
        <v>2</v>
      </c>
      <c r="C2971">
        <v>10</v>
      </c>
      <c r="D2971" t="str">
        <f>VLOOKUP(B2971, Products!$A$2:$C$100, 2, FALSE)</f>
        <v>Ritchey Timberwolf Frameset - 2016</v>
      </c>
      <c r="E2971">
        <v>2</v>
      </c>
      <c r="F2971">
        <v>1549</v>
      </c>
      <c r="G2971">
        <v>0.1</v>
      </c>
      <c r="H2971">
        <v>154.9</v>
      </c>
      <c r="I2971">
        <f>order_items[[#This Row],[list_price]]-order_items[[#This Row],[Discounted_price]]</f>
        <v>1394.1</v>
      </c>
      <c r="J2971">
        <f>VLOOKUP(B2971, Products!$A$2:$E$100, 3, FALSE)</f>
        <v>5</v>
      </c>
      <c r="K2971">
        <f>VLOOKUP(B2971, Products!$A$2:$F$100, 4, FALSE)</f>
        <v>6</v>
      </c>
    </row>
    <row r="2972" spans="1:11" x14ac:dyDescent="0.3">
      <c r="A2972">
        <v>1030</v>
      </c>
      <c r="B2972">
        <v>3</v>
      </c>
      <c r="C2972">
        <v>72</v>
      </c>
      <c r="D2972" t="str">
        <f>VLOOKUP(B2972, Products!$A$2:$C$100, 2, FALSE)</f>
        <v>Surly Wednesday Frameset - 2016</v>
      </c>
      <c r="E2972">
        <v>1</v>
      </c>
      <c r="F2972">
        <v>619.99</v>
      </c>
      <c r="G2972">
        <v>0.1</v>
      </c>
      <c r="H2972">
        <v>61.999000000000002</v>
      </c>
      <c r="I2972">
        <f>order_items[[#This Row],[list_price]]-order_items[[#This Row],[Discounted_price]]</f>
        <v>557.99099999999999</v>
      </c>
      <c r="J2972">
        <f>VLOOKUP(B2972, Products!$A$2:$E$100, 3, FALSE)</f>
        <v>8</v>
      </c>
      <c r="K2972">
        <f>VLOOKUP(B2972, Products!$A$2:$F$100, 4, FALSE)</f>
        <v>6</v>
      </c>
    </row>
    <row r="2973" spans="1:11" x14ac:dyDescent="0.3">
      <c r="A2973">
        <v>1031</v>
      </c>
      <c r="B2973">
        <v>1</v>
      </c>
      <c r="C2973">
        <v>27</v>
      </c>
      <c r="D2973" t="str">
        <f>VLOOKUP(B2973, Products!$A$2:$C$100, 2, FALSE)</f>
        <v>Trek 820 - 2016</v>
      </c>
      <c r="E2973">
        <v>2</v>
      </c>
      <c r="F2973">
        <v>999.99</v>
      </c>
      <c r="G2973">
        <v>0.2</v>
      </c>
      <c r="H2973">
        <v>199.99800000000002</v>
      </c>
      <c r="I2973">
        <f>order_items[[#This Row],[list_price]]-order_items[[#This Row],[Discounted_price]]</f>
        <v>799.99199999999996</v>
      </c>
      <c r="J2973">
        <f>VLOOKUP(B2973, Products!$A$2:$E$100, 3, FALSE)</f>
        <v>9</v>
      </c>
      <c r="K2973">
        <f>VLOOKUP(B2973, Products!$A$2:$F$100, 4, FALSE)</f>
        <v>6</v>
      </c>
    </row>
    <row r="2974" spans="1:11" x14ac:dyDescent="0.3">
      <c r="A2974">
        <v>1031</v>
      </c>
      <c r="B2974">
        <v>2</v>
      </c>
      <c r="C2974">
        <v>108</v>
      </c>
      <c r="D2974" t="str">
        <f>VLOOKUP(B2974, Products!$A$2:$C$100, 2, FALSE)</f>
        <v>Ritchey Timberwolf Frameset - 2016</v>
      </c>
      <c r="E2974">
        <v>2</v>
      </c>
      <c r="F2974">
        <v>449.99</v>
      </c>
      <c r="G2974">
        <v>0.2</v>
      </c>
      <c r="H2974">
        <v>89.998000000000005</v>
      </c>
      <c r="I2974">
        <f>order_items[[#This Row],[list_price]]-order_items[[#This Row],[Discounted_price]]</f>
        <v>359.99200000000002</v>
      </c>
      <c r="J2974">
        <f>VLOOKUP(B2974, Products!$A$2:$E$100, 3, FALSE)</f>
        <v>5</v>
      </c>
      <c r="K2974">
        <f>VLOOKUP(B2974, Products!$A$2:$F$100, 4, FALSE)</f>
        <v>6</v>
      </c>
    </row>
    <row r="2975" spans="1:11" x14ac:dyDescent="0.3">
      <c r="A2975">
        <v>1032</v>
      </c>
      <c r="B2975">
        <v>1</v>
      </c>
      <c r="C2975">
        <v>60</v>
      </c>
      <c r="D2975" t="str">
        <f>VLOOKUP(B2975, Products!$A$2:$C$100, 2, FALSE)</f>
        <v>Trek 820 - 2016</v>
      </c>
      <c r="E2975">
        <v>2</v>
      </c>
      <c r="F2975">
        <v>1559.99</v>
      </c>
      <c r="G2975">
        <v>0.1</v>
      </c>
      <c r="H2975">
        <v>155.99900000000002</v>
      </c>
      <c r="I2975">
        <f>order_items[[#This Row],[list_price]]-order_items[[#This Row],[Discounted_price]]</f>
        <v>1403.991</v>
      </c>
      <c r="J2975">
        <f>VLOOKUP(B2975, Products!$A$2:$E$100, 3, FALSE)</f>
        <v>9</v>
      </c>
      <c r="K2975">
        <f>VLOOKUP(B2975, Products!$A$2:$F$100, 4, FALSE)</f>
        <v>6</v>
      </c>
    </row>
    <row r="2976" spans="1:11" x14ac:dyDescent="0.3">
      <c r="A2976">
        <v>1032</v>
      </c>
      <c r="B2976">
        <v>2</v>
      </c>
      <c r="C2976">
        <v>17</v>
      </c>
      <c r="D2976" t="str">
        <f>VLOOKUP(B2976, Products!$A$2:$C$100, 2, FALSE)</f>
        <v>Ritchey Timberwolf Frameset - 2016</v>
      </c>
      <c r="E2976">
        <v>1</v>
      </c>
      <c r="F2976">
        <v>429</v>
      </c>
      <c r="G2976">
        <v>0.1</v>
      </c>
      <c r="H2976">
        <v>42.900000000000006</v>
      </c>
      <c r="I2976">
        <f>order_items[[#This Row],[list_price]]-order_items[[#This Row],[Discounted_price]]</f>
        <v>386.1</v>
      </c>
      <c r="J2976">
        <f>VLOOKUP(B2976, Products!$A$2:$E$100, 3, FALSE)</f>
        <v>5</v>
      </c>
      <c r="K2976">
        <f>VLOOKUP(B2976, Products!$A$2:$F$100, 4, FALSE)</f>
        <v>6</v>
      </c>
    </row>
    <row r="2977" spans="1:11" x14ac:dyDescent="0.3">
      <c r="A2977">
        <v>1033</v>
      </c>
      <c r="B2977">
        <v>1</v>
      </c>
      <c r="C2977">
        <v>26</v>
      </c>
      <c r="D2977" t="str">
        <f>VLOOKUP(B2977, Products!$A$2:$C$100, 2, FALSE)</f>
        <v>Trek 820 - 2016</v>
      </c>
      <c r="E2977">
        <v>1</v>
      </c>
      <c r="F2977">
        <v>599.99</v>
      </c>
      <c r="G2977">
        <v>7.0000000000000007E-2</v>
      </c>
      <c r="H2977">
        <v>41.999300000000005</v>
      </c>
      <c r="I2977">
        <f>order_items[[#This Row],[list_price]]-order_items[[#This Row],[Discounted_price]]</f>
        <v>557.99070000000006</v>
      </c>
      <c r="J2977">
        <f>VLOOKUP(B2977, Products!$A$2:$E$100, 3, FALSE)</f>
        <v>9</v>
      </c>
      <c r="K2977">
        <f>VLOOKUP(B2977, Products!$A$2:$F$100, 4, FALSE)</f>
        <v>6</v>
      </c>
    </row>
    <row r="2978" spans="1:11" x14ac:dyDescent="0.3">
      <c r="A2978">
        <v>1033</v>
      </c>
      <c r="B2978">
        <v>2</v>
      </c>
      <c r="C2978">
        <v>109</v>
      </c>
      <c r="D2978" t="str">
        <f>VLOOKUP(B2978, Products!$A$2:$C$100, 2, FALSE)</f>
        <v>Ritchey Timberwolf Frameset - 2016</v>
      </c>
      <c r="E2978">
        <v>2</v>
      </c>
      <c r="F2978">
        <v>416.99</v>
      </c>
      <c r="G2978">
        <v>0.1</v>
      </c>
      <c r="H2978">
        <v>41.699000000000005</v>
      </c>
      <c r="I2978">
        <f>order_items[[#This Row],[list_price]]-order_items[[#This Row],[Discounted_price]]</f>
        <v>375.291</v>
      </c>
      <c r="J2978">
        <f>VLOOKUP(B2978, Products!$A$2:$E$100, 3, FALSE)</f>
        <v>5</v>
      </c>
      <c r="K2978">
        <f>VLOOKUP(B2978, Products!$A$2:$F$100, 4, FALSE)</f>
        <v>6</v>
      </c>
    </row>
    <row r="2979" spans="1:11" x14ac:dyDescent="0.3">
      <c r="A2979">
        <v>1033</v>
      </c>
      <c r="B2979">
        <v>3</v>
      </c>
      <c r="C2979">
        <v>27</v>
      </c>
      <c r="D2979" t="str">
        <f>VLOOKUP(B2979, Products!$A$2:$C$100, 2, FALSE)</f>
        <v>Surly Wednesday Frameset - 2016</v>
      </c>
      <c r="E2979">
        <v>2</v>
      </c>
      <c r="F2979">
        <v>999.99</v>
      </c>
      <c r="G2979">
        <v>7.0000000000000007E-2</v>
      </c>
      <c r="H2979">
        <v>69.999300000000005</v>
      </c>
      <c r="I2979">
        <f>order_items[[#This Row],[list_price]]-order_items[[#This Row],[Discounted_price]]</f>
        <v>929.99070000000006</v>
      </c>
      <c r="J2979">
        <f>VLOOKUP(B2979, Products!$A$2:$E$100, 3, FALSE)</f>
        <v>8</v>
      </c>
      <c r="K2979">
        <f>VLOOKUP(B2979, Products!$A$2:$F$100, 4, FALSE)</f>
        <v>6</v>
      </c>
    </row>
    <row r="2980" spans="1:11" x14ac:dyDescent="0.3">
      <c r="A2980">
        <v>1034</v>
      </c>
      <c r="B2980">
        <v>1</v>
      </c>
      <c r="C2980">
        <v>101</v>
      </c>
      <c r="D2980" t="str">
        <f>VLOOKUP(B2980, Products!$A$2:$C$100, 2, FALSE)</f>
        <v>Trek 820 - 2016</v>
      </c>
      <c r="E2980">
        <v>1</v>
      </c>
      <c r="F2980">
        <v>339.99</v>
      </c>
      <c r="G2980">
        <v>0.1</v>
      </c>
      <c r="H2980">
        <v>33.999000000000002</v>
      </c>
      <c r="I2980">
        <f>order_items[[#This Row],[list_price]]-order_items[[#This Row],[Discounted_price]]</f>
        <v>305.99099999999999</v>
      </c>
      <c r="J2980">
        <f>VLOOKUP(B2980, Products!$A$2:$E$100, 3, FALSE)</f>
        <v>9</v>
      </c>
      <c r="K2980">
        <f>VLOOKUP(B2980, Products!$A$2:$F$100, 4, FALSE)</f>
        <v>6</v>
      </c>
    </row>
    <row r="2981" spans="1:11" x14ac:dyDescent="0.3">
      <c r="A2981">
        <v>1034</v>
      </c>
      <c r="B2981">
        <v>2</v>
      </c>
      <c r="C2981">
        <v>8</v>
      </c>
      <c r="D2981" t="str">
        <f>VLOOKUP(B2981, Products!$A$2:$C$100, 2, FALSE)</f>
        <v>Ritchey Timberwolf Frameset - 2016</v>
      </c>
      <c r="E2981">
        <v>2</v>
      </c>
      <c r="F2981">
        <v>1799.99</v>
      </c>
      <c r="G2981">
        <v>0.1</v>
      </c>
      <c r="H2981">
        <v>179.99900000000002</v>
      </c>
      <c r="I2981">
        <f>order_items[[#This Row],[list_price]]-order_items[[#This Row],[Discounted_price]]</f>
        <v>1619.991</v>
      </c>
      <c r="J2981">
        <f>VLOOKUP(B2981, Products!$A$2:$E$100, 3, FALSE)</f>
        <v>5</v>
      </c>
      <c r="K2981">
        <f>VLOOKUP(B2981, Products!$A$2:$F$100, 4, FALSE)</f>
        <v>6</v>
      </c>
    </row>
    <row r="2982" spans="1:11" x14ac:dyDescent="0.3">
      <c r="A2982">
        <v>1034</v>
      </c>
      <c r="B2982">
        <v>3</v>
      </c>
      <c r="C2982">
        <v>11</v>
      </c>
      <c r="D2982" t="str">
        <f>VLOOKUP(B2982, Products!$A$2:$C$100, 2, FALSE)</f>
        <v>Surly Wednesday Frameset - 2016</v>
      </c>
      <c r="E2982">
        <v>2</v>
      </c>
      <c r="F2982">
        <v>1680.99</v>
      </c>
      <c r="G2982">
        <v>7.0000000000000007E-2</v>
      </c>
      <c r="H2982">
        <v>117.66930000000001</v>
      </c>
      <c r="I2982">
        <f>order_items[[#This Row],[list_price]]-order_items[[#This Row],[Discounted_price]]</f>
        <v>1563.3207</v>
      </c>
      <c r="J2982">
        <f>VLOOKUP(B2982, Products!$A$2:$E$100, 3, FALSE)</f>
        <v>8</v>
      </c>
      <c r="K2982">
        <f>VLOOKUP(B2982, Products!$A$2:$F$100, 4, FALSE)</f>
        <v>6</v>
      </c>
    </row>
    <row r="2983" spans="1:11" x14ac:dyDescent="0.3">
      <c r="A2983">
        <v>1034</v>
      </c>
      <c r="B2983">
        <v>4</v>
      </c>
      <c r="C2983">
        <v>21</v>
      </c>
      <c r="D2983" t="str">
        <f>VLOOKUP(B2983, Products!$A$2:$C$100, 2, FALSE)</f>
        <v>Trek Fuel EX 8 29 - 2016</v>
      </c>
      <c r="E2983">
        <v>1</v>
      </c>
      <c r="F2983">
        <v>269.99</v>
      </c>
      <c r="G2983">
        <v>0.05</v>
      </c>
      <c r="H2983">
        <v>13.499500000000001</v>
      </c>
      <c r="I2983">
        <f>order_items[[#This Row],[list_price]]-order_items[[#This Row],[Discounted_price]]</f>
        <v>256.4905</v>
      </c>
      <c r="J2983">
        <f>VLOOKUP(B2983, Products!$A$2:$E$100, 3, FALSE)</f>
        <v>9</v>
      </c>
      <c r="K2983">
        <f>VLOOKUP(B2983, Products!$A$2:$F$100, 4, FALSE)</f>
        <v>6</v>
      </c>
    </row>
    <row r="2984" spans="1:11" x14ac:dyDescent="0.3">
      <c r="A2984">
        <v>1035</v>
      </c>
      <c r="B2984">
        <v>1</v>
      </c>
      <c r="C2984">
        <v>96</v>
      </c>
      <c r="D2984" t="str">
        <f>VLOOKUP(B2984, Products!$A$2:$C$100, 2, FALSE)</f>
        <v>Trek 820 - 2016</v>
      </c>
      <c r="E2984">
        <v>1</v>
      </c>
      <c r="F2984">
        <v>349.99</v>
      </c>
      <c r="G2984">
        <v>0.2</v>
      </c>
      <c r="H2984">
        <v>69.998000000000005</v>
      </c>
      <c r="I2984">
        <f>order_items[[#This Row],[list_price]]-order_items[[#This Row],[Discounted_price]]</f>
        <v>279.99200000000002</v>
      </c>
      <c r="J2984">
        <f>VLOOKUP(B2984, Products!$A$2:$E$100, 3, FALSE)</f>
        <v>9</v>
      </c>
      <c r="K2984">
        <f>VLOOKUP(B2984, Products!$A$2:$F$100, 4, FALSE)</f>
        <v>6</v>
      </c>
    </row>
    <row r="2985" spans="1:11" x14ac:dyDescent="0.3">
      <c r="A2985">
        <v>1036</v>
      </c>
      <c r="B2985">
        <v>1</v>
      </c>
      <c r="C2985">
        <v>55</v>
      </c>
      <c r="D2985" t="str">
        <f>VLOOKUP(B2985, Products!$A$2:$C$100, 2, FALSE)</f>
        <v>Trek 820 - 2016</v>
      </c>
      <c r="E2985">
        <v>2</v>
      </c>
      <c r="F2985">
        <v>2699.99</v>
      </c>
      <c r="G2985">
        <v>0.1</v>
      </c>
      <c r="H2985">
        <v>269.99899999999997</v>
      </c>
      <c r="I2985">
        <f>order_items[[#This Row],[list_price]]-order_items[[#This Row],[Discounted_price]]</f>
        <v>2429.991</v>
      </c>
      <c r="J2985">
        <f>VLOOKUP(B2985, Products!$A$2:$E$100, 3, FALSE)</f>
        <v>9</v>
      </c>
      <c r="K2985">
        <f>VLOOKUP(B2985, Products!$A$2:$F$100, 4, FALSE)</f>
        <v>6</v>
      </c>
    </row>
    <row r="2986" spans="1:11" x14ac:dyDescent="0.3">
      <c r="A2986">
        <v>1036</v>
      </c>
      <c r="B2986">
        <v>2</v>
      </c>
      <c r="C2986">
        <v>76</v>
      </c>
      <c r="D2986" t="str">
        <f>VLOOKUP(B2986, Products!$A$2:$C$100, 2, FALSE)</f>
        <v>Ritchey Timberwolf Frameset - 2016</v>
      </c>
      <c r="E2986">
        <v>1</v>
      </c>
      <c r="F2986">
        <v>299.99</v>
      </c>
      <c r="G2986">
        <v>7.0000000000000007E-2</v>
      </c>
      <c r="H2986">
        <v>20.999300000000002</v>
      </c>
      <c r="I2986">
        <f>order_items[[#This Row],[list_price]]-order_items[[#This Row],[Discounted_price]]</f>
        <v>278.9907</v>
      </c>
      <c r="J2986">
        <f>VLOOKUP(B2986, Products!$A$2:$E$100, 3, FALSE)</f>
        <v>5</v>
      </c>
      <c r="K2986">
        <f>VLOOKUP(B2986, Products!$A$2:$F$100, 4, FALSE)</f>
        <v>6</v>
      </c>
    </row>
    <row r="2987" spans="1:11" x14ac:dyDescent="0.3">
      <c r="A2987">
        <v>1036</v>
      </c>
      <c r="B2987">
        <v>3</v>
      </c>
      <c r="C2987">
        <v>18</v>
      </c>
      <c r="D2987" t="str">
        <f>VLOOKUP(B2987, Products!$A$2:$C$100, 2, FALSE)</f>
        <v>Surly Wednesday Frameset - 2016</v>
      </c>
      <c r="E2987">
        <v>2</v>
      </c>
      <c r="F2987">
        <v>449</v>
      </c>
      <c r="G2987">
        <v>0.05</v>
      </c>
      <c r="H2987">
        <v>22.450000000000003</v>
      </c>
      <c r="I2987">
        <f>order_items[[#This Row],[list_price]]-order_items[[#This Row],[Discounted_price]]</f>
        <v>426.55</v>
      </c>
      <c r="J2987">
        <f>VLOOKUP(B2987, Products!$A$2:$E$100, 3, FALSE)</f>
        <v>8</v>
      </c>
      <c r="K2987">
        <f>VLOOKUP(B2987, Products!$A$2:$F$100, 4, FALSE)</f>
        <v>6</v>
      </c>
    </row>
    <row r="2988" spans="1:11" x14ac:dyDescent="0.3">
      <c r="A2988">
        <v>1036</v>
      </c>
      <c r="B2988">
        <v>4</v>
      </c>
      <c r="C2988">
        <v>65</v>
      </c>
      <c r="D2988" t="str">
        <f>VLOOKUP(B2988, Products!$A$2:$C$100, 2, FALSE)</f>
        <v>Trek Fuel EX 8 29 - 2016</v>
      </c>
      <c r="E2988">
        <v>2</v>
      </c>
      <c r="F2988">
        <v>346.99</v>
      </c>
      <c r="G2988">
        <v>0.2</v>
      </c>
      <c r="H2988">
        <v>69.39800000000001</v>
      </c>
      <c r="I2988">
        <f>order_items[[#This Row],[list_price]]-order_items[[#This Row],[Discounted_price]]</f>
        <v>277.59199999999998</v>
      </c>
      <c r="J2988">
        <f>VLOOKUP(B2988, Products!$A$2:$E$100, 3, FALSE)</f>
        <v>9</v>
      </c>
      <c r="K2988">
        <f>VLOOKUP(B2988, Products!$A$2:$F$100, 4, FALSE)</f>
        <v>6</v>
      </c>
    </row>
    <row r="2989" spans="1:11" x14ac:dyDescent="0.3">
      <c r="A2989">
        <v>1036</v>
      </c>
      <c r="B2989">
        <v>5</v>
      </c>
      <c r="C2989">
        <v>12</v>
      </c>
      <c r="D2989" t="str">
        <f>VLOOKUP(B2989, Products!$A$2:$C$100, 2, FALSE)</f>
        <v>Heller Shagamaw Frame - 2016</v>
      </c>
      <c r="E2989">
        <v>1</v>
      </c>
      <c r="F2989">
        <v>549.99</v>
      </c>
      <c r="G2989">
        <v>0.2</v>
      </c>
      <c r="H2989">
        <v>109.998</v>
      </c>
      <c r="I2989">
        <f>order_items[[#This Row],[list_price]]-order_items[[#This Row],[Discounted_price]]</f>
        <v>439.99200000000002</v>
      </c>
      <c r="J2989">
        <f>VLOOKUP(B2989, Products!$A$2:$E$100, 3, FALSE)</f>
        <v>3</v>
      </c>
      <c r="K2989">
        <f>VLOOKUP(B2989, Products!$A$2:$F$100, 4, FALSE)</f>
        <v>6</v>
      </c>
    </row>
    <row r="2990" spans="1:11" x14ac:dyDescent="0.3">
      <c r="A2990">
        <v>1037</v>
      </c>
      <c r="B2990">
        <v>1</v>
      </c>
      <c r="C2990">
        <v>74</v>
      </c>
      <c r="D2990" t="str">
        <f>VLOOKUP(B2990, Products!$A$2:$C$100, 2, FALSE)</f>
        <v>Trek 820 - 2016</v>
      </c>
      <c r="E2990">
        <v>2</v>
      </c>
      <c r="F2990">
        <v>439.99</v>
      </c>
      <c r="G2990">
        <v>7.0000000000000007E-2</v>
      </c>
      <c r="H2990">
        <v>30.799300000000002</v>
      </c>
      <c r="I2990">
        <f>order_items[[#This Row],[list_price]]-order_items[[#This Row],[Discounted_price]]</f>
        <v>409.19069999999999</v>
      </c>
      <c r="J2990">
        <f>VLOOKUP(B2990, Products!$A$2:$E$100, 3, FALSE)</f>
        <v>9</v>
      </c>
      <c r="K2990">
        <f>VLOOKUP(B2990, Products!$A$2:$F$100, 4, FALSE)</f>
        <v>6</v>
      </c>
    </row>
    <row r="2991" spans="1:11" x14ac:dyDescent="0.3">
      <c r="A2991">
        <v>1037</v>
      </c>
      <c r="B2991">
        <v>2</v>
      </c>
      <c r="C2991">
        <v>3</v>
      </c>
      <c r="D2991" t="str">
        <f>VLOOKUP(B2991, Products!$A$2:$C$100, 2, FALSE)</f>
        <v>Ritchey Timberwolf Frameset - 2016</v>
      </c>
      <c r="E2991">
        <v>1</v>
      </c>
      <c r="F2991">
        <v>999.99</v>
      </c>
      <c r="G2991">
        <v>7.0000000000000007E-2</v>
      </c>
      <c r="H2991">
        <v>69.999300000000005</v>
      </c>
      <c r="I2991">
        <f>order_items[[#This Row],[list_price]]-order_items[[#This Row],[Discounted_price]]</f>
        <v>929.99070000000006</v>
      </c>
      <c r="J2991">
        <f>VLOOKUP(B2991, Products!$A$2:$E$100, 3, FALSE)</f>
        <v>5</v>
      </c>
      <c r="K2991">
        <f>VLOOKUP(B2991, Products!$A$2:$F$100, 4, FALSE)</f>
        <v>6</v>
      </c>
    </row>
    <row r="2992" spans="1:11" x14ac:dyDescent="0.3">
      <c r="A2992">
        <v>1037</v>
      </c>
      <c r="B2992">
        <v>3</v>
      </c>
      <c r="C2992">
        <v>65</v>
      </c>
      <c r="D2992" t="str">
        <f>VLOOKUP(B2992, Products!$A$2:$C$100, 2, FALSE)</f>
        <v>Surly Wednesday Frameset - 2016</v>
      </c>
      <c r="E2992">
        <v>2</v>
      </c>
      <c r="F2992">
        <v>346.99</v>
      </c>
      <c r="G2992">
        <v>0.2</v>
      </c>
      <c r="H2992">
        <v>69.39800000000001</v>
      </c>
      <c r="I2992">
        <f>order_items[[#This Row],[list_price]]-order_items[[#This Row],[Discounted_price]]</f>
        <v>277.59199999999998</v>
      </c>
      <c r="J2992">
        <f>VLOOKUP(B2992, Products!$A$2:$E$100, 3, FALSE)</f>
        <v>8</v>
      </c>
      <c r="K2992">
        <f>VLOOKUP(B2992, Products!$A$2:$F$100, 4, FALSE)</f>
        <v>6</v>
      </c>
    </row>
    <row r="2993" spans="1:11" x14ac:dyDescent="0.3">
      <c r="A2993">
        <v>1037</v>
      </c>
      <c r="B2993">
        <v>4</v>
      </c>
      <c r="C2993">
        <v>92</v>
      </c>
      <c r="D2993" t="str">
        <f>VLOOKUP(B2993, Products!$A$2:$C$100, 2, FALSE)</f>
        <v>Trek Fuel EX 8 29 - 2016</v>
      </c>
      <c r="E2993">
        <v>1</v>
      </c>
      <c r="F2993">
        <v>209.99</v>
      </c>
      <c r="G2993">
        <v>7.0000000000000007E-2</v>
      </c>
      <c r="H2993">
        <v>14.699300000000003</v>
      </c>
      <c r="I2993">
        <f>order_items[[#This Row],[list_price]]-order_items[[#This Row],[Discounted_price]]</f>
        <v>195.29070000000002</v>
      </c>
      <c r="J2993">
        <f>VLOOKUP(B2993, Products!$A$2:$E$100, 3, FALSE)</f>
        <v>9</v>
      </c>
      <c r="K2993">
        <f>VLOOKUP(B2993, Products!$A$2:$F$100, 4, FALSE)</f>
        <v>6</v>
      </c>
    </row>
    <row r="2994" spans="1:11" x14ac:dyDescent="0.3">
      <c r="A2994">
        <v>1037</v>
      </c>
      <c r="B2994">
        <v>5</v>
      </c>
      <c r="C2994">
        <v>84</v>
      </c>
      <c r="D2994" t="str">
        <f>VLOOKUP(B2994, Products!$A$2:$C$100, 2, FALSE)</f>
        <v>Heller Shagamaw Frame - 2016</v>
      </c>
      <c r="E2994">
        <v>2</v>
      </c>
      <c r="F2994">
        <v>109.99</v>
      </c>
      <c r="G2994">
        <v>0.05</v>
      </c>
      <c r="H2994">
        <v>5.4995000000000003</v>
      </c>
      <c r="I2994">
        <f>order_items[[#This Row],[list_price]]-order_items[[#This Row],[Discounted_price]]</f>
        <v>104.4905</v>
      </c>
      <c r="J2994">
        <f>VLOOKUP(B2994, Products!$A$2:$E$100, 3, FALSE)</f>
        <v>3</v>
      </c>
      <c r="K2994">
        <f>VLOOKUP(B2994, Products!$A$2:$F$100, 4, FALSE)</f>
        <v>6</v>
      </c>
    </row>
    <row r="2995" spans="1:11" x14ac:dyDescent="0.3">
      <c r="A2995">
        <v>1038</v>
      </c>
      <c r="B2995">
        <v>1</v>
      </c>
      <c r="C2995">
        <v>83</v>
      </c>
      <c r="D2995" t="str">
        <f>VLOOKUP(B2995, Products!$A$2:$C$100, 2, FALSE)</f>
        <v>Trek 820 - 2016</v>
      </c>
      <c r="E2995">
        <v>1</v>
      </c>
      <c r="F2995">
        <v>149.99</v>
      </c>
      <c r="G2995">
        <v>0.05</v>
      </c>
      <c r="H2995">
        <v>7.4995000000000012</v>
      </c>
      <c r="I2995">
        <f>order_items[[#This Row],[list_price]]-order_items[[#This Row],[Discounted_price]]</f>
        <v>142.4905</v>
      </c>
      <c r="J2995">
        <f>VLOOKUP(B2995, Products!$A$2:$E$100, 3, FALSE)</f>
        <v>9</v>
      </c>
      <c r="K2995">
        <f>VLOOKUP(B2995, Products!$A$2:$F$100, 4, FALSE)</f>
        <v>6</v>
      </c>
    </row>
    <row r="2996" spans="1:11" x14ac:dyDescent="0.3">
      <c r="A2996">
        <v>1038</v>
      </c>
      <c r="B2996">
        <v>2</v>
      </c>
      <c r="C2996">
        <v>9</v>
      </c>
      <c r="D2996" t="str">
        <f>VLOOKUP(B2996, Products!$A$2:$C$100, 2, FALSE)</f>
        <v>Ritchey Timberwolf Frameset - 2016</v>
      </c>
      <c r="E2996">
        <v>1</v>
      </c>
      <c r="F2996">
        <v>2999.99</v>
      </c>
      <c r="G2996">
        <v>7.0000000000000007E-2</v>
      </c>
      <c r="H2996">
        <v>209.99930000000001</v>
      </c>
      <c r="I2996">
        <f>order_items[[#This Row],[list_price]]-order_items[[#This Row],[Discounted_price]]</f>
        <v>2789.9906999999998</v>
      </c>
      <c r="J2996">
        <f>VLOOKUP(B2996, Products!$A$2:$E$100, 3, FALSE)</f>
        <v>5</v>
      </c>
      <c r="K2996">
        <f>VLOOKUP(B2996, Products!$A$2:$F$100, 4, FALSE)</f>
        <v>6</v>
      </c>
    </row>
    <row r="2997" spans="1:11" x14ac:dyDescent="0.3">
      <c r="A2997">
        <v>1039</v>
      </c>
      <c r="B2997">
        <v>1</v>
      </c>
      <c r="C2997">
        <v>18</v>
      </c>
      <c r="D2997" t="str">
        <f>VLOOKUP(B2997, Products!$A$2:$C$100, 2, FALSE)</f>
        <v>Trek 820 - 2016</v>
      </c>
      <c r="E2997">
        <v>2</v>
      </c>
      <c r="F2997">
        <v>449</v>
      </c>
      <c r="G2997">
        <v>0.2</v>
      </c>
      <c r="H2997">
        <v>89.800000000000011</v>
      </c>
      <c r="I2997">
        <f>order_items[[#This Row],[list_price]]-order_items[[#This Row],[Discounted_price]]</f>
        <v>359.2</v>
      </c>
      <c r="J2997">
        <f>VLOOKUP(B2997, Products!$A$2:$E$100, 3, FALSE)</f>
        <v>9</v>
      </c>
      <c r="K2997">
        <f>VLOOKUP(B2997, Products!$A$2:$F$100, 4, FALSE)</f>
        <v>6</v>
      </c>
    </row>
    <row r="2998" spans="1:11" x14ac:dyDescent="0.3">
      <c r="A2998">
        <v>1040</v>
      </c>
      <c r="B2998">
        <v>1</v>
      </c>
      <c r="C2998">
        <v>97</v>
      </c>
      <c r="D2998" t="str">
        <f>VLOOKUP(B2998, Products!$A$2:$C$100, 2, FALSE)</f>
        <v>Trek 820 - 2016</v>
      </c>
      <c r="E2998">
        <v>1</v>
      </c>
      <c r="F2998">
        <v>349.99</v>
      </c>
      <c r="G2998">
        <v>0.1</v>
      </c>
      <c r="H2998">
        <v>34.999000000000002</v>
      </c>
      <c r="I2998">
        <f>order_items[[#This Row],[list_price]]-order_items[[#This Row],[Discounted_price]]</f>
        <v>314.99099999999999</v>
      </c>
      <c r="J2998">
        <f>VLOOKUP(B2998, Products!$A$2:$E$100, 3, FALSE)</f>
        <v>9</v>
      </c>
      <c r="K2998">
        <f>VLOOKUP(B2998, Products!$A$2:$F$100, 4, FALSE)</f>
        <v>6</v>
      </c>
    </row>
    <row r="2999" spans="1:11" x14ac:dyDescent="0.3">
      <c r="A2999">
        <v>1040</v>
      </c>
      <c r="B2999">
        <v>2</v>
      </c>
      <c r="C2999">
        <v>28</v>
      </c>
      <c r="D2999" t="str">
        <f>VLOOKUP(B2999, Products!$A$2:$C$100, 2, FALSE)</f>
        <v>Ritchey Timberwolf Frameset - 2016</v>
      </c>
      <c r="E2999">
        <v>2</v>
      </c>
      <c r="F2999">
        <v>2499.9899999999998</v>
      </c>
      <c r="G2999">
        <v>0.2</v>
      </c>
      <c r="H2999">
        <v>499.99799999999999</v>
      </c>
      <c r="I2999">
        <f>order_items[[#This Row],[list_price]]-order_items[[#This Row],[Discounted_price]]</f>
        <v>1999.9919999999997</v>
      </c>
      <c r="J2999">
        <f>VLOOKUP(B2999, Products!$A$2:$E$100, 3, FALSE)</f>
        <v>5</v>
      </c>
      <c r="K2999">
        <f>VLOOKUP(B2999, Products!$A$2:$F$100, 4, FALSE)</f>
        <v>6</v>
      </c>
    </row>
    <row r="3000" spans="1:11" x14ac:dyDescent="0.3">
      <c r="A3000">
        <v>1040</v>
      </c>
      <c r="B3000">
        <v>3</v>
      </c>
      <c r="C3000">
        <v>64</v>
      </c>
      <c r="D3000" t="str">
        <f>VLOOKUP(B3000, Products!$A$2:$C$100, 2, FALSE)</f>
        <v>Surly Wednesday Frameset - 2016</v>
      </c>
      <c r="E3000">
        <v>1</v>
      </c>
      <c r="F3000">
        <v>489.99</v>
      </c>
      <c r="G3000">
        <v>7.0000000000000007E-2</v>
      </c>
      <c r="H3000">
        <v>34.299300000000002</v>
      </c>
      <c r="I3000">
        <f>order_items[[#This Row],[list_price]]-order_items[[#This Row],[Discounted_price]]</f>
        <v>455.69069999999999</v>
      </c>
      <c r="J3000">
        <f>VLOOKUP(B3000, Products!$A$2:$E$100, 3, FALSE)</f>
        <v>8</v>
      </c>
      <c r="K3000">
        <f>VLOOKUP(B3000, Products!$A$2:$F$100, 4, FALSE)</f>
        <v>6</v>
      </c>
    </row>
    <row r="3001" spans="1:11" x14ac:dyDescent="0.3">
      <c r="A3001">
        <v>1040</v>
      </c>
      <c r="B3001">
        <v>4</v>
      </c>
      <c r="C3001">
        <v>27</v>
      </c>
      <c r="D3001" t="str">
        <f>VLOOKUP(B3001, Products!$A$2:$C$100, 2, FALSE)</f>
        <v>Trek Fuel EX 8 29 - 2016</v>
      </c>
      <c r="E3001">
        <v>2</v>
      </c>
      <c r="F3001">
        <v>999.99</v>
      </c>
      <c r="G3001">
        <v>7.0000000000000007E-2</v>
      </c>
      <c r="H3001">
        <v>69.999300000000005</v>
      </c>
      <c r="I3001">
        <f>order_items[[#This Row],[list_price]]-order_items[[#This Row],[Discounted_price]]</f>
        <v>929.99070000000006</v>
      </c>
      <c r="J3001">
        <f>VLOOKUP(B3001, Products!$A$2:$E$100, 3, FALSE)</f>
        <v>9</v>
      </c>
      <c r="K3001">
        <f>VLOOKUP(B3001, Products!$A$2:$F$100, 4, FALSE)</f>
        <v>6</v>
      </c>
    </row>
    <row r="3002" spans="1:11" x14ac:dyDescent="0.3">
      <c r="A3002">
        <v>1040</v>
      </c>
      <c r="B3002">
        <v>5</v>
      </c>
      <c r="C3002">
        <v>8</v>
      </c>
      <c r="D3002" t="str">
        <f>VLOOKUP(B3002, Products!$A$2:$C$100, 2, FALSE)</f>
        <v>Heller Shagamaw Frame - 2016</v>
      </c>
      <c r="E3002">
        <v>2</v>
      </c>
      <c r="F3002">
        <v>1799.99</v>
      </c>
      <c r="G3002">
        <v>0.05</v>
      </c>
      <c r="H3002">
        <v>89.999500000000012</v>
      </c>
      <c r="I3002">
        <f>order_items[[#This Row],[list_price]]-order_items[[#This Row],[Discounted_price]]</f>
        <v>1709.9904999999999</v>
      </c>
      <c r="J3002">
        <f>VLOOKUP(B3002, Products!$A$2:$E$100, 3, FALSE)</f>
        <v>3</v>
      </c>
      <c r="K3002">
        <f>VLOOKUP(B3002, Products!$A$2:$F$100, 4, FALSE)</f>
        <v>6</v>
      </c>
    </row>
    <row r="3003" spans="1:11" x14ac:dyDescent="0.3">
      <c r="A3003">
        <v>1041</v>
      </c>
      <c r="B3003">
        <v>1</v>
      </c>
      <c r="C3003">
        <v>89</v>
      </c>
      <c r="D3003" t="str">
        <f>VLOOKUP(B3003, Products!$A$2:$C$100, 2, FALSE)</f>
        <v>Trek 820 - 2016</v>
      </c>
      <c r="E3003">
        <v>1</v>
      </c>
      <c r="F3003">
        <v>209.99</v>
      </c>
      <c r="G3003">
        <v>0.1</v>
      </c>
      <c r="H3003">
        <v>20.999000000000002</v>
      </c>
      <c r="I3003">
        <f>order_items[[#This Row],[list_price]]-order_items[[#This Row],[Discounted_price]]</f>
        <v>188.99100000000001</v>
      </c>
      <c r="J3003">
        <f>VLOOKUP(B3003, Products!$A$2:$E$100, 3, FALSE)</f>
        <v>9</v>
      </c>
      <c r="K3003">
        <f>VLOOKUP(B3003, Products!$A$2:$F$100, 4, FALSE)</f>
        <v>6</v>
      </c>
    </row>
    <row r="3004" spans="1:11" x14ac:dyDescent="0.3">
      <c r="A3004">
        <v>1041</v>
      </c>
      <c r="B3004">
        <v>2</v>
      </c>
      <c r="C3004">
        <v>61</v>
      </c>
      <c r="D3004" t="str">
        <f>VLOOKUP(B3004, Products!$A$2:$C$100, 2, FALSE)</f>
        <v>Ritchey Timberwolf Frameset - 2016</v>
      </c>
      <c r="E3004">
        <v>2</v>
      </c>
      <c r="F3004">
        <v>4999.99</v>
      </c>
      <c r="G3004">
        <v>7.0000000000000007E-2</v>
      </c>
      <c r="H3004">
        <v>349.99930000000001</v>
      </c>
      <c r="I3004">
        <f>order_items[[#This Row],[list_price]]-order_items[[#This Row],[Discounted_price]]</f>
        <v>4649.9906999999994</v>
      </c>
      <c r="J3004">
        <f>VLOOKUP(B3004, Products!$A$2:$E$100, 3, FALSE)</f>
        <v>5</v>
      </c>
      <c r="K3004">
        <f>VLOOKUP(B3004, Products!$A$2:$F$100, 4, FALSE)</f>
        <v>6</v>
      </c>
    </row>
    <row r="3005" spans="1:11" x14ac:dyDescent="0.3">
      <c r="A3005">
        <v>1041</v>
      </c>
      <c r="B3005">
        <v>3</v>
      </c>
      <c r="C3005">
        <v>94</v>
      </c>
      <c r="D3005" t="str">
        <f>VLOOKUP(B3005, Products!$A$2:$C$100, 2, FALSE)</f>
        <v>Surly Wednesday Frameset - 2016</v>
      </c>
      <c r="E3005">
        <v>2</v>
      </c>
      <c r="F3005">
        <v>249.99</v>
      </c>
      <c r="G3005">
        <v>0.1</v>
      </c>
      <c r="H3005">
        <v>24.999000000000002</v>
      </c>
      <c r="I3005">
        <f>order_items[[#This Row],[list_price]]-order_items[[#This Row],[Discounted_price]]</f>
        <v>224.99100000000001</v>
      </c>
      <c r="J3005">
        <f>VLOOKUP(B3005, Products!$A$2:$E$100, 3, FALSE)</f>
        <v>8</v>
      </c>
      <c r="K3005">
        <f>VLOOKUP(B3005, Products!$A$2:$F$100, 4, FALSE)</f>
        <v>6</v>
      </c>
    </row>
    <row r="3006" spans="1:11" x14ac:dyDescent="0.3">
      <c r="A3006">
        <v>1042</v>
      </c>
      <c r="B3006">
        <v>1</v>
      </c>
      <c r="C3006">
        <v>23</v>
      </c>
      <c r="D3006" t="str">
        <f>VLOOKUP(B3006, Products!$A$2:$C$100, 2, FALSE)</f>
        <v>Trek 820 - 2016</v>
      </c>
      <c r="E3006">
        <v>1</v>
      </c>
      <c r="F3006">
        <v>299.99</v>
      </c>
      <c r="G3006">
        <v>0.1</v>
      </c>
      <c r="H3006">
        <v>29.999000000000002</v>
      </c>
      <c r="I3006">
        <f>order_items[[#This Row],[list_price]]-order_items[[#This Row],[Discounted_price]]</f>
        <v>269.99099999999999</v>
      </c>
      <c r="J3006">
        <f>VLOOKUP(B3006, Products!$A$2:$E$100, 3, FALSE)</f>
        <v>9</v>
      </c>
      <c r="K3006">
        <f>VLOOKUP(B3006, Products!$A$2:$F$100, 4, FALSE)</f>
        <v>6</v>
      </c>
    </row>
    <row r="3007" spans="1:11" x14ac:dyDescent="0.3">
      <c r="A3007">
        <v>1043</v>
      </c>
      <c r="B3007">
        <v>1</v>
      </c>
      <c r="C3007">
        <v>55</v>
      </c>
      <c r="D3007" t="str">
        <f>VLOOKUP(B3007, Products!$A$2:$C$100, 2, FALSE)</f>
        <v>Trek 820 - 2016</v>
      </c>
      <c r="E3007">
        <v>2</v>
      </c>
      <c r="F3007">
        <v>2699.99</v>
      </c>
      <c r="G3007">
        <v>0.1</v>
      </c>
      <c r="H3007">
        <v>269.99899999999997</v>
      </c>
      <c r="I3007">
        <f>order_items[[#This Row],[list_price]]-order_items[[#This Row],[Discounted_price]]</f>
        <v>2429.991</v>
      </c>
      <c r="J3007">
        <f>VLOOKUP(B3007, Products!$A$2:$E$100, 3, FALSE)</f>
        <v>9</v>
      </c>
      <c r="K3007">
        <f>VLOOKUP(B3007, Products!$A$2:$F$100, 4, FALSE)</f>
        <v>6</v>
      </c>
    </row>
    <row r="3008" spans="1:11" x14ac:dyDescent="0.3">
      <c r="A3008">
        <v>1043</v>
      </c>
      <c r="B3008">
        <v>2</v>
      </c>
      <c r="C3008">
        <v>20</v>
      </c>
      <c r="D3008" t="str">
        <f>VLOOKUP(B3008, Products!$A$2:$C$100, 2, FALSE)</f>
        <v>Ritchey Timberwolf Frameset - 2016</v>
      </c>
      <c r="E3008">
        <v>1</v>
      </c>
      <c r="F3008">
        <v>599.99</v>
      </c>
      <c r="G3008">
        <v>7.0000000000000007E-2</v>
      </c>
      <c r="H3008">
        <v>41.999300000000005</v>
      </c>
      <c r="I3008">
        <f>order_items[[#This Row],[list_price]]-order_items[[#This Row],[Discounted_price]]</f>
        <v>557.99070000000006</v>
      </c>
      <c r="J3008">
        <f>VLOOKUP(B3008, Products!$A$2:$E$100, 3, FALSE)</f>
        <v>5</v>
      </c>
      <c r="K3008">
        <f>VLOOKUP(B3008, Products!$A$2:$F$100, 4, FALSE)</f>
        <v>6</v>
      </c>
    </row>
    <row r="3009" spans="1:11" x14ac:dyDescent="0.3">
      <c r="A3009">
        <v>1044</v>
      </c>
      <c r="B3009">
        <v>1</v>
      </c>
      <c r="C3009">
        <v>97</v>
      </c>
      <c r="D3009" t="str">
        <f>VLOOKUP(B3009, Products!$A$2:$C$100, 2, FALSE)</f>
        <v>Trek 820 - 2016</v>
      </c>
      <c r="E3009">
        <v>2</v>
      </c>
      <c r="F3009">
        <v>349.99</v>
      </c>
      <c r="G3009">
        <v>0.1</v>
      </c>
      <c r="H3009">
        <v>34.999000000000002</v>
      </c>
      <c r="I3009">
        <f>order_items[[#This Row],[list_price]]-order_items[[#This Row],[Discounted_price]]</f>
        <v>314.99099999999999</v>
      </c>
      <c r="J3009">
        <f>VLOOKUP(B3009, Products!$A$2:$E$100, 3, FALSE)</f>
        <v>9</v>
      </c>
      <c r="K3009">
        <f>VLOOKUP(B3009, Products!$A$2:$F$100, 4, FALSE)</f>
        <v>6</v>
      </c>
    </row>
    <row r="3010" spans="1:11" x14ac:dyDescent="0.3">
      <c r="A3010">
        <v>1045</v>
      </c>
      <c r="B3010">
        <v>1</v>
      </c>
      <c r="C3010">
        <v>28</v>
      </c>
      <c r="D3010" t="str">
        <f>VLOOKUP(B3010, Products!$A$2:$C$100, 2, FALSE)</f>
        <v>Trek 820 - 2016</v>
      </c>
      <c r="E3010">
        <v>1</v>
      </c>
      <c r="F3010">
        <v>2499.9899999999998</v>
      </c>
      <c r="G3010">
        <v>0.05</v>
      </c>
      <c r="H3010">
        <v>124.9995</v>
      </c>
      <c r="I3010">
        <f>order_items[[#This Row],[list_price]]-order_items[[#This Row],[Discounted_price]]</f>
        <v>2374.9904999999999</v>
      </c>
      <c r="J3010">
        <f>VLOOKUP(B3010, Products!$A$2:$E$100, 3, FALSE)</f>
        <v>9</v>
      </c>
      <c r="K3010">
        <f>VLOOKUP(B3010, Products!$A$2:$F$100, 4, FALSE)</f>
        <v>6</v>
      </c>
    </row>
    <row r="3011" spans="1:11" x14ac:dyDescent="0.3">
      <c r="A3011">
        <v>1045</v>
      </c>
      <c r="B3011">
        <v>2</v>
      </c>
      <c r="C3011">
        <v>104</v>
      </c>
      <c r="D3011" t="str">
        <f>VLOOKUP(B3011, Products!$A$2:$C$100, 2, FALSE)</f>
        <v>Ritchey Timberwolf Frameset - 2016</v>
      </c>
      <c r="E3011">
        <v>2</v>
      </c>
      <c r="F3011">
        <v>481.99</v>
      </c>
      <c r="G3011">
        <v>0.05</v>
      </c>
      <c r="H3011">
        <v>24.099500000000003</v>
      </c>
      <c r="I3011">
        <f>order_items[[#This Row],[list_price]]-order_items[[#This Row],[Discounted_price]]</f>
        <v>457.89050000000003</v>
      </c>
      <c r="J3011">
        <f>VLOOKUP(B3011, Products!$A$2:$E$100, 3, FALSE)</f>
        <v>5</v>
      </c>
      <c r="K3011">
        <f>VLOOKUP(B3011, Products!$A$2:$F$100, 4, FALSE)</f>
        <v>6</v>
      </c>
    </row>
    <row r="3012" spans="1:11" x14ac:dyDescent="0.3">
      <c r="A3012">
        <v>1046</v>
      </c>
      <c r="B3012">
        <v>1</v>
      </c>
      <c r="C3012">
        <v>60</v>
      </c>
      <c r="D3012" t="str">
        <f>VLOOKUP(B3012, Products!$A$2:$C$100, 2, FALSE)</f>
        <v>Trek 820 - 2016</v>
      </c>
      <c r="E3012">
        <v>1</v>
      </c>
      <c r="F3012">
        <v>1559.99</v>
      </c>
      <c r="G3012">
        <v>7.0000000000000007E-2</v>
      </c>
      <c r="H3012">
        <v>109.19930000000001</v>
      </c>
      <c r="I3012">
        <f>order_items[[#This Row],[list_price]]-order_items[[#This Row],[Discounted_price]]</f>
        <v>1450.7907</v>
      </c>
      <c r="J3012">
        <f>VLOOKUP(B3012, Products!$A$2:$E$100, 3, FALSE)</f>
        <v>9</v>
      </c>
      <c r="K3012">
        <f>VLOOKUP(B3012, Products!$A$2:$F$100, 4, FALSE)</f>
        <v>6</v>
      </c>
    </row>
    <row r="3013" spans="1:11" x14ac:dyDescent="0.3">
      <c r="A3013">
        <v>1046</v>
      </c>
      <c r="B3013">
        <v>2</v>
      </c>
      <c r="C3013">
        <v>79</v>
      </c>
      <c r="D3013" t="str">
        <f>VLOOKUP(B3013, Products!$A$2:$C$100, 2, FALSE)</f>
        <v>Ritchey Timberwolf Frameset - 2016</v>
      </c>
      <c r="E3013">
        <v>1</v>
      </c>
      <c r="F3013">
        <v>402.99</v>
      </c>
      <c r="G3013">
        <v>7.0000000000000007E-2</v>
      </c>
      <c r="H3013">
        <v>28.209300000000002</v>
      </c>
      <c r="I3013">
        <f>order_items[[#This Row],[list_price]]-order_items[[#This Row],[Discounted_price]]</f>
        <v>374.78070000000002</v>
      </c>
      <c r="J3013">
        <f>VLOOKUP(B3013, Products!$A$2:$E$100, 3, FALSE)</f>
        <v>5</v>
      </c>
      <c r="K3013">
        <f>VLOOKUP(B3013, Products!$A$2:$F$100, 4, FALSE)</f>
        <v>6</v>
      </c>
    </row>
    <row r="3014" spans="1:11" x14ac:dyDescent="0.3">
      <c r="A3014">
        <v>1046</v>
      </c>
      <c r="B3014">
        <v>3</v>
      </c>
      <c r="C3014">
        <v>32</v>
      </c>
      <c r="D3014" t="str">
        <f>VLOOKUP(B3014, Products!$A$2:$C$100, 2, FALSE)</f>
        <v>Surly Wednesday Frameset - 2016</v>
      </c>
      <c r="E3014">
        <v>1</v>
      </c>
      <c r="F3014">
        <v>469.99</v>
      </c>
      <c r="G3014">
        <v>7.0000000000000007E-2</v>
      </c>
      <c r="H3014">
        <v>32.899300000000004</v>
      </c>
      <c r="I3014">
        <f>order_items[[#This Row],[list_price]]-order_items[[#This Row],[Discounted_price]]</f>
        <v>437.09070000000003</v>
      </c>
      <c r="J3014">
        <f>VLOOKUP(B3014, Products!$A$2:$E$100, 3, FALSE)</f>
        <v>8</v>
      </c>
      <c r="K3014">
        <f>VLOOKUP(B3014, Products!$A$2:$F$100, 4, FALSE)</f>
        <v>6</v>
      </c>
    </row>
    <row r="3015" spans="1:11" x14ac:dyDescent="0.3">
      <c r="A3015">
        <v>1046</v>
      </c>
      <c r="B3015">
        <v>4</v>
      </c>
      <c r="C3015">
        <v>41</v>
      </c>
      <c r="D3015" t="str">
        <f>VLOOKUP(B3015, Products!$A$2:$C$100, 2, FALSE)</f>
        <v>Trek Fuel EX 8 29 - 2016</v>
      </c>
      <c r="E3015">
        <v>2</v>
      </c>
      <c r="F3015">
        <v>1469.99</v>
      </c>
      <c r="G3015">
        <v>0.1</v>
      </c>
      <c r="H3015">
        <v>146.999</v>
      </c>
      <c r="I3015">
        <f>order_items[[#This Row],[list_price]]-order_items[[#This Row],[Discounted_price]]</f>
        <v>1322.991</v>
      </c>
      <c r="J3015">
        <f>VLOOKUP(B3015, Products!$A$2:$E$100, 3, FALSE)</f>
        <v>9</v>
      </c>
      <c r="K3015">
        <f>VLOOKUP(B3015, Products!$A$2:$F$100, 4, FALSE)</f>
        <v>6</v>
      </c>
    </row>
    <row r="3016" spans="1:11" x14ac:dyDescent="0.3">
      <c r="A3016">
        <v>1046</v>
      </c>
      <c r="B3016">
        <v>5</v>
      </c>
      <c r="C3016">
        <v>17</v>
      </c>
      <c r="D3016" t="str">
        <f>VLOOKUP(B3016, Products!$A$2:$C$100, 2, FALSE)</f>
        <v>Heller Shagamaw Frame - 2016</v>
      </c>
      <c r="E3016">
        <v>2</v>
      </c>
      <c r="F3016">
        <v>429</v>
      </c>
      <c r="G3016">
        <v>0.05</v>
      </c>
      <c r="H3016">
        <v>21.450000000000003</v>
      </c>
      <c r="I3016">
        <f>order_items[[#This Row],[list_price]]-order_items[[#This Row],[Discounted_price]]</f>
        <v>407.55</v>
      </c>
      <c r="J3016">
        <f>VLOOKUP(B3016, Products!$A$2:$E$100, 3, FALSE)</f>
        <v>3</v>
      </c>
      <c r="K3016">
        <f>VLOOKUP(B3016, Products!$A$2:$F$100, 4, FALSE)</f>
        <v>6</v>
      </c>
    </row>
    <row r="3017" spans="1:11" x14ac:dyDescent="0.3">
      <c r="A3017">
        <v>1047</v>
      </c>
      <c r="B3017">
        <v>1</v>
      </c>
      <c r="C3017">
        <v>28</v>
      </c>
      <c r="D3017" t="str">
        <f>VLOOKUP(B3017, Products!$A$2:$C$100, 2, FALSE)</f>
        <v>Trek 820 - 2016</v>
      </c>
      <c r="E3017">
        <v>2</v>
      </c>
      <c r="F3017">
        <v>2499.9899999999998</v>
      </c>
      <c r="G3017">
        <v>0.1</v>
      </c>
      <c r="H3017">
        <v>249.999</v>
      </c>
      <c r="I3017">
        <f>order_items[[#This Row],[list_price]]-order_items[[#This Row],[Discounted_price]]</f>
        <v>2249.991</v>
      </c>
      <c r="J3017">
        <f>VLOOKUP(B3017, Products!$A$2:$E$100, 3, FALSE)</f>
        <v>9</v>
      </c>
      <c r="K3017">
        <f>VLOOKUP(B3017, Products!$A$2:$F$100, 4, FALSE)</f>
        <v>6</v>
      </c>
    </row>
    <row r="3018" spans="1:11" x14ac:dyDescent="0.3">
      <c r="A3018">
        <v>1047</v>
      </c>
      <c r="B3018">
        <v>2</v>
      </c>
      <c r="C3018">
        <v>78</v>
      </c>
      <c r="D3018" t="str">
        <f>VLOOKUP(B3018, Products!$A$2:$C$100, 2, FALSE)</f>
        <v>Ritchey Timberwolf Frameset - 2016</v>
      </c>
      <c r="E3018">
        <v>1</v>
      </c>
      <c r="F3018">
        <v>647.99</v>
      </c>
      <c r="G3018">
        <v>0.2</v>
      </c>
      <c r="H3018">
        <v>129.59800000000001</v>
      </c>
      <c r="I3018">
        <f>order_items[[#This Row],[list_price]]-order_items[[#This Row],[Discounted_price]]</f>
        <v>518.39200000000005</v>
      </c>
      <c r="J3018">
        <f>VLOOKUP(B3018, Products!$A$2:$E$100, 3, FALSE)</f>
        <v>5</v>
      </c>
      <c r="K3018">
        <f>VLOOKUP(B3018, Products!$A$2:$F$100, 4, FALSE)</f>
        <v>6</v>
      </c>
    </row>
    <row r="3019" spans="1:11" x14ac:dyDescent="0.3">
      <c r="A3019">
        <v>1047</v>
      </c>
      <c r="B3019">
        <v>3</v>
      </c>
      <c r="C3019">
        <v>35</v>
      </c>
      <c r="D3019" t="str">
        <f>VLOOKUP(B3019, Products!$A$2:$C$100, 2, FALSE)</f>
        <v>Surly Wednesday Frameset - 2016</v>
      </c>
      <c r="E3019">
        <v>1</v>
      </c>
      <c r="F3019">
        <v>832.99</v>
      </c>
      <c r="G3019">
        <v>0.05</v>
      </c>
      <c r="H3019">
        <v>41.649500000000003</v>
      </c>
      <c r="I3019">
        <f>order_items[[#This Row],[list_price]]-order_items[[#This Row],[Discounted_price]]</f>
        <v>791.34050000000002</v>
      </c>
      <c r="J3019">
        <f>VLOOKUP(B3019, Products!$A$2:$E$100, 3, FALSE)</f>
        <v>8</v>
      </c>
      <c r="K3019">
        <f>VLOOKUP(B3019, Products!$A$2:$F$100, 4, FALSE)</f>
        <v>6</v>
      </c>
    </row>
    <row r="3020" spans="1:11" x14ac:dyDescent="0.3">
      <c r="A3020">
        <v>1047</v>
      </c>
      <c r="B3020">
        <v>4</v>
      </c>
      <c r="C3020">
        <v>49</v>
      </c>
      <c r="D3020" t="str">
        <f>VLOOKUP(B3020, Products!$A$2:$C$100, 2, FALSE)</f>
        <v>Trek Fuel EX 8 29 - 2016</v>
      </c>
      <c r="E3020">
        <v>1</v>
      </c>
      <c r="F3020">
        <v>3499.99</v>
      </c>
      <c r="G3020">
        <v>0.05</v>
      </c>
      <c r="H3020">
        <v>174.99950000000001</v>
      </c>
      <c r="I3020">
        <f>order_items[[#This Row],[list_price]]-order_items[[#This Row],[Discounted_price]]</f>
        <v>3324.9904999999999</v>
      </c>
      <c r="J3020">
        <f>VLOOKUP(B3020, Products!$A$2:$E$100, 3, FALSE)</f>
        <v>9</v>
      </c>
      <c r="K3020">
        <f>VLOOKUP(B3020, Products!$A$2:$F$100, 4, FALSE)</f>
        <v>6</v>
      </c>
    </row>
    <row r="3021" spans="1:11" x14ac:dyDescent="0.3">
      <c r="A3021">
        <v>1048</v>
      </c>
      <c r="B3021">
        <v>1</v>
      </c>
      <c r="C3021">
        <v>3</v>
      </c>
      <c r="D3021" t="str">
        <f>VLOOKUP(B3021, Products!$A$2:$C$100, 2, FALSE)</f>
        <v>Trek 820 - 2016</v>
      </c>
      <c r="E3021">
        <v>2</v>
      </c>
      <c r="F3021">
        <v>999.99</v>
      </c>
      <c r="G3021">
        <v>0.1</v>
      </c>
      <c r="H3021">
        <v>99.999000000000009</v>
      </c>
      <c r="I3021">
        <f>order_items[[#This Row],[list_price]]-order_items[[#This Row],[Discounted_price]]</f>
        <v>899.99099999999999</v>
      </c>
      <c r="J3021">
        <f>VLOOKUP(B3021, Products!$A$2:$E$100, 3, FALSE)</f>
        <v>9</v>
      </c>
      <c r="K3021">
        <f>VLOOKUP(B3021, Products!$A$2:$F$100, 4, FALSE)</f>
        <v>6</v>
      </c>
    </row>
    <row r="3022" spans="1:11" x14ac:dyDescent="0.3">
      <c r="A3022">
        <v>1048</v>
      </c>
      <c r="B3022">
        <v>2</v>
      </c>
      <c r="C3022">
        <v>37</v>
      </c>
      <c r="D3022" t="str">
        <f>VLOOKUP(B3022, Products!$A$2:$C$100, 2, FALSE)</f>
        <v>Ritchey Timberwolf Frameset - 2016</v>
      </c>
      <c r="E3022">
        <v>1</v>
      </c>
      <c r="F3022">
        <v>379.99</v>
      </c>
      <c r="G3022">
        <v>0.1</v>
      </c>
      <c r="H3022">
        <v>37.999000000000002</v>
      </c>
      <c r="I3022">
        <f>order_items[[#This Row],[list_price]]-order_items[[#This Row],[Discounted_price]]</f>
        <v>341.99099999999999</v>
      </c>
      <c r="J3022">
        <f>VLOOKUP(B3022, Products!$A$2:$E$100, 3, FALSE)</f>
        <v>5</v>
      </c>
      <c r="K3022">
        <f>VLOOKUP(B3022, Products!$A$2:$F$100, 4, FALSE)</f>
        <v>6</v>
      </c>
    </row>
    <row r="3023" spans="1:11" x14ac:dyDescent="0.3">
      <c r="A3023">
        <v>1048</v>
      </c>
      <c r="B3023">
        <v>3</v>
      </c>
      <c r="C3023">
        <v>94</v>
      </c>
      <c r="D3023" t="str">
        <f>VLOOKUP(B3023, Products!$A$2:$C$100, 2, FALSE)</f>
        <v>Surly Wednesday Frameset - 2016</v>
      </c>
      <c r="E3023">
        <v>1</v>
      </c>
      <c r="F3023">
        <v>249.99</v>
      </c>
      <c r="G3023">
        <v>0.05</v>
      </c>
      <c r="H3023">
        <v>12.499500000000001</v>
      </c>
      <c r="I3023">
        <f>order_items[[#This Row],[list_price]]-order_items[[#This Row],[Discounted_price]]</f>
        <v>237.4905</v>
      </c>
      <c r="J3023">
        <f>VLOOKUP(B3023, Products!$A$2:$E$100, 3, FALSE)</f>
        <v>8</v>
      </c>
      <c r="K3023">
        <f>VLOOKUP(B3023, Products!$A$2:$F$100, 4, FALSE)</f>
        <v>6</v>
      </c>
    </row>
    <row r="3024" spans="1:11" x14ac:dyDescent="0.3">
      <c r="A3024">
        <v>1049</v>
      </c>
      <c r="B3024">
        <v>1</v>
      </c>
      <c r="C3024">
        <v>9</v>
      </c>
      <c r="D3024" t="str">
        <f>VLOOKUP(B3024, Products!$A$2:$C$100, 2, FALSE)</f>
        <v>Trek 820 - 2016</v>
      </c>
      <c r="E3024">
        <v>1</v>
      </c>
      <c r="F3024">
        <v>2999.99</v>
      </c>
      <c r="G3024">
        <v>0.1</v>
      </c>
      <c r="H3024">
        <v>299.99899999999997</v>
      </c>
      <c r="I3024">
        <f>order_items[[#This Row],[list_price]]-order_items[[#This Row],[Discounted_price]]</f>
        <v>2699.991</v>
      </c>
      <c r="J3024">
        <f>VLOOKUP(B3024, Products!$A$2:$E$100, 3, FALSE)</f>
        <v>9</v>
      </c>
      <c r="K3024">
        <f>VLOOKUP(B3024, Products!$A$2:$F$100, 4, FALSE)</f>
        <v>6</v>
      </c>
    </row>
    <row r="3025" spans="1:11" x14ac:dyDescent="0.3">
      <c r="A3025">
        <v>1049</v>
      </c>
      <c r="B3025">
        <v>2</v>
      </c>
      <c r="C3025">
        <v>36</v>
      </c>
      <c r="D3025" t="str">
        <f>VLOOKUP(B3025, Products!$A$2:$C$100, 2, FALSE)</f>
        <v>Ritchey Timberwolf Frameset - 2016</v>
      </c>
      <c r="E3025">
        <v>2</v>
      </c>
      <c r="F3025">
        <v>832.99</v>
      </c>
      <c r="G3025">
        <v>0.05</v>
      </c>
      <c r="H3025">
        <v>41.649500000000003</v>
      </c>
      <c r="I3025">
        <f>order_items[[#This Row],[list_price]]-order_items[[#This Row],[Discounted_price]]</f>
        <v>791.34050000000002</v>
      </c>
      <c r="J3025">
        <f>VLOOKUP(B3025, Products!$A$2:$E$100, 3, FALSE)</f>
        <v>5</v>
      </c>
      <c r="K3025">
        <f>VLOOKUP(B3025, Products!$A$2:$F$100, 4, FALSE)</f>
        <v>6</v>
      </c>
    </row>
    <row r="3026" spans="1:11" x14ac:dyDescent="0.3">
      <c r="A3026">
        <v>1049</v>
      </c>
      <c r="B3026">
        <v>3</v>
      </c>
      <c r="C3026">
        <v>3</v>
      </c>
      <c r="D3026" t="str">
        <f>VLOOKUP(B3026, Products!$A$2:$C$100, 2, FALSE)</f>
        <v>Surly Wednesday Frameset - 2016</v>
      </c>
      <c r="E3026">
        <v>1</v>
      </c>
      <c r="F3026">
        <v>999.99</v>
      </c>
      <c r="G3026">
        <v>0.1</v>
      </c>
      <c r="H3026">
        <v>99.999000000000009</v>
      </c>
      <c r="I3026">
        <f>order_items[[#This Row],[list_price]]-order_items[[#This Row],[Discounted_price]]</f>
        <v>899.99099999999999</v>
      </c>
      <c r="J3026">
        <f>VLOOKUP(B3026, Products!$A$2:$E$100, 3, FALSE)</f>
        <v>8</v>
      </c>
      <c r="K3026">
        <f>VLOOKUP(B3026, Products!$A$2:$F$100, 4, FALSE)</f>
        <v>6</v>
      </c>
    </row>
    <row r="3027" spans="1:11" x14ac:dyDescent="0.3">
      <c r="A3027">
        <v>1049</v>
      </c>
      <c r="B3027">
        <v>4</v>
      </c>
      <c r="C3027">
        <v>26</v>
      </c>
      <c r="D3027" t="str">
        <f>VLOOKUP(B3027, Products!$A$2:$C$100, 2, FALSE)</f>
        <v>Trek Fuel EX 8 29 - 2016</v>
      </c>
      <c r="E3027">
        <v>1</v>
      </c>
      <c r="F3027">
        <v>599.99</v>
      </c>
      <c r="G3027">
        <v>7.0000000000000007E-2</v>
      </c>
      <c r="H3027">
        <v>41.999300000000005</v>
      </c>
      <c r="I3027">
        <f>order_items[[#This Row],[list_price]]-order_items[[#This Row],[Discounted_price]]</f>
        <v>557.99070000000006</v>
      </c>
      <c r="J3027">
        <f>VLOOKUP(B3027, Products!$A$2:$E$100, 3, FALSE)</f>
        <v>9</v>
      </c>
      <c r="K3027">
        <f>VLOOKUP(B3027, Products!$A$2:$F$100, 4, FALSE)</f>
        <v>6</v>
      </c>
    </row>
    <row r="3028" spans="1:11" x14ac:dyDescent="0.3">
      <c r="A3028">
        <v>1049</v>
      </c>
      <c r="B3028">
        <v>5</v>
      </c>
      <c r="C3028">
        <v>10</v>
      </c>
      <c r="D3028" t="str">
        <f>VLOOKUP(B3028, Products!$A$2:$C$100, 2, FALSE)</f>
        <v>Heller Shagamaw Frame - 2016</v>
      </c>
      <c r="E3028">
        <v>2</v>
      </c>
      <c r="F3028">
        <v>1549</v>
      </c>
      <c r="G3028">
        <v>0.05</v>
      </c>
      <c r="H3028">
        <v>77.45</v>
      </c>
      <c r="I3028">
        <f>order_items[[#This Row],[list_price]]-order_items[[#This Row],[Discounted_price]]</f>
        <v>1471.55</v>
      </c>
      <c r="J3028">
        <f>VLOOKUP(B3028, Products!$A$2:$E$100, 3, FALSE)</f>
        <v>3</v>
      </c>
      <c r="K3028">
        <f>VLOOKUP(B3028, Products!$A$2:$F$100, 4, FALSE)</f>
        <v>6</v>
      </c>
    </row>
    <row r="3029" spans="1:11" x14ac:dyDescent="0.3">
      <c r="A3029">
        <v>1050</v>
      </c>
      <c r="B3029">
        <v>1</v>
      </c>
      <c r="C3029">
        <v>96</v>
      </c>
      <c r="D3029" t="str">
        <f>VLOOKUP(B3029, Products!$A$2:$C$100, 2, FALSE)</f>
        <v>Trek 820 - 2016</v>
      </c>
      <c r="E3029">
        <v>2</v>
      </c>
      <c r="F3029">
        <v>349.99</v>
      </c>
      <c r="G3029">
        <v>7.0000000000000007E-2</v>
      </c>
      <c r="H3029">
        <v>24.499300000000002</v>
      </c>
      <c r="I3029">
        <f>order_items[[#This Row],[list_price]]-order_items[[#This Row],[Discounted_price]]</f>
        <v>325.4907</v>
      </c>
      <c r="J3029">
        <f>VLOOKUP(B3029, Products!$A$2:$E$100, 3, FALSE)</f>
        <v>9</v>
      </c>
      <c r="K3029">
        <f>VLOOKUP(B3029, Products!$A$2:$F$100, 4, FALSE)</f>
        <v>6</v>
      </c>
    </row>
    <row r="3030" spans="1:11" x14ac:dyDescent="0.3">
      <c r="A3030">
        <v>1050</v>
      </c>
      <c r="B3030">
        <v>2</v>
      </c>
      <c r="C3030">
        <v>99</v>
      </c>
      <c r="D3030" t="str">
        <f>VLOOKUP(B3030, Products!$A$2:$C$100, 2, FALSE)</f>
        <v>Ritchey Timberwolf Frameset - 2016</v>
      </c>
      <c r="E3030">
        <v>2</v>
      </c>
      <c r="F3030">
        <v>299.99</v>
      </c>
      <c r="G3030">
        <v>0.1</v>
      </c>
      <c r="H3030">
        <v>29.999000000000002</v>
      </c>
      <c r="I3030">
        <f>order_items[[#This Row],[list_price]]-order_items[[#This Row],[Discounted_price]]</f>
        <v>269.99099999999999</v>
      </c>
      <c r="J3030">
        <f>VLOOKUP(B3030, Products!$A$2:$E$100, 3, FALSE)</f>
        <v>5</v>
      </c>
      <c r="K3030">
        <f>VLOOKUP(B3030, Products!$A$2:$F$100, 4, FALSE)</f>
        <v>6</v>
      </c>
    </row>
    <row r="3031" spans="1:11" x14ac:dyDescent="0.3">
      <c r="A3031">
        <v>1050</v>
      </c>
      <c r="B3031">
        <v>3</v>
      </c>
      <c r="C3031">
        <v>45</v>
      </c>
      <c r="D3031" t="str">
        <f>VLOOKUP(B3031, Products!$A$2:$C$100, 2, FALSE)</f>
        <v>Surly Wednesday Frameset - 2016</v>
      </c>
      <c r="E3031">
        <v>2</v>
      </c>
      <c r="F3031">
        <v>869.99</v>
      </c>
      <c r="G3031">
        <v>0.2</v>
      </c>
      <c r="H3031">
        <v>173.99800000000002</v>
      </c>
      <c r="I3031">
        <f>order_items[[#This Row],[list_price]]-order_items[[#This Row],[Discounted_price]]</f>
        <v>695.99199999999996</v>
      </c>
      <c r="J3031">
        <f>VLOOKUP(B3031, Products!$A$2:$E$100, 3, FALSE)</f>
        <v>8</v>
      </c>
      <c r="K3031">
        <f>VLOOKUP(B3031, Products!$A$2:$F$100, 4, FALSE)</f>
        <v>6</v>
      </c>
    </row>
    <row r="3032" spans="1:11" x14ac:dyDescent="0.3">
      <c r="A3032">
        <v>1050</v>
      </c>
      <c r="B3032">
        <v>4</v>
      </c>
      <c r="C3032">
        <v>14</v>
      </c>
      <c r="D3032" t="str">
        <f>VLOOKUP(B3032, Products!$A$2:$C$100, 2, FALSE)</f>
        <v>Trek Fuel EX 8 29 - 2016</v>
      </c>
      <c r="E3032">
        <v>2</v>
      </c>
      <c r="F3032">
        <v>269.99</v>
      </c>
      <c r="G3032">
        <v>0.2</v>
      </c>
      <c r="H3032">
        <v>53.998000000000005</v>
      </c>
      <c r="I3032">
        <f>order_items[[#This Row],[list_price]]-order_items[[#This Row],[Discounted_price]]</f>
        <v>215.99200000000002</v>
      </c>
      <c r="J3032">
        <f>VLOOKUP(B3032, Products!$A$2:$E$100, 3, FALSE)</f>
        <v>9</v>
      </c>
      <c r="K3032">
        <f>VLOOKUP(B3032, Products!$A$2:$F$100, 4, FALSE)</f>
        <v>6</v>
      </c>
    </row>
    <row r="3033" spans="1:11" x14ac:dyDescent="0.3">
      <c r="A3033">
        <v>1051</v>
      </c>
      <c r="B3033">
        <v>1</v>
      </c>
      <c r="C3033">
        <v>46</v>
      </c>
      <c r="D3033" t="str">
        <f>VLOOKUP(B3033, Products!$A$2:$C$100, 2, FALSE)</f>
        <v>Trek 820 - 2016</v>
      </c>
      <c r="E3033">
        <v>1</v>
      </c>
      <c r="F3033">
        <v>1409.99</v>
      </c>
      <c r="G3033">
        <v>0.2</v>
      </c>
      <c r="H3033">
        <v>281.99799999999999</v>
      </c>
      <c r="I3033">
        <f>order_items[[#This Row],[list_price]]-order_items[[#This Row],[Discounted_price]]</f>
        <v>1127.992</v>
      </c>
      <c r="J3033">
        <f>VLOOKUP(B3033, Products!$A$2:$E$100, 3, FALSE)</f>
        <v>9</v>
      </c>
      <c r="K3033">
        <f>VLOOKUP(B3033, Products!$A$2:$F$100, 4, FALSE)</f>
        <v>6</v>
      </c>
    </row>
    <row r="3034" spans="1:11" x14ac:dyDescent="0.3">
      <c r="A3034">
        <v>1052</v>
      </c>
      <c r="B3034">
        <v>1</v>
      </c>
      <c r="C3034">
        <v>7</v>
      </c>
      <c r="D3034" t="str">
        <f>VLOOKUP(B3034, Products!$A$2:$C$100, 2, FALSE)</f>
        <v>Trek 820 - 2016</v>
      </c>
      <c r="E3034">
        <v>1</v>
      </c>
      <c r="F3034">
        <v>3999.99</v>
      </c>
      <c r="G3034">
        <v>0.05</v>
      </c>
      <c r="H3034">
        <v>199.99950000000001</v>
      </c>
      <c r="I3034">
        <f>order_items[[#This Row],[list_price]]-order_items[[#This Row],[Discounted_price]]</f>
        <v>3799.9904999999999</v>
      </c>
      <c r="J3034">
        <f>VLOOKUP(B3034, Products!$A$2:$E$100, 3, FALSE)</f>
        <v>9</v>
      </c>
      <c r="K3034">
        <f>VLOOKUP(B3034, Products!$A$2:$F$100, 4, FALSE)</f>
        <v>6</v>
      </c>
    </row>
    <row r="3035" spans="1:11" x14ac:dyDescent="0.3">
      <c r="A3035">
        <v>1052</v>
      </c>
      <c r="B3035">
        <v>2</v>
      </c>
      <c r="C3035">
        <v>103</v>
      </c>
      <c r="D3035" t="str">
        <f>VLOOKUP(B3035, Products!$A$2:$C$100, 2, FALSE)</f>
        <v>Ritchey Timberwolf Frameset - 2016</v>
      </c>
      <c r="E3035">
        <v>1</v>
      </c>
      <c r="F3035">
        <v>551.99</v>
      </c>
      <c r="G3035">
        <v>0.05</v>
      </c>
      <c r="H3035">
        <v>27.599500000000003</v>
      </c>
      <c r="I3035">
        <f>order_items[[#This Row],[list_price]]-order_items[[#This Row],[Discounted_price]]</f>
        <v>524.39049999999997</v>
      </c>
      <c r="J3035">
        <f>VLOOKUP(B3035, Products!$A$2:$E$100, 3, FALSE)</f>
        <v>5</v>
      </c>
      <c r="K3035">
        <f>VLOOKUP(B3035, Products!$A$2:$F$100, 4, FALSE)</f>
        <v>6</v>
      </c>
    </row>
    <row r="3036" spans="1:11" x14ac:dyDescent="0.3">
      <c r="A3036">
        <v>1052</v>
      </c>
      <c r="B3036">
        <v>3</v>
      </c>
      <c r="C3036">
        <v>26</v>
      </c>
      <c r="D3036" t="str">
        <f>VLOOKUP(B3036, Products!$A$2:$C$100, 2, FALSE)</f>
        <v>Surly Wednesday Frameset - 2016</v>
      </c>
      <c r="E3036">
        <v>2</v>
      </c>
      <c r="F3036">
        <v>599.99</v>
      </c>
      <c r="G3036">
        <v>7.0000000000000007E-2</v>
      </c>
      <c r="H3036">
        <v>41.999300000000005</v>
      </c>
      <c r="I3036">
        <f>order_items[[#This Row],[list_price]]-order_items[[#This Row],[Discounted_price]]</f>
        <v>557.99070000000006</v>
      </c>
      <c r="J3036">
        <f>VLOOKUP(B3036, Products!$A$2:$E$100, 3, FALSE)</f>
        <v>8</v>
      </c>
      <c r="K3036">
        <f>VLOOKUP(B3036, Products!$A$2:$F$100, 4, FALSE)</f>
        <v>6</v>
      </c>
    </row>
    <row r="3037" spans="1:11" x14ac:dyDescent="0.3">
      <c r="A3037">
        <v>1053</v>
      </c>
      <c r="B3037">
        <v>1</v>
      </c>
      <c r="C3037">
        <v>49</v>
      </c>
      <c r="D3037" t="str">
        <f>VLOOKUP(B3037, Products!$A$2:$C$100, 2, FALSE)</f>
        <v>Trek 820 - 2016</v>
      </c>
      <c r="E3037">
        <v>2</v>
      </c>
      <c r="F3037">
        <v>3499.99</v>
      </c>
      <c r="G3037">
        <v>0.05</v>
      </c>
      <c r="H3037">
        <v>174.99950000000001</v>
      </c>
      <c r="I3037">
        <f>order_items[[#This Row],[list_price]]-order_items[[#This Row],[Discounted_price]]</f>
        <v>3324.9904999999999</v>
      </c>
      <c r="J3037">
        <f>VLOOKUP(B3037, Products!$A$2:$E$100, 3, FALSE)</f>
        <v>9</v>
      </c>
      <c r="K3037">
        <f>VLOOKUP(B3037, Products!$A$2:$F$100, 4, FALSE)</f>
        <v>6</v>
      </c>
    </row>
    <row r="3038" spans="1:11" x14ac:dyDescent="0.3">
      <c r="A3038">
        <v>1053</v>
      </c>
      <c r="B3038">
        <v>2</v>
      </c>
      <c r="C3038">
        <v>26</v>
      </c>
      <c r="D3038" t="str">
        <f>VLOOKUP(B3038, Products!$A$2:$C$100, 2, FALSE)</f>
        <v>Ritchey Timberwolf Frameset - 2016</v>
      </c>
      <c r="E3038">
        <v>2</v>
      </c>
      <c r="F3038">
        <v>599.99</v>
      </c>
      <c r="G3038">
        <v>0.2</v>
      </c>
      <c r="H3038">
        <v>119.998</v>
      </c>
      <c r="I3038">
        <f>order_items[[#This Row],[list_price]]-order_items[[#This Row],[Discounted_price]]</f>
        <v>479.99200000000002</v>
      </c>
      <c r="J3038">
        <f>VLOOKUP(B3038, Products!$A$2:$E$100, 3, FALSE)</f>
        <v>5</v>
      </c>
      <c r="K3038">
        <f>VLOOKUP(B3038, Products!$A$2:$F$100, 4, FALSE)</f>
        <v>6</v>
      </c>
    </row>
    <row r="3039" spans="1:11" x14ac:dyDescent="0.3">
      <c r="A3039">
        <v>1053</v>
      </c>
      <c r="B3039">
        <v>3</v>
      </c>
      <c r="C3039">
        <v>23</v>
      </c>
      <c r="D3039" t="str">
        <f>VLOOKUP(B3039, Products!$A$2:$C$100, 2, FALSE)</f>
        <v>Surly Wednesday Frameset - 2016</v>
      </c>
      <c r="E3039">
        <v>2</v>
      </c>
      <c r="F3039">
        <v>299.99</v>
      </c>
      <c r="G3039">
        <v>0.2</v>
      </c>
      <c r="H3039">
        <v>59.998000000000005</v>
      </c>
      <c r="I3039">
        <f>order_items[[#This Row],[list_price]]-order_items[[#This Row],[Discounted_price]]</f>
        <v>239.99200000000002</v>
      </c>
      <c r="J3039">
        <f>VLOOKUP(B3039, Products!$A$2:$E$100, 3, FALSE)</f>
        <v>8</v>
      </c>
      <c r="K3039">
        <f>VLOOKUP(B3039, Products!$A$2:$F$100, 4, FALSE)</f>
        <v>6</v>
      </c>
    </row>
    <row r="3040" spans="1:11" x14ac:dyDescent="0.3">
      <c r="A3040">
        <v>1053</v>
      </c>
      <c r="B3040">
        <v>4</v>
      </c>
      <c r="C3040">
        <v>68</v>
      </c>
      <c r="D3040" t="str">
        <f>VLOOKUP(B3040, Products!$A$2:$C$100, 2, FALSE)</f>
        <v>Trek Fuel EX 8 29 - 2016</v>
      </c>
      <c r="E3040">
        <v>1</v>
      </c>
      <c r="F3040">
        <v>449.99</v>
      </c>
      <c r="G3040">
        <v>0.1</v>
      </c>
      <c r="H3040">
        <v>44.999000000000002</v>
      </c>
      <c r="I3040">
        <f>order_items[[#This Row],[list_price]]-order_items[[#This Row],[Discounted_price]]</f>
        <v>404.99099999999999</v>
      </c>
      <c r="J3040">
        <f>VLOOKUP(B3040, Products!$A$2:$E$100, 3, FALSE)</f>
        <v>9</v>
      </c>
      <c r="K3040">
        <f>VLOOKUP(B3040, Products!$A$2:$F$100, 4, FALSE)</f>
        <v>6</v>
      </c>
    </row>
    <row r="3041" spans="1:11" x14ac:dyDescent="0.3">
      <c r="A3041">
        <v>1053</v>
      </c>
      <c r="B3041">
        <v>5</v>
      </c>
      <c r="C3041">
        <v>73</v>
      </c>
      <c r="D3041" t="str">
        <f>VLOOKUP(B3041, Products!$A$2:$C$100, 2, FALSE)</f>
        <v>Heller Shagamaw Frame - 2016</v>
      </c>
      <c r="E3041">
        <v>2</v>
      </c>
      <c r="F3041">
        <v>749.99</v>
      </c>
      <c r="G3041">
        <v>0.05</v>
      </c>
      <c r="H3041">
        <v>37.499500000000005</v>
      </c>
      <c r="I3041">
        <f>order_items[[#This Row],[list_price]]-order_items[[#This Row],[Discounted_price]]</f>
        <v>712.4905</v>
      </c>
      <c r="J3041">
        <f>VLOOKUP(B3041, Products!$A$2:$E$100, 3, FALSE)</f>
        <v>3</v>
      </c>
      <c r="K3041">
        <f>VLOOKUP(B3041, Products!$A$2:$F$100, 4, FALSE)</f>
        <v>6</v>
      </c>
    </row>
    <row r="3042" spans="1:11" x14ac:dyDescent="0.3">
      <c r="A3042">
        <v>1054</v>
      </c>
      <c r="B3042">
        <v>1</v>
      </c>
      <c r="C3042">
        <v>36</v>
      </c>
      <c r="D3042" t="str">
        <f>VLOOKUP(B3042, Products!$A$2:$C$100, 2, FALSE)</f>
        <v>Trek 820 - 2016</v>
      </c>
      <c r="E3042">
        <v>2</v>
      </c>
      <c r="F3042">
        <v>832.99</v>
      </c>
      <c r="G3042">
        <v>0.1</v>
      </c>
      <c r="H3042">
        <v>83.299000000000007</v>
      </c>
      <c r="I3042">
        <f>order_items[[#This Row],[list_price]]-order_items[[#This Row],[Discounted_price]]</f>
        <v>749.69100000000003</v>
      </c>
      <c r="J3042">
        <f>VLOOKUP(B3042, Products!$A$2:$E$100, 3, FALSE)</f>
        <v>9</v>
      </c>
      <c r="K3042">
        <f>VLOOKUP(B3042, Products!$A$2:$F$100, 4, FALSE)</f>
        <v>6</v>
      </c>
    </row>
    <row r="3043" spans="1:11" x14ac:dyDescent="0.3">
      <c r="A3043">
        <v>1054</v>
      </c>
      <c r="B3043">
        <v>2</v>
      </c>
      <c r="C3043">
        <v>16</v>
      </c>
      <c r="D3043" t="str">
        <f>VLOOKUP(B3043, Products!$A$2:$C$100, 2, FALSE)</f>
        <v>Ritchey Timberwolf Frameset - 2016</v>
      </c>
      <c r="E3043">
        <v>1</v>
      </c>
      <c r="F3043">
        <v>599.99</v>
      </c>
      <c r="G3043">
        <v>0.05</v>
      </c>
      <c r="H3043">
        <v>29.999500000000001</v>
      </c>
      <c r="I3043">
        <f>order_items[[#This Row],[list_price]]-order_items[[#This Row],[Discounted_price]]</f>
        <v>569.9905</v>
      </c>
      <c r="J3043">
        <f>VLOOKUP(B3043, Products!$A$2:$E$100, 3, FALSE)</f>
        <v>5</v>
      </c>
      <c r="K3043">
        <f>VLOOKUP(B3043, Products!$A$2:$F$100, 4, FALSE)</f>
        <v>6</v>
      </c>
    </row>
    <row r="3044" spans="1:11" x14ac:dyDescent="0.3">
      <c r="A3044">
        <v>1055</v>
      </c>
      <c r="B3044">
        <v>1</v>
      </c>
      <c r="C3044">
        <v>43</v>
      </c>
      <c r="D3044" t="str">
        <f>VLOOKUP(B3044, Products!$A$2:$C$100, 2, FALSE)</f>
        <v>Trek 820 - 2016</v>
      </c>
      <c r="E3044">
        <v>2</v>
      </c>
      <c r="F3044">
        <v>5299.99</v>
      </c>
      <c r="G3044">
        <v>7.0000000000000007E-2</v>
      </c>
      <c r="H3044">
        <v>370.99930000000001</v>
      </c>
      <c r="I3044">
        <f>order_items[[#This Row],[list_price]]-order_items[[#This Row],[Discounted_price]]</f>
        <v>4928.9906999999994</v>
      </c>
      <c r="J3044">
        <f>VLOOKUP(B3044, Products!$A$2:$E$100, 3, FALSE)</f>
        <v>9</v>
      </c>
      <c r="K3044">
        <f>VLOOKUP(B3044, Products!$A$2:$F$100, 4, FALSE)</f>
        <v>6</v>
      </c>
    </row>
    <row r="3045" spans="1:11" x14ac:dyDescent="0.3">
      <c r="A3045">
        <v>1055</v>
      </c>
      <c r="B3045">
        <v>2</v>
      </c>
      <c r="C3045">
        <v>101</v>
      </c>
      <c r="D3045" t="str">
        <f>VLOOKUP(B3045, Products!$A$2:$C$100, 2, FALSE)</f>
        <v>Ritchey Timberwolf Frameset - 2016</v>
      </c>
      <c r="E3045">
        <v>2</v>
      </c>
      <c r="F3045">
        <v>339.99</v>
      </c>
      <c r="G3045">
        <v>0.2</v>
      </c>
      <c r="H3045">
        <v>67.998000000000005</v>
      </c>
      <c r="I3045">
        <f>order_items[[#This Row],[list_price]]-order_items[[#This Row],[Discounted_price]]</f>
        <v>271.99200000000002</v>
      </c>
      <c r="J3045">
        <f>VLOOKUP(B3045, Products!$A$2:$E$100, 3, FALSE)</f>
        <v>5</v>
      </c>
      <c r="K3045">
        <f>VLOOKUP(B3045, Products!$A$2:$F$100, 4, FALSE)</f>
        <v>6</v>
      </c>
    </row>
    <row r="3046" spans="1:11" x14ac:dyDescent="0.3">
      <c r="A3046">
        <v>1055</v>
      </c>
      <c r="B3046">
        <v>3</v>
      </c>
      <c r="C3046">
        <v>12</v>
      </c>
      <c r="D3046" t="str">
        <f>VLOOKUP(B3046, Products!$A$2:$C$100, 2, FALSE)</f>
        <v>Surly Wednesday Frameset - 2016</v>
      </c>
      <c r="E3046">
        <v>2</v>
      </c>
      <c r="F3046">
        <v>549.99</v>
      </c>
      <c r="G3046">
        <v>0.1</v>
      </c>
      <c r="H3046">
        <v>54.999000000000002</v>
      </c>
      <c r="I3046">
        <f>order_items[[#This Row],[list_price]]-order_items[[#This Row],[Discounted_price]]</f>
        <v>494.99099999999999</v>
      </c>
      <c r="J3046">
        <f>VLOOKUP(B3046, Products!$A$2:$E$100, 3, FALSE)</f>
        <v>8</v>
      </c>
      <c r="K3046">
        <f>VLOOKUP(B3046, Products!$A$2:$F$100, 4, FALSE)</f>
        <v>6</v>
      </c>
    </row>
    <row r="3047" spans="1:11" x14ac:dyDescent="0.3">
      <c r="A3047">
        <v>1055</v>
      </c>
      <c r="B3047">
        <v>4</v>
      </c>
      <c r="C3047">
        <v>83</v>
      </c>
      <c r="D3047" t="str">
        <f>VLOOKUP(B3047, Products!$A$2:$C$100, 2, FALSE)</f>
        <v>Trek Fuel EX 8 29 - 2016</v>
      </c>
      <c r="E3047">
        <v>2</v>
      </c>
      <c r="F3047">
        <v>149.99</v>
      </c>
      <c r="G3047">
        <v>0.1</v>
      </c>
      <c r="H3047">
        <v>14.999000000000002</v>
      </c>
      <c r="I3047">
        <f>order_items[[#This Row],[list_price]]-order_items[[#This Row],[Discounted_price]]</f>
        <v>134.99100000000001</v>
      </c>
      <c r="J3047">
        <f>VLOOKUP(B3047, Products!$A$2:$E$100, 3, FALSE)</f>
        <v>9</v>
      </c>
      <c r="K3047">
        <f>VLOOKUP(B3047, Products!$A$2:$F$100, 4, FALSE)</f>
        <v>6</v>
      </c>
    </row>
    <row r="3048" spans="1:11" x14ac:dyDescent="0.3">
      <c r="A3048">
        <v>1055</v>
      </c>
      <c r="B3048">
        <v>5</v>
      </c>
      <c r="C3048">
        <v>60</v>
      </c>
      <c r="D3048" t="str">
        <f>VLOOKUP(B3048, Products!$A$2:$C$100, 2, FALSE)</f>
        <v>Heller Shagamaw Frame - 2016</v>
      </c>
      <c r="E3048">
        <v>1</v>
      </c>
      <c r="F3048">
        <v>1559.99</v>
      </c>
      <c r="G3048">
        <v>0.2</v>
      </c>
      <c r="H3048">
        <v>311.99800000000005</v>
      </c>
      <c r="I3048">
        <f>order_items[[#This Row],[list_price]]-order_items[[#This Row],[Discounted_price]]</f>
        <v>1247.992</v>
      </c>
      <c r="J3048">
        <f>VLOOKUP(B3048, Products!$A$2:$E$100, 3, FALSE)</f>
        <v>3</v>
      </c>
      <c r="K3048">
        <f>VLOOKUP(B3048, Products!$A$2:$F$100, 4, FALSE)</f>
        <v>6</v>
      </c>
    </row>
    <row r="3049" spans="1:11" x14ac:dyDescent="0.3">
      <c r="A3049">
        <v>1056</v>
      </c>
      <c r="B3049">
        <v>1</v>
      </c>
      <c r="C3049">
        <v>3</v>
      </c>
      <c r="D3049" t="str">
        <f>VLOOKUP(B3049, Products!$A$2:$C$100, 2, FALSE)</f>
        <v>Trek 820 - 2016</v>
      </c>
      <c r="E3049">
        <v>1</v>
      </c>
      <c r="F3049">
        <v>999.99</v>
      </c>
      <c r="G3049">
        <v>0.05</v>
      </c>
      <c r="H3049">
        <v>49.999500000000005</v>
      </c>
      <c r="I3049">
        <f>order_items[[#This Row],[list_price]]-order_items[[#This Row],[Discounted_price]]</f>
        <v>949.9905</v>
      </c>
      <c r="J3049">
        <f>VLOOKUP(B3049, Products!$A$2:$E$100, 3, FALSE)</f>
        <v>9</v>
      </c>
      <c r="K3049">
        <f>VLOOKUP(B3049, Products!$A$2:$F$100, 4, FALSE)</f>
        <v>6</v>
      </c>
    </row>
    <row r="3050" spans="1:11" x14ac:dyDescent="0.3">
      <c r="A3050">
        <v>1057</v>
      </c>
      <c r="B3050">
        <v>1</v>
      </c>
      <c r="C3050">
        <v>105</v>
      </c>
      <c r="D3050" t="str">
        <f>VLOOKUP(B3050, Products!$A$2:$C$100, 2, FALSE)</f>
        <v>Trek 820 - 2016</v>
      </c>
      <c r="E3050">
        <v>1</v>
      </c>
      <c r="F3050">
        <v>533.99</v>
      </c>
      <c r="G3050">
        <v>0.2</v>
      </c>
      <c r="H3050">
        <v>106.798</v>
      </c>
      <c r="I3050">
        <f>order_items[[#This Row],[list_price]]-order_items[[#This Row],[Discounted_price]]</f>
        <v>427.19200000000001</v>
      </c>
      <c r="J3050">
        <f>VLOOKUP(B3050, Products!$A$2:$E$100, 3, FALSE)</f>
        <v>9</v>
      </c>
      <c r="K3050">
        <f>VLOOKUP(B3050, Products!$A$2:$F$100, 4, FALSE)</f>
        <v>6</v>
      </c>
    </row>
    <row r="3051" spans="1:11" x14ac:dyDescent="0.3">
      <c r="A3051">
        <v>1057</v>
      </c>
      <c r="B3051">
        <v>2</v>
      </c>
      <c r="C3051">
        <v>97</v>
      </c>
      <c r="D3051" t="str">
        <f>VLOOKUP(B3051, Products!$A$2:$C$100, 2, FALSE)</f>
        <v>Ritchey Timberwolf Frameset - 2016</v>
      </c>
      <c r="E3051">
        <v>1</v>
      </c>
      <c r="F3051">
        <v>349.99</v>
      </c>
      <c r="G3051">
        <v>0.05</v>
      </c>
      <c r="H3051">
        <v>17.499500000000001</v>
      </c>
      <c r="I3051">
        <f>order_items[[#This Row],[list_price]]-order_items[[#This Row],[Discounted_price]]</f>
        <v>332.4905</v>
      </c>
      <c r="J3051">
        <f>VLOOKUP(B3051, Products!$A$2:$E$100, 3, FALSE)</f>
        <v>5</v>
      </c>
      <c r="K3051">
        <f>VLOOKUP(B3051, Products!$A$2:$F$100, 4, FALSE)</f>
        <v>6</v>
      </c>
    </row>
    <row r="3052" spans="1:11" x14ac:dyDescent="0.3">
      <c r="A3052">
        <v>1057</v>
      </c>
      <c r="B3052">
        <v>3</v>
      </c>
      <c r="C3052">
        <v>98</v>
      </c>
      <c r="D3052" t="str">
        <f>VLOOKUP(B3052, Products!$A$2:$C$100, 2, FALSE)</f>
        <v>Surly Wednesday Frameset - 2016</v>
      </c>
      <c r="E3052">
        <v>2</v>
      </c>
      <c r="F3052">
        <v>489.99</v>
      </c>
      <c r="G3052">
        <v>0.05</v>
      </c>
      <c r="H3052">
        <v>24.499500000000001</v>
      </c>
      <c r="I3052">
        <f>order_items[[#This Row],[list_price]]-order_items[[#This Row],[Discounted_price]]</f>
        <v>465.4905</v>
      </c>
      <c r="J3052">
        <f>VLOOKUP(B3052, Products!$A$2:$E$100, 3, FALSE)</f>
        <v>8</v>
      </c>
      <c r="K3052">
        <f>VLOOKUP(B3052, Products!$A$2:$F$100, 4, FALSE)</f>
        <v>6</v>
      </c>
    </row>
    <row r="3053" spans="1:11" x14ac:dyDescent="0.3">
      <c r="A3053">
        <v>1058</v>
      </c>
      <c r="B3053">
        <v>1</v>
      </c>
      <c r="C3053">
        <v>43</v>
      </c>
      <c r="D3053" t="str">
        <f>VLOOKUP(B3053, Products!$A$2:$C$100, 2, FALSE)</f>
        <v>Trek 820 - 2016</v>
      </c>
      <c r="E3053">
        <v>1</v>
      </c>
      <c r="F3053">
        <v>5299.99</v>
      </c>
      <c r="G3053">
        <v>0.1</v>
      </c>
      <c r="H3053">
        <v>529.99900000000002</v>
      </c>
      <c r="I3053">
        <f>order_items[[#This Row],[list_price]]-order_items[[#This Row],[Discounted_price]]</f>
        <v>4769.991</v>
      </c>
      <c r="J3053">
        <f>VLOOKUP(B3053, Products!$A$2:$E$100, 3, FALSE)</f>
        <v>9</v>
      </c>
      <c r="K3053">
        <f>VLOOKUP(B3053, Products!$A$2:$F$100, 4, FALSE)</f>
        <v>6</v>
      </c>
    </row>
    <row r="3054" spans="1:11" x14ac:dyDescent="0.3">
      <c r="A3054">
        <v>1058</v>
      </c>
      <c r="B3054">
        <v>2</v>
      </c>
      <c r="C3054">
        <v>29</v>
      </c>
      <c r="D3054" t="str">
        <f>VLOOKUP(B3054, Products!$A$2:$C$100, 2, FALSE)</f>
        <v>Ritchey Timberwolf Frameset - 2016</v>
      </c>
      <c r="E3054">
        <v>2</v>
      </c>
      <c r="F3054">
        <v>999.99</v>
      </c>
      <c r="G3054">
        <v>0.05</v>
      </c>
      <c r="H3054">
        <v>49.999500000000005</v>
      </c>
      <c r="I3054">
        <f>order_items[[#This Row],[list_price]]-order_items[[#This Row],[Discounted_price]]</f>
        <v>949.9905</v>
      </c>
      <c r="J3054">
        <f>VLOOKUP(B3054, Products!$A$2:$E$100, 3, FALSE)</f>
        <v>5</v>
      </c>
      <c r="K3054">
        <f>VLOOKUP(B3054, Products!$A$2:$F$100, 4, FALSE)</f>
        <v>6</v>
      </c>
    </row>
    <row r="3055" spans="1:11" x14ac:dyDescent="0.3">
      <c r="A3055">
        <v>1058</v>
      </c>
      <c r="B3055">
        <v>3</v>
      </c>
      <c r="C3055">
        <v>103</v>
      </c>
      <c r="D3055" t="str">
        <f>VLOOKUP(B3055, Products!$A$2:$C$100, 2, FALSE)</f>
        <v>Surly Wednesday Frameset - 2016</v>
      </c>
      <c r="E3055">
        <v>1</v>
      </c>
      <c r="F3055">
        <v>551.99</v>
      </c>
      <c r="G3055">
        <v>7.0000000000000007E-2</v>
      </c>
      <c r="H3055">
        <v>38.639300000000006</v>
      </c>
      <c r="I3055">
        <f>order_items[[#This Row],[list_price]]-order_items[[#This Row],[Discounted_price]]</f>
        <v>513.35069999999996</v>
      </c>
      <c r="J3055">
        <f>VLOOKUP(B3055, Products!$A$2:$E$100, 3, FALSE)</f>
        <v>8</v>
      </c>
      <c r="K3055">
        <f>VLOOKUP(B3055, Products!$A$2:$F$100, 4, FALSE)</f>
        <v>6</v>
      </c>
    </row>
    <row r="3056" spans="1:11" x14ac:dyDescent="0.3">
      <c r="A3056">
        <v>1059</v>
      </c>
      <c r="B3056">
        <v>1</v>
      </c>
      <c r="C3056">
        <v>46</v>
      </c>
      <c r="D3056" t="str">
        <f>VLOOKUP(B3056, Products!$A$2:$C$100, 2, FALSE)</f>
        <v>Trek 820 - 2016</v>
      </c>
      <c r="E3056">
        <v>2</v>
      </c>
      <c r="F3056">
        <v>1409.99</v>
      </c>
      <c r="G3056">
        <v>0.05</v>
      </c>
      <c r="H3056">
        <v>70.499499999999998</v>
      </c>
      <c r="I3056">
        <f>order_items[[#This Row],[list_price]]-order_items[[#This Row],[Discounted_price]]</f>
        <v>1339.4905000000001</v>
      </c>
      <c r="J3056">
        <f>VLOOKUP(B3056, Products!$A$2:$E$100, 3, FALSE)</f>
        <v>9</v>
      </c>
      <c r="K3056">
        <f>VLOOKUP(B3056, Products!$A$2:$F$100, 4, FALSE)</f>
        <v>6</v>
      </c>
    </row>
    <row r="3057" spans="1:11" x14ac:dyDescent="0.3">
      <c r="A3057">
        <v>1059</v>
      </c>
      <c r="B3057">
        <v>2</v>
      </c>
      <c r="C3057">
        <v>7</v>
      </c>
      <c r="D3057" t="str">
        <f>VLOOKUP(B3057, Products!$A$2:$C$100, 2, FALSE)</f>
        <v>Ritchey Timberwolf Frameset - 2016</v>
      </c>
      <c r="E3057">
        <v>1</v>
      </c>
      <c r="F3057">
        <v>3999.99</v>
      </c>
      <c r="G3057">
        <v>0.1</v>
      </c>
      <c r="H3057">
        <v>399.99900000000002</v>
      </c>
      <c r="I3057">
        <f>order_items[[#This Row],[list_price]]-order_items[[#This Row],[Discounted_price]]</f>
        <v>3599.991</v>
      </c>
      <c r="J3057">
        <f>VLOOKUP(B3057, Products!$A$2:$E$100, 3, FALSE)</f>
        <v>5</v>
      </c>
      <c r="K3057">
        <f>VLOOKUP(B3057, Products!$A$2:$F$100, 4, FALSE)</f>
        <v>6</v>
      </c>
    </row>
    <row r="3058" spans="1:11" x14ac:dyDescent="0.3">
      <c r="A3058">
        <v>1059</v>
      </c>
      <c r="B3058">
        <v>3</v>
      </c>
      <c r="C3058">
        <v>13</v>
      </c>
      <c r="D3058" t="str">
        <f>VLOOKUP(B3058, Products!$A$2:$C$100, 2, FALSE)</f>
        <v>Surly Wednesday Frameset - 2016</v>
      </c>
      <c r="E3058">
        <v>1</v>
      </c>
      <c r="F3058">
        <v>269.99</v>
      </c>
      <c r="G3058">
        <v>7.0000000000000007E-2</v>
      </c>
      <c r="H3058">
        <v>18.899300000000004</v>
      </c>
      <c r="I3058">
        <f>order_items[[#This Row],[list_price]]-order_items[[#This Row],[Discounted_price]]</f>
        <v>251.0907</v>
      </c>
      <c r="J3058">
        <f>VLOOKUP(B3058, Products!$A$2:$E$100, 3, FALSE)</f>
        <v>8</v>
      </c>
      <c r="K3058">
        <f>VLOOKUP(B3058, Products!$A$2:$F$100, 4, FALSE)</f>
        <v>6</v>
      </c>
    </row>
    <row r="3059" spans="1:11" x14ac:dyDescent="0.3">
      <c r="A3059">
        <v>1060</v>
      </c>
      <c r="B3059">
        <v>1</v>
      </c>
      <c r="C3059">
        <v>7</v>
      </c>
      <c r="D3059" t="str">
        <f>VLOOKUP(B3059, Products!$A$2:$C$100, 2, FALSE)</f>
        <v>Trek 820 - 2016</v>
      </c>
      <c r="E3059">
        <v>1</v>
      </c>
      <c r="F3059">
        <v>3999.99</v>
      </c>
      <c r="G3059">
        <v>7.0000000000000007E-2</v>
      </c>
      <c r="H3059">
        <v>279.99930000000001</v>
      </c>
      <c r="I3059">
        <f>order_items[[#This Row],[list_price]]-order_items[[#This Row],[Discounted_price]]</f>
        <v>3719.9906999999998</v>
      </c>
      <c r="J3059">
        <f>VLOOKUP(B3059, Products!$A$2:$E$100, 3, FALSE)</f>
        <v>9</v>
      </c>
      <c r="K3059">
        <f>VLOOKUP(B3059, Products!$A$2:$F$100, 4, FALSE)</f>
        <v>6</v>
      </c>
    </row>
    <row r="3060" spans="1:11" x14ac:dyDescent="0.3">
      <c r="A3060">
        <v>1060</v>
      </c>
      <c r="B3060">
        <v>2</v>
      </c>
      <c r="C3060">
        <v>11</v>
      </c>
      <c r="D3060" t="str">
        <f>VLOOKUP(B3060, Products!$A$2:$C$100, 2, FALSE)</f>
        <v>Ritchey Timberwolf Frameset - 2016</v>
      </c>
      <c r="E3060">
        <v>2</v>
      </c>
      <c r="F3060">
        <v>1680.99</v>
      </c>
      <c r="G3060">
        <v>7.0000000000000007E-2</v>
      </c>
      <c r="H3060">
        <v>117.66930000000001</v>
      </c>
      <c r="I3060">
        <f>order_items[[#This Row],[list_price]]-order_items[[#This Row],[Discounted_price]]</f>
        <v>1563.3207</v>
      </c>
      <c r="J3060">
        <f>VLOOKUP(B3060, Products!$A$2:$E$100, 3, FALSE)</f>
        <v>5</v>
      </c>
      <c r="K3060">
        <f>VLOOKUP(B3060, Products!$A$2:$F$100, 4, FALSE)</f>
        <v>6</v>
      </c>
    </row>
    <row r="3061" spans="1:11" x14ac:dyDescent="0.3">
      <c r="A3061">
        <v>1060</v>
      </c>
      <c r="B3061">
        <v>3</v>
      </c>
      <c r="C3061">
        <v>61</v>
      </c>
      <c r="D3061" t="str">
        <f>VLOOKUP(B3061, Products!$A$2:$C$100, 2, FALSE)</f>
        <v>Surly Wednesday Frameset - 2016</v>
      </c>
      <c r="E3061">
        <v>2</v>
      </c>
      <c r="F3061">
        <v>4999.99</v>
      </c>
      <c r="G3061">
        <v>0.1</v>
      </c>
      <c r="H3061">
        <v>499.99900000000002</v>
      </c>
      <c r="I3061">
        <f>order_items[[#This Row],[list_price]]-order_items[[#This Row],[Discounted_price]]</f>
        <v>4499.991</v>
      </c>
      <c r="J3061">
        <f>VLOOKUP(B3061, Products!$A$2:$E$100, 3, FALSE)</f>
        <v>8</v>
      </c>
      <c r="K3061">
        <f>VLOOKUP(B3061, Products!$A$2:$F$100, 4, FALSE)</f>
        <v>6</v>
      </c>
    </row>
    <row r="3062" spans="1:11" x14ac:dyDescent="0.3">
      <c r="A3062">
        <v>1060</v>
      </c>
      <c r="B3062">
        <v>4</v>
      </c>
      <c r="C3062">
        <v>30</v>
      </c>
      <c r="D3062" t="str">
        <f>VLOOKUP(B3062, Products!$A$2:$C$100, 2, FALSE)</f>
        <v>Trek Fuel EX 8 29 - 2016</v>
      </c>
      <c r="E3062">
        <v>2</v>
      </c>
      <c r="F3062">
        <v>999.99</v>
      </c>
      <c r="G3062">
        <v>0.05</v>
      </c>
      <c r="H3062">
        <v>49.999500000000005</v>
      </c>
      <c r="I3062">
        <f>order_items[[#This Row],[list_price]]-order_items[[#This Row],[Discounted_price]]</f>
        <v>949.9905</v>
      </c>
      <c r="J3062">
        <f>VLOOKUP(B3062, Products!$A$2:$E$100, 3, FALSE)</f>
        <v>9</v>
      </c>
      <c r="K3062">
        <f>VLOOKUP(B3062, Products!$A$2:$F$100, 4, FALSE)</f>
        <v>6</v>
      </c>
    </row>
    <row r="3063" spans="1:11" x14ac:dyDescent="0.3">
      <c r="A3063">
        <v>1061</v>
      </c>
      <c r="B3063">
        <v>1</v>
      </c>
      <c r="C3063">
        <v>14</v>
      </c>
      <c r="D3063" t="str">
        <f>VLOOKUP(B3063, Products!$A$2:$C$100, 2, FALSE)</f>
        <v>Trek 820 - 2016</v>
      </c>
      <c r="E3063">
        <v>1</v>
      </c>
      <c r="F3063">
        <v>269.99</v>
      </c>
      <c r="G3063">
        <v>7.0000000000000007E-2</v>
      </c>
      <c r="H3063">
        <v>18.899300000000004</v>
      </c>
      <c r="I3063">
        <f>order_items[[#This Row],[list_price]]-order_items[[#This Row],[Discounted_price]]</f>
        <v>251.0907</v>
      </c>
      <c r="J3063">
        <f>VLOOKUP(B3063, Products!$A$2:$E$100, 3, FALSE)</f>
        <v>9</v>
      </c>
      <c r="K3063">
        <f>VLOOKUP(B3063, Products!$A$2:$F$100, 4, FALSE)</f>
        <v>6</v>
      </c>
    </row>
    <row r="3064" spans="1:11" x14ac:dyDescent="0.3">
      <c r="A3064">
        <v>1061</v>
      </c>
      <c r="B3064">
        <v>2</v>
      </c>
      <c r="C3064">
        <v>19</v>
      </c>
      <c r="D3064" t="str">
        <f>VLOOKUP(B3064, Products!$A$2:$C$100, 2, FALSE)</f>
        <v>Ritchey Timberwolf Frameset - 2016</v>
      </c>
      <c r="E3064">
        <v>1</v>
      </c>
      <c r="F3064">
        <v>449</v>
      </c>
      <c r="G3064">
        <v>0.1</v>
      </c>
      <c r="H3064">
        <v>44.900000000000006</v>
      </c>
      <c r="I3064">
        <f>order_items[[#This Row],[list_price]]-order_items[[#This Row],[Discounted_price]]</f>
        <v>404.1</v>
      </c>
      <c r="J3064">
        <f>VLOOKUP(B3064, Products!$A$2:$E$100, 3, FALSE)</f>
        <v>5</v>
      </c>
      <c r="K3064">
        <f>VLOOKUP(B3064, Products!$A$2:$F$100, 4, FALSE)</f>
        <v>6</v>
      </c>
    </row>
    <row r="3065" spans="1:11" x14ac:dyDescent="0.3">
      <c r="A3065">
        <v>1062</v>
      </c>
      <c r="B3065">
        <v>1</v>
      </c>
      <c r="C3065">
        <v>13</v>
      </c>
      <c r="D3065" t="str">
        <f>VLOOKUP(B3065, Products!$A$2:$C$100, 2, FALSE)</f>
        <v>Trek 820 - 2016</v>
      </c>
      <c r="E3065">
        <v>1</v>
      </c>
      <c r="F3065">
        <v>269.99</v>
      </c>
      <c r="G3065">
        <v>0.05</v>
      </c>
      <c r="H3065">
        <v>13.499500000000001</v>
      </c>
      <c r="I3065">
        <f>order_items[[#This Row],[list_price]]-order_items[[#This Row],[Discounted_price]]</f>
        <v>256.4905</v>
      </c>
      <c r="J3065">
        <f>VLOOKUP(B3065, Products!$A$2:$E$100, 3, FALSE)</f>
        <v>9</v>
      </c>
      <c r="K3065">
        <f>VLOOKUP(B3065, Products!$A$2:$F$100, 4, FALSE)</f>
        <v>6</v>
      </c>
    </row>
    <row r="3066" spans="1:11" x14ac:dyDescent="0.3">
      <c r="A3066">
        <v>1062</v>
      </c>
      <c r="B3066">
        <v>2</v>
      </c>
      <c r="C3066">
        <v>111</v>
      </c>
      <c r="D3066" t="str">
        <f>VLOOKUP(B3066, Products!$A$2:$C$100, 2, FALSE)</f>
        <v>Ritchey Timberwolf Frameset - 2016</v>
      </c>
      <c r="E3066">
        <v>2</v>
      </c>
      <c r="F3066">
        <v>470.99</v>
      </c>
      <c r="G3066">
        <v>0.2</v>
      </c>
      <c r="H3066">
        <v>94.198000000000008</v>
      </c>
      <c r="I3066">
        <f>order_items[[#This Row],[list_price]]-order_items[[#This Row],[Discounted_price]]</f>
        <v>376.79200000000003</v>
      </c>
      <c r="J3066">
        <f>VLOOKUP(B3066, Products!$A$2:$E$100, 3, FALSE)</f>
        <v>5</v>
      </c>
      <c r="K3066">
        <f>VLOOKUP(B3066, Products!$A$2:$F$100, 4, FALSE)</f>
        <v>6</v>
      </c>
    </row>
    <row r="3067" spans="1:11" x14ac:dyDescent="0.3">
      <c r="A3067">
        <v>1062</v>
      </c>
      <c r="B3067">
        <v>3</v>
      </c>
      <c r="C3067">
        <v>5</v>
      </c>
      <c r="D3067" t="str">
        <f>VLOOKUP(B3067, Products!$A$2:$C$100, 2, FALSE)</f>
        <v>Surly Wednesday Frameset - 2016</v>
      </c>
      <c r="E3067">
        <v>1</v>
      </c>
      <c r="F3067">
        <v>1320.99</v>
      </c>
      <c r="G3067">
        <v>0.05</v>
      </c>
      <c r="H3067">
        <v>66.049500000000009</v>
      </c>
      <c r="I3067">
        <f>order_items[[#This Row],[list_price]]-order_items[[#This Row],[Discounted_price]]</f>
        <v>1254.9404999999999</v>
      </c>
      <c r="J3067">
        <f>VLOOKUP(B3067, Products!$A$2:$E$100, 3, FALSE)</f>
        <v>8</v>
      </c>
      <c r="K3067">
        <f>VLOOKUP(B3067, Products!$A$2:$F$100, 4, FALSE)</f>
        <v>6</v>
      </c>
    </row>
    <row r="3068" spans="1:11" x14ac:dyDescent="0.3">
      <c r="A3068">
        <v>1062</v>
      </c>
      <c r="B3068">
        <v>4</v>
      </c>
      <c r="C3068">
        <v>12</v>
      </c>
      <c r="D3068" t="str">
        <f>VLOOKUP(B3068, Products!$A$2:$C$100, 2, FALSE)</f>
        <v>Trek Fuel EX 8 29 - 2016</v>
      </c>
      <c r="E3068">
        <v>1</v>
      </c>
      <c r="F3068">
        <v>549.99</v>
      </c>
      <c r="G3068">
        <v>0.2</v>
      </c>
      <c r="H3068">
        <v>109.998</v>
      </c>
      <c r="I3068">
        <f>order_items[[#This Row],[list_price]]-order_items[[#This Row],[Discounted_price]]</f>
        <v>439.99200000000002</v>
      </c>
      <c r="J3068">
        <f>VLOOKUP(B3068, Products!$A$2:$E$100, 3, FALSE)</f>
        <v>9</v>
      </c>
      <c r="K3068">
        <f>VLOOKUP(B3068, Products!$A$2:$F$100, 4, FALSE)</f>
        <v>6</v>
      </c>
    </row>
    <row r="3069" spans="1:11" x14ac:dyDescent="0.3">
      <c r="A3069">
        <v>1063</v>
      </c>
      <c r="B3069">
        <v>1</v>
      </c>
      <c r="C3069">
        <v>33</v>
      </c>
      <c r="D3069" t="str">
        <f>VLOOKUP(B3069, Products!$A$2:$C$100, 2, FALSE)</f>
        <v>Trek 820 - 2016</v>
      </c>
      <c r="E3069">
        <v>2</v>
      </c>
      <c r="F3069">
        <v>469.99</v>
      </c>
      <c r="G3069">
        <v>0.1</v>
      </c>
      <c r="H3069">
        <v>46.999000000000002</v>
      </c>
      <c r="I3069">
        <f>order_items[[#This Row],[list_price]]-order_items[[#This Row],[Discounted_price]]</f>
        <v>422.99099999999999</v>
      </c>
      <c r="J3069">
        <f>VLOOKUP(B3069, Products!$A$2:$E$100, 3, FALSE)</f>
        <v>9</v>
      </c>
      <c r="K3069">
        <f>VLOOKUP(B3069, Products!$A$2:$F$100, 4, FALSE)</f>
        <v>6</v>
      </c>
    </row>
    <row r="3070" spans="1:11" x14ac:dyDescent="0.3">
      <c r="A3070">
        <v>1063</v>
      </c>
      <c r="B3070">
        <v>2</v>
      </c>
      <c r="C3070">
        <v>100</v>
      </c>
      <c r="D3070" t="str">
        <f>VLOOKUP(B3070, Products!$A$2:$C$100, 2, FALSE)</f>
        <v>Ritchey Timberwolf Frameset - 2016</v>
      </c>
      <c r="E3070">
        <v>2</v>
      </c>
      <c r="F3070">
        <v>489.99</v>
      </c>
      <c r="G3070">
        <v>7.0000000000000007E-2</v>
      </c>
      <c r="H3070">
        <v>34.299300000000002</v>
      </c>
      <c r="I3070">
        <f>order_items[[#This Row],[list_price]]-order_items[[#This Row],[Discounted_price]]</f>
        <v>455.69069999999999</v>
      </c>
      <c r="J3070">
        <f>VLOOKUP(B3070, Products!$A$2:$E$100, 3, FALSE)</f>
        <v>5</v>
      </c>
      <c r="K3070">
        <f>VLOOKUP(B3070, Products!$A$2:$F$100, 4, FALSE)</f>
        <v>6</v>
      </c>
    </row>
    <row r="3071" spans="1:11" x14ac:dyDescent="0.3">
      <c r="A3071">
        <v>1063</v>
      </c>
      <c r="B3071">
        <v>3</v>
      </c>
      <c r="C3071">
        <v>72</v>
      </c>
      <c r="D3071" t="str">
        <f>VLOOKUP(B3071, Products!$A$2:$C$100, 2, FALSE)</f>
        <v>Surly Wednesday Frameset - 2016</v>
      </c>
      <c r="E3071">
        <v>2</v>
      </c>
      <c r="F3071">
        <v>619.99</v>
      </c>
      <c r="G3071">
        <v>0.2</v>
      </c>
      <c r="H3071">
        <v>123.998</v>
      </c>
      <c r="I3071">
        <f>order_items[[#This Row],[list_price]]-order_items[[#This Row],[Discounted_price]]</f>
        <v>495.99200000000002</v>
      </c>
      <c r="J3071">
        <f>VLOOKUP(B3071, Products!$A$2:$E$100, 3, FALSE)</f>
        <v>8</v>
      </c>
      <c r="K3071">
        <f>VLOOKUP(B3071, Products!$A$2:$F$100, 4, FALSE)</f>
        <v>6</v>
      </c>
    </row>
    <row r="3072" spans="1:11" x14ac:dyDescent="0.3">
      <c r="A3072">
        <v>1064</v>
      </c>
      <c r="B3072">
        <v>1</v>
      </c>
      <c r="C3072">
        <v>18</v>
      </c>
      <c r="D3072" t="str">
        <f>VLOOKUP(B3072, Products!$A$2:$C$100, 2, FALSE)</f>
        <v>Trek 820 - 2016</v>
      </c>
      <c r="E3072">
        <v>1</v>
      </c>
      <c r="F3072">
        <v>449</v>
      </c>
      <c r="G3072">
        <v>7.0000000000000007E-2</v>
      </c>
      <c r="H3072">
        <v>31.430000000000003</v>
      </c>
      <c r="I3072">
        <f>order_items[[#This Row],[list_price]]-order_items[[#This Row],[Discounted_price]]</f>
        <v>417.57</v>
      </c>
      <c r="J3072">
        <f>VLOOKUP(B3072, Products!$A$2:$E$100, 3, FALSE)</f>
        <v>9</v>
      </c>
      <c r="K3072">
        <f>VLOOKUP(B3072, Products!$A$2:$F$100, 4, FALSE)</f>
        <v>6</v>
      </c>
    </row>
    <row r="3073" spans="1:11" x14ac:dyDescent="0.3">
      <c r="A3073">
        <v>1064</v>
      </c>
      <c r="B3073">
        <v>2</v>
      </c>
      <c r="C3073">
        <v>49</v>
      </c>
      <c r="D3073" t="str">
        <f>VLOOKUP(B3073, Products!$A$2:$C$100, 2, FALSE)</f>
        <v>Ritchey Timberwolf Frameset - 2016</v>
      </c>
      <c r="E3073">
        <v>1</v>
      </c>
      <c r="F3073">
        <v>3499.99</v>
      </c>
      <c r="G3073">
        <v>0.1</v>
      </c>
      <c r="H3073">
        <v>349.99900000000002</v>
      </c>
      <c r="I3073">
        <f>order_items[[#This Row],[list_price]]-order_items[[#This Row],[Discounted_price]]</f>
        <v>3149.991</v>
      </c>
      <c r="J3073">
        <f>VLOOKUP(B3073, Products!$A$2:$E$100, 3, FALSE)</f>
        <v>5</v>
      </c>
      <c r="K3073">
        <f>VLOOKUP(B3073, Products!$A$2:$F$100, 4, FALSE)</f>
        <v>6</v>
      </c>
    </row>
    <row r="3074" spans="1:11" x14ac:dyDescent="0.3">
      <c r="A3074">
        <v>1065</v>
      </c>
      <c r="B3074">
        <v>1</v>
      </c>
      <c r="C3074">
        <v>48</v>
      </c>
      <c r="D3074" t="str">
        <f>VLOOKUP(B3074, Products!$A$2:$C$100, 2, FALSE)</f>
        <v>Trek 820 - 2016</v>
      </c>
      <c r="E3074">
        <v>2</v>
      </c>
      <c r="F3074">
        <v>1499.99</v>
      </c>
      <c r="G3074">
        <v>7.0000000000000007E-2</v>
      </c>
      <c r="H3074">
        <v>104.99930000000001</v>
      </c>
      <c r="I3074">
        <f>order_items[[#This Row],[list_price]]-order_items[[#This Row],[Discounted_price]]</f>
        <v>1394.9907000000001</v>
      </c>
      <c r="J3074">
        <f>VLOOKUP(B3074, Products!$A$2:$E$100, 3, FALSE)</f>
        <v>9</v>
      </c>
      <c r="K3074">
        <f>VLOOKUP(B3074, Products!$A$2:$F$100, 4, FALSE)</f>
        <v>6</v>
      </c>
    </row>
    <row r="3075" spans="1:11" x14ac:dyDescent="0.3">
      <c r="A3075">
        <v>1065</v>
      </c>
      <c r="B3075">
        <v>2</v>
      </c>
      <c r="C3075">
        <v>103</v>
      </c>
      <c r="D3075" t="str">
        <f>VLOOKUP(B3075, Products!$A$2:$C$100, 2, FALSE)</f>
        <v>Ritchey Timberwolf Frameset - 2016</v>
      </c>
      <c r="E3075">
        <v>2</v>
      </c>
      <c r="F3075">
        <v>551.99</v>
      </c>
      <c r="G3075">
        <v>0.05</v>
      </c>
      <c r="H3075">
        <v>27.599500000000003</v>
      </c>
      <c r="I3075">
        <f>order_items[[#This Row],[list_price]]-order_items[[#This Row],[Discounted_price]]</f>
        <v>524.39049999999997</v>
      </c>
      <c r="J3075">
        <f>VLOOKUP(B3075, Products!$A$2:$E$100, 3, FALSE)</f>
        <v>5</v>
      </c>
      <c r="K3075">
        <f>VLOOKUP(B3075, Products!$A$2:$F$100, 4, FALSE)</f>
        <v>6</v>
      </c>
    </row>
    <row r="3076" spans="1:11" x14ac:dyDescent="0.3">
      <c r="A3076">
        <v>1065</v>
      </c>
      <c r="B3076">
        <v>3</v>
      </c>
      <c r="C3076">
        <v>63</v>
      </c>
      <c r="D3076" t="str">
        <f>VLOOKUP(B3076, Products!$A$2:$C$100, 2, FALSE)</f>
        <v>Surly Wednesday Frameset - 2016</v>
      </c>
      <c r="E3076">
        <v>1</v>
      </c>
      <c r="F3076">
        <v>3499.99</v>
      </c>
      <c r="G3076">
        <v>7.0000000000000007E-2</v>
      </c>
      <c r="H3076">
        <v>244.99930000000001</v>
      </c>
      <c r="I3076">
        <f>order_items[[#This Row],[list_price]]-order_items[[#This Row],[Discounted_price]]</f>
        <v>3254.9906999999998</v>
      </c>
      <c r="J3076">
        <f>VLOOKUP(B3076, Products!$A$2:$E$100, 3, FALSE)</f>
        <v>8</v>
      </c>
      <c r="K3076">
        <f>VLOOKUP(B3076, Products!$A$2:$F$100, 4, FALSE)</f>
        <v>6</v>
      </c>
    </row>
    <row r="3077" spans="1:11" x14ac:dyDescent="0.3">
      <c r="A3077">
        <v>1066</v>
      </c>
      <c r="B3077">
        <v>1</v>
      </c>
      <c r="C3077">
        <v>15</v>
      </c>
      <c r="D3077" t="str">
        <f>VLOOKUP(B3077, Products!$A$2:$C$100, 2, FALSE)</f>
        <v>Trek 820 - 2016</v>
      </c>
      <c r="E3077">
        <v>2</v>
      </c>
      <c r="F3077">
        <v>529.99</v>
      </c>
      <c r="G3077">
        <v>0.05</v>
      </c>
      <c r="H3077">
        <v>26.499500000000001</v>
      </c>
      <c r="I3077">
        <f>order_items[[#This Row],[list_price]]-order_items[[#This Row],[Discounted_price]]</f>
        <v>503.4905</v>
      </c>
      <c r="J3077">
        <f>VLOOKUP(B3077, Products!$A$2:$E$100, 3, FALSE)</f>
        <v>9</v>
      </c>
      <c r="K3077">
        <f>VLOOKUP(B3077, Products!$A$2:$F$100, 4, FALSE)</f>
        <v>6</v>
      </c>
    </row>
    <row r="3078" spans="1:11" x14ac:dyDescent="0.3">
      <c r="A3078">
        <v>1066</v>
      </c>
      <c r="B3078">
        <v>2</v>
      </c>
      <c r="C3078">
        <v>46</v>
      </c>
      <c r="D3078" t="str">
        <f>VLOOKUP(B3078, Products!$A$2:$C$100, 2, FALSE)</f>
        <v>Ritchey Timberwolf Frameset - 2016</v>
      </c>
      <c r="E3078">
        <v>1</v>
      </c>
      <c r="F3078">
        <v>1409.99</v>
      </c>
      <c r="G3078">
        <v>0.1</v>
      </c>
      <c r="H3078">
        <v>140.999</v>
      </c>
      <c r="I3078">
        <f>order_items[[#This Row],[list_price]]-order_items[[#This Row],[Discounted_price]]</f>
        <v>1268.991</v>
      </c>
      <c r="J3078">
        <f>VLOOKUP(B3078, Products!$A$2:$E$100, 3, FALSE)</f>
        <v>5</v>
      </c>
      <c r="K3078">
        <f>VLOOKUP(B3078, Products!$A$2:$F$100, 4, FALSE)</f>
        <v>6</v>
      </c>
    </row>
    <row r="3079" spans="1:11" x14ac:dyDescent="0.3">
      <c r="A3079">
        <v>1066</v>
      </c>
      <c r="B3079">
        <v>3</v>
      </c>
      <c r="C3079">
        <v>12</v>
      </c>
      <c r="D3079" t="str">
        <f>VLOOKUP(B3079, Products!$A$2:$C$100, 2, FALSE)</f>
        <v>Surly Wednesday Frameset - 2016</v>
      </c>
      <c r="E3079">
        <v>1</v>
      </c>
      <c r="F3079">
        <v>549.99</v>
      </c>
      <c r="G3079">
        <v>0.1</v>
      </c>
      <c r="H3079">
        <v>54.999000000000002</v>
      </c>
      <c r="I3079">
        <f>order_items[[#This Row],[list_price]]-order_items[[#This Row],[Discounted_price]]</f>
        <v>494.99099999999999</v>
      </c>
      <c r="J3079">
        <f>VLOOKUP(B3079, Products!$A$2:$E$100, 3, FALSE)</f>
        <v>8</v>
      </c>
      <c r="K3079">
        <f>VLOOKUP(B3079, Products!$A$2:$F$100, 4, FALSE)</f>
        <v>6</v>
      </c>
    </row>
    <row r="3080" spans="1:11" x14ac:dyDescent="0.3">
      <c r="A3080">
        <v>1067</v>
      </c>
      <c r="B3080">
        <v>1</v>
      </c>
      <c r="C3080">
        <v>74</v>
      </c>
      <c r="D3080" t="str">
        <f>VLOOKUP(B3080, Products!$A$2:$C$100, 2, FALSE)</f>
        <v>Trek 820 - 2016</v>
      </c>
      <c r="E3080">
        <v>2</v>
      </c>
      <c r="F3080">
        <v>439.99</v>
      </c>
      <c r="G3080">
        <v>7.0000000000000007E-2</v>
      </c>
      <c r="H3080">
        <v>30.799300000000002</v>
      </c>
      <c r="I3080">
        <f>order_items[[#This Row],[list_price]]-order_items[[#This Row],[Discounted_price]]</f>
        <v>409.19069999999999</v>
      </c>
      <c r="J3080">
        <f>VLOOKUP(B3080, Products!$A$2:$E$100, 3, FALSE)</f>
        <v>9</v>
      </c>
      <c r="K3080">
        <f>VLOOKUP(B3080, Products!$A$2:$F$100, 4, FALSE)</f>
        <v>6</v>
      </c>
    </row>
    <row r="3081" spans="1:11" x14ac:dyDescent="0.3">
      <c r="A3081">
        <v>1067</v>
      </c>
      <c r="B3081">
        <v>2</v>
      </c>
      <c r="C3081">
        <v>9</v>
      </c>
      <c r="D3081" t="str">
        <f>VLOOKUP(B3081, Products!$A$2:$C$100, 2, FALSE)</f>
        <v>Ritchey Timberwolf Frameset - 2016</v>
      </c>
      <c r="E3081">
        <v>2</v>
      </c>
      <c r="F3081">
        <v>2999.99</v>
      </c>
      <c r="G3081">
        <v>0.2</v>
      </c>
      <c r="H3081">
        <v>599.99799999999993</v>
      </c>
      <c r="I3081">
        <f>order_items[[#This Row],[list_price]]-order_items[[#This Row],[Discounted_price]]</f>
        <v>2399.9919999999997</v>
      </c>
      <c r="J3081">
        <f>VLOOKUP(B3081, Products!$A$2:$E$100, 3, FALSE)</f>
        <v>5</v>
      </c>
      <c r="K3081">
        <f>VLOOKUP(B3081, Products!$A$2:$F$100, 4, FALSE)</f>
        <v>6</v>
      </c>
    </row>
    <row r="3082" spans="1:11" x14ac:dyDescent="0.3">
      <c r="A3082">
        <v>1067</v>
      </c>
      <c r="B3082">
        <v>3</v>
      </c>
      <c r="C3082">
        <v>72</v>
      </c>
      <c r="D3082" t="str">
        <f>VLOOKUP(B3082, Products!$A$2:$C$100, 2, FALSE)</f>
        <v>Surly Wednesday Frameset - 2016</v>
      </c>
      <c r="E3082">
        <v>2</v>
      </c>
      <c r="F3082">
        <v>619.99</v>
      </c>
      <c r="G3082">
        <v>0.1</v>
      </c>
      <c r="H3082">
        <v>61.999000000000002</v>
      </c>
      <c r="I3082">
        <f>order_items[[#This Row],[list_price]]-order_items[[#This Row],[Discounted_price]]</f>
        <v>557.99099999999999</v>
      </c>
      <c r="J3082">
        <f>VLOOKUP(B3082, Products!$A$2:$E$100, 3, FALSE)</f>
        <v>8</v>
      </c>
      <c r="K3082">
        <f>VLOOKUP(B3082, Products!$A$2:$F$100, 4, FALSE)</f>
        <v>6</v>
      </c>
    </row>
    <row r="3083" spans="1:11" x14ac:dyDescent="0.3">
      <c r="A3083">
        <v>1067</v>
      </c>
      <c r="B3083">
        <v>4</v>
      </c>
      <c r="C3083">
        <v>6</v>
      </c>
      <c r="D3083" t="str">
        <f>VLOOKUP(B3083, Products!$A$2:$C$100, 2, FALSE)</f>
        <v>Trek Fuel EX 8 29 - 2016</v>
      </c>
      <c r="E3083">
        <v>2</v>
      </c>
      <c r="F3083">
        <v>469.99</v>
      </c>
      <c r="G3083">
        <v>0.2</v>
      </c>
      <c r="H3083">
        <v>93.998000000000005</v>
      </c>
      <c r="I3083">
        <f>order_items[[#This Row],[list_price]]-order_items[[#This Row],[Discounted_price]]</f>
        <v>375.99200000000002</v>
      </c>
      <c r="J3083">
        <f>VLOOKUP(B3083, Products!$A$2:$E$100, 3, FALSE)</f>
        <v>9</v>
      </c>
      <c r="K3083">
        <f>VLOOKUP(B3083, Products!$A$2:$F$100, 4, FALSE)</f>
        <v>6</v>
      </c>
    </row>
    <row r="3084" spans="1:11" x14ac:dyDescent="0.3">
      <c r="A3084">
        <v>1068</v>
      </c>
      <c r="B3084">
        <v>1</v>
      </c>
      <c r="C3084">
        <v>87</v>
      </c>
      <c r="D3084" t="str">
        <f>VLOOKUP(B3084, Products!$A$2:$C$100, 2, FALSE)</f>
        <v>Trek 820 - 2016</v>
      </c>
      <c r="E3084">
        <v>2</v>
      </c>
      <c r="F3084">
        <v>189.99</v>
      </c>
      <c r="G3084">
        <v>0.2</v>
      </c>
      <c r="H3084">
        <v>37.998000000000005</v>
      </c>
      <c r="I3084">
        <f>order_items[[#This Row],[list_price]]-order_items[[#This Row],[Discounted_price]]</f>
        <v>151.99200000000002</v>
      </c>
      <c r="J3084">
        <f>VLOOKUP(B3084, Products!$A$2:$E$100, 3, FALSE)</f>
        <v>9</v>
      </c>
      <c r="K3084">
        <f>VLOOKUP(B3084, Products!$A$2:$F$100, 4, FALSE)</f>
        <v>6</v>
      </c>
    </row>
    <row r="3085" spans="1:11" x14ac:dyDescent="0.3">
      <c r="A3085">
        <v>1068</v>
      </c>
      <c r="B3085">
        <v>2</v>
      </c>
      <c r="C3085">
        <v>82</v>
      </c>
      <c r="D3085" t="str">
        <f>VLOOKUP(B3085, Products!$A$2:$C$100, 2, FALSE)</f>
        <v>Ritchey Timberwolf Frameset - 2016</v>
      </c>
      <c r="E3085">
        <v>1</v>
      </c>
      <c r="F3085">
        <v>659.99</v>
      </c>
      <c r="G3085">
        <v>0.2</v>
      </c>
      <c r="H3085">
        <v>131.99800000000002</v>
      </c>
      <c r="I3085">
        <f>order_items[[#This Row],[list_price]]-order_items[[#This Row],[Discounted_price]]</f>
        <v>527.99199999999996</v>
      </c>
      <c r="J3085">
        <f>VLOOKUP(B3085, Products!$A$2:$E$100, 3, FALSE)</f>
        <v>5</v>
      </c>
      <c r="K3085">
        <f>VLOOKUP(B3085, Products!$A$2:$F$100, 4, FALSE)</f>
        <v>6</v>
      </c>
    </row>
    <row r="3086" spans="1:11" x14ac:dyDescent="0.3">
      <c r="A3086">
        <v>1068</v>
      </c>
      <c r="B3086">
        <v>3</v>
      </c>
      <c r="C3086">
        <v>49</v>
      </c>
      <c r="D3086" t="str">
        <f>VLOOKUP(B3086, Products!$A$2:$C$100, 2, FALSE)</f>
        <v>Surly Wednesday Frameset - 2016</v>
      </c>
      <c r="E3086">
        <v>2</v>
      </c>
      <c r="F3086">
        <v>3499.99</v>
      </c>
      <c r="G3086">
        <v>0.2</v>
      </c>
      <c r="H3086">
        <v>699.99800000000005</v>
      </c>
      <c r="I3086">
        <f>order_items[[#This Row],[list_price]]-order_items[[#This Row],[Discounted_price]]</f>
        <v>2799.9919999999997</v>
      </c>
      <c r="J3086">
        <f>VLOOKUP(B3086, Products!$A$2:$E$100, 3, FALSE)</f>
        <v>8</v>
      </c>
      <c r="K3086">
        <f>VLOOKUP(B3086, Products!$A$2:$F$100, 4, FALSE)</f>
        <v>6</v>
      </c>
    </row>
    <row r="3087" spans="1:11" x14ac:dyDescent="0.3">
      <c r="A3087">
        <v>1068</v>
      </c>
      <c r="B3087">
        <v>4</v>
      </c>
      <c r="C3087">
        <v>45</v>
      </c>
      <c r="D3087" t="str">
        <f>VLOOKUP(B3087, Products!$A$2:$C$100, 2, FALSE)</f>
        <v>Trek Fuel EX 8 29 - 2016</v>
      </c>
      <c r="E3087">
        <v>2</v>
      </c>
      <c r="F3087">
        <v>869.99</v>
      </c>
      <c r="G3087">
        <v>0.2</v>
      </c>
      <c r="H3087">
        <v>173.99800000000002</v>
      </c>
      <c r="I3087">
        <f>order_items[[#This Row],[list_price]]-order_items[[#This Row],[Discounted_price]]</f>
        <v>695.99199999999996</v>
      </c>
      <c r="J3087">
        <f>VLOOKUP(B3087, Products!$A$2:$E$100, 3, FALSE)</f>
        <v>9</v>
      </c>
      <c r="K3087">
        <f>VLOOKUP(B3087, Products!$A$2:$F$100, 4, FALSE)</f>
        <v>6</v>
      </c>
    </row>
    <row r="3088" spans="1:11" x14ac:dyDescent="0.3">
      <c r="A3088">
        <v>1069</v>
      </c>
      <c r="B3088">
        <v>1</v>
      </c>
      <c r="C3088">
        <v>109</v>
      </c>
      <c r="D3088" t="str">
        <f>VLOOKUP(B3088, Products!$A$2:$C$100, 2, FALSE)</f>
        <v>Trek 820 - 2016</v>
      </c>
      <c r="E3088">
        <v>1</v>
      </c>
      <c r="F3088">
        <v>416.99</v>
      </c>
      <c r="G3088">
        <v>7.0000000000000007E-2</v>
      </c>
      <c r="H3088">
        <v>29.189300000000003</v>
      </c>
      <c r="I3088">
        <f>order_items[[#This Row],[list_price]]-order_items[[#This Row],[Discounted_price]]</f>
        <v>387.80070000000001</v>
      </c>
      <c r="J3088">
        <f>VLOOKUP(B3088, Products!$A$2:$E$100, 3, FALSE)</f>
        <v>9</v>
      </c>
      <c r="K3088">
        <f>VLOOKUP(B3088, Products!$A$2:$F$100, 4, FALSE)</f>
        <v>6</v>
      </c>
    </row>
    <row r="3089" spans="1:11" x14ac:dyDescent="0.3">
      <c r="A3089">
        <v>1069</v>
      </c>
      <c r="B3089">
        <v>2</v>
      </c>
      <c r="C3089">
        <v>93</v>
      </c>
      <c r="D3089" t="str">
        <f>VLOOKUP(B3089, Products!$A$2:$C$100, 2, FALSE)</f>
        <v>Ritchey Timberwolf Frameset - 2016</v>
      </c>
      <c r="E3089">
        <v>1</v>
      </c>
      <c r="F3089">
        <v>209.99</v>
      </c>
      <c r="G3089">
        <v>0.1</v>
      </c>
      <c r="H3089">
        <v>20.999000000000002</v>
      </c>
      <c r="I3089">
        <f>order_items[[#This Row],[list_price]]-order_items[[#This Row],[Discounted_price]]</f>
        <v>188.99100000000001</v>
      </c>
      <c r="J3089">
        <f>VLOOKUP(B3089, Products!$A$2:$E$100, 3, FALSE)</f>
        <v>5</v>
      </c>
      <c r="K3089">
        <f>VLOOKUP(B3089, Products!$A$2:$F$100, 4, FALSE)</f>
        <v>6</v>
      </c>
    </row>
    <row r="3090" spans="1:11" x14ac:dyDescent="0.3">
      <c r="A3090">
        <v>1070</v>
      </c>
      <c r="B3090">
        <v>1</v>
      </c>
      <c r="C3090">
        <v>110</v>
      </c>
      <c r="D3090" t="str">
        <f>VLOOKUP(B3090, Products!$A$2:$C$100, 2, FALSE)</f>
        <v>Trek 820 - 2016</v>
      </c>
      <c r="E3090">
        <v>1</v>
      </c>
      <c r="F3090">
        <v>470.99</v>
      </c>
      <c r="G3090">
        <v>0.2</v>
      </c>
      <c r="H3090">
        <v>94.198000000000008</v>
      </c>
      <c r="I3090">
        <f>order_items[[#This Row],[list_price]]-order_items[[#This Row],[Discounted_price]]</f>
        <v>376.79200000000003</v>
      </c>
      <c r="J3090">
        <f>VLOOKUP(B3090, Products!$A$2:$E$100, 3, FALSE)</f>
        <v>9</v>
      </c>
      <c r="K3090">
        <f>VLOOKUP(B3090, Products!$A$2:$F$100, 4, FALSE)</f>
        <v>6</v>
      </c>
    </row>
    <row r="3091" spans="1:11" x14ac:dyDescent="0.3">
      <c r="A3091">
        <v>1070</v>
      </c>
      <c r="B3091">
        <v>2</v>
      </c>
      <c r="C3091">
        <v>18</v>
      </c>
      <c r="D3091" t="str">
        <f>VLOOKUP(B3091, Products!$A$2:$C$100, 2, FALSE)</f>
        <v>Ritchey Timberwolf Frameset - 2016</v>
      </c>
      <c r="E3091">
        <v>2</v>
      </c>
      <c r="F3091">
        <v>449</v>
      </c>
      <c r="G3091">
        <v>0.1</v>
      </c>
      <c r="H3091">
        <v>44.900000000000006</v>
      </c>
      <c r="I3091">
        <f>order_items[[#This Row],[list_price]]-order_items[[#This Row],[Discounted_price]]</f>
        <v>404.1</v>
      </c>
      <c r="J3091">
        <f>VLOOKUP(B3091, Products!$A$2:$E$100, 3, FALSE)</f>
        <v>5</v>
      </c>
      <c r="K3091">
        <f>VLOOKUP(B3091, Products!$A$2:$F$100, 4, FALSE)</f>
        <v>6</v>
      </c>
    </row>
    <row r="3092" spans="1:11" x14ac:dyDescent="0.3">
      <c r="A3092">
        <v>1070</v>
      </c>
      <c r="B3092">
        <v>3</v>
      </c>
      <c r="C3092">
        <v>94</v>
      </c>
      <c r="D3092" t="str">
        <f>VLOOKUP(B3092, Products!$A$2:$C$100, 2, FALSE)</f>
        <v>Surly Wednesday Frameset - 2016</v>
      </c>
      <c r="E3092">
        <v>1</v>
      </c>
      <c r="F3092">
        <v>249.99</v>
      </c>
      <c r="G3092">
        <v>0.05</v>
      </c>
      <c r="H3092">
        <v>12.499500000000001</v>
      </c>
      <c r="I3092">
        <f>order_items[[#This Row],[list_price]]-order_items[[#This Row],[Discounted_price]]</f>
        <v>237.4905</v>
      </c>
      <c r="J3092">
        <f>VLOOKUP(B3092, Products!$A$2:$E$100, 3, FALSE)</f>
        <v>8</v>
      </c>
      <c r="K3092">
        <f>VLOOKUP(B3092, Products!$A$2:$F$100, 4, FALSE)</f>
        <v>6</v>
      </c>
    </row>
    <row r="3093" spans="1:11" x14ac:dyDescent="0.3">
      <c r="A3093">
        <v>1071</v>
      </c>
      <c r="B3093">
        <v>1</v>
      </c>
      <c r="C3093">
        <v>25</v>
      </c>
      <c r="D3093" t="str">
        <f>VLOOKUP(B3093, Products!$A$2:$C$100, 2, FALSE)</f>
        <v>Trek 820 - 2016</v>
      </c>
      <c r="E3093">
        <v>2</v>
      </c>
      <c r="F3093">
        <v>499.99</v>
      </c>
      <c r="G3093">
        <v>0.2</v>
      </c>
      <c r="H3093">
        <v>99.998000000000005</v>
      </c>
      <c r="I3093">
        <f>order_items[[#This Row],[list_price]]-order_items[[#This Row],[Discounted_price]]</f>
        <v>399.99200000000002</v>
      </c>
      <c r="J3093">
        <f>VLOOKUP(B3093, Products!$A$2:$E$100, 3, FALSE)</f>
        <v>9</v>
      </c>
      <c r="K3093">
        <f>VLOOKUP(B3093, Products!$A$2:$F$100, 4, FALSE)</f>
        <v>6</v>
      </c>
    </row>
    <row r="3094" spans="1:11" x14ac:dyDescent="0.3">
      <c r="A3094">
        <v>1072</v>
      </c>
      <c r="B3094">
        <v>1</v>
      </c>
      <c r="C3094">
        <v>83</v>
      </c>
      <c r="D3094" t="str">
        <f>VLOOKUP(B3094, Products!$A$2:$C$100, 2, FALSE)</f>
        <v>Trek 820 - 2016</v>
      </c>
      <c r="E3094">
        <v>1</v>
      </c>
      <c r="F3094">
        <v>149.99</v>
      </c>
      <c r="G3094">
        <v>0.2</v>
      </c>
      <c r="H3094">
        <v>29.998000000000005</v>
      </c>
      <c r="I3094">
        <f>order_items[[#This Row],[list_price]]-order_items[[#This Row],[Discounted_price]]</f>
        <v>119.992</v>
      </c>
      <c r="J3094">
        <f>VLOOKUP(B3094, Products!$A$2:$E$100, 3, FALSE)</f>
        <v>9</v>
      </c>
      <c r="K3094">
        <f>VLOOKUP(B3094, Products!$A$2:$F$100, 4, FALSE)</f>
        <v>6</v>
      </c>
    </row>
    <row r="3095" spans="1:11" x14ac:dyDescent="0.3">
      <c r="A3095">
        <v>1072</v>
      </c>
      <c r="B3095">
        <v>2</v>
      </c>
      <c r="C3095">
        <v>89</v>
      </c>
      <c r="D3095" t="str">
        <f>VLOOKUP(B3095, Products!$A$2:$C$100, 2, FALSE)</f>
        <v>Ritchey Timberwolf Frameset - 2016</v>
      </c>
      <c r="E3095">
        <v>2</v>
      </c>
      <c r="F3095">
        <v>209.99</v>
      </c>
      <c r="G3095">
        <v>7.0000000000000007E-2</v>
      </c>
      <c r="H3095">
        <v>14.699300000000003</v>
      </c>
      <c r="I3095">
        <f>order_items[[#This Row],[list_price]]-order_items[[#This Row],[Discounted_price]]</f>
        <v>195.29070000000002</v>
      </c>
      <c r="J3095">
        <f>VLOOKUP(B3095, Products!$A$2:$E$100, 3, FALSE)</f>
        <v>5</v>
      </c>
      <c r="K3095">
        <f>VLOOKUP(B3095, Products!$A$2:$F$100, 4, FALSE)</f>
        <v>6</v>
      </c>
    </row>
    <row r="3096" spans="1:11" x14ac:dyDescent="0.3">
      <c r="A3096">
        <v>1072</v>
      </c>
      <c r="B3096">
        <v>3</v>
      </c>
      <c r="C3096">
        <v>36</v>
      </c>
      <c r="D3096" t="str">
        <f>VLOOKUP(B3096, Products!$A$2:$C$100, 2, FALSE)</f>
        <v>Surly Wednesday Frameset - 2016</v>
      </c>
      <c r="E3096">
        <v>2</v>
      </c>
      <c r="F3096">
        <v>832.99</v>
      </c>
      <c r="G3096">
        <v>7.0000000000000007E-2</v>
      </c>
      <c r="H3096">
        <v>58.309300000000007</v>
      </c>
      <c r="I3096">
        <f>order_items[[#This Row],[list_price]]-order_items[[#This Row],[Discounted_price]]</f>
        <v>774.6807</v>
      </c>
      <c r="J3096">
        <f>VLOOKUP(B3096, Products!$A$2:$E$100, 3, FALSE)</f>
        <v>8</v>
      </c>
      <c r="K3096">
        <f>VLOOKUP(B3096, Products!$A$2:$F$100, 4, FALSE)</f>
        <v>6</v>
      </c>
    </row>
    <row r="3097" spans="1:11" x14ac:dyDescent="0.3">
      <c r="A3097">
        <v>1073</v>
      </c>
      <c r="B3097">
        <v>1</v>
      </c>
      <c r="C3097">
        <v>81</v>
      </c>
      <c r="D3097" t="str">
        <f>VLOOKUP(B3097, Products!$A$2:$C$100, 2, FALSE)</f>
        <v>Trek 820 - 2016</v>
      </c>
      <c r="E3097">
        <v>1</v>
      </c>
      <c r="F3097">
        <v>1099.99</v>
      </c>
      <c r="G3097">
        <v>0.2</v>
      </c>
      <c r="H3097">
        <v>219.99800000000002</v>
      </c>
      <c r="I3097">
        <f>order_items[[#This Row],[list_price]]-order_items[[#This Row],[Discounted_price]]</f>
        <v>879.99199999999996</v>
      </c>
      <c r="J3097">
        <f>VLOOKUP(B3097, Products!$A$2:$E$100, 3, FALSE)</f>
        <v>9</v>
      </c>
      <c r="K3097">
        <f>VLOOKUP(B3097, Products!$A$2:$F$100, 4, FALSE)</f>
        <v>6</v>
      </c>
    </row>
    <row r="3098" spans="1:11" x14ac:dyDescent="0.3">
      <c r="A3098">
        <v>1073</v>
      </c>
      <c r="B3098">
        <v>2</v>
      </c>
      <c r="C3098">
        <v>13</v>
      </c>
      <c r="D3098" t="str">
        <f>VLOOKUP(B3098, Products!$A$2:$C$100, 2, FALSE)</f>
        <v>Ritchey Timberwolf Frameset - 2016</v>
      </c>
      <c r="E3098">
        <v>1</v>
      </c>
      <c r="F3098">
        <v>269.99</v>
      </c>
      <c r="G3098">
        <v>7.0000000000000007E-2</v>
      </c>
      <c r="H3098">
        <v>18.899300000000004</v>
      </c>
      <c r="I3098">
        <f>order_items[[#This Row],[list_price]]-order_items[[#This Row],[Discounted_price]]</f>
        <v>251.0907</v>
      </c>
      <c r="J3098">
        <f>VLOOKUP(B3098, Products!$A$2:$E$100, 3, FALSE)</f>
        <v>5</v>
      </c>
      <c r="K3098">
        <f>VLOOKUP(B3098, Products!$A$2:$F$100, 4, FALSE)</f>
        <v>6</v>
      </c>
    </row>
    <row r="3099" spans="1:11" x14ac:dyDescent="0.3">
      <c r="A3099">
        <v>1073</v>
      </c>
      <c r="B3099">
        <v>3</v>
      </c>
      <c r="C3099">
        <v>20</v>
      </c>
      <c r="D3099" t="str">
        <f>VLOOKUP(B3099, Products!$A$2:$C$100, 2, FALSE)</f>
        <v>Surly Wednesday Frameset - 2016</v>
      </c>
      <c r="E3099">
        <v>1</v>
      </c>
      <c r="F3099">
        <v>599.99</v>
      </c>
      <c r="G3099">
        <v>0.2</v>
      </c>
      <c r="H3099">
        <v>119.998</v>
      </c>
      <c r="I3099">
        <f>order_items[[#This Row],[list_price]]-order_items[[#This Row],[Discounted_price]]</f>
        <v>479.99200000000002</v>
      </c>
      <c r="J3099">
        <f>VLOOKUP(B3099, Products!$A$2:$E$100, 3, FALSE)</f>
        <v>8</v>
      </c>
      <c r="K3099">
        <f>VLOOKUP(B3099, Products!$A$2:$F$100, 4, FALSE)</f>
        <v>6</v>
      </c>
    </row>
    <row r="3100" spans="1:11" x14ac:dyDescent="0.3">
      <c r="A3100">
        <v>1074</v>
      </c>
      <c r="B3100">
        <v>1</v>
      </c>
      <c r="C3100">
        <v>59</v>
      </c>
      <c r="D3100" t="str">
        <f>VLOOKUP(B3100, Products!$A$2:$C$100, 2, FALSE)</f>
        <v>Trek 820 - 2016</v>
      </c>
      <c r="E3100">
        <v>1</v>
      </c>
      <c r="F3100">
        <v>2599.9899999999998</v>
      </c>
      <c r="G3100">
        <v>0.1</v>
      </c>
      <c r="H3100">
        <v>259.99899999999997</v>
      </c>
      <c r="I3100">
        <f>order_items[[#This Row],[list_price]]-order_items[[#This Row],[Discounted_price]]</f>
        <v>2339.991</v>
      </c>
      <c r="J3100">
        <f>VLOOKUP(B3100, Products!$A$2:$E$100, 3, FALSE)</f>
        <v>9</v>
      </c>
      <c r="K3100">
        <f>VLOOKUP(B3100, Products!$A$2:$F$100, 4, FALSE)</f>
        <v>6</v>
      </c>
    </row>
    <row r="3101" spans="1:11" x14ac:dyDescent="0.3">
      <c r="A3101">
        <v>1074</v>
      </c>
      <c r="B3101">
        <v>2</v>
      </c>
      <c r="C3101">
        <v>87</v>
      </c>
      <c r="D3101" t="str">
        <f>VLOOKUP(B3101, Products!$A$2:$C$100, 2, FALSE)</f>
        <v>Ritchey Timberwolf Frameset - 2016</v>
      </c>
      <c r="E3101">
        <v>1</v>
      </c>
      <c r="F3101">
        <v>189.99</v>
      </c>
      <c r="G3101">
        <v>7.0000000000000007E-2</v>
      </c>
      <c r="H3101">
        <v>13.299300000000002</v>
      </c>
      <c r="I3101">
        <f>order_items[[#This Row],[list_price]]-order_items[[#This Row],[Discounted_price]]</f>
        <v>176.69069999999999</v>
      </c>
      <c r="J3101">
        <f>VLOOKUP(B3101, Products!$A$2:$E$100, 3, FALSE)</f>
        <v>5</v>
      </c>
      <c r="K3101">
        <f>VLOOKUP(B3101, Products!$A$2:$F$100, 4, FALSE)</f>
        <v>6</v>
      </c>
    </row>
    <row r="3102" spans="1:11" x14ac:dyDescent="0.3">
      <c r="A3102">
        <v>1074</v>
      </c>
      <c r="B3102">
        <v>3</v>
      </c>
      <c r="C3102">
        <v>89</v>
      </c>
      <c r="D3102" t="str">
        <f>VLOOKUP(B3102, Products!$A$2:$C$100, 2, FALSE)</f>
        <v>Surly Wednesday Frameset - 2016</v>
      </c>
      <c r="E3102">
        <v>2</v>
      </c>
      <c r="F3102">
        <v>209.99</v>
      </c>
      <c r="G3102">
        <v>0.1</v>
      </c>
      <c r="H3102">
        <v>20.999000000000002</v>
      </c>
      <c r="I3102">
        <f>order_items[[#This Row],[list_price]]-order_items[[#This Row],[Discounted_price]]</f>
        <v>188.99100000000001</v>
      </c>
      <c r="J3102">
        <f>VLOOKUP(B3102, Products!$A$2:$E$100, 3, FALSE)</f>
        <v>8</v>
      </c>
      <c r="K3102">
        <f>VLOOKUP(B3102, Products!$A$2:$F$100, 4, FALSE)</f>
        <v>6</v>
      </c>
    </row>
    <row r="3103" spans="1:11" x14ac:dyDescent="0.3">
      <c r="A3103">
        <v>1075</v>
      </c>
      <c r="B3103">
        <v>1</v>
      </c>
      <c r="C3103">
        <v>48</v>
      </c>
      <c r="D3103" t="str">
        <f>VLOOKUP(B3103, Products!$A$2:$C$100, 2, FALSE)</f>
        <v>Trek 820 - 2016</v>
      </c>
      <c r="E3103">
        <v>2</v>
      </c>
      <c r="F3103">
        <v>1499.99</v>
      </c>
      <c r="G3103">
        <v>0.1</v>
      </c>
      <c r="H3103">
        <v>149.999</v>
      </c>
      <c r="I3103">
        <f>order_items[[#This Row],[list_price]]-order_items[[#This Row],[Discounted_price]]</f>
        <v>1349.991</v>
      </c>
      <c r="J3103">
        <f>VLOOKUP(B3103, Products!$A$2:$E$100, 3, FALSE)</f>
        <v>9</v>
      </c>
      <c r="K3103">
        <f>VLOOKUP(B3103, Products!$A$2:$F$100, 4, FALSE)</f>
        <v>6</v>
      </c>
    </row>
    <row r="3104" spans="1:11" x14ac:dyDescent="0.3">
      <c r="A3104">
        <v>1075</v>
      </c>
      <c r="B3104">
        <v>2</v>
      </c>
      <c r="C3104">
        <v>111</v>
      </c>
      <c r="D3104" t="str">
        <f>VLOOKUP(B3104, Products!$A$2:$C$100, 2, FALSE)</f>
        <v>Ritchey Timberwolf Frameset - 2016</v>
      </c>
      <c r="E3104">
        <v>2</v>
      </c>
      <c r="F3104">
        <v>470.99</v>
      </c>
      <c r="G3104">
        <v>0.05</v>
      </c>
      <c r="H3104">
        <v>23.549500000000002</v>
      </c>
      <c r="I3104">
        <f>order_items[[#This Row],[list_price]]-order_items[[#This Row],[Discounted_price]]</f>
        <v>447.44049999999999</v>
      </c>
      <c r="J3104">
        <f>VLOOKUP(B3104, Products!$A$2:$E$100, 3, FALSE)</f>
        <v>5</v>
      </c>
      <c r="K3104">
        <f>VLOOKUP(B3104, Products!$A$2:$F$100, 4, FALSE)</f>
        <v>6</v>
      </c>
    </row>
    <row r="3105" spans="1:11" x14ac:dyDescent="0.3">
      <c r="A3105">
        <v>1076</v>
      </c>
      <c r="B3105">
        <v>1</v>
      </c>
      <c r="C3105">
        <v>95</v>
      </c>
      <c r="D3105" t="str">
        <f>VLOOKUP(B3105, Products!$A$2:$C$100, 2, FALSE)</f>
        <v>Trek 820 - 2016</v>
      </c>
      <c r="E3105">
        <v>1</v>
      </c>
      <c r="F3105">
        <v>299.99</v>
      </c>
      <c r="G3105">
        <v>0.1</v>
      </c>
      <c r="H3105">
        <v>29.999000000000002</v>
      </c>
      <c r="I3105">
        <f>order_items[[#This Row],[list_price]]-order_items[[#This Row],[Discounted_price]]</f>
        <v>269.99099999999999</v>
      </c>
      <c r="J3105">
        <f>VLOOKUP(B3105, Products!$A$2:$E$100, 3, FALSE)</f>
        <v>9</v>
      </c>
      <c r="K3105">
        <f>VLOOKUP(B3105, Products!$A$2:$F$100, 4, FALSE)</f>
        <v>6</v>
      </c>
    </row>
    <row r="3106" spans="1:11" x14ac:dyDescent="0.3">
      <c r="A3106">
        <v>1076</v>
      </c>
      <c r="B3106">
        <v>2</v>
      </c>
      <c r="C3106">
        <v>102</v>
      </c>
      <c r="D3106" t="str">
        <f>VLOOKUP(B3106, Products!$A$2:$C$100, 2, FALSE)</f>
        <v>Ritchey Timberwolf Frameset - 2016</v>
      </c>
      <c r="E3106">
        <v>1</v>
      </c>
      <c r="F3106">
        <v>489.99</v>
      </c>
      <c r="G3106">
        <v>7.0000000000000007E-2</v>
      </c>
      <c r="H3106">
        <v>34.299300000000002</v>
      </c>
      <c r="I3106">
        <f>order_items[[#This Row],[list_price]]-order_items[[#This Row],[Discounted_price]]</f>
        <v>455.69069999999999</v>
      </c>
      <c r="J3106">
        <f>VLOOKUP(B3106, Products!$A$2:$E$100, 3, FALSE)</f>
        <v>5</v>
      </c>
      <c r="K3106">
        <f>VLOOKUP(B3106, Products!$A$2:$F$100, 4, FALSE)</f>
        <v>6</v>
      </c>
    </row>
    <row r="3107" spans="1:11" x14ac:dyDescent="0.3">
      <c r="A3107">
        <v>1076</v>
      </c>
      <c r="B3107">
        <v>3</v>
      </c>
      <c r="C3107">
        <v>73</v>
      </c>
      <c r="D3107" t="str">
        <f>VLOOKUP(B3107, Products!$A$2:$C$100, 2, FALSE)</f>
        <v>Surly Wednesday Frameset - 2016</v>
      </c>
      <c r="E3107">
        <v>2</v>
      </c>
      <c r="F3107">
        <v>749.99</v>
      </c>
      <c r="G3107">
        <v>7.0000000000000007E-2</v>
      </c>
      <c r="H3107">
        <v>52.499300000000005</v>
      </c>
      <c r="I3107">
        <f>order_items[[#This Row],[list_price]]-order_items[[#This Row],[Discounted_price]]</f>
        <v>697.49070000000006</v>
      </c>
      <c r="J3107">
        <f>VLOOKUP(B3107, Products!$A$2:$E$100, 3, FALSE)</f>
        <v>8</v>
      </c>
      <c r="K3107">
        <f>VLOOKUP(B3107, Products!$A$2:$F$100, 4, FALSE)</f>
        <v>6</v>
      </c>
    </row>
    <row r="3108" spans="1:11" x14ac:dyDescent="0.3">
      <c r="A3108">
        <v>1077</v>
      </c>
      <c r="B3108">
        <v>1</v>
      </c>
      <c r="C3108">
        <v>60</v>
      </c>
      <c r="D3108" t="str">
        <f>VLOOKUP(B3108, Products!$A$2:$C$100, 2, FALSE)</f>
        <v>Trek 820 - 2016</v>
      </c>
      <c r="E3108">
        <v>2</v>
      </c>
      <c r="F3108">
        <v>1559.99</v>
      </c>
      <c r="G3108">
        <v>0.05</v>
      </c>
      <c r="H3108">
        <v>77.999500000000012</v>
      </c>
      <c r="I3108">
        <f>order_items[[#This Row],[list_price]]-order_items[[#This Row],[Discounted_price]]</f>
        <v>1481.9904999999999</v>
      </c>
      <c r="J3108">
        <f>VLOOKUP(B3108, Products!$A$2:$E$100, 3, FALSE)</f>
        <v>9</v>
      </c>
      <c r="K3108">
        <f>VLOOKUP(B3108, Products!$A$2:$F$100, 4, FALSE)</f>
        <v>6</v>
      </c>
    </row>
    <row r="3109" spans="1:11" x14ac:dyDescent="0.3">
      <c r="A3109">
        <v>1078</v>
      </c>
      <c r="B3109">
        <v>1</v>
      </c>
      <c r="C3109">
        <v>76</v>
      </c>
      <c r="D3109" t="str">
        <f>VLOOKUP(B3109, Products!$A$2:$C$100, 2, FALSE)</f>
        <v>Trek 820 - 2016</v>
      </c>
      <c r="E3109">
        <v>2</v>
      </c>
      <c r="F3109">
        <v>299.99</v>
      </c>
      <c r="G3109">
        <v>7.0000000000000007E-2</v>
      </c>
      <c r="H3109">
        <v>20.999300000000002</v>
      </c>
      <c r="I3109">
        <f>order_items[[#This Row],[list_price]]-order_items[[#This Row],[Discounted_price]]</f>
        <v>278.9907</v>
      </c>
      <c r="J3109">
        <f>VLOOKUP(B3109, Products!$A$2:$E$100, 3, FALSE)</f>
        <v>9</v>
      </c>
      <c r="K3109">
        <f>VLOOKUP(B3109, Products!$A$2:$F$100, 4, FALSE)</f>
        <v>6</v>
      </c>
    </row>
    <row r="3110" spans="1:11" x14ac:dyDescent="0.3">
      <c r="A3110">
        <v>1078</v>
      </c>
      <c r="B3110">
        <v>2</v>
      </c>
      <c r="C3110">
        <v>60</v>
      </c>
      <c r="D3110" t="str">
        <f>VLOOKUP(B3110, Products!$A$2:$C$100, 2, FALSE)</f>
        <v>Ritchey Timberwolf Frameset - 2016</v>
      </c>
      <c r="E3110">
        <v>2</v>
      </c>
      <c r="F3110">
        <v>1559.99</v>
      </c>
      <c r="G3110">
        <v>0.2</v>
      </c>
      <c r="H3110">
        <v>311.99800000000005</v>
      </c>
      <c r="I3110">
        <f>order_items[[#This Row],[list_price]]-order_items[[#This Row],[Discounted_price]]</f>
        <v>1247.992</v>
      </c>
      <c r="J3110">
        <f>VLOOKUP(B3110, Products!$A$2:$E$100, 3, FALSE)</f>
        <v>5</v>
      </c>
      <c r="K3110">
        <f>VLOOKUP(B3110, Products!$A$2:$F$100, 4, FALSE)</f>
        <v>6</v>
      </c>
    </row>
    <row r="3111" spans="1:11" x14ac:dyDescent="0.3">
      <c r="A3111">
        <v>1078</v>
      </c>
      <c r="B3111">
        <v>3</v>
      </c>
      <c r="C3111">
        <v>15</v>
      </c>
      <c r="D3111" t="str">
        <f>VLOOKUP(B3111, Products!$A$2:$C$100, 2, FALSE)</f>
        <v>Surly Wednesday Frameset - 2016</v>
      </c>
      <c r="E3111">
        <v>1</v>
      </c>
      <c r="F3111">
        <v>529.99</v>
      </c>
      <c r="G3111">
        <v>7.0000000000000007E-2</v>
      </c>
      <c r="H3111">
        <v>37.099300000000007</v>
      </c>
      <c r="I3111">
        <f>order_items[[#This Row],[list_price]]-order_items[[#This Row],[Discounted_price]]</f>
        <v>492.89069999999998</v>
      </c>
      <c r="J3111">
        <f>VLOOKUP(B3111, Products!$A$2:$E$100, 3, FALSE)</f>
        <v>8</v>
      </c>
      <c r="K3111">
        <f>VLOOKUP(B3111, Products!$A$2:$F$100, 4, FALSE)</f>
        <v>6</v>
      </c>
    </row>
    <row r="3112" spans="1:11" x14ac:dyDescent="0.3">
      <c r="A3112">
        <v>1078</v>
      </c>
      <c r="B3112">
        <v>4</v>
      </c>
      <c r="C3112">
        <v>10</v>
      </c>
      <c r="D3112" t="str">
        <f>VLOOKUP(B3112, Products!$A$2:$C$100, 2, FALSE)</f>
        <v>Trek Fuel EX 8 29 - 2016</v>
      </c>
      <c r="E3112">
        <v>2</v>
      </c>
      <c r="F3112">
        <v>1549</v>
      </c>
      <c r="G3112">
        <v>0.1</v>
      </c>
      <c r="H3112">
        <v>154.9</v>
      </c>
      <c r="I3112">
        <f>order_items[[#This Row],[list_price]]-order_items[[#This Row],[Discounted_price]]</f>
        <v>1394.1</v>
      </c>
      <c r="J3112">
        <f>VLOOKUP(B3112, Products!$A$2:$E$100, 3, FALSE)</f>
        <v>9</v>
      </c>
      <c r="K3112">
        <f>VLOOKUP(B3112, Products!$A$2:$F$100, 4, FALSE)</f>
        <v>6</v>
      </c>
    </row>
    <row r="3113" spans="1:11" x14ac:dyDescent="0.3">
      <c r="A3113">
        <v>1078</v>
      </c>
      <c r="B3113">
        <v>5</v>
      </c>
      <c r="C3113">
        <v>72</v>
      </c>
      <c r="D3113" t="str">
        <f>VLOOKUP(B3113, Products!$A$2:$C$100, 2, FALSE)</f>
        <v>Heller Shagamaw Frame - 2016</v>
      </c>
      <c r="E3113">
        <v>2</v>
      </c>
      <c r="F3113">
        <v>619.99</v>
      </c>
      <c r="G3113">
        <v>0.2</v>
      </c>
      <c r="H3113">
        <v>123.998</v>
      </c>
      <c r="I3113">
        <f>order_items[[#This Row],[list_price]]-order_items[[#This Row],[Discounted_price]]</f>
        <v>495.99200000000002</v>
      </c>
      <c r="J3113">
        <f>VLOOKUP(B3113, Products!$A$2:$E$100, 3, FALSE)</f>
        <v>3</v>
      </c>
      <c r="K3113">
        <f>VLOOKUP(B3113, Products!$A$2:$F$100, 4, FALSE)</f>
        <v>6</v>
      </c>
    </row>
    <row r="3114" spans="1:11" x14ac:dyDescent="0.3">
      <c r="A3114">
        <v>1079</v>
      </c>
      <c r="B3114">
        <v>1</v>
      </c>
      <c r="C3114">
        <v>70</v>
      </c>
      <c r="D3114" t="str">
        <f>VLOOKUP(B3114, Products!$A$2:$C$100, 2, FALSE)</f>
        <v>Trek 820 - 2016</v>
      </c>
      <c r="E3114">
        <v>2</v>
      </c>
      <c r="F3114">
        <v>659.99</v>
      </c>
      <c r="G3114">
        <v>7.0000000000000007E-2</v>
      </c>
      <c r="H3114">
        <v>46.199300000000008</v>
      </c>
      <c r="I3114">
        <f>order_items[[#This Row],[list_price]]-order_items[[#This Row],[Discounted_price]]</f>
        <v>613.79070000000002</v>
      </c>
      <c r="J3114">
        <f>VLOOKUP(B3114, Products!$A$2:$E$100, 3, FALSE)</f>
        <v>9</v>
      </c>
      <c r="K3114">
        <f>VLOOKUP(B3114, Products!$A$2:$F$100, 4, FALSE)</f>
        <v>6</v>
      </c>
    </row>
    <row r="3115" spans="1:11" x14ac:dyDescent="0.3">
      <c r="A3115">
        <v>1080</v>
      </c>
      <c r="B3115">
        <v>1</v>
      </c>
      <c r="C3115">
        <v>31</v>
      </c>
      <c r="D3115" t="str">
        <f>VLOOKUP(B3115, Products!$A$2:$C$100, 2, FALSE)</f>
        <v>Trek 820 - 2016</v>
      </c>
      <c r="E3115">
        <v>1</v>
      </c>
      <c r="F3115">
        <v>1632.99</v>
      </c>
      <c r="G3115">
        <v>0.2</v>
      </c>
      <c r="H3115">
        <v>326.59800000000001</v>
      </c>
      <c r="I3115">
        <f>order_items[[#This Row],[list_price]]-order_items[[#This Row],[Discounted_price]]</f>
        <v>1306.3920000000001</v>
      </c>
      <c r="J3115">
        <f>VLOOKUP(B3115, Products!$A$2:$E$100, 3, FALSE)</f>
        <v>9</v>
      </c>
      <c r="K3115">
        <f>VLOOKUP(B3115, Products!$A$2:$F$100, 4, FALSE)</f>
        <v>6</v>
      </c>
    </row>
    <row r="3116" spans="1:11" x14ac:dyDescent="0.3">
      <c r="A3116">
        <v>1080</v>
      </c>
      <c r="B3116">
        <v>2</v>
      </c>
      <c r="C3116">
        <v>40</v>
      </c>
      <c r="D3116" t="str">
        <f>VLOOKUP(B3116, Products!$A$2:$C$100, 2, FALSE)</f>
        <v>Ritchey Timberwolf Frameset - 2016</v>
      </c>
      <c r="E3116">
        <v>1</v>
      </c>
      <c r="F3116">
        <v>4999.99</v>
      </c>
      <c r="G3116">
        <v>0.1</v>
      </c>
      <c r="H3116">
        <v>499.99900000000002</v>
      </c>
      <c r="I3116">
        <f>order_items[[#This Row],[list_price]]-order_items[[#This Row],[Discounted_price]]</f>
        <v>4499.991</v>
      </c>
      <c r="J3116">
        <f>VLOOKUP(B3116, Products!$A$2:$E$100, 3, FALSE)</f>
        <v>5</v>
      </c>
      <c r="K3116">
        <f>VLOOKUP(B3116, Products!$A$2:$F$100, 4, FALSE)</f>
        <v>6</v>
      </c>
    </row>
    <row r="3117" spans="1:11" x14ac:dyDescent="0.3">
      <c r="A3117">
        <v>1080</v>
      </c>
      <c r="B3117">
        <v>3</v>
      </c>
      <c r="C3117">
        <v>50</v>
      </c>
      <c r="D3117" t="str">
        <f>VLOOKUP(B3117, Products!$A$2:$C$100, 2, FALSE)</f>
        <v>Surly Wednesday Frameset - 2016</v>
      </c>
      <c r="E3117">
        <v>1</v>
      </c>
      <c r="F3117">
        <v>5999.99</v>
      </c>
      <c r="G3117">
        <v>0.05</v>
      </c>
      <c r="H3117">
        <v>299.99950000000001</v>
      </c>
      <c r="I3117">
        <f>order_items[[#This Row],[list_price]]-order_items[[#This Row],[Discounted_price]]</f>
        <v>5699.9904999999999</v>
      </c>
      <c r="J3117">
        <f>VLOOKUP(B3117, Products!$A$2:$E$100, 3, FALSE)</f>
        <v>8</v>
      </c>
      <c r="K3117">
        <f>VLOOKUP(B3117, Products!$A$2:$F$100, 4, FALSE)</f>
        <v>6</v>
      </c>
    </row>
    <row r="3118" spans="1:11" x14ac:dyDescent="0.3">
      <c r="A3118">
        <v>1080</v>
      </c>
      <c r="B3118">
        <v>4</v>
      </c>
      <c r="C3118">
        <v>32</v>
      </c>
      <c r="D3118" t="str">
        <f>VLOOKUP(B3118, Products!$A$2:$C$100, 2, FALSE)</f>
        <v>Trek Fuel EX 8 29 - 2016</v>
      </c>
      <c r="E3118">
        <v>2</v>
      </c>
      <c r="F3118">
        <v>469.99</v>
      </c>
      <c r="G3118">
        <v>0.2</v>
      </c>
      <c r="H3118">
        <v>93.998000000000005</v>
      </c>
      <c r="I3118">
        <f>order_items[[#This Row],[list_price]]-order_items[[#This Row],[Discounted_price]]</f>
        <v>375.99200000000002</v>
      </c>
      <c r="J3118">
        <f>VLOOKUP(B3118, Products!$A$2:$E$100, 3, FALSE)</f>
        <v>9</v>
      </c>
      <c r="K3118">
        <f>VLOOKUP(B3118, Products!$A$2:$F$100, 4, FALSE)</f>
        <v>6</v>
      </c>
    </row>
    <row r="3119" spans="1:11" x14ac:dyDescent="0.3">
      <c r="A3119">
        <v>1080</v>
      </c>
      <c r="B3119">
        <v>5</v>
      </c>
      <c r="C3119">
        <v>86</v>
      </c>
      <c r="D3119" t="str">
        <f>VLOOKUP(B3119, Products!$A$2:$C$100, 2, FALSE)</f>
        <v>Heller Shagamaw Frame - 2016</v>
      </c>
      <c r="E3119">
        <v>1</v>
      </c>
      <c r="F3119">
        <v>149.99</v>
      </c>
      <c r="G3119">
        <v>0.05</v>
      </c>
      <c r="H3119">
        <v>7.4995000000000012</v>
      </c>
      <c r="I3119">
        <f>order_items[[#This Row],[list_price]]-order_items[[#This Row],[Discounted_price]]</f>
        <v>142.4905</v>
      </c>
      <c r="J3119">
        <f>VLOOKUP(B3119, Products!$A$2:$E$100, 3, FALSE)</f>
        <v>3</v>
      </c>
      <c r="K3119">
        <f>VLOOKUP(B3119, Products!$A$2:$F$100, 4, FALSE)</f>
        <v>6</v>
      </c>
    </row>
    <row r="3120" spans="1:11" x14ac:dyDescent="0.3">
      <c r="A3120">
        <v>1081</v>
      </c>
      <c r="B3120">
        <v>1</v>
      </c>
      <c r="C3120">
        <v>52</v>
      </c>
      <c r="D3120" t="str">
        <f>VLOOKUP(B3120, Products!$A$2:$C$100, 2, FALSE)</f>
        <v>Trek 820 - 2016</v>
      </c>
      <c r="E3120">
        <v>2</v>
      </c>
      <c r="F3120">
        <v>875.99</v>
      </c>
      <c r="G3120">
        <v>0.1</v>
      </c>
      <c r="H3120">
        <v>87.599000000000004</v>
      </c>
      <c r="I3120">
        <f>order_items[[#This Row],[list_price]]-order_items[[#This Row],[Discounted_price]]</f>
        <v>788.39099999999996</v>
      </c>
      <c r="J3120">
        <f>VLOOKUP(B3120, Products!$A$2:$E$100, 3, FALSE)</f>
        <v>9</v>
      </c>
      <c r="K3120">
        <f>VLOOKUP(B3120, Products!$A$2:$F$100, 4, FALSE)</f>
        <v>6</v>
      </c>
    </row>
    <row r="3121" spans="1:11" x14ac:dyDescent="0.3">
      <c r="A3121">
        <v>1082</v>
      </c>
      <c r="B3121">
        <v>1</v>
      </c>
      <c r="C3121">
        <v>29</v>
      </c>
      <c r="D3121" t="str">
        <f>VLOOKUP(B3121, Products!$A$2:$C$100, 2, FALSE)</f>
        <v>Trek 820 - 2016</v>
      </c>
      <c r="E3121">
        <v>2</v>
      </c>
      <c r="F3121">
        <v>999.99</v>
      </c>
      <c r="G3121">
        <v>0.2</v>
      </c>
      <c r="H3121">
        <v>199.99800000000002</v>
      </c>
      <c r="I3121">
        <f>order_items[[#This Row],[list_price]]-order_items[[#This Row],[Discounted_price]]</f>
        <v>799.99199999999996</v>
      </c>
      <c r="J3121">
        <f>VLOOKUP(B3121, Products!$A$2:$E$100, 3, FALSE)</f>
        <v>9</v>
      </c>
      <c r="K3121">
        <f>VLOOKUP(B3121, Products!$A$2:$F$100, 4, FALSE)</f>
        <v>6</v>
      </c>
    </row>
    <row r="3122" spans="1:11" x14ac:dyDescent="0.3">
      <c r="A3122">
        <v>1083</v>
      </c>
      <c r="B3122">
        <v>1</v>
      </c>
      <c r="C3122">
        <v>65</v>
      </c>
      <c r="D3122" t="str">
        <f>VLOOKUP(B3122, Products!$A$2:$C$100, 2, FALSE)</f>
        <v>Trek 820 - 2016</v>
      </c>
      <c r="E3122">
        <v>2</v>
      </c>
      <c r="F3122">
        <v>346.99</v>
      </c>
      <c r="G3122">
        <v>0.2</v>
      </c>
      <c r="H3122">
        <v>69.39800000000001</v>
      </c>
      <c r="I3122">
        <f>order_items[[#This Row],[list_price]]-order_items[[#This Row],[Discounted_price]]</f>
        <v>277.59199999999998</v>
      </c>
      <c r="J3122">
        <f>VLOOKUP(B3122, Products!$A$2:$E$100, 3, FALSE)</f>
        <v>9</v>
      </c>
      <c r="K3122">
        <f>VLOOKUP(B3122, Products!$A$2:$F$100, 4, FALSE)</f>
        <v>6</v>
      </c>
    </row>
    <row r="3123" spans="1:11" x14ac:dyDescent="0.3">
      <c r="A3123">
        <v>1083</v>
      </c>
      <c r="B3123">
        <v>2</v>
      </c>
      <c r="C3123">
        <v>77</v>
      </c>
      <c r="D3123" t="str">
        <f>VLOOKUP(B3123, Products!$A$2:$C$100, 2, FALSE)</f>
        <v>Ritchey Timberwolf Frameset - 2016</v>
      </c>
      <c r="E3123">
        <v>2</v>
      </c>
      <c r="F3123">
        <v>799.99</v>
      </c>
      <c r="G3123">
        <v>0.1</v>
      </c>
      <c r="H3123">
        <v>79.999000000000009</v>
      </c>
      <c r="I3123">
        <f>order_items[[#This Row],[list_price]]-order_items[[#This Row],[Discounted_price]]</f>
        <v>719.99099999999999</v>
      </c>
      <c r="J3123">
        <f>VLOOKUP(B3123, Products!$A$2:$E$100, 3, FALSE)</f>
        <v>5</v>
      </c>
      <c r="K3123">
        <f>VLOOKUP(B3123, Products!$A$2:$F$100, 4, FALSE)</f>
        <v>6</v>
      </c>
    </row>
    <row r="3124" spans="1:11" x14ac:dyDescent="0.3">
      <c r="A3124">
        <v>1083</v>
      </c>
      <c r="B3124">
        <v>3</v>
      </c>
      <c r="C3124">
        <v>61</v>
      </c>
      <c r="D3124" t="str">
        <f>VLOOKUP(B3124, Products!$A$2:$C$100, 2, FALSE)</f>
        <v>Surly Wednesday Frameset - 2016</v>
      </c>
      <c r="E3124">
        <v>1</v>
      </c>
      <c r="F3124">
        <v>4999.99</v>
      </c>
      <c r="G3124">
        <v>7.0000000000000007E-2</v>
      </c>
      <c r="H3124">
        <v>349.99930000000001</v>
      </c>
      <c r="I3124">
        <f>order_items[[#This Row],[list_price]]-order_items[[#This Row],[Discounted_price]]</f>
        <v>4649.9906999999994</v>
      </c>
      <c r="J3124">
        <f>VLOOKUP(B3124, Products!$A$2:$E$100, 3, FALSE)</f>
        <v>8</v>
      </c>
      <c r="K3124">
        <f>VLOOKUP(B3124, Products!$A$2:$F$100, 4, FALSE)</f>
        <v>6</v>
      </c>
    </row>
    <row r="3125" spans="1:11" x14ac:dyDescent="0.3">
      <c r="A3125">
        <v>1083</v>
      </c>
      <c r="B3125">
        <v>4</v>
      </c>
      <c r="C3125">
        <v>33</v>
      </c>
      <c r="D3125" t="str">
        <f>VLOOKUP(B3125, Products!$A$2:$C$100, 2, FALSE)</f>
        <v>Trek Fuel EX 8 29 - 2016</v>
      </c>
      <c r="E3125">
        <v>1</v>
      </c>
      <c r="F3125">
        <v>469.99</v>
      </c>
      <c r="G3125">
        <v>0.2</v>
      </c>
      <c r="H3125">
        <v>93.998000000000005</v>
      </c>
      <c r="I3125">
        <f>order_items[[#This Row],[list_price]]-order_items[[#This Row],[Discounted_price]]</f>
        <v>375.99200000000002</v>
      </c>
      <c r="J3125">
        <f>VLOOKUP(B3125, Products!$A$2:$E$100, 3, FALSE)</f>
        <v>9</v>
      </c>
      <c r="K3125">
        <f>VLOOKUP(B3125, Products!$A$2:$F$100, 4, FALSE)</f>
        <v>6</v>
      </c>
    </row>
    <row r="3126" spans="1:11" x14ac:dyDescent="0.3">
      <c r="A3126">
        <v>1084</v>
      </c>
      <c r="B3126">
        <v>1</v>
      </c>
      <c r="C3126">
        <v>30</v>
      </c>
      <c r="D3126" t="str">
        <f>VLOOKUP(B3126, Products!$A$2:$C$100, 2, FALSE)</f>
        <v>Trek 820 - 2016</v>
      </c>
      <c r="E3126">
        <v>1</v>
      </c>
      <c r="F3126">
        <v>999.99</v>
      </c>
      <c r="G3126">
        <v>0.05</v>
      </c>
      <c r="H3126">
        <v>49.999500000000005</v>
      </c>
      <c r="I3126">
        <f>order_items[[#This Row],[list_price]]-order_items[[#This Row],[Discounted_price]]</f>
        <v>949.9905</v>
      </c>
      <c r="J3126">
        <f>VLOOKUP(B3126, Products!$A$2:$E$100, 3, FALSE)</f>
        <v>9</v>
      </c>
      <c r="K3126">
        <f>VLOOKUP(B3126, Products!$A$2:$F$100, 4, FALSE)</f>
        <v>6</v>
      </c>
    </row>
    <row r="3127" spans="1:11" x14ac:dyDescent="0.3">
      <c r="A3127">
        <v>1084</v>
      </c>
      <c r="B3127">
        <v>2</v>
      </c>
      <c r="C3127">
        <v>70</v>
      </c>
      <c r="D3127" t="str">
        <f>VLOOKUP(B3127, Products!$A$2:$C$100, 2, FALSE)</f>
        <v>Ritchey Timberwolf Frameset - 2016</v>
      </c>
      <c r="E3127">
        <v>1</v>
      </c>
      <c r="F3127">
        <v>659.99</v>
      </c>
      <c r="G3127">
        <v>0.05</v>
      </c>
      <c r="H3127">
        <v>32.999500000000005</v>
      </c>
      <c r="I3127">
        <f>order_items[[#This Row],[list_price]]-order_items[[#This Row],[Discounted_price]]</f>
        <v>626.9905</v>
      </c>
      <c r="J3127">
        <f>VLOOKUP(B3127, Products!$A$2:$E$100, 3, FALSE)</f>
        <v>5</v>
      </c>
      <c r="K3127">
        <f>VLOOKUP(B3127, Products!$A$2:$F$100, 4, FALSE)</f>
        <v>6</v>
      </c>
    </row>
    <row r="3128" spans="1:11" x14ac:dyDescent="0.3">
      <c r="A3128">
        <v>1084</v>
      </c>
      <c r="B3128">
        <v>3</v>
      </c>
      <c r="C3128">
        <v>98</v>
      </c>
      <c r="D3128" t="str">
        <f>VLOOKUP(B3128, Products!$A$2:$C$100, 2, FALSE)</f>
        <v>Surly Wednesday Frameset - 2016</v>
      </c>
      <c r="E3128">
        <v>2</v>
      </c>
      <c r="F3128">
        <v>489.99</v>
      </c>
      <c r="G3128">
        <v>0.2</v>
      </c>
      <c r="H3128">
        <v>97.998000000000005</v>
      </c>
      <c r="I3128">
        <f>order_items[[#This Row],[list_price]]-order_items[[#This Row],[Discounted_price]]</f>
        <v>391.99200000000002</v>
      </c>
      <c r="J3128">
        <f>VLOOKUP(B3128, Products!$A$2:$E$100, 3, FALSE)</f>
        <v>8</v>
      </c>
      <c r="K3128">
        <f>VLOOKUP(B3128, Products!$A$2:$F$100, 4, FALSE)</f>
        <v>6</v>
      </c>
    </row>
    <row r="3129" spans="1:11" x14ac:dyDescent="0.3">
      <c r="A3129">
        <v>1084</v>
      </c>
      <c r="B3129">
        <v>4</v>
      </c>
      <c r="C3129">
        <v>65</v>
      </c>
      <c r="D3129" t="str">
        <f>VLOOKUP(B3129, Products!$A$2:$C$100, 2, FALSE)</f>
        <v>Trek Fuel EX 8 29 - 2016</v>
      </c>
      <c r="E3129">
        <v>2</v>
      </c>
      <c r="F3129">
        <v>346.99</v>
      </c>
      <c r="G3129">
        <v>7.0000000000000007E-2</v>
      </c>
      <c r="H3129">
        <v>24.289300000000004</v>
      </c>
      <c r="I3129">
        <f>order_items[[#This Row],[list_price]]-order_items[[#This Row],[Discounted_price]]</f>
        <v>322.70069999999998</v>
      </c>
      <c r="J3129">
        <f>VLOOKUP(B3129, Products!$A$2:$E$100, 3, FALSE)</f>
        <v>9</v>
      </c>
      <c r="K3129">
        <f>VLOOKUP(B3129, Products!$A$2:$F$100, 4, FALSE)</f>
        <v>6</v>
      </c>
    </row>
    <row r="3130" spans="1:11" x14ac:dyDescent="0.3">
      <c r="A3130">
        <v>1084</v>
      </c>
      <c r="B3130">
        <v>5</v>
      </c>
      <c r="C3130">
        <v>60</v>
      </c>
      <c r="D3130" t="str">
        <f>VLOOKUP(B3130, Products!$A$2:$C$100, 2, FALSE)</f>
        <v>Heller Shagamaw Frame - 2016</v>
      </c>
      <c r="E3130">
        <v>1</v>
      </c>
      <c r="F3130">
        <v>1559.99</v>
      </c>
      <c r="G3130">
        <v>0.1</v>
      </c>
      <c r="H3130">
        <v>155.99900000000002</v>
      </c>
      <c r="I3130">
        <f>order_items[[#This Row],[list_price]]-order_items[[#This Row],[Discounted_price]]</f>
        <v>1403.991</v>
      </c>
      <c r="J3130">
        <f>VLOOKUP(B3130, Products!$A$2:$E$100, 3, FALSE)</f>
        <v>3</v>
      </c>
      <c r="K3130">
        <f>VLOOKUP(B3130, Products!$A$2:$F$100, 4, FALSE)</f>
        <v>6</v>
      </c>
    </row>
    <row r="3131" spans="1:11" x14ac:dyDescent="0.3">
      <c r="A3131">
        <v>1085</v>
      </c>
      <c r="B3131">
        <v>1</v>
      </c>
      <c r="C3131">
        <v>66</v>
      </c>
      <c r="D3131" t="str">
        <f>VLOOKUP(B3131, Products!$A$2:$C$100, 2, FALSE)</f>
        <v>Trek 820 - 2016</v>
      </c>
      <c r="E3131">
        <v>2</v>
      </c>
      <c r="F3131">
        <v>250.99</v>
      </c>
      <c r="G3131">
        <v>0.2</v>
      </c>
      <c r="H3131">
        <v>50.198000000000008</v>
      </c>
      <c r="I3131">
        <f>order_items[[#This Row],[list_price]]-order_items[[#This Row],[Discounted_price]]</f>
        <v>200.792</v>
      </c>
      <c r="J3131">
        <f>VLOOKUP(B3131, Products!$A$2:$E$100, 3, FALSE)</f>
        <v>9</v>
      </c>
      <c r="K3131">
        <f>VLOOKUP(B3131, Products!$A$2:$F$100, 4, FALSE)</f>
        <v>6</v>
      </c>
    </row>
    <row r="3132" spans="1:11" x14ac:dyDescent="0.3">
      <c r="A3132">
        <v>1085</v>
      </c>
      <c r="B3132">
        <v>2</v>
      </c>
      <c r="C3132">
        <v>64</v>
      </c>
      <c r="D3132" t="str">
        <f>VLOOKUP(B3132, Products!$A$2:$C$100, 2, FALSE)</f>
        <v>Ritchey Timberwolf Frameset - 2016</v>
      </c>
      <c r="E3132">
        <v>1</v>
      </c>
      <c r="F3132">
        <v>489.99</v>
      </c>
      <c r="G3132">
        <v>0.1</v>
      </c>
      <c r="H3132">
        <v>48.999000000000002</v>
      </c>
      <c r="I3132">
        <f>order_items[[#This Row],[list_price]]-order_items[[#This Row],[Discounted_price]]</f>
        <v>440.99099999999999</v>
      </c>
      <c r="J3132">
        <f>VLOOKUP(B3132, Products!$A$2:$E$100, 3, FALSE)</f>
        <v>5</v>
      </c>
      <c r="K3132">
        <f>VLOOKUP(B3132, Products!$A$2:$F$100, 4, FALSE)</f>
        <v>6</v>
      </c>
    </row>
    <row r="3133" spans="1:11" x14ac:dyDescent="0.3">
      <c r="A3133">
        <v>1085</v>
      </c>
      <c r="B3133">
        <v>3</v>
      </c>
      <c r="C3133">
        <v>74</v>
      </c>
      <c r="D3133" t="str">
        <f>VLOOKUP(B3133, Products!$A$2:$C$100, 2, FALSE)</f>
        <v>Surly Wednesday Frameset - 2016</v>
      </c>
      <c r="E3133">
        <v>1</v>
      </c>
      <c r="F3133">
        <v>439.99</v>
      </c>
      <c r="G3133">
        <v>0.1</v>
      </c>
      <c r="H3133">
        <v>43.999000000000002</v>
      </c>
      <c r="I3133">
        <f>order_items[[#This Row],[list_price]]-order_items[[#This Row],[Discounted_price]]</f>
        <v>395.99099999999999</v>
      </c>
      <c r="J3133">
        <f>VLOOKUP(B3133, Products!$A$2:$E$100, 3, FALSE)</f>
        <v>8</v>
      </c>
      <c r="K3133">
        <f>VLOOKUP(B3133, Products!$A$2:$F$100, 4, FALSE)</f>
        <v>6</v>
      </c>
    </row>
    <row r="3134" spans="1:11" x14ac:dyDescent="0.3">
      <c r="A3134">
        <v>1086</v>
      </c>
      <c r="B3134">
        <v>1</v>
      </c>
      <c r="C3134">
        <v>108</v>
      </c>
      <c r="D3134" t="str">
        <f>VLOOKUP(B3134, Products!$A$2:$C$100, 2, FALSE)</f>
        <v>Trek 820 - 2016</v>
      </c>
      <c r="E3134">
        <v>1</v>
      </c>
      <c r="F3134">
        <v>449.99</v>
      </c>
      <c r="G3134">
        <v>7.0000000000000007E-2</v>
      </c>
      <c r="H3134">
        <v>31.499300000000005</v>
      </c>
      <c r="I3134">
        <f>order_items[[#This Row],[list_price]]-order_items[[#This Row],[Discounted_price]]</f>
        <v>418.4907</v>
      </c>
      <c r="J3134">
        <f>VLOOKUP(B3134, Products!$A$2:$E$100, 3, FALSE)</f>
        <v>9</v>
      </c>
      <c r="K3134">
        <f>VLOOKUP(B3134, Products!$A$2:$F$100, 4, FALSE)</f>
        <v>6</v>
      </c>
    </row>
    <row r="3135" spans="1:11" x14ac:dyDescent="0.3">
      <c r="A3135">
        <v>1086</v>
      </c>
      <c r="B3135">
        <v>2</v>
      </c>
      <c r="C3135">
        <v>67</v>
      </c>
      <c r="D3135" t="str">
        <f>VLOOKUP(B3135, Products!$A$2:$C$100, 2, FALSE)</f>
        <v>Ritchey Timberwolf Frameset - 2016</v>
      </c>
      <c r="E3135">
        <v>1</v>
      </c>
      <c r="F3135">
        <v>250.99</v>
      </c>
      <c r="G3135">
        <v>0.1</v>
      </c>
      <c r="H3135">
        <v>25.099000000000004</v>
      </c>
      <c r="I3135">
        <f>order_items[[#This Row],[list_price]]-order_items[[#This Row],[Discounted_price]]</f>
        <v>225.89100000000002</v>
      </c>
      <c r="J3135">
        <f>VLOOKUP(B3135, Products!$A$2:$E$100, 3, FALSE)</f>
        <v>5</v>
      </c>
      <c r="K3135">
        <f>VLOOKUP(B3135, Products!$A$2:$F$100, 4, FALSE)</f>
        <v>6</v>
      </c>
    </row>
    <row r="3136" spans="1:11" x14ac:dyDescent="0.3">
      <c r="A3136">
        <v>1086</v>
      </c>
      <c r="B3136">
        <v>3</v>
      </c>
      <c r="C3136">
        <v>81</v>
      </c>
      <c r="D3136" t="str">
        <f>VLOOKUP(B3136, Products!$A$2:$C$100, 2, FALSE)</f>
        <v>Surly Wednesday Frameset - 2016</v>
      </c>
      <c r="E3136">
        <v>2</v>
      </c>
      <c r="F3136">
        <v>1099.99</v>
      </c>
      <c r="G3136">
        <v>0.05</v>
      </c>
      <c r="H3136">
        <v>54.999500000000005</v>
      </c>
      <c r="I3136">
        <f>order_items[[#This Row],[list_price]]-order_items[[#This Row],[Discounted_price]]</f>
        <v>1044.9905000000001</v>
      </c>
      <c r="J3136">
        <f>VLOOKUP(B3136, Products!$A$2:$E$100, 3, FALSE)</f>
        <v>8</v>
      </c>
      <c r="K3136">
        <f>VLOOKUP(B3136, Products!$A$2:$F$100, 4, FALSE)</f>
        <v>6</v>
      </c>
    </row>
    <row r="3137" spans="1:11" x14ac:dyDescent="0.3">
      <c r="A3137">
        <v>1086</v>
      </c>
      <c r="B3137">
        <v>4</v>
      </c>
      <c r="C3137">
        <v>10</v>
      </c>
      <c r="D3137" t="str">
        <f>VLOOKUP(B3137, Products!$A$2:$C$100, 2, FALSE)</f>
        <v>Trek Fuel EX 8 29 - 2016</v>
      </c>
      <c r="E3137">
        <v>2</v>
      </c>
      <c r="F3137">
        <v>1549</v>
      </c>
      <c r="G3137">
        <v>7.0000000000000007E-2</v>
      </c>
      <c r="H3137">
        <v>108.43</v>
      </c>
      <c r="I3137">
        <f>order_items[[#This Row],[list_price]]-order_items[[#This Row],[Discounted_price]]</f>
        <v>1440.57</v>
      </c>
      <c r="J3137">
        <f>VLOOKUP(B3137, Products!$A$2:$E$100, 3, FALSE)</f>
        <v>9</v>
      </c>
      <c r="K3137">
        <f>VLOOKUP(B3137, Products!$A$2:$F$100, 4, FALSE)</f>
        <v>6</v>
      </c>
    </row>
    <row r="3138" spans="1:11" x14ac:dyDescent="0.3">
      <c r="A3138">
        <v>1086</v>
      </c>
      <c r="B3138">
        <v>5</v>
      </c>
      <c r="C3138">
        <v>5</v>
      </c>
      <c r="D3138" t="str">
        <f>VLOOKUP(B3138, Products!$A$2:$C$100, 2, FALSE)</f>
        <v>Heller Shagamaw Frame - 2016</v>
      </c>
      <c r="E3138">
        <v>1</v>
      </c>
      <c r="F3138">
        <v>1320.99</v>
      </c>
      <c r="G3138">
        <v>0.2</v>
      </c>
      <c r="H3138">
        <v>264.19800000000004</v>
      </c>
      <c r="I3138">
        <f>order_items[[#This Row],[list_price]]-order_items[[#This Row],[Discounted_price]]</f>
        <v>1056.7919999999999</v>
      </c>
      <c r="J3138">
        <f>VLOOKUP(B3138, Products!$A$2:$E$100, 3, FALSE)</f>
        <v>3</v>
      </c>
      <c r="K3138">
        <f>VLOOKUP(B3138, Products!$A$2:$F$100, 4, FALSE)</f>
        <v>6</v>
      </c>
    </row>
    <row r="3139" spans="1:11" x14ac:dyDescent="0.3">
      <c r="A3139">
        <v>1087</v>
      </c>
      <c r="B3139">
        <v>1</v>
      </c>
      <c r="C3139">
        <v>15</v>
      </c>
      <c r="D3139" t="str">
        <f>VLOOKUP(B3139, Products!$A$2:$C$100, 2, FALSE)</f>
        <v>Trek 820 - 2016</v>
      </c>
      <c r="E3139">
        <v>1</v>
      </c>
      <c r="F3139">
        <v>529.99</v>
      </c>
      <c r="G3139">
        <v>7.0000000000000007E-2</v>
      </c>
      <c r="H3139">
        <v>37.099300000000007</v>
      </c>
      <c r="I3139">
        <f>order_items[[#This Row],[list_price]]-order_items[[#This Row],[Discounted_price]]</f>
        <v>492.89069999999998</v>
      </c>
      <c r="J3139">
        <f>VLOOKUP(B3139, Products!$A$2:$E$100, 3, FALSE)</f>
        <v>9</v>
      </c>
      <c r="K3139">
        <f>VLOOKUP(B3139, Products!$A$2:$F$100, 4, FALSE)</f>
        <v>6</v>
      </c>
    </row>
    <row r="3140" spans="1:11" x14ac:dyDescent="0.3">
      <c r="A3140">
        <v>1087</v>
      </c>
      <c r="B3140">
        <v>2</v>
      </c>
      <c r="C3140">
        <v>102</v>
      </c>
      <c r="D3140" t="str">
        <f>VLOOKUP(B3140, Products!$A$2:$C$100, 2, FALSE)</f>
        <v>Ritchey Timberwolf Frameset - 2016</v>
      </c>
      <c r="E3140">
        <v>2</v>
      </c>
      <c r="F3140">
        <v>489.99</v>
      </c>
      <c r="G3140">
        <v>7.0000000000000007E-2</v>
      </c>
      <c r="H3140">
        <v>34.299300000000002</v>
      </c>
      <c r="I3140">
        <f>order_items[[#This Row],[list_price]]-order_items[[#This Row],[Discounted_price]]</f>
        <v>455.69069999999999</v>
      </c>
      <c r="J3140">
        <f>VLOOKUP(B3140, Products!$A$2:$E$100, 3, FALSE)</f>
        <v>5</v>
      </c>
      <c r="K3140">
        <f>VLOOKUP(B3140, Products!$A$2:$F$100, 4, FALSE)</f>
        <v>6</v>
      </c>
    </row>
    <row r="3141" spans="1:11" x14ac:dyDescent="0.3">
      <c r="A3141">
        <v>1087</v>
      </c>
      <c r="B3141">
        <v>3</v>
      </c>
      <c r="C3141">
        <v>59</v>
      </c>
      <c r="D3141" t="str">
        <f>VLOOKUP(B3141, Products!$A$2:$C$100, 2, FALSE)</f>
        <v>Surly Wednesday Frameset - 2016</v>
      </c>
      <c r="E3141">
        <v>2</v>
      </c>
      <c r="F3141">
        <v>2599.9899999999998</v>
      </c>
      <c r="G3141">
        <v>0.1</v>
      </c>
      <c r="H3141">
        <v>259.99899999999997</v>
      </c>
      <c r="I3141">
        <f>order_items[[#This Row],[list_price]]-order_items[[#This Row],[Discounted_price]]</f>
        <v>2339.991</v>
      </c>
      <c r="J3141">
        <f>VLOOKUP(B3141, Products!$A$2:$E$100, 3, FALSE)</f>
        <v>8</v>
      </c>
      <c r="K3141">
        <f>VLOOKUP(B3141, Products!$A$2:$F$100, 4, FALSE)</f>
        <v>6</v>
      </c>
    </row>
    <row r="3142" spans="1:11" x14ac:dyDescent="0.3">
      <c r="A3142">
        <v>1087</v>
      </c>
      <c r="B3142">
        <v>4</v>
      </c>
      <c r="C3142">
        <v>13</v>
      </c>
      <c r="D3142" t="str">
        <f>VLOOKUP(B3142, Products!$A$2:$C$100, 2, FALSE)</f>
        <v>Trek Fuel EX 8 29 - 2016</v>
      </c>
      <c r="E3142">
        <v>2</v>
      </c>
      <c r="F3142">
        <v>269.99</v>
      </c>
      <c r="G3142">
        <v>7.0000000000000007E-2</v>
      </c>
      <c r="H3142">
        <v>18.899300000000004</v>
      </c>
      <c r="I3142">
        <f>order_items[[#This Row],[list_price]]-order_items[[#This Row],[Discounted_price]]</f>
        <v>251.0907</v>
      </c>
      <c r="J3142">
        <f>VLOOKUP(B3142, Products!$A$2:$E$100, 3, FALSE)</f>
        <v>9</v>
      </c>
      <c r="K3142">
        <f>VLOOKUP(B3142, Products!$A$2:$F$100, 4, FALSE)</f>
        <v>6</v>
      </c>
    </row>
    <row r="3143" spans="1:11" x14ac:dyDescent="0.3">
      <c r="A3143">
        <v>1087</v>
      </c>
      <c r="B3143">
        <v>5</v>
      </c>
      <c r="C3143">
        <v>109</v>
      </c>
      <c r="D3143" t="str">
        <f>VLOOKUP(B3143, Products!$A$2:$C$100, 2, FALSE)</f>
        <v>Heller Shagamaw Frame - 2016</v>
      </c>
      <c r="E3143">
        <v>2</v>
      </c>
      <c r="F3143">
        <v>416.99</v>
      </c>
      <c r="G3143">
        <v>0.2</v>
      </c>
      <c r="H3143">
        <v>83.39800000000001</v>
      </c>
      <c r="I3143">
        <f>order_items[[#This Row],[list_price]]-order_items[[#This Row],[Discounted_price]]</f>
        <v>333.59199999999998</v>
      </c>
      <c r="J3143">
        <f>VLOOKUP(B3143, Products!$A$2:$E$100, 3, FALSE)</f>
        <v>3</v>
      </c>
      <c r="K3143">
        <f>VLOOKUP(B3143, Products!$A$2:$F$100, 4, FALSE)</f>
        <v>6</v>
      </c>
    </row>
    <row r="3144" spans="1:11" x14ac:dyDescent="0.3">
      <c r="A3144">
        <v>1088</v>
      </c>
      <c r="B3144">
        <v>1</v>
      </c>
      <c r="C3144">
        <v>64</v>
      </c>
      <c r="D3144" t="str">
        <f>VLOOKUP(B3144, Products!$A$2:$C$100, 2, FALSE)</f>
        <v>Trek 820 - 2016</v>
      </c>
      <c r="E3144">
        <v>1</v>
      </c>
      <c r="F3144">
        <v>489.99</v>
      </c>
      <c r="G3144">
        <v>0.1</v>
      </c>
      <c r="H3144">
        <v>48.999000000000002</v>
      </c>
      <c r="I3144">
        <f>order_items[[#This Row],[list_price]]-order_items[[#This Row],[Discounted_price]]</f>
        <v>440.99099999999999</v>
      </c>
      <c r="J3144">
        <f>VLOOKUP(B3144, Products!$A$2:$E$100, 3, FALSE)</f>
        <v>9</v>
      </c>
      <c r="K3144">
        <f>VLOOKUP(B3144, Products!$A$2:$F$100, 4, FALSE)</f>
        <v>6</v>
      </c>
    </row>
    <row r="3145" spans="1:11" x14ac:dyDescent="0.3">
      <c r="A3145">
        <v>1088</v>
      </c>
      <c r="B3145">
        <v>2</v>
      </c>
      <c r="C3145">
        <v>30</v>
      </c>
      <c r="D3145" t="str">
        <f>VLOOKUP(B3145, Products!$A$2:$C$100, 2, FALSE)</f>
        <v>Ritchey Timberwolf Frameset - 2016</v>
      </c>
      <c r="E3145">
        <v>1</v>
      </c>
      <c r="F3145">
        <v>999.99</v>
      </c>
      <c r="G3145">
        <v>0.1</v>
      </c>
      <c r="H3145">
        <v>99.999000000000009</v>
      </c>
      <c r="I3145">
        <f>order_items[[#This Row],[list_price]]-order_items[[#This Row],[Discounted_price]]</f>
        <v>899.99099999999999</v>
      </c>
      <c r="J3145">
        <f>VLOOKUP(B3145, Products!$A$2:$E$100, 3, FALSE)</f>
        <v>5</v>
      </c>
      <c r="K3145">
        <f>VLOOKUP(B3145, Products!$A$2:$F$100, 4, FALSE)</f>
        <v>6</v>
      </c>
    </row>
    <row r="3146" spans="1:11" x14ac:dyDescent="0.3">
      <c r="A3146">
        <v>1088</v>
      </c>
      <c r="B3146">
        <v>3</v>
      </c>
      <c r="C3146">
        <v>33</v>
      </c>
      <c r="D3146" t="str">
        <f>VLOOKUP(B3146, Products!$A$2:$C$100, 2, FALSE)</f>
        <v>Surly Wednesday Frameset - 2016</v>
      </c>
      <c r="E3146">
        <v>1</v>
      </c>
      <c r="F3146">
        <v>469.99</v>
      </c>
      <c r="G3146">
        <v>7.0000000000000007E-2</v>
      </c>
      <c r="H3146">
        <v>32.899300000000004</v>
      </c>
      <c r="I3146">
        <f>order_items[[#This Row],[list_price]]-order_items[[#This Row],[Discounted_price]]</f>
        <v>437.09070000000003</v>
      </c>
      <c r="J3146">
        <f>VLOOKUP(B3146, Products!$A$2:$E$100, 3, FALSE)</f>
        <v>8</v>
      </c>
      <c r="K3146">
        <f>VLOOKUP(B3146, Products!$A$2:$F$100, 4, FALSE)</f>
        <v>6</v>
      </c>
    </row>
    <row r="3147" spans="1:11" x14ac:dyDescent="0.3">
      <c r="A3147">
        <v>1088</v>
      </c>
      <c r="B3147">
        <v>4</v>
      </c>
      <c r="C3147">
        <v>36</v>
      </c>
      <c r="D3147" t="str">
        <f>VLOOKUP(B3147, Products!$A$2:$C$100, 2, FALSE)</f>
        <v>Trek Fuel EX 8 29 - 2016</v>
      </c>
      <c r="E3147">
        <v>2</v>
      </c>
      <c r="F3147">
        <v>832.99</v>
      </c>
      <c r="G3147">
        <v>0.2</v>
      </c>
      <c r="H3147">
        <v>166.59800000000001</v>
      </c>
      <c r="I3147">
        <f>order_items[[#This Row],[list_price]]-order_items[[#This Row],[Discounted_price]]</f>
        <v>666.39200000000005</v>
      </c>
      <c r="J3147">
        <f>VLOOKUP(B3147, Products!$A$2:$E$100, 3, FALSE)</f>
        <v>9</v>
      </c>
      <c r="K3147">
        <f>VLOOKUP(B3147, Products!$A$2:$F$100, 4, FALSE)</f>
        <v>6</v>
      </c>
    </row>
    <row r="3148" spans="1:11" x14ac:dyDescent="0.3">
      <c r="A3148">
        <v>1089</v>
      </c>
      <c r="B3148">
        <v>1</v>
      </c>
      <c r="C3148">
        <v>70</v>
      </c>
      <c r="D3148" t="str">
        <f>VLOOKUP(B3148, Products!$A$2:$C$100, 2, FALSE)</f>
        <v>Trek 820 - 2016</v>
      </c>
      <c r="E3148">
        <v>2</v>
      </c>
      <c r="F3148">
        <v>659.99</v>
      </c>
      <c r="G3148">
        <v>7.0000000000000007E-2</v>
      </c>
      <c r="H3148">
        <v>46.199300000000008</v>
      </c>
      <c r="I3148">
        <f>order_items[[#This Row],[list_price]]-order_items[[#This Row],[Discounted_price]]</f>
        <v>613.79070000000002</v>
      </c>
      <c r="J3148">
        <f>VLOOKUP(B3148, Products!$A$2:$E$100, 3, FALSE)</f>
        <v>9</v>
      </c>
      <c r="K3148">
        <f>VLOOKUP(B3148, Products!$A$2:$F$100, 4, FALSE)</f>
        <v>6</v>
      </c>
    </row>
    <row r="3149" spans="1:11" x14ac:dyDescent="0.3">
      <c r="A3149">
        <v>1089</v>
      </c>
      <c r="B3149">
        <v>2</v>
      </c>
      <c r="C3149">
        <v>30</v>
      </c>
      <c r="D3149" t="str">
        <f>VLOOKUP(B3149, Products!$A$2:$C$100, 2, FALSE)</f>
        <v>Ritchey Timberwolf Frameset - 2016</v>
      </c>
      <c r="E3149">
        <v>2</v>
      </c>
      <c r="F3149">
        <v>999.99</v>
      </c>
      <c r="G3149">
        <v>0.05</v>
      </c>
      <c r="H3149">
        <v>49.999500000000005</v>
      </c>
      <c r="I3149">
        <f>order_items[[#This Row],[list_price]]-order_items[[#This Row],[Discounted_price]]</f>
        <v>949.9905</v>
      </c>
      <c r="J3149">
        <f>VLOOKUP(B3149, Products!$A$2:$E$100, 3, FALSE)</f>
        <v>5</v>
      </c>
      <c r="K3149">
        <f>VLOOKUP(B3149, Products!$A$2:$F$100, 4, FALSE)</f>
        <v>6</v>
      </c>
    </row>
    <row r="3150" spans="1:11" x14ac:dyDescent="0.3">
      <c r="A3150">
        <v>1090</v>
      </c>
      <c r="B3150">
        <v>1</v>
      </c>
      <c r="C3150">
        <v>74</v>
      </c>
      <c r="D3150" t="str">
        <f>VLOOKUP(B3150, Products!$A$2:$C$100, 2, FALSE)</f>
        <v>Trek 820 - 2016</v>
      </c>
      <c r="E3150">
        <v>1</v>
      </c>
      <c r="F3150">
        <v>439.99</v>
      </c>
      <c r="G3150">
        <v>0.2</v>
      </c>
      <c r="H3150">
        <v>87.998000000000005</v>
      </c>
      <c r="I3150">
        <f>order_items[[#This Row],[list_price]]-order_items[[#This Row],[Discounted_price]]</f>
        <v>351.99200000000002</v>
      </c>
      <c r="J3150">
        <f>VLOOKUP(B3150, Products!$A$2:$E$100, 3, FALSE)</f>
        <v>9</v>
      </c>
      <c r="K3150">
        <f>VLOOKUP(B3150, Products!$A$2:$F$100, 4, FALSE)</f>
        <v>6</v>
      </c>
    </row>
    <row r="3151" spans="1:11" x14ac:dyDescent="0.3">
      <c r="A3151">
        <v>1091</v>
      </c>
      <c r="B3151">
        <v>1</v>
      </c>
      <c r="C3151">
        <v>97</v>
      </c>
      <c r="D3151" t="str">
        <f>VLOOKUP(B3151, Products!$A$2:$C$100, 2, FALSE)</f>
        <v>Trek 820 - 2016</v>
      </c>
      <c r="E3151">
        <v>1</v>
      </c>
      <c r="F3151">
        <v>349.99</v>
      </c>
      <c r="G3151">
        <v>0.05</v>
      </c>
      <c r="H3151">
        <v>17.499500000000001</v>
      </c>
      <c r="I3151">
        <f>order_items[[#This Row],[list_price]]-order_items[[#This Row],[Discounted_price]]</f>
        <v>332.4905</v>
      </c>
      <c r="J3151">
        <f>VLOOKUP(B3151, Products!$A$2:$E$100, 3, FALSE)</f>
        <v>9</v>
      </c>
      <c r="K3151">
        <f>VLOOKUP(B3151, Products!$A$2:$F$100, 4, FALSE)</f>
        <v>6</v>
      </c>
    </row>
    <row r="3152" spans="1:11" x14ac:dyDescent="0.3">
      <c r="A3152">
        <v>1091</v>
      </c>
      <c r="B3152">
        <v>2</v>
      </c>
      <c r="C3152">
        <v>56</v>
      </c>
      <c r="D3152" t="str">
        <f>VLOOKUP(B3152, Products!$A$2:$C$100, 2, FALSE)</f>
        <v>Ritchey Timberwolf Frameset - 2016</v>
      </c>
      <c r="E3152">
        <v>1</v>
      </c>
      <c r="F3152">
        <v>5499.99</v>
      </c>
      <c r="G3152">
        <v>0.1</v>
      </c>
      <c r="H3152">
        <v>549.99900000000002</v>
      </c>
      <c r="I3152">
        <f>order_items[[#This Row],[list_price]]-order_items[[#This Row],[Discounted_price]]</f>
        <v>4949.991</v>
      </c>
      <c r="J3152">
        <f>VLOOKUP(B3152, Products!$A$2:$E$100, 3, FALSE)</f>
        <v>5</v>
      </c>
      <c r="K3152">
        <f>VLOOKUP(B3152, Products!$A$2:$F$100, 4, FALSE)</f>
        <v>6</v>
      </c>
    </row>
    <row r="3153" spans="1:11" x14ac:dyDescent="0.3">
      <c r="A3153">
        <v>1091</v>
      </c>
      <c r="B3153">
        <v>3</v>
      </c>
      <c r="C3153">
        <v>19</v>
      </c>
      <c r="D3153" t="str">
        <f>VLOOKUP(B3153, Products!$A$2:$C$100, 2, FALSE)</f>
        <v>Surly Wednesday Frameset - 2016</v>
      </c>
      <c r="E3153">
        <v>1</v>
      </c>
      <c r="F3153">
        <v>449</v>
      </c>
      <c r="G3153">
        <v>0.1</v>
      </c>
      <c r="H3153">
        <v>44.900000000000006</v>
      </c>
      <c r="I3153">
        <f>order_items[[#This Row],[list_price]]-order_items[[#This Row],[Discounted_price]]</f>
        <v>404.1</v>
      </c>
      <c r="J3153">
        <f>VLOOKUP(B3153, Products!$A$2:$E$100, 3, FALSE)</f>
        <v>8</v>
      </c>
      <c r="K3153">
        <f>VLOOKUP(B3153, Products!$A$2:$F$100, 4, FALSE)</f>
        <v>6</v>
      </c>
    </row>
    <row r="3154" spans="1:11" x14ac:dyDescent="0.3">
      <c r="A3154">
        <v>1092</v>
      </c>
      <c r="B3154">
        <v>1</v>
      </c>
      <c r="C3154">
        <v>34</v>
      </c>
      <c r="D3154" t="str">
        <f>VLOOKUP(B3154, Products!$A$2:$C$100, 2, FALSE)</f>
        <v>Trek 820 - 2016</v>
      </c>
      <c r="E3154">
        <v>1</v>
      </c>
      <c r="F3154">
        <v>469.99</v>
      </c>
      <c r="G3154">
        <v>0.05</v>
      </c>
      <c r="H3154">
        <v>23.499500000000001</v>
      </c>
      <c r="I3154">
        <f>order_items[[#This Row],[list_price]]-order_items[[#This Row],[Discounted_price]]</f>
        <v>446.4905</v>
      </c>
      <c r="J3154">
        <f>VLOOKUP(B3154, Products!$A$2:$E$100, 3, FALSE)</f>
        <v>9</v>
      </c>
      <c r="K3154">
        <f>VLOOKUP(B3154, Products!$A$2:$F$100, 4, FALSE)</f>
        <v>6</v>
      </c>
    </row>
    <row r="3155" spans="1:11" x14ac:dyDescent="0.3">
      <c r="A3155">
        <v>1092</v>
      </c>
      <c r="B3155">
        <v>2</v>
      </c>
      <c r="C3155">
        <v>30</v>
      </c>
      <c r="D3155" t="str">
        <f>VLOOKUP(B3155, Products!$A$2:$C$100, 2, FALSE)</f>
        <v>Ritchey Timberwolf Frameset - 2016</v>
      </c>
      <c r="E3155">
        <v>2</v>
      </c>
      <c r="F3155">
        <v>999.99</v>
      </c>
      <c r="G3155">
        <v>7.0000000000000007E-2</v>
      </c>
      <c r="H3155">
        <v>69.999300000000005</v>
      </c>
      <c r="I3155">
        <f>order_items[[#This Row],[list_price]]-order_items[[#This Row],[Discounted_price]]</f>
        <v>929.99070000000006</v>
      </c>
      <c r="J3155">
        <f>VLOOKUP(B3155, Products!$A$2:$E$100, 3, FALSE)</f>
        <v>5</v>
      </c>
      <c r="K3155">
        <f>VLOOKUP(B3155, Products!$A$2:$F$100, 4, FALSE)</f>
        <v>6</v>
      </c>
    </row>
    <row r="3156" spans="1:11" x14ac:dyDescent="0.3">
      <c r="A3156">
        <v>1092</v>
      </c>
      <c r="B3156">
        <v>3</v>
      </c>
      <c r="C3156">
        <v>2</v>
      </c>
      <c r="D3156" t="str">
        <f>VLOOKUP(B3156, Products!$A$2:$C$100, 2, FALSE)</f>
        <v>Surly Wednesday Frameset - 2016</v>
      </c>
      <c r="E3156">
        <v>2</v>
      </c>
      <c r="F3156">
        <v>749.99</v>
      </c>
      <c r="G3156">
        <v>0.1</v>
      </c>
      <c r="H3156">
        <v>74.999000000000009</v>
      </c>
      <c r="I3156">
        <f>order_items[[#This Row],[list_price]]-order_items[[#This Row],[Discounted_price]]</f>
        <v>674.99099999999999</v>
      </c>
      <c r="J3156">
        <f>VLOOKUP(B3156, Products!$A$2:$E$100, 3, FALSE)</f>
        <v>8</v>
      </c>
      <c r="K3156">
        <f>VLOOKUP(B3156, Products!$A$2:$F$100, 4, FALSE)</f>
        <v>6</v>
      </c>
    </row>
    <row r="3157" spans="1:11" x14ac:dyDescent="0.3">
      <c r="A3157">
        <v>1092</v>
      </c>
      <c r="B3157">
        <v>4</v>
      </c>
      <c r="C3157">
        <v>18</v>
      </c>
      <c r="D3157" t="str">
        <f>VLOOKUP(B3157, Products!$A$2:$C$100, 2, FALSE)</f>
        <v>Trek Fuel EX 8 29 - 2016</v>
      </c>
      <c r="E3157">
        <v>1</v>
      </c>
      <c r="F3157">
        <v>449</v>
      </c>
      <c r="G3157">
        <v>0.2</v>
      </c>
      <c r="H3157">
        <v>89.800000000000011</v>
      </c>
      <c r="I3157">
        <f>order_items[[#This Row],[list_price]]-order_items[[#This Row],[Discounted_price]]</f>
        <v>359.2</v>
      </c>
      <c r="J3157">
        <f>VLOOKUP(B3157, Products!$A$2:$E$100, 3, FALSE)</f>
        <v>9</v>
      </c>
      <c r="K3157">
        <f>VLOOKUP(B3157, Products!$A$2:$F$100, 4, FALSE)</f>
        <v>6</v>
      </c>
    </row>
    <row r="3158" spans="1:11" x14ac:dyDescent="0.3">
      <c r="A3158">
        <v>1093</v>
      </c>
      <c r="B3158">
        <v>1</v>
      </c>
      <c r="C3158">
        <v>45</v>
      </c>
      <c r="D3158" t="str">
        <f>VLOOKUP(B3158, Products!$A$2:$C$100, 2, FALSE)</f>
        <v>Trek 820 - 2016</v>
      </c>
      <c r="E3158">
        <v>2</v>
      </c>
      <c r="F3158">
        <v>869.99</v>
      </c>
      <c r="G3158">
        <v>7.0000000000000007E-2</v>
      </c>
      <c r="H3158">
        <v>60.899300000000004</v>
      </c>
      <c r="I3158">
        <f>order_items[[#This Row],[list_price]]-order_items[[#This Row],[Discounted_price]]</f>
        <v>809.09069999999997</v>
      </c>
      <c r="J3158">
        <f>VLOOKUP(B3158, Products!$A$2:$E$100, 3, FALSE)</f>
        <v>9</v>
      </c>
      <c r="K3158">
        <f>VLOOKUP(B3158, Products!$A$2:$F$100, 4, FALSE)</f>
        <v>6</v>
      </c>
    </row>
    <row r="3159" spans="1:11" x14ac:dyDescent="0.3">
      <c r="A3159">
        <v>1093</v>
      </c>
      <c r="B3159">
        <v>2</v>
      </c>
      <c r="C3159">
        <v>17</v>
      </c>
      <c r="D3159" t="str">
        <f>VLOOKUP(B3159, Products!$A$2:$C$100, 2, FALSE)</f>
        <v>Ritchey Timberwolf Frameset - 2016</v>
      </c>
      <c r="E3159">
        <v>2</v>
      </c>
      <c r="F3159">
        <v>429</v>
      </c>
      <c r="G3159">
        <v>0.1</v>
      </c>
      <c r="H3159">
        <v>42.900000000000006</v>
      </c>
      <c r="I3159">
        <f>order_items[[#This Row],[list_price]]-order_items[[#This Row],[Discounted_price]]</f>
        <v>386.1</v>
      </c>
      <c r="J3159">
        <f>VLOOKUP(B3159, Products!$A$2:$E$100, 3, FALSE)</f>
        <v>5</v>
      </c>
      <c r="K3159">
        <f>VLOOKUP(B3159, Products!$A$2:$F$100, 4, FALSE)</f>
        <v>6</v>
      </c>
    </row>
    <row r="3160" spans="1:11" x14ac:dyDescent="0.3">
      <c r="A3160">
        <v>1093</v>
      </c>
      <c r="B3160">
        <v>3</v>
      </c>
      <c r="C3160">
        <v>90</v>
      </c>
      <c r="D3160" t="str">
        <f>VLOOKUP(B3160, Products!$A$2:$C$100, 2, FALSE)</f>
        <v>Surly Wednesday Frameset - 2016</v>
      </c>
      <c r="E3160">
        <v>2</v>
      </c>
      <c r="F3160">
        <v>209.99</v>
      </c>
      <c r="G3160">
        <v>0.1</v>
      </c>
      <c r="H3160">
        <v>20.999000000000002</v>
      </c>
      <c r="I3160">
        <f>order_items[[#This Row],[list_price]]-order_items[[#This Row],[Discounted_price]]</f>
        <v>188.99100000000001</v>
      </c>
      <c r="J3160">
        <f>VLOOKUP(B3160, Products!$A$2:$E$100, 3, FALSE)</f>
        <v>8</v>
      </c>
      <c r="K3160">
        <f>VLOOKUP(B3160, Products!$A$2:$F$100, 4, FALSE)</f>
        <v>6</v>
      </c>
    </row>
    <row r="3161" spans="1:11" x14ac:dyDescent="0.3">
      <c r="A3161">
        <v>1094</v>
      </c>
      <c r="B3161">
        <v>1</v>
      </c>
      <c r="C3161">
        <v>71</v>
      </c>
      <c r="D3161" t="str">
        <f>VLOOKUP(B3161, Products!$A$2:$C$100, 2, FALSE)</f>
        <v>Trek 820 - 2016</v>
      </c>
      <c r="E3161">
        <v>1</v>
      </c>
      <c r="F3161">
        <v>416.99</v>
      </c>
      <c r="G3161">
        <v>0.1</v>
      </c>
      <c r="H3161">
        <v>41.699000000000005</v>
      </c>
      <c r="I3161">
        <f>order_items[[#This Row],[list_price]]-order_items[[#This Row],[Discounted_price]]</f>
        <v>375.291</v>
      </c>
      <c r="J3161">
        <f>VLOOKUP(B3161, Products!$A$2:$E$100, 3, FALSE)</f>
        <v>9</v>
      </c>
      <c r="K3161">
        <f>VLOOKUP(B3161, Products!$A$2:$F$100, 4, FALSE)</f>
        <v>6</v>
      </c>
    </row>
    <row r="3162" spans="1:11" x14ac:dyDescent="0.3">
      <c r="A3162">
        <v>1094</v>
      </c>
      <c r="B3162">
        <v>2</v>
      </c>
      <c r="C3162">
        <v>11</v>
      </c>
      <c r="D3162" t="str">
        <f>VLOOKUP(B3162, Products!$A$2:$C$100, 2, FALSE)</f>
        <v>Ritchey Timberwolf Frameset - 2016</v>
      </c>
      <c r="E3162">
        <v>1</v>
      </c>
      <c r="F3162">
        <v>1680.99</v>
      </c>
      <c r="G3162">
        <v>0.1</v>
      </c>
      <c r="H3162">
        <v>168.09900000000002</v>
      </c>
      <c r="I3162">
        <f>order_items[[#This Row],[list_price]]-order_items[[#This Row],[Discounted_price]]</f>
        <v>1512.8910000000001</v>
      </c>
      <c r="J3162">
        <f>VLOOKUP(B3162, Products!$A$2:$E$100, 3, FALSE)</f>
        <v>5</v>
      </c>
      <c r="K3162">
        <f>VLOOKUP(B3162, Products!$A$2:$F$100, 4, FALSE)</f>
        <v>6</v>
      </c>
    </row>
    <row r="3163" spans="1:11" x14ac:dyDescent="0.3">
      <c r="A3163">
        <v>1094</v>
      </c>
      <c r="B3163">
        <v>3</v>
      </c>
      <c r="C3163">
        <v>24</v>
      </c>
      <c r="D3163" t="str">
        <f>VLOOKUP(B3163, Products!$A$2:$C$100, 2, FALSE)</f>
        <v>Surly Wednesday Frameset - 2016</v>
      </c>
      <c r="E3163">
        <v>1</v>
      </c>
      <c r="F3163">
        <v>549.99</v>
      </c>
      <c r="G3163">
        <v>0.1</v>
      </c>
      <c r="H3163">
        <v>54.999000000000002</v>
      </c>
      <c r="I3163">
        <f>order_items[[#This Row],[list_price]]-order_items[[#This Row],[Discounted_price]]</f>
        <v>494.99099999999999</v>
      </c>
      <c r="J3163">
        <f>VLOOKUP(B3163, Products!$A$2:$E$100, 3, FALSE)</f>
        <v>8</v>
      </c>
      <c r="K3163">
        <f>VLOOKUP(B3163, Products!$A$2:$F$100, 4, FALSE)</f>
        <v>6</v>
      </c>
    </row>
    <row r="3164" spans="1:11" x14ac:dyDescent="0.3">
      <c r="A3164">
        <v>1094</v>
      </c>
      <c r="B3164">
        <v>4</v>
      </c>
      <c r="C3164">
        <v>107</v>
      </c>
      <c r="D3164" t="str">
        <f>VLOOKUP(B3164, Products!$A$2:$C$100, 2, FALSE)</f>
        <v>Trek Fuel EX 8 29 - 2016</v>
      </c>
      <c r="E3164">
        <v>1</v>
      </c>
      <c r="F3164">
        <v>416.99</v>
      </c>
      <c r="G3164">
        <v>0.2</v>
      </c>
      <c r="H3164">
        <v>83.39800000000001</v>
      </c>
      <c r="I3164">
        <f>order_items[[#This Row],[list_price]]-order_items[[#This Row],[Discounted_price]]</f>
        <v>333.59199999999998</v>
      </c>
      <c r="J3164">
        <f>VLOOKUP(B3164, Products!$A$2:$E$100, 3, FALSE)</f>
        <v>9</v>
      </c>
      <c r="K3164">
        <f>VLOOKUP(B3164, Products!$A$2:$F$100, 4, FALSE)</f>
        <v>6</v>
      </c>
    </row>
    <row r="3165" spans="1:11" x14ac:dyDescent="0.3">
      <c r="A3165">
        <v>1095</v>
      </c>
      <c r="B3165">
        <v>1</v>
      </c>
      <c r="C3165">
        <v>78</v>
      </c>
      <c r="D3165" t="str">
        <f>VLOOKUP(B3165, Products!$A$2:$C$100, 2, FALSE)</f>
        <v>Trek 820 - 2016</v>
      </c>
      <c r="E3165">
        <v>2</v>
      </c>
      <c r="F3165">
        <v>647.99</v>
      </c>
      <c r="G3165">
        <v>0.05</v>
      </c>
      <c r="H3165">
        <v>32.399500000000003</v>
      </c>
      <c r="I3165">
        <f>order_items[[#This Row],[list_price]]-order_items[[#This Row],[Discounted_price]]</f>
        <v>615.59050000000002</v>
      </c>
      <c r="J3165">
        <f>VLOOKUP(B3165, Products!$A$2:$E$100, 3, FALSE)</f>
        <v>9</v>
      </c>
      <c r="K3165">
        <f>VLOOKUP(B3165, Products!$A$2:$F$100, 4, FALSE)</f>
        <v>6</v>
      </c>
    </row>
    <row r="3166" spans="1:11" x14ac:dyDescent="0.3">
      <c r="A3166">
        <v>1095</v>
      </c>
      <c r="B3166">
        <v>2</v>
      </c>
      <c r="C3166">
        <v>3</v>
      </c>
      <c r="D3166" t="str">
        <f>VLOOKUP(B3166, Products!$A$2:$C$100, 2, FALSE)</f>
        <v>Ritchey Timberwolf Frameset - 2016</v>
      </c>
      <c r="E3166">
        <v>2</v>
      </c>
      <c r="F3166">
        <v>999.99</v>
      </c>
      <c r="G3166">
        <v>0.2</v>
      </c>
      <c r="H3166">
        <v>199.99800000000002</v>
      </c>
      <c r="I3166">
        <f>order_items[[#This Row],[list_price]]-order_items[[#This Row],[Discounted_price]]</f>
        <v>799.99199999999996</v>
      </c>
      <c r="J3166">
        <f>VLOOKUP(B3166, Products!$A$2:$E$100, 3, FALSE)</f>
        <v>5</v>
      </c>
      <c r="K3166">
        <f>VLOOKUP(B3166, Products!$A$2:$F$100, 4, FALSE)</f>
        <v>6</v>
      </c>
    </row>
    <row r="3167" spans="1:11" x14ac:dyDescent="0.3">
      <c r="A3167">
        <v>1095</v>
      </c>
      <c r="B3167">
        <v>3</v>
      </c>
      <c r="C3167">
        <v>15</v>
      </c>
      <c r="D3167" t="str">
        <f>VLOOKUP(B3167, Products!$A$2:$C$100, 2, FALSE)</f>
        <v>Surly Wednesday Frameset - 2016</v>
      </c>
      <c r="E3167">
        <v>2</v>
      </c>
      <c r="F3167">
        <v>529.99</v>
      </c>
      <c r="G3167">
        <v>0.1</v>
      </c>
      <c r="H3167">
        <v>52.999000000000002</v>
      </c>
      <c r="I3167">
        <f>order_items[[#This Row],[list_price]]-order_items[[#This Row],[Discounted_price]]</f>
        <v>476.99099999999999</v>
      </c>
      <c r="J3167">
        <f>VLOOKUP(B3167, Products!$A$2:$E$100, 3, FALSE)</f>
        <v>8</v>
      </c>
      <c r="K3167">
        <f>VLOOKUP(B3167, Products!$A$2:$F$100, 4, FALSE)</f>
        <v>6</v>
      </c>
    </row>
    <row r="3168" spans="1:11" x14ac:dyDescent="0.3">
      <c r="A3168">
        <v>1095</v>
      </c>
      <c r="B3168">
        <v>4</v>
      </c>
      <c r="C3168">
        <v>31</v>
      </c>
      <c r="D3168" t="str">
        <f>VLOOKUP(B3168, Products!$A$2:$C$100, 2, FALSE)</f>
        <v>Trek Fuel EX 8 29 - 2016</v>
      </c>
      <c r="E3168">
        <v>1</v>
      </c>
      <c r="F3168">
        <v>1632.99</v>
      </c>
      <c r="G3168">
        <v>0.2</v>
      </c>
      <c r="H3168">
        <v>326.59800000000001</v>
      </c>
      <c r="I3168">
        <f>order_items[[#This Row],[list_price]]-order_items[[#This Row],[Discounted_price]]</f>
        <v>1306.3920000000001</v>
      </c>
      <c r="J3168">
        <f>VLOOKUP(B3168, Products!$A$2:$E$100, 3, FALSE)</f>
        <v>9</v>
      </c>
      <c r="K3168">
        <f>VLOOKUP(B3168, Products!$A$2:$F$100, 4, FALSE)</f>
        <v>6</v>
      </c>
    </row>
    <row r="3169" spans="1:11" x14ac:dyDescent="0.3">
      <c r="A3169">
        <v>1095</v>
      </c>
      <c r="B3169">
        <v>5</v>
      </c>
      <c r="C3169">
        <v>50</v>
      </c>
      <c r="D3169" t="str">
        <f>VLOOKUP(B3169, Products!$A$2:$C$100, 2, FALSE)</f>
        <v>Heller Shagamaw Frame - 2016</v>
      </c>
      <c r="E3169">
        <v>2</v>
      </c>
      <c r="F3169">
        <v>5999.99</v>
      </c>
      <c r="G3169">
        <v>0.05</v>
      </c>
      <c r="H3169">
        <v>299.99950000000001</v>
      </c>
      <c r="I3169">
        <f>order_items[[#This Row],[list_price]]-order_items[[#This Row],[Discounted_price]]</f>
        <v>5699.9904999999999</v>
      </c>
      <c r="J3169">
        <f>VLOOKUP(B3169, Products!$A$2:$E$100, 3, FALSE)</f>
        <v>3</v>
      </c>
      <c r="K3169">
        <f>VLOOKUP(B3169, Products!$A$2:$F$100, 4, FALSE)</f>
        <v>6</v>
      </c>
    </row>
    <row r="3170" spans="1:11" x14ac:dyDescent="0.3">
      <c r="A3170">
        <v>1096</v>
      </c>
      <c r="B3170">
        <v>1</v>
      </c>
      <c r="C3170">
        <v>11</v>
      </c>
      <c r="D3170" t="str">
        <f>VLOOKUP(B3170, Products!$A$2:$C$100, 2, FALSE)</f>
        <v>Trek 820 - 2016</v>
      </c>
      <c r="E3170">
        <v>1</v>
      </c>
      <c r="F3170">
        <v>1680.99</v>
      </c>
      <c r="G3170">
        <v>0.1</v>
      </c>
      <c r="H3170">
        <v>168.09900000000002</v>
      </c>
      <c r="I3170">
        <f>order_items[[#This Row],[list_price]]-order_items[[#This Row],[Discounted_price]]</f>
        <v>1512.8910000000001</v>
      </c>
      <c r="J3170">
        <f>VLOOKUP(B3170, Products!$A$2:$E$100, 3, FALSE)</f>
        <v>9</v>
      </c>
      <c r="K3170">
        <f>VLOOKUP(B3170, Products!$A$2:$F$100, 4, FALSE)</f>
        <v>6</v>
      </c>
    </row>
    <row r="3171" spans="1:11" x14ac:dyDescent="0.3">
      <c r="A3171">
        <v>1097</v>
      </c>
      <c r="B3171">
        <v>1</v>
      </c>
      <c r="C3171">
        <v>99</v>
      </c>
      <c r="D3171" t="str">
        <f>VLOOKUP(B3171, Products!$A$2:$C$100, 2, FALSE)</f>
        <v>Trek 820 - 2016</v>
      </c>
      <c r="E3171">
        <v>1</v>
      </c>
      <c r="F3171">
        <v>299.99</v>
      </c>
      <c r="G3171">
        <v>0.05</v>
      </c>
      <c r="H3171">
        <v>14.999500000000001</v>
      </c>
      <c r="I3171">
        <f>order_items[[#This Row],[list_price]]-order_items[[#This Row],[Discounted_price]]</f>
        <v>284.9905</v>
      </c>
      <c r="J3171">
        <f>VLOOKUP(B3171, Products!$A$2:$E$100, 3, FALSE)</f>
        <v>9</v>
      </c>
      <c r="K3171">
        <f>VLOOKUP(B3171, Products!$A$2:$F$100, 4, FALSE)</f>
        <v>6</v>
      </c>
    </row>
    <row r="3172" spans="1:11" x14ac:dyDescent="0.3">
      <c r="A3172">
        <v>1097</v>
      </c>
      <c r="B3172">
        <v>2</v>
      </c>
      <c r="C3172">
        <v>106</v>
      </c>
      <c r="D3172" t="str">
        <f>VLOOKUP(B3172, Products!$A$2:$C$100, 2, FALSE)</f>
        <v>Ritchey Timberwolf Frameset - 2016</v>
      </c>
      <c r="E3172">
        <v>2</v>
      </c>
      <c r="F3172">
        <v>449.99</v>
      </c>
      <c r="G3172">
        <v>7.0000000000000007E-2</v>
      </c>
      <c r="H3172">
        <v>31.499300000000005</v>
      </c>
      <c r="I3172">
        <f>order_items[[#This Row],[list_price]]-order_items[[#This Row],[Discounted_price]]</f>
        <v>418.4907</v>
      </c>
      <c r="J3172">
        <f>VLOOKUP(B3172, Products!$A$2:$E$100, 3, FALSE)</f>
        <v>5</v>
      </c>
      <c r="K3172">
        <f>VLOOKUP(B3172, Products!$A$2:$F$100, 4, FALSE)</f>
        <v>6</v>
      </c>
    </row>
    <row r="3173" spans="1:11" x14ac:dyDescent="0.3">
      <c r="A3173">
        <v>1097</v>
      </c>
      <c r="B3173">
        <v>3</v>
      </c>
      <c r="C3173">
        <v>98</v>
      </c>
      <c r="D3173" t="str">
        <f>VLOOKUP(B3173, Products!$A$2:$C$100, 2, FALSE)</f>
        <v>Surly Wednesday Frameset - 2016</v>
      </c>
      <c r="E3173">
        <v>2</v>
      </c>
      <c r="F3173">
        <v>489.99</v>
      </c>
      <c r="G3173">
        <v>7.0000000000000007E-2</v>
      </c>
      <c r="H3173">
        <v>34.299300000000002</v>
      </c>
      <c r="I3173">
        <f>order_items[[#This Row],[list_price]]-order_items[[#This Row],[Discounted_price]]</f>
        <v>455.69069999999999</v>
      </c>
      <c r="J3173">
        <f>VLOOKUP(B3173, Products!$A$2:$E$100, 3, FALSE)</f>
        <v>8</v>
      </c>
      <c r="K3173">
        <f>VLOOKUP(B3173, Products!$A$2:$F$100, 4, FALSE)</f>
        <v>6</v>
      </c>
    </row>
    <row r="3174" spans="1:11" x14ac:dyDescent="0.3">
      <c r="A3174">
        <v>1097</v>
      </c>
      <c r="B3174">
        <v>4</v>
      </c>
      <c r="C3174">
        <v>19</v>
      </c>
      <c r="D3174" t="str">
        <f>VLOOKUP(B3174, Products!$A$2:$C$100, 2, FALSE)</f>
        <v>Trek Fuel EX 8 29 - 2016</v>
      </c>
      <c r="E3174">
        <v>1</v>
      </c>
      <c r="F3174">
        <v>449</v>
      </c>
      <c r="G3174">
        <v>0.2</v>
      </c>
      <c r="H3174">
        <v>89.800000000000011</v>
      </c>
      <c r="I3174">
        <f>order_items[[#This Row],[list_price]]-order_items[[#This Row],[Discounted_price]]</f>
        <v>359.2</v>
      </c>
      <c r="J3174">
        <f>VLOOKUP(B3174, Products!$A$2:$E$100, 3, FALSE)</f>
        <v>9</v>
      </c>
      <c r="K3174">
        <f>VLOOKUP(B3174, Products!$A$2:$F$100, 4, FALSE)</f>
        <v>6</v>
      </c>
    </row>
    <row r="3175" spans="1:11" x14ac:dyDescent="0.3">
      <c r="A3175">
        <v>1097</v>
      </c>
      <c r="B3175">
        <v>5</v>
      </c>
      <c r="C3175">
        <v>35</v>
      </c>
      <c r="D3175" t="str">
        <f>VLOOKUP(B3175, Products!$A$2:$C$100, 2, FALSE)</f>
        <v>Heller Shagamaw Frame - 2016</v>
      </c>
      <c r="E3175">
        <v>2</v>
      </c>
      <c r="F3175">
        <v>832.99</v>
      </c>
      <c r="G3175">
        <v>0.05</v>
      </c>
      <c r="H3175">
        <v>41.649500000000003</v>
      </c>
      <c r="I3175">
        <f>order_items[[#This Row],[list_price]]-order_items[[#This Row],[Discounted_price]]</f>
        <v>791.34050000000002</v>
      </c>
      <c r="J3175">
        <f>VLOOKUP(B3175, Products!$A$2:$E$100, 3, FALSE)</f>
        <v>3</v>
      </c>
      <c r="K3175">
        <f>VLOOKUP(B3175, Products!$A$2:$F$100, 4, FALSE)</f>
        <v>6</v>
      </c>
    </row>
    <row r="3176" spans="1:11" x14ac:dyDescent="0.3">
      <c r="A3176">
        <v>1098</v>
      </c>
      <c r="B3176">
        <v>1</v>
      </c>
      <c r="C3176">
        <v>88</v>
      </c>
      <c r="D3176" t="str">
        <f>VLOOKUP(B3176, Products!$A$2:$C$100, 2, FALSE)</f>
        <v>Trek 820 - 2016</v>
      </c>
      <c r="E3176">
        <v>1</v>
      </c>
      <c r="F3176">
        <v>189.99</v>
      </c>
      <c r="G3176">
        <v>0.1</v>
      </c>
      <c r="H3176">
        <v>18.999000000000002</v>
      </c>
      <c r="I3176">
        <f>order_items[[#This Row],[list_price]]-order_items[[#This Row],[Discounted_price]]</f>
        <v>170.99100000000001</v>
      </c>
      <c r="J3176">
        <f>VLOOKUP(B3176, Products!$A$2:$E$100, 3, FALSE)</f>
        <v>9</v>
      </c>
      <c r="K3176">
        <f>VLOOKUP(B3176, Products!$A$2:$F$100, 4, FALSE)</f>
        <v>6</v>
      </c>
    </row>
    <row r="3177" spans="1:11" x14ac:dyDescent="0.3">
      <c r="A3177">
        <v>1099</v>
      </c>
      <c r="B3177">
        <v>1</v>
      </c>
      <c r="C3177">
        <v>64</v>
      </c>
      <c r="D3177" t="str">
        <f>VLOOKUP(B3177, Products!$A$2:$C$100, 2, FALSE)</f>
        <v>Trek 820 - 2016</v>
      </c>
      <c r="E3177">
        <v>1</v>
      </c>
      <c r="F3177">
        <v>489.99</v>
      </c>
      <c r="G3177">
        <v>0.1</v>
      </c>
      <c r="H3177">
        <v>48.999000000000002</v>
      </c>
      <c r="I3177">
        <f>order_items[[#This Row],[list_price]]-order_items[[#This Row],[Discounted_price]]</f>
        <v>440.99099999999999</v>
      </c>
      <c r="J3177">
        <f>VLOOKUP(B3177, Products!$A$2:$E$100, 3, FALSE)</f>
        <v>9</v>
      </c>
      <c r="K3177">
        <f>VLOOKUP(B3177, Products!$A$2:$F$100, 4, FALSE)</f>
        <v>6</v>
      </c>
    </row>
    <row r="3178" spans="1:11" x14ac:dyDescent="0.3">
      <c r="A3178">
        <v>1099</v>
      </c>
      <c r="B3178">
        <v>2</v>
      </c>
      <c r="C3178">
        <v>13</v>
      </c>
      <c r="D3178" t="str">
        <f>VLOOKUP(B3178, Products!$A$2:$C$100, 2, FALSE)</f>
        <v>Ritchey Timberwolf Frameset - 2016</v>
      </c>
      <c r="E3178">
        <v>2</v>
      </c>
      <c r="F3178">
        <v>269.99</v>
      </c>
      <c r="G3178">
        <v>0.05</v>
      </c>
      <c r="H3178">
        <v>13.499500000000001</v>
      </c>
      <c r="I3178">
        <f>order_items[[#This Row],[list_price]]-order_items[[#This Row],[Discounted_price]]</f>
        <v>256.4905</v>
      </c>
      <c r="J3178">
        <f>VLOOKUP(B3178, Products!$A$2:$E$100, 3, FALSE)</f>
        <v>5</v>
      </c>
      <c r="K3178">
        <f>VLOOKUP(B3178, Products!$A$2:$F$100, 4, FALSE)</f>
        <v>6</v>
      </c>
    </row>
    <row r="3179" spans="1:11" x14ac:dyDescent="0.3">
      <c r="A3179">
        <v>1099</v>
      </c>
      <c r="B3179">
        <v>3</v>
      </c>
      <c r="C3179">
        <v>46</v>
      </c>
      <c r="D3179" t="str">
        <f>VLOOKUP(B3179, Products!$A$2:$C$100, 2, FALSE)</f>
        <v>Surly Wednesday Frameset - 2016</v>
      </c>
      <c r="E3179">
        <v>1</v>
      </c>
      <c r="F3179">
        <v>1409.99</v>
      </c>
      <c r="G3179">
        <v>7.0000000000000007E-2</v>
      </c>
      <c r="H3179">
        <v>98.699300000000008</v>
      </c>
      <c r="I3179">
        <f>order_items[[#This Row],[list_price]]-order_items[[#This Row],[Discounted_price]]</f>
        <v>1311.2907</v>
      </c>
      <c r="J3179">
        <f>VLOOKUP(B3179, Products!$A$2:$E$100, 3, FALSE)</f>
        <v>8</v>
      </c>
      <c r="K3179">
        <f>VLOOKUP(B3179, Products!$A$2:$F$100, 4, FALSE)</f>
        <v>6</v>
      </c>
    </row>
    <row r="3180" spans="1:11" x14ac:dyDescent="0.3">
      <c r="A3180">
        <v>1099</v>
      </c>
      <c r="B3180">
        <v>4</v>
      </c>
      <c r="C3180">
        <v>89</v>
      </c>
      <c r="D3180" t="str">
        <f>VLOOKUP(B3180, Products!$A$2:$C$100, 2, FALSE)</f>
        <v>Trek Fuel EX 8 29 - 2016</v>
      </c>
      <c r="E3180">
        <v>2</v>
      </c>
      <c r="F3180">
        <v>209.99</v>
      </c>
      <c r="G3180">
        <v>0.1</v>
      </c>
      <c r="H3180">
        <v>20.999000000000002</v>
      </c>
      <c r="I3180">
        <f>order_items[[#This Row],[list_price]]-order_items[[#This Row],[Discounted_price]]</f>
        <v>188.99100000000001</v>
      </c>
      <c r="J3180">
        <f>VLOOKUP(B3180, Products!$A$2:$E$100, 3, FALSE)</f>
        <v>9</v>
      </c>
      <c r="K3180">
        <f>VLOOKUP(B3180, Products!$A$2:$F$100, 4, FALSE)</f>
        <v>6</v>
      </c>
    </row>
    <row r="3181" spans="1:11" x14ac:dyDescent="0.3">
      <c r="A3181">
        <v>1100</v>
      </c>
      <c r="B3181">
        <v>1</v>
      </c>
      <c r="C3181">
        <v>12</v>
      </c>
      <c r="D3181" t="str">
        <f>VLOOKUP(B3181, Products!$A$2:$C$100, 2, FALSE)</f>
        <v>Trek 820 - 2016</v>
      </c>
      <c r="E3181">
        <v>1</v>
      </c>
      <c r="F3181">
        <v>549.99</v>
      </c>
      <c r="G3181">
        <v>0.05</v>
      </c>
      <c r="H3181">
        <v>27.499500000000001</v>
      </c>
      <c r="I3181">
        <f>order_items[[#This Row],[list_price]]-order_items[[#This Row],[Discounted_price]]</f>
        <v>522.4905</v>
      </c>
      <c r="J3181">
        <f>VLOOKUP(B3181, Products!$A$2:$E$100, 3, FALSE)</f>
        <v>9</v>
      </c>
      <c r="K3181">
        <f>VLOOKUP(B3181, Products!$A$2:$F$100, 4, FALSE)</f>
        <v>6</v>
      </c>
    </row>
    <row r="3182" spans="1:11" x14ac:dyDescent="0.3">
      <c r="A3182">
        <v>1100</v>
      </c>
      <c r="B3182">
        <v>2</v>
      </c>
      <c r="C3182">
        <v>9</v>
      </c>
      <c r="D3182" t="str">
        <f>VLOOKUP(B3182, Products!$A$2:$C$100, 2, FALSE)</f>
        <v>Ritchey Timberwolf Frameset - 2016</v>
      </c>
      <c r="E3182">
        <v>2</v>
      </c>
      <c r="F3182">
        <v>2999.99</v>
      </c>
      <c r="G3182">
        <v>0.1</v>
      </c>
      <c r="H3182">
        <v>299.99899999999997</v>
      </c>
      <c r="I3182">
        <f>order_items[[#This Row],[list_price]]-order_items[[#This Row],[Discounted_price]]</f>
        <v>2699.991</v>
      </c>
      <c r="J3182">
        <f>VLOOKUP(B3182, Products!$A$2:$E$100, 3, FALSE)</f>
        <v>5</v>
      </c>
      <c r="K3182">
        <f>VLOOKUP(B3182, Products!$A$2:$F$100, 4, FALSE)</f>
        <v>6</v>
      </c>
    </row>
    <row r="3183" spans="1:11" x14ac:dyDescent="0.3">
      <c r="A3183">
        <v>1101</v>
      </c>
      <c r="B3183">
        <v>1</v>
      </c>
      <c r="C3183">
        <v>105</v>
      </c>
      <c r="D3183" t="str">
        <f>VLOOKUP(B3183, Products!$A$2:$C$100, 2, FALSE)</f>
        <v>Trek 820 - 2016</v>
      </c>
      <c r="E3183">
        <v>1</v>
      </c>
      <c r="F3183">
        <v>533.99</v>
      </c>
      <c r="G3183">
        <v>7.0000000000000007E-2</v>
      </c>
      <c r="H3183">
        <v>37.379300000000008</v>
      </c>
      <c r="I3183">
        <f>order_items[[#This Row],[list_price]]-order_items[[#This Row],[Discounted_price]]</f>
        <v>496.61070000000001</v>
      </c>
      <c r="J3183">
        <f>VLOOKUP(B3183, Products!$A$2:$E$100, 3, FALSE)</f>
        <v>9</v>
      </c>
      <c r="K3183">
        <f>VLOOKUP(B3183, Products!$A$2:$F$100, 4, FALSE)</f>
        <v>6</v>
      </c>
    </row>
    <row r="3184" spans="1:11" x14ac:dyDescent="0.3">
      <c r="A3184">
        <v>1101</v>
      </c>
      <c r="B3184">
        <v>2</v>
      </c>
      <c r="C3184">
        <v>51</v>
      </c>
      <c r="D3184" t="str">
        <f>VLOOKUP(B3184, Products!$A$2:$C$100, 2, FALSE)</f>
        <v>Ritchey Timberwolf Frameset - 2016</v>
      </c>
      <c r="E3184">
        <v>1</v>
      </c>
      <c r="F3184">
        <v>6499.99</v>
      </c>
      <c r="G3184">
        <v>0.05</v>
      </c>
      <c r="H3184">
        <v>324.99950000000001</v>
      </c>
      <c r="I3184">
        <f>order_items[[#This Row],[list_price]]-order_items[[#This Row],[Discounted_price]]</f>
        <v>6174.9904999999999</v>
      </c>
      <c r="J3184">
        <f>VLOOKUP(B3184, Products!$A$2:$E$100, 3, FALSE)</f>
        <v>5</v>
      </c>
      <c r="K3184">
        <f>VLOOKUP(B3184, Products!$A$2:$F$100, 4, FALSE)</f>
        <v>6</v>
      </c>
    </row>
    <row r="3185" spans="1:11" x14ac:dyDescent="0.3">
      <c r="A3185">
        <v>1102</v>
      </c>
      <c r="B3185">
        <v>1</v>
      </c>
      <c r="C3185">
        <v>91</v>
      </c>
      <c r="D3185" t="str">
        <f>VLOOKUP(B3185, Products!$A$2:$C$100, 2, FALSE)</f>
        <v>Trek 820 - 2016</v>
      </c>
      <c r="E3185">
        <v>1</v>
      </c>
      <c r="F3185">
        <v>349.99</v>
      </c>
      <c r="G3185">
        <v>7.0000000000000007E-2</v>
      </c>
      <c r="H3185">
        <v>24.499300000000002</v>
      </c>
      <c r="I3185">
        <f>order_items[[#This Row],[list_price]]-order_items[[#This Row],[Discounted_price]]</f>
        <v>325.4907</v>
      </c>
      <c r="J3185">
        <f>VLOOKUP(B3185, Products!$A$2:$E$100, 3, FALSE)</f>
        <v>9</v>
      </c>
      <c r="K3185">
        <f>VLOOKUP(B3185, Products!$A$2:$F$100, 4, FALSE)</f>
        <v>6</v>
      </c>
    </row>
    <row r="3186" spans="1:11" x14ac:dyDescent="0.3">
      <c r="A3186">
        <v>1103</v>
      </c>
      <c r="B3186">
        <v>1</v>
      </c>
      <c r="C3186">
        <v>106</v>
      </c>
      <c r="D3186" t="str">
        <f>VLOOKUP(B3186, Products!$A$2:$C$100, 2, FALSE)</f>
        <v>Trek 820 - 2016</v>
      </c>
      <c r="E3186">
        <v>1</v>
      </c>
      <c r="F3186">
        <v>449.99</v>
      </c>
      <c r="G3186">
        <v>0.2</v>
      </c>
      <c r="H3186">
        <v>89.998000000000005</v>
      </c>
      <c r="I3186">
        <f>order_items[[#This Row],[list_price]]-order_items[[#This Row],[Discounted_price]]</f>
        <v>359.99200000000002</v>
      </c>
      <c r="J3186">
        <f>VLOOKUP(B3186, Products!$A$2:$E$100, 3, FALSE)</f>
        <v>9</v>
      </c>
      <c r="K3186">
        <f>VLOOKUP(B3186, Products!$A$2:$F$100, 4, FALSE)</f>
        <v>6</v>
      </c>
    </row>
    <row r="3187" spans="1:11" x14ac:dyDescent="0.3">
      <c r="A3187">
        <v>1103</v>
      </c>
      <c r="B3187">
        <v>2</v>
      </c>
      <c r="C3187">
        <v>46</v>
      </c>
      <c r="D3187" t="str">
        <f>VLOOKUP(B3187, Products!$A$2:$C$100, 2, FALSE)</f>
        <v>Ritchey Timberwolf Frameset - 2016</v>
      </c>
      <c r="E3187">
        <v>2</v>
      </c>
      <c r="F3187">
        <v>1409.99</v>
      </c>
      <c r="G3187">
        <v>0.2</v>
      </c>
      <c r="H3187">
        <v>281.99799999999999</v>
      </c>
      <c r="I3187">
        <f>order_items[[#This Row],[list_price]]-order_items[[#This Row],[Discounted_price]]</f>
        <v>1127.992</v>
      </c>
      <c r="J3187">
        <f>VLOOKUP(B3187, Products!$A$2:$E$100, 3, FALSE)</f>
        <v>5</v>
      </c>
      <c r="K3187">
        <f>VLOOKUP(B3187, Products!$A$2:$F$100, 4, FALSE)</f>
        <v>6</v>
      </c>
    </row>
    <row r="3188" spans="1:11" x14ac:dyDescent="0.3">
      <c r="A3188">
        <v>1104</v>
      </c>
      <c r="B3188">
        <v>1</v>
      </c>
      <c r="C3188">
        <v>17</v>
      </c>
      <c r="D3188" t="str">
        <f>VLOOKUP(B3188, Products!$A$2:$C$100, 2, FALSE)</f>
        <v>Trek 820 - 2016</v>
      </c>
      <c r="E3188">
        <v>1</v>
      </c>
      <c r="F3188">
        <v>429</v>
      </c>
      <c r="G3188">
        <v>0.1</v>
      </c>
      <c r="H3188">
        <v>42.900000000000006</v>
      </c>
      <c r="I3188">
        <f>order_items[[#This Row],[list_price]]-order_items[[#This Row],[Discounted_price]]</f>
        <v>386.1</v>
      </c>
      <c r="J3188">
        <f>VLOOKUP(B3188, Products!$A$2:$E$100, 3, FALSE)</f>
        <v>9</v>
      </c>
      <c r="K3188">
        <f>VLOOKUP(B3188, Products!$A$2:$F$100, 4, FALSE)</f>
        <v>6</v>
      </c>
    </row>
    <row r="3189" spans="1:11" x14ac:dyDescent="0.3">
      <c r="A3189">
        <v>1104</v>
      </c>
      <c r="B3189">
        <v>2</v>
      </c>
      <c r="C3189">
        <v>70</v>
      </c>
      <c r="D3189" t="str">
        <f>VLOOKUP(B3189, Products!$A$2:$C$100, 2, FALSE)</f>
        <v>Ritchey Timberwolf Frameset - 2016</v>
      </c>
      <c r="E3189">
        <v>2</v>
      </c>
      <c r="F3189">
        <v>659.99</v>
      </c>
      <c r="G3189">
        <v>0.1</v>
      </c>
      <c r="H3189">
        <v>65.999000000000009</v>
      </c>
      <c r="I3189">
        <f>order_items[[#This Row],[list_price]]-order_items[[#This Row],[Discounted_price]]</f>
        <v>593.99099999999999</v>
      </c>
      <c r="J3189">
        <f>VLOOKUP(B3189, Products!$A$2:$E$100, 3, FALSE)</f>
        <v>5</v>
      </c>
      <c r="K3189">
        <f>VLOOKUP(B3189, Products!$A$2:$F$100, 4, FALSE)</f>
        <v>6</v>
      </c>
    </row>
    <row r="3190" spans="1:11" x14ac:dyDescent="0.3">
      <c r="A3190">
        <v>1104</v>
      </c>
      <c r="B3190">
        <v>3</v>
      </c>
      <c r="C3190">
        <v>43</v>
      </c>
      <c r="D3190" t="str">
        <f>VLOOKUP(B3190, Products!$A$2:$C$100, 2, FALSE)</f>
        <v>Surly Wednesday Frameset - 2016</v>
      </c>
      <c r="E3190">
        <v>1</v>
      </c>
      <c r="F3190">
        <v>5299.99</v>
      </c>
      <c r="G3190">
        <v>7.0000000000000007E-2</v>
      </c>
      <c r="H3190">
        <v>370.99930000000001</v>
      </c>
      <c r="I3190">
        <f>order_items[[#This Row],[list_price]]-order_items[[#This Row],[Discounted_price]]</f>
        <v>4928.9906999999994</v>
      </c>
      <c r="J3190">
        <f>VLOOKUP(B3190, Products!$A$2:$E$100, 3, FALSE)</f>
        <v>8</v>
      </c>
      <c r="K3190">
        <f>VLOOKUP(B3190, Products!$A$2:$F$100, 4, FALSE)</f>
        <v>6</v>
      </c>
    </row>
    <row r="3191" spans="1:11" x14ac:dyDescent="0.3">
      <c r="A3191">
        <v>1104</v>
      </c>
      <c r="B3191">
        <v>4</v>
      </c>
      <c r="C3191">
        <v>80</v>
      </c>
      <c r="D3191" t="str">
        <f>VLOOKUP(B3191, Products!$A$2:$C$100, 2, FALSE)</f>
        <v>Trek Fuel EX 8 29 - 2016</v>
      </c>
      <c r="E3191">
        <v>1</v>
      </c>
      <c r="F3191">
        <v>761.99</v>
      </c>
      <c r="G3191">
        <v>7.0000000000000007E-2</v>
      </c>
      <c r="H3191">
        <v>53.339300000000009</v>
      </c>
      <c r="I3191">
        <f>order_items[[#This Row],[list_price]]-order_items[[#This Row],[Discounted_price]]</f>
        <v>708.65070000000003</v>
      </c>
      <c r="J3191">
        <f>VLOOKUP(B3191, Products!$A$2:$E$100, 3, FALSE)</f>
        <v>9</v>
      </c>
      <c r="K3191">
        <f>VLOOKUP(B3191, Products!$A$2:$F$100, 4, FALSE)</f>
        <v>6</v>
      </c>
    </row>
    <row r="3192" spans="1:11" x14ac:dyDescent="0.3">
      <c r="A3192">
        <v>1105</v>
      </c>
      <c r="B3192">
        <v>1</v>
      </c>
      <c r="C3192">
        <v>60</v>
      </c>
      <c r="D3192" t="str">
        <f>VLOOKUP(B3192, Products!$A$2:$C$100, 2, FALSE)</f>
        <v>Trek 820 - 2016</v>
      </c>
      <c r="E3192">
        <v>1</v>
      </c>
      <c r="F3192">
        <v>1559.99</v>
      </c>
      <c r="G3192">
        <v>0.05</v>
      </c>
      <c r="H3192">
        <v>77.999500000000012</v>
      </c>
      <c r="I3192">
        <f>order_items[[#This Row],[list_price]]-order_items[[#This Row],[Discounted_price]]</f>
        <v>1481.9904999999999</v>
      </c>
      <c r="J3192">
        <f>VLOOKUP(B3192, Products!$A$2:$E$100, 3, FALSE)</f>
        <v>9</v>
      </c>
      <c r="K3192">
        <f>VLOOKUP(B3192, Products!$A$2:$F$100, 4, FALSE)</f>
        <v>6</v>
      </c>
    </row>
    <row r="3193" spans="1:11" x14ac:dyDescent="0.3">
      <c r="A3193">
        <v>1105</v>
      </c>
      <c r="B3193">
        <v>2</v>
      </c>
      <c r="C3193">
        <v>56</v>
      </c>
      <c r="D3193" t="str">
        <f>VLOOKUP(B3193, Products!$A$2:$C$100, 2, FALSE)</f>
        <v>Ritchey Timberwolf Frameset - 2016</v>
      </c>
      <c r="E3193">
        <v>2</v>
      </c>
      <c r="F3193">
        <v>5499.99</v>
      </c>
      <c r="G3193">
        <v>0.2</v>
      </c>
      <c r="H3193">
        <v>1099.998</v>
      </c>
      <c r="I3193">
        <f>order_items[[#This Row],[list_price]]-order_items[[#This Row],[Discounted_price]]</f>
        <v>4399.9920000000002</v>
      </c>
      <c r="J3193">
        <f>VLOOKUP(B3193, Products!$A$2:$E$100, 3, FALSE)</f>
        <v>5</v>
      </c>
      <c r="K3193">
        <f>VLOOKUP(B3193, Products!$A$2:$F$100, 4, FALSE)</f>
        <v>6</v>
      </c>
    </row>
    <row r="3194" spans="1:11" x14ac:dyDescent="0.3">
      <c r="A3194">
        <v>1105</v>
      </c>
      <c r="B3194">
        <v>3</v>
      </c>
      <c r="C3194">
        <v>35</v>
      </c>
      <c r="D3194" t="str">
        <f>VLOOKUP(B3194, Products!$A$2:$C$100, 2, FALSE)</f>
        <v>Surly Wednesday Frameset - 2016</v>
      </c>
      <c r="E3194">
        <v>2</v>
      </c>
      <c r="F3194">
        <v>832.99</v>
      </c>
      <c r="G3194">
        <v>7.0000000000000007E-2</v>
      </c>
      <c r="H3194">
        <v>58.309300000000007</v>
      </c>
      <c r="I3194">
        <f>order_items[[#This Row],[list_price]]-order_items[[#This Row],[Discounted_price]]</f>
        <v>774.6807</v>
      </c>
      <c r="J3194">
        <f>VLOOKUP(B3194, Products!$A$2:$E$100, 3, FALSE)</f>
        <v>8</v>
      </c>
      <c r="K3194">
        <f>VLOOKUP(B3194, Products!$A$2:$F$100, 4, FALSE)</f>
        <v>6</v>
      </c>
    </row>
    <row r="3195" spans="1:11" x14ac:dyDescent="0.3">
      <c r="A3195">
        <v>1106</v>
      </c>
      <c r="B3195">
        <v>1</v>
      </c>
      <c r="C3195">
        <v>96</v>
      </c>
      <c r="D3195" t="str">
        <f>VLOOKUP(B3195, Products!$A$2:$C$100, 2, FALSE)</f>
        <v>Trek 820 - 2016</v>
      </c>
      <c r="E3195">
        <v>1</v>
      </c>
      <c r="F3195">
        <v>349.99</v>
      </c>
      <c r="G3195">
        <v>0.1</v>
      </c>
      <c r="H3195">
        <v>34.999000000000002</v>
      </c>
      <c r="I3195">
        <f>order_items[[#This Row],[list_price]]-order_items[[#This Row],[Discounted_price]]</f>
        <v>314.99099999999999</v>
      </c>
      <c r="J3195">
        <f>VLOOKUP(B3195, Products!$A$2:$E$100, 3, FALSE)</f>
        <v>9</v>
      </c>
      <c r="K3195">
        <f>VLOOKUP(B3195, Products!$A$2:$F$100, 4, FALSE)</f>
        <v>6</v>
      </c>
    </row>
    <row r="3196" spans="1:11" x14ac:dyDescent="0.3">
      <c r="A3196">
        <v>1107</v>
      </c>
      <c r="B3196">
        <v>1</v>
      </c>
      <c r="C3196">
        <v>43</v>
      </c>
      <c r="D3196" t="str">
        <f>VLOOKUP(B3196, Products!$A$2:$C$100, 2, FALSE)</f>
        <v>Trek 820 - 2016</v>
      </c>
      <c r="E3196">
        <v>1</v>
      </c>
      <c r="F3196">
        <v>5299.99</v>
      </c>
      <c r="G3196">
        <v>0.2</v>
      </c>
      <c r="H3196">
        <v>1059.998</v>
      </c>
      <c r="I3196">
        <f>order_items[[#This Row],[list_price]]-order_items[[#This Row],[Discounted_price]]</f>
        <v>4239.9920000000002</v>
      </c>
      <c r="J3196">
        <f>VLOOKUP(B3196, Products!$A$2:$E$100, 3, FALSE)</f>
        <v>9</v>
      </c>
      <c r="K3196">
        <f>VLOOKUP(B3196, Products!$A$2:$F$100, 4, FALSE)</f>
        <v>6</v>
      </c>
    </row>
    <row r="3197" spans="1:11" x14ac:dyDescent="0.3">
      <c r="A3197">
        <v>1107</v>
      </c>
      <c r="B3197">
        <v>2</v>
      </c>
      <c r="C3197">
        <v>41</v>
      </c>
      <c r="D3197" t="str">
        <f>VLOOKUP(B3197, Products!$A$2:$C$100, 2, FALSE)</f>
        <v>Ritchey Timberwolf Frameset - 2016</v>
      </c>
      <c r="E3197">
        <v>2</v>
      </c>
      <c r="F3197">
        <v>1469.99</v>
      </c>
      <c r="G3197">
        <v>0.2</v>
      </c>
      <c r="H3197">
        <v>293.99799999999999</v>
      </c>
      <c r="I3197">
        <f>order_items[[#This Row],[list_price]]-order_items[[#This Row],[Discounted_price]]</f>
        <v>1175.992</v>
      </c>
      <c r="J3197">
        <f>VLOOKUP(B3197, Products!$A$2:$E$100, 3, FALSE)</f>
        <v>5</v>
      </c>
      <c r="K3197">
        <f>VLOOKUP(B3197, Products!$A$2:$F$100, 4, FALSE)</f>
        <v>6</v>
      </c>
    </row>
    <row r="3198" spans="1:11" x14ac:dyDescent="0.3">
      <c r="A3198">
        <v>1108</v>
      </c>
      <c r="B3198">
        <v>1</v>
      </c>
      <c r="C3198">
        <v>45</v>
      </c>
      <c r="D3198" t="str">
        <f>VLOOKUP(B3198, Products!$A$2:$C$100, 2, FALSE)</f>
        <v>Trek 820 - 2016</v>
      </c>
      <c r="E3198">
        <v>2</v>
      </c>
      <c r="F3198">
        <v>869.99</v>
      </c>
      <c r="G3198">
        <v>0.05</v>
      </c>
      <c r="H3198">
        <v>43.499500000000005</v>
      </c>
      <c r="I3198">
        <f>order_items[[#This Row],[list_price]]-order_items[[#This Row],[Discounted_price]]</f>
        <v>826.4905</v>
      </c>
      <c r="J3198">
        <f>VLOOKUP(B3198, Products!$A$2:$E$100, 3, FALSE)</f>
        <v>9</v>
      </c>
      <c r="K3198">
        <f>VLOOKUP(B3198, Products!$A$2:$F$100, 4, FALSE)</f>
        <v>6</v>
      </c>
    </row>
    <row r="3199" spans="1:11" x14ac:dyDescent="0.3">
      <c r="A3199">
        <v>1108</v>
      </c>
      <c r="B3199">
        <v>2</v>
      </c>
      <c r="C3199">
        <v>100</v>
      </c>
      <c r="D3199" t="str">
        <f>VLOOKUP(B3199, Products!$A$2:$C$100, 2, FALSE)</f>
        <v>Ritchey Timberwolf Frameset - 2016</v>
      </c>
      <c r="E3199">
        <v>1</v>
      </c>
      <c r="F3199">
        <v>489.99</v>
      </c>
      <c r="G3199">
        <v>7.0000000000000007E-2</v>
      </c>
      <c r="H3199">
        <v>34.299300000000002</v>
      </c>
      <c r="I3199">
        <f>order_items[[#This Row],[list_price]]-order_items[[#This Row],[Discounted_price]]</f>
        <v>455.69069999999999</v>
      </c>
      <c r="J3199">
        <f>VLOOKUP(B3199, Products!$A$2:$E$100, 3, FALSE)</f>
        <v>5</v>
      </c>
      <c r="K3199">
        <f>VLOOKUP(B3199, Products!$A$2:$F$100, 4, FALSE)</f>
        <v>6</v>
      </c>
    </row>
    <row r="3200" spans="1:11" x14ac:dyDescent="0.3">
      <c r="A3200">
        <v>1108</v>
      </c>
      <c r="B3200">
        <v>3</v>
      </c>
      <c r="C3200">
        <v>105</v>
      </c>
      <c r="D3200" t="str">
        <f>VLOOKUP(B3200, Products!$A$2:$C$100, 2, FALSE)</f>
        <v>Surly Wednesday Frameset - 2016</v>
      </c>
      <c r="E3200">
        <v>1</v>
      </c>
      <c r="F3200">
        <v>533.99</v>
      </c>
      <c r="G3200">
        <v>7.0000000000000007E-2</v>
      </c>
      <c r="H3200">
        <v>37.379300000000008</v>
      </c>
      <c r="I3200">
        <f>order_items[[#This Row],[list_price]]-order_items[[#This Row],[Discounted_price]]</f>
        <v>496.61070000000001</v>
      </c>
      <c r="J3200">
        <f>VLOOKUP(B3200, Products!$A$2:$E$100, 3, FALSE)</f>
        <v>8</v>
      </c>
      <c r="K3200">
        <f>VLOOKUP(B3200, Products!$A$2:$F$100, 4, FALSE)</f>
        <v>6</v>
      </c>
    </row>
    <row r="3201" spans="1:11" x14ac:dyDescent="0.3">
      <c r="A3201">
        <v>1109</v>
      </c>
      <c r="B3201">
        <v>1</v>
      </c>
      <c r="C3201">
        <v>72</v>
      </c>
      <c r="D3201" t="str">
        <f>VLOOKUP(B3201, Products!$A$2:$C$100, 2, FALSE)</f>
        <v>Trek 820 - 2016</v>
      </c>
      <c r="E3201">
        <v>2</v>
      </c>
      <c r="F3201">
        <v>619.99</v>
      </c>
      <c r="G3201">
        <v>0.1</v>
      </c>
      <c r="H3201">
        <v>61.999000000000002</v>
      </c>
      <c r="I3201">
        <f>order_items[[#This Row],[list_price]]-order_items[[#This Row],[Discounted_price]]</f>
        <v>557.99099999999999</v>
      </c>
      <c r="J3201">
        <f>VLOOKUP(B3201, Products!$A$2:$E$100, 3, FALSE)</f>
        <v>9</v>
      </c>
      <c r="K3201">
        <f>VLOOKUP(B3201, Products!$A$2:$F$100, 4, FALSE)</f>
        <v>6</v>
      </c>
    </row>
    <row r="3202" spans="1:11" x14ac:dyDescent="0.3">
      <c r="A3202">
        <v>1110</v>
      </c>
      <c r="B3202">
        <v>1</v>
      </c>
      <c r="C3202">
        <v>56</v>
      </c>
      <c r="D3202" t="str">
        <f>VLOOKUP(B3202, Products!$A$2:$C$100, 2, FALSE)</f>
        <v>Trek 820 - 2016</v>
      </c>
      <c r="E3202">
        <v>1</v>
      </c>
      <c r="F3202">
        <v>5499.99</v>
      </c>
      <c r="G3202">
        <v>0.1</v>
      </c>
      <c r="H3202">
        <v>549.99900000000002</v>
      </c>
      <c r="I3202">
        <f>order_items[[#This Row],[list_price]]-order_items[[#This Row],[Discounted_price]]</f>
        <v>4949.991</v>
      </c>
      <c r="J3202">
        <f>VLOOKUP(B3202, Products!$A$2:$E$100, 3, FALSE)</f>
        <v>9</v>
      </c>
      <c r="K3202">
        <f>VLOOKUP(B3202, Products!$A$2:$F$100, 4, FALSE)</f>
        <v>6</v>
      </c>
    </row>
    <row r="3203" spans="1:11" x14ac:dyDescent="0.3">
      <c r="A3203">
        <v>1111</v>
      </c>
      <c r="B3203">
        <v>1</v>
      </c>
      <c r="C3203">
        <v>95</v>
      </c>
      <c r="D3203" t="str">
        <f>VLOOKUP(B3203, Products!$A$2:$C$100, 2, FALSE)</f>
        <v>Trek 820 - 2016</v>
      </c>
      <c r="E3203">
        <v>1</v>
      </c>
      <c r="F3203">
        <v>299.99</v>
      </c>
      <c r="G3203">
        <v>0.05</v>
      </c>
      <c r="H3203">
        <v>14.999500000000001</v>
      </c>
      <c r="I3203">
        <f>order_items[[#This Row],[list_price]]-order_items[[#This Row],[Discounted_price]]</f>
        <v>284.9905</v>
      </c>
      <c r="J3203">
        <f>VLOOKUP(B3203, Products!$A$2:$E$100, 3, FALSE)</f>
        <v>9</v>
      </c>
      <c r="K3203">
        <f>VLOOKUP(B3203, Products!$A$2:$F$100, 4, FALSE)</f>
        <v>6</v>
      </c>
    </row>
    <row r="3204" spans="1:11" x14ac:dyDescent="0.3">
      <c r="A3204">
        <v>1111</v>
      </c>
      <c r="B3204">
        <v>2</v>
      </c>
      <c r="C3204">
        <v>66</v>
      </c>
      <c r="D3204" t="str">
        <f>VLOOKUP(B3204, Products!$A$2:$C$100, 2, FALSE)</f>
        <v>Ritchey Timberwolf Frameset - 2016</v>
      </c>
      <c r="E3204">
        <v>2</v>
      </c>
      <c r="F3204">
        <v>250.99</v>
      </c>
      <c r="G3204">
        <v>0.1</v>
      </c>
      <c r="H3204">
        <v>25.099000000000004</v>
      </c>
      <c r="I3204">
        <f>order_items[[#This Row],[list_price]]-order_items[[#This Row],[Discounted_price]]</f>
        <v>225.89100000000002</v>
      </c>
      <c r="J3204">
        <f>VLOOKUP(B3204, Products!$A$2:$E$100, 3, FALSE)</f>
        <v>5</v>
      </c>
      <c r="K3204">
        <f>VLOOKUP(B3204, Products!$A$2:$F$100, 4, FALSE)</f>
        <v>6</v>
      </c>
    </row>
    <row r="3205" spans="1:11" x14ac:dyDescent="0.3">
      <c r="A3205">
        <v>1111</v>
      </c>
      <c r="B3205">
        <v>3</v>
      </c>
      <c r="C3205">
        <v>14</v>
      </c>
      <c r="D3205" t="str">
        <f>VLOOKUP(B3205, Products!$A$2:$C$100, 2, FALSE)</f>
        <v>Surly Wednesday Frameset - 2016</v>
      </c>
      <c r="E3205">
        <v>1</v>
      </c>
      <c r="F3205">
        <v>269.99</v>
      </c>
      <c r="G3205">
        <v>0.2</v>
      </c>
      <c r="H3205">
        <v>53.998000000000005</v>
      </c>
      <c r="I3205">
        <f>order_items[[#This Row],[list_price]]-order_items[[#This Row],[Discounted_price]]</f>
        <v>215.99200000000002</v>
      </c>
      <c r="J3205">
        <f>VLOOKUP(B3205, Products!$A$2:$E$100, 3, FALSE)</f>
        <v>8</v>
      </c>
      <c r="K3205">
        <f>VLOOKUP(B3205, Products!$A$2:$F$100, 4, FALSE)</f>
        <v>6</v>
      </c>
    </row>
    <row r="3206" spans="1:11" x14ac:dyDescent="0.3">
      <c r="A3206">
        <v>1111</v>
      </c>
      <c r="B3206">
        <v>4</v>
      </c>
      <c r="C3206">
        <v>24</v>
      </c>
      <c r="D3206" t="str">
        <f>VLOOKUP(B3206, Products!$A$2:$C$100, 2, FALSE)</f>
        <v>Trek Fuel EX 8 29 - 2016</v>
      </c>
      <c r="E3206">
        <v>1</v>
      </c>
      <c r="F3206">
        <v>549.99</v>
      </c>
      <c r="G3206">
        <v>7.0000000000000007E-2</v>
      </c>
      <c r="H3206">
        <v>38.499300000000005</v>
      </c>
      <c r="I3206">
        <f>order_items[[#This Row],[list_price]]-order_items[[#This Row],[Discounted_price]]</f>
        <v>511.4907</v>
      </c>
      <c r="J3206">
        <f>VLOOKUP(B3206, Products!$A$2:$E$100, 3, FALSE)</f>
        <v>9</v>
      </c>
      <c r="K3206">
        <f>VLOOKUP(B3206, Products!$A$2:$F$100, 4, FALSE)</f>
        <v>6</v>
      </c>
    </row>
    <row r="3207" spans="1:11" x14ac:dyDescent="0.3">
      <c r="A3207">
        <v>1112</v>
      </c>
      <c r="B3207">
        <v>1</v>
      </c>
      <c r="C3207">
        <v>71</v>
      </c>
      <c r="D3207" t="str">
        <f>VLOOKUP(B3207, Products!$A$2:$C$100, 2, FALSE)</f>
        <v>Trek 820 - 2016</v>
      </c>
      <c r="E3207">
        <v>2</v>
      </c>
      <c r="F3207">
        <v>416.99</v>
      </c>
      <c r="G3207">
        <v>0.05</v>
      </c>
      <c r="H3207">
        <v>20.849500000000003</v>
      </c>
      <c r="I3207">
        <f>order_items[[#This Row],[list_price]]-order_items[[#This Row],[Discounted_price]]</f>
        <v>396.14050000000003</v>
      </c>
      <c r="J3207">
        <f>VLOOKUP(B3207, Products!$A$2:$E$100, 3, FALSE)</f>
        <v>9</v>
      </c>
      <c r="K3207">
        <f>VLOOKUP(B3207, Products!$A$2:$F$100, 4, FALSE)</f>
        <v>6</v>
      </c>
    </row>
    <row r="3208" spans="1:11" x14ac:dyDescent="0.3">
      <c r="A3208">
        <v>1112</v>
      </c>
      <c r="B3208">
        <v>2</v>
      </c>
      <c r="C3208">
        <v>42</v>
      </c>
      <c r="D3208" t="str">
        <f>VLOOKUP(B3208, Products!$A$2:$C$100, 2, FALSE)</f>
        <v>Ritchey Timberwolf Frameset - 2016</v>
      </c>
      <c r="E3208">
        <v>1</v>
      </c>
      <c r="F3208">
        <v>2299.9899999999998</v>
      </c>
      <c r="G3208">
        <v>7.0000000000000007E-2</v>
      </c>
      <c r="H3208">
        <v>160.99930000000001</v>
      </c>
      <c r="I3208">
        <f>order_items[[#This Row],[list_price]]-order_items[[#This Row],[Discounted_price]]</f>
        <v>2138.9906999999998</v>
      </c>
      <c r="J3208">
        <f>VLOOKUP(B3208, Products!$A$2:$E$100, 3, FALSE)</f>
        <v>5</v>
      </c>
      <c r="K3208">
        <f>VLOOKUP(B3208, Products!$A$2:$F$100, 4, FALSE)</f>
        <v>6</v>
      </c>
    </row>
    <row r="3209" spans="1:11" x14ac:dyDescent="0.3">
      <c r="A3209">
        <v>1112</v>
      </c>
      <c r="B3209">
        <v>3</v>
      </c>
      <c r="C3209">
        <v>5</v>
      </c>
      <c r="D3209" t="str">
        <f>VLOOKUP(B3209, Products!$A$2:$C$100, 2, FALSE)</f>
        <v>Surly Wednesday Frameset - 2016</v>
      </c>
      <c r="E3209">
        <v>2</v>
      </c>
      <c r="F3209">
        <v>1320.99</v>
      </c>
      <c r="G3209">
        <v>0.1</v>
      </c>
      <c r="H3209">
        <v>132.09900000000002</v>
      </c>
      <c r="I3209">
        <f>order_items[[#This Row],[list_price]]-order_items[[#This Row],[Discounted_price]]</f>
        <v>1188.8910000000001</v>
      </c>
      <c r="J3209">
        <f>VLOOKUP(B3209, Products!$A$2:$E$100, 3, FALSE)</f>
        <v>8</v>
      </c>
      <c r="K3209">
        <f>VLOOKUP(B3209, Products!$A$2:$F$100, 4, FALSE)</f>
        <v>6</v>
      </c>
    </row>
    <row r="3210" spans="1:11" x14ac:dyDescent="0.3">
      <c r="A3210">
        <v>1112</v>
      </c>
      <c r="B3210">
        <v>4</v>
      </c>
      <c r="C3210">
        <v>87</v>
      </c>
      <c r="D3210" t="str">
        <f>VLOOKUP(B3210, Products!$A$2:$C$100, 2, FALSE)</f>
        <v>Trek Fuel EX 8 29 - 2016</v>
      </c>
      <c r="E3210">
        <v>2</v>
      </c>
      <c r="F3210">
        <v>189.99</v>
      </c>
      <c r="G3210">
        <v>7.0000000000000007E-2</v>
      </c>
      <c r="H3210">
        <v>13.299300000000002</v>
      </c>
      <c r="I3210">
        <f>order_items[[#This Row],[list_price]]-order_items[[#This Row],[Discounted_price]]</f>
        <v>176.69069999999999</v>
      </c>
      <c r="J3210">
        <f>VLOOKUP(B3210, Products!$A$2:$E$100, 3, FALSE)</f>
        <v>9</v>
      </c>
      <c r="K3210">
        <f>VLOOKUP(B3210, Products!$A$2:$F$100, 4, FALSE)</f>
        <v>6</v>
      </c>
    </row>
    <row r="3211" spans="1:11" x14ac:dyDescent="0.3">
      <c r="A3211">
        <v>1112</v>
      </c>
      <c r="B3211">
        <v>5</v>
      </c>
      <c r="C3211">
        <v>9</v>
      </c>
      <c r="D3211" t="str">
        <f>VLOOKUP(B3211, Products!$A$2:$C$100, 2, FALSE)</f>
        <v>Heller Shagamaw Frame - 2016</v>
      </c>
      <c r="E3211">
        <v>2</v>
      </c>
      <c r="F3211">
        <v>2999.99</v>
      </c>
      <c r="G3211">
        <v>0.1</v>
      </c>
      <c r="H3211">
        <v>299.99899999999997</v>
      </c>
      <c r="I3211">
        <f>order_items[[#This Row],[list_price]]-order_items[[#This Row],[Discounted_price]]</f>
        <v>2699.991</v>
      </c>
      <c r="J3211">
        <f>VLOOKUP(B3211, Products!$A$2:$E$100, 3, FALSE)</f>
        <v>3</v>
      </c>
      <c r="K3211">
        <f>VLOOKUP(B3211, Products!$A$2:$F$100, 4, FALSE)</f>
        <v>6</v>
      </c>
    </row>
    <row r="3212" spans="1:11" x14ac:dyDescent="0.3">
      <c r="A3212">
        <v>1113</v>
      </c>
      <c r="B3212">
        <v>1</v>
      </c>
      <c r="C3212">
        <v>106</v>
      </c>
      <c r="D3212" t="str">
        <f>VLOOKUP(B3212, Products!$A$2:$C$100, 2, FALSE)</f>
        <v>Trek 820 - 2016</v>
      </c>
      <c r="E3212">
        <v>1</v>
      </c>
      <c r="F3212">
        <v>449.99</v>
      </c>
      <c r="G3212">
        <v>7.0000000000000007E-2</v>
      </c>
      <c r="H3212">
        <v>31.499300000000005</v>
      </c>
      <c r="I3212">
        <f>order_items[[#This Row],[list_price]]-order_items[[#This Row],[Discounted_price]]</f>
        <v>418.4907</v>
      </c>
      <c r="J3212">
        <f>VLOOKUP(B3212, Products!$A$2:$E$100, 3, FALSE)</f>
        <v>9</v>
      </c>
      <c r="K3212">
        <f>VLOOKUP(B3212, Products!$A$2:$F$100, 4, FALSE)</f>
        <v>6</v>
      </c>
    </row>
    <row r="3213" spans="1:11" x14ac:dyDescent="0.3">
      <c r="A3213">
        <v>1114</v>
      </c>
      <c r="B3213">
        <v>1</v>
      </c>
      <c r="C3213">
        <v>52</v>
      </c>
      <c r="D3213" t="str">
        <f>VLOOKUP(B3213, Products!$A$2:$C$100, 2, FALSE)</f>
        <v>Trek 820 - 2016</v>
      </c>
      <c r="E3213">
        <v>1</v>
      </c>
      <c r="F3213">
        <v>875.99</v>
      </c>
      <c r="G3213">
        <v>0.2</v>
      </c>
      <c r="H3213">
        <v>175.19800000000001</v>
      </c>
      <c r="I3213">
        <f>order_items[[#This Row],[list_price]]-order_items[[#This Row],[Discounted_price]]</f>
        <v>700.79200000000003</v>
      </c>
      <c r="J3213">
        <f>VLOOKUP(B3213, Products!$A$2:$E$100, 3, FALSE)</f>
        <v>9</v>
      </c>
      <c r="K3213">
        <f>VLOOKUP(B3213, Products!$A$2:$F$100, 4, FALSE)</f>
        <v>6</v>
      </c>
    </row>
    <row r="3214" spans="1:11" x14ac:dyDescent="0.3">
      <c r="A3214">
        <v>1115</v>
      </c>
      <c r="B3214">
        <v>1</v>
      </c>
      <c r="C3214">
        <v>97</v>
      </c>
      <c r="D3214" t="str">
        <f>VLOOKUP(B3214, Products!$A$2:$C$100, 2, FALSE)</f>
        <v>Trek 820 - 2016</v>
      </c>
      <c r="E3214">
        <v>2</v>
      </c>
      <c r="F3214">
        <v>349.99</v>
      </c>
      <c r="G3214">
        <v>0.2</v>
      </c>
      <c r="H3214">
        <v>69.998000000000005</v>
      </c>
      <c r="I3214">
        <f>order_items[[#This Row],[list_price]]-order_items[[#This Row],[Discounted_price]]</f>
        <v>279.99200000000002</v>
      </c>
      <c r="J3214">
        <f>VLOOKUP(B3214, Products!$A$2:$E$100, 3, FALSE)</f>
        <v>9</v>
      </c>
      <c r="K3214">
        <f>VLOOKUP(B3214, Products!$A$2:$F$100, 4, FALSE)</f>
        <v>6</v>
      </c>
    </row>
    <row r="3215" spans="1:11" x14ac:dyDescent="0.3">
      <c r="A3215">
        <v>1115</v>
      </c>
      <c r="B3215">
        <v>2</v>
      </c>
      <c r="C3215">
        <v>50</v>
      </c>
      <c r="D3215" t="str">
        <f>VLOOKUP(B3215, Products!$A$2:$C$100, 2, FALSE)</f>
        <v>Ritchey Timberwolf Frameset - 2016</v>
      </c>
      <c r="E3215">
        <v>2</v>
      </c>
      <c r="F3215">
        <v>5999.99</v>
      </c>
      <c r="G3215">
        <v>7.0000000000000007E-2</v>
      </c>
      <c r="H3215">
        <v>419.99930000000001</v>
      </c>
      <c r="I3215">
        <f>order_items[[#This Row],[list_price]]-order_items[[#This Row],[Discounted_price]]</f>
        <v>5579.9906999999994</v>
      </c>
      <c r="J3215">
        <f>VLOOKUP(B3215, Products!$A$2:$E$100, 3, FALSE)</f>
        <v>5</v>
      </c>
      <c r="K3215">
        <f>VLOOKUP(B3215, Products!$A$2:$F$100, 4, FALSE)</f>
        <v>6</v>
      </c>
    </row>
    <row r="3216" spans="1:11" x14ac:dyDescent="0.3">
      <c r="A3216">
        <v>1115</v>
      </c>
      <c r="B3216">
        <v>3</v>
      </c>
      <c r="C3216">
        <v>91</v>
      </c>
      <c r="D3216" t="str">
        <f>VLOOKUP(B3216, Products!$A$2:$C$100, 2, FALSE)</f>
        <v>Surly Wednesday Frameset - 2016</v>
      </c>
      <c r="E3216">
        <v>2</v>
      </c>
      <c r="F3216">
        <v>349.99</v>
      </c>
      <c r="G3216">
        <v>7.0000000000000007E-2</v>
      </c>
      <c r="H3216">
        <v>24.499300000000002</v>
      </c>
      <c r="I3216">
        <f>order_items[[#This Row],[list_price]]-order_items[[#This Row],[Discounted_price]]</f>
        <v>325.4907</v>
      </c>
      <c r="J3216">
        <f>VLOOKUP(B3216, Products!$A$2:$E$100, 3, FALSE)</f>
        <v>8</v>
      </c>
      <c r="K3216">
        <f>VLOOKUP(B3216, Products!$A$2:$F$100, 4, FALSE)</f>
        <v>6</v>
      </c>
    </row>
    <row r="3217" spans="1:11" x14ac:dyDescent="0.3">
      <c r="A3217">
        <v>1115</v>
      </c>
      <c r="B3217">
        <v>4</v>
      </c>
      <c r="C3217">
        <v>49</v>
      </c>
      <c r="D3217" t="str">
        <f>VLOOKUP(B3217, Products!$A$2:$C$100, 2, FALSE)</f>
        <v>Trek Fuel EX 8 29 - 2016</v>
      </c>
      <c r="E3217">
        <v>2</v>
      </c>
      <c r="F3217">
        <v>3499.99</v>
      </c>
      <c r="G3217">
        <v>0.1</v>
      </c>
      <c r="H3217">
        <v>349.99900000000002</v>
      </c>
      <c r="I3217">
        <f>order_items[[#This Row],[list_price]]-order_items[[#This Row],[Discounted_price]]</f>
        <v>3149.991</v>
      </c>
      <c r="J3217">
        <f>VLOOKUP(B3217, Products!$A$2:$E$100, 3, FALSE)</f>
        <v>9</v>
      </c>
      <c r="K3217">
        <f>VLOOKUP(B3217, Products!$A$2:$F$100, 4, FALSE)</f>
        <v>6</v>
      </c>
    </row>
    <row r="3218" spans="1:11" x14ac:dyDescent="0.3">
      <c r="A3218">
        <v>1116</v>
      </c>
      <c r="B3218">
        <v>1</v>
      </c>
      <c r="C3218">
        <v>11</v>
      </c>
      <c r="D3218" t="str">
        <f>VLOOKUP(B3218, Products!$A$2:$C$100, 2, FALSE)</f>
        <v>Trek 820 - 2016</v>
      </c>
      <c r="E3218">
        <v>2</v>
      </c>
      <c r="F3218">
        <v>1680.99</v>
      </c>
      <c r="G3218">
        <v>7.0000000000000007E-2</v>
      </c>
      <c r="H3218">
        <v>117.66930000000001</v>
      </c>
      <c r="I3218">
        <f>order_items[[#This Row],[list_price]]-order_items[[#This Row],[Discounted_price]]</f>
        <v>1563.3207</v>
      </c>
      <c r="J3218">
        <f>VLOOKUP(B3218, Products!$A$2:$E$100, 3, FALSE)</f>
        <v>9</v>
      </c>
      <c r="K3218">
        <f>VLOOKUP(B3218, Products!$A$2:$F$100, 4, FALSE)</f>
        <v>6</v>
      </c>
    </row>
    <row r="3219" spans="1:11" x14ac:dyDescent="0.3">
      <c r="A3219">
        <v>1117</v>
      </c>
      <c r="B3219">
        <v>1</v>
      </c>
      <c r="C3219">
        <v>37</v>
      </c>
      <c r="D3219" t="str">
        <f>VLOOKUP(B3219, Products!$A$2:$C$100, 2, FALSE)</f>
        <v>Trek 820 - 2016</v>
      </c>
      <c r="E3219">
        <v>2</v>
      </c>
      <c r="F3219">
        <v>379.99</v>
      </c>
      <c r="G3219">
        <v>0.1</v>
      </c>
      <c r="H3219">
        <v>37.999000000000002</v>
      </c>
      <c r="I3219">
        <f>order_items[[#This Row],[list_price]]-order_items[[#This Row],[Discounted_price]]</f>
        <v>341.99099999999999</v>
      </c>
      <c r="J3219">
        <f>VLOOKUP(B3219, Products!$A$2:$E$100, 3, FALSE)</f>
        <v>9</v>
      </c>
      <c r="K3219">
        <f>VLOOKUP(B3219, Products!$A$2:$F$100, 4, FALSE)</f>
        <v>6</v>
      </c>
    </row>
    <row r="3220" spans="1:11" x14ac:dyDescent="0.3">
      <c r="A3220">
        <v>1117</v>
      </c>
      <c r="B3220">
        <v>2</v>
      </c>
      <c r="C3220">
        <v>91</v>
      </c>
      <c r="D3220" t="str">
        <f>VLOOKUP(B3220, Products!$A$2:$C$100, 2, FALSE)</f>
        <v>Ritchey Timberwolf Frameset - 2016</v>
      </c>
      <c r="E3220">
        <v>1</v>
      </c>
      <c r="F3220">
        <v>349.99</v>
      </c>
      <c r="G3220">
        <v>0.2</v>
      </c>
      <c r="H3220">
        <v>69.998000000000005</v>
      </c>
      <c r="I3220">
        <f>order_items[[#This Row],[list_price]]-order_items[[#This Row],[Discounted_price]]</f>
        <v>279.99200000000002</v>
      </c>
      <c r="J3220">
        <f>VLOOKUP(B3220, Products!$A$2:$E$100, 3, FALSE)</f>
        <v>5</v>
      </c>
      <c r="K3220">
        <f>VLOOKUP(B3220, Products!$A$2:$F$100, 4, FALSE)</f>
        <v>6</v>
      </c>
    </row>
    <row r="3221" spans="1:11" x14ac:dyDescent="0.3">
      <c r="A3221">
        <v>1117</v>
      </c>
      <c r="B3221">
        <v>3</v>
      </c>
      <c r="C3221">
        <v>51</v>
      </c>
      <c r="D3221" t="str">
        <f>VLOOKUP(B3221, Products!$A$2:$C$100, 2, FALSE)</f>
        <v>Surly Wednesday Frameset - 2016</v>
      </c>
      <c r="E3221">
        <v>2</v>
      </c>
      <c r="F3221">
        <v>6499.99</v>
      </c>
      <c r="G3221">
        <v>0.1</v>
      </c>
      <c r="H3221">
        <v>649.99900000000002</v>
      </c>
      <c r="I3221">
        <f>order_items[[#This Row],[list_price]]-order_items[[#This Row],[Discounted_price]]</f>
        <v>5849.991</v>
      </c>
      <c r="J3221">
        <f>VLOOKUP(B3221, Products!$A$2:$E$100, 3, FALSE)</f>
        <v>8</v>
      </c>
      <c r="K3221">
        <f>VLOOKUP(B3221, Products!$A$2:$F$100, 4, FALSE)</f>
        <v>6</v>
      </c>
    </row>
    <row r="3222" spans="1:11" x14ac:dyDescent="0.3">
      <c r="A3222">
        <v>1118</v>
      </c>
      <c r="B3222">
        <v>1</v>
      </c>
      <c r="C3222">
        <v>55</v>
      </c>
      <c r="D3222" t="str">
        <f>VLOOKUP(B3222, Products!$A$2:$C$100, 2, FALSE)</f>
        <v>Trek 820 - 2016</v>
      </c>
      <c r="E3222">
        <v>2</v>
      </c>
      <c r="F3222">
        <v>2699.99</v>
      </c>
      <c r="G3222">
        <v>0.2</v>
      </c>
      <c r="H3222">
        <v>539.99799999999993</v>
      </c>
      <c r="I3222">
        <f>order_items[[#This Row],[list_price]]-order_items[[#This Row],[Discounted_price]]</f>
        <v>2159.9919999999997</v>
      </c>
      <c r="J3222">
        <f>VLOOKUP(B3222, Products!$A$2:$E$100, 3, FALSE)</f>
        <v>9</v>
      </c>
      <c r="K3222">
        <f>VLOOKUP(B3222, Products!$A$2:$F$100, 4, FALSE)</f>
        <v>6</v>
      </c>
    </row>
    <row r="3223" spans="1:11" x14ac:dyDescent="0.3">
      <c r="A3223">
        <v>1118</v>
      </c>
      <c r="B3223">
        <v>2</v>
      </c>
      <c r="C3223">
        <v>50</v>
      </c>
      <c r="D3223" t="str">
        <f>VLOOKUP(B3223, Products!$A$2:$C$100, 2, FALSE)</f>
        <v>Ritchey Timberwolf Frameset - 2016</v>
      </c>
      <c r="E3223">
        <v>1</v>
      </c>
      <c r="F3223">
        <v>5999.99</v>
      </c>
      <c r="G3223">
        <v>7.0000000000000007E-2</v>
      </c>
      <c r="H3223">
        <v>419.99930000000001</v>
      </c>
      <c r="I3223">
        <f>order_items[[#This Row],[list_price]]-order_items[[#This Row],[Discounted_price]]</f>
        <v>5579.9906999999994</v>
      </c>
      <c r="J3223">
        <f>VLOOKUP(B3223, Products!$A$2:$E$100, 3, FALSE)</f>
        <v>5</v>
      </c>
      <c r="K3223">
        <f>VLOOKUP(B3223, Products!$A$2:$F$100, 4, FALSE)</f>
        <v>6</v>
      </c>
    </row>
    <row r="3224" spans="1:11" x14ac:dyDescent="0.3">
      <c r="A3224">
        <v>1118</v>
      </c>
      <c r="B3224">
        <v>3</v>
      </c>
      <c r="C3224">
        <v>29</v>
      </c>
      <c r="D3224" t="str">
        <f>VLOOKUP(B3224, Products!$A$2:$C$100, 2, FALSE)</f>
        <v>Surly Wednesday Frameset - 2016</v>
      </c>
      <c r="E3224">
        <v>1</v>
      </c>
      <c r="F3224">
        <v>999.99</v>
      </c>
      <c r="G3224">
        <v>0.05</v>
      </c>
      <c r="H3224">
        <v>49.999500000000005</v>
      </c>
      <c r="I3224">
        <f>order_items[[#This Row],[list_price]]-order_items[[#This Row],[Discounted_price]]</f>
        <v>949.9905</v>
      </c>
      <c r="J3224">
        <f>VLOOKUP(B3224, Products!$A$2:$E$100, 3, FALSE)</f>
        <v>8</v>
      </c>
      <c r="K3224">
        <f>VLOOKUP(B3224, Products!$A$2:$F$100, 4, FALSE)</f>
        <v>6</v>
      </c>
    </row>
    <row r="3225" spans="1:11" x14ac:dyDescent="0.3">
      <c r="A3225">
        <v>1118</v>
      </c>
      <c r="B3225">
        <v>4</v>
      </c>
      <c r="C3225">
        <v>47</v>
      </c>
      <c r="D3225" t="str">
        <f>VLOOKUP(B3225, Products!$A$2:$C$100, 2, FALSE)</f>
        <v>Trek Fuel EX 8 29 - 2016</v>
      </c>
      <c r="E3225">
        <v>2</v>
      </c>
      <c r="F3225">
        <v>5299.99</v>
      </c>
      <c r="G3225">
        <v>0.2</v>
      </c>
      <c r="H3225">
        <v>1059.998</v>
      </c>
      <c r="I3225">
        <f>order_items[[#This Row],[list_price]]-order_items[[#This Row],[Discounted_price]]</f>
        <v>4239.9920000000002</v>
      </c>
      <c r="J3225">
        <f>VLOOKUP(B3225, Products!$A$2:$E$100, 3, FALSE)</f>
        <v>9</v>
      </c>
      <c r="K3225">
        <f>VLOOKUP(B3225, Products!$A$2:$F$100, 4, FALSE)</f>
        <v>6</v>
      </c>
    </row>
    <row r="3226" spans="1:11" x14ac:dyDescent="0.3">
      <c r="A3226">
        <v>1119</v>
      </c>
      <c r="B3226">
        <v>1</v>
      </c>
      <c r="C3226">
        <v>93</v>
      </c>
      <c r="D3226" t="str">
        <f>VLOOKUP(B3226, Products!$A$2:$C$100, 2, FALSE)</f>
        <v>Trek 820 - 2016</v>
      </c>
      <c r="E3226">
        <v>2</v>
      </c>
      <c r="F3226">
        <v>209.99</v>
      </c>
      <c r="G3226">
        <v>0.1</v>
      </c>
      <c r="H3226">
        <v>20.999000000000002</v>
      </c>
      <c r="I3226">
        <f>order_items[[#This Row],[list_price]]-order_items[[#This Row],[Discounted_price]]</f>
        <v>188.99100000000001</v>
      </c>
      <c r="J3226">
        <f>VLOOKUP(B3226, Products!$A$2:$E$100, 3, FALSE)</f>
        <v>9</v>
      </c>
      <c r="K3226">
        <f>VLOOKUP(B3226, Products!$A$2:$F$100, 4, FALSE)</f>
        <v>6</v>
      </c>
    </row>
    <row r="3227" spans="1:11" x14ac:dyDescent="0.3">
      <c r="A3227">
        <v>1119</v>
      </c>
      <c r="B3227">
        <v>2</v>
      </c>
      <c r="C3227">
        <v>55</v>
      </c>
      <c r="D3227" t="str">
        <f>VLOOKUP(B3227, Products!$A$2:$C$100, 2, FALSE)</f>
        <v>Ritchey Timberwolf Frameset - 2016</v>
      </c>
      <c r="E3227">
        <v>2</v>
      </c>
      <c r="F3227">
        <v>2699.99</v>
      </c>
      <c r="G3227">
        <v>0.05</v>
      </c>
      <c r="H3227">
        <v>134.99949999999998</v>
      </c>
      <c r="I3227">
        <f>order_items[[#This Row],[list_price]]-order_items[[#This Row],[Discounted_price]]</f>
        <v>2564.9904999999999</v>
      </c>
      <c r="J3227">
        <f>VLOOKUP(B3227, Products!$A$2:$E$100, 3, FALSE)</f>
        <v>5</v>
      </c>
      <c r="K3227">
        <f>VLOOKUP(B3227, Products!$A$2:$F$100, 4, FALSE)</f>
        <v>6</v>
      </c>
    </row>
    <row r="3228" spans="1:11" x14ac:dyDescent="0.3">
      <c r="A3228">
        <v>1119</v>
      </c>
      <c r="B3228">
        <v>3</v>
      </c>
      <c r="C3228">
        <v>104</v>
      </c>
      <c r="D3228" t="str">
        <f>VLOOKUP(B3228, Products!$A$2:$C$100, 2, FALSE)</f>
        <v>Surly Wednesday Frameset - 2016</v>
      </c>
      <c r="E3228">
        <v>1</v>
      </c>
      <c r="F3228">
        <v>481.99</v>
      </c>
      <c r="G3228">
        <v>0.2</v>
      </c>
      <c r="H3228">
        <v>96.39800000000001</v>
      </c>
      <c r="I3228">
        <f>order_items[[#This Row],[list_price]]-order_items[[#This Row],[Discounted_price]]</f>
        <v>385.59199999999998</v>
      </c>
      <c r="J3228">
        <f>VLOOKUP(B3228, Products!$A$2:$E$100, 3, FALSE)</f>
        <v>8</v>
      </c>
      <c r="K3228">
        <f>VLOOKUP(B3228, Products!$A$2:$F$100, 4, FALSE)</f>
        <v>6</v>
      </c>
    </row>
    <row r="3229" spans="1:11" x14ac:dyDescent="0.3">
      <c r="A3229">
        <v>1120</v>
      </c>
      <c r="B3229">
        <v>1</v>
      </c>
      <c r="C3229">
        <v>92</v>
      </c>
      <c r="D3229" t="str">
        <f>VLOOKUP(B3229, Products!$A$2:$C$100, 2, FALSE)</f>
        <v>Trek 820 - 2016</v>
      </c>
      <c r="E3229">
        <v>2</v>
      </c>
      <c r="F3229">
        <v>209.99</v>
      </c>
      <c r="G3229">
        <v>7.0000000000000007E-2</v>
      </c>
      <c r="H3229">
        <v>14.699300000000003</v>
      </c>
      <c r="I3229">
        <f>order_items[[#This Row],[list_price]]-order_items[[#This Row],[Discounted_price]]</f>
        <v>195.29070000000002</v>
      </c>
      <c r="J3229">
        <f>VLOOKUP(B3229, Products!$A$2:$E$100, 3, FALSE)</f>
        <v>9</v>
      </c>
      <c r="K3229">
        <f>VLOOKUP(B3229, Products!$A$2:$F$100, 4, FALSE)</f>
        <v>6</v>
      </c>
    </row>
    <row r="3230" spans="1:11" x14ac:dyDescent="0.3">
      <c r="A3230">
        <v>1120</v>
      </c>
      <c r="B3230">
        <v>2</v>
      </c>
      <c r="C3230">
        <v>31</v>
      </c>
      <c r="D3230" t="str">
        <f>VLOOKUP(B3230, Products!$A$2:$C$100, 2, FALSE)</f>
        <v>Ritchey Timberwolf Frameset - 2016</v>
      </c>
      <c r="E3230">
        <v>1</v>
      </c>
      <c r="F3230">
        <v>1632.99</v>
      </c>
      <c r="G3230">
        <v>7.0000000000000007E-2</v>
      </c>
      <c r="H3230">
        <v>114.30930000000001</v>
      </c>
      <c r="I3230">
        <f>order_items[[#This Row],[list_price]]-order_items[[#This Row],[Discounted_price]]</f>
        <v>1518.6806999999999</v>
      </c>
      <c r="J3230">
        <f>VLOOKUP(B3230, Products!$A$2:$E$100, 3, FALSE)</f>
        <v>5</v>
      </c>
      <c r="K3230">
        <f>VLOOKUP(B3230, Products!$A$2:$F$100, 4, FALSE)</f>
        <v>6</v>
      </c>
    </row>
    <row r="3231" spans="1:11" x14ac:dyDescent="0.3">
      <c r="A3231">
        <v>1120</v>
      </c>
      <c r="B3231">
        <v>3</v>
      </c>
      <c r="C3231">
        <v>30</v>
      </c>
      <c r="D3231" t="str">
        <f>VLOOKUP(B3231, Products!$A$2:$C$100, 2, FALSE)</f>
        <v>Surly Wednesday Frameset - 2016</v>
      </c>
      <c r="E3231">
        <v>2</v>
      </c>
      <c r="F3231">
        <v>999.99</v>
      </c>
      <c r="G3231">
        <v>0.05</v>
      </c>
      <c r="H3231">
        <v>49.999500000000005</v>
      </c>
      <c r="I3231">
        <f>order_items[[#This Row],[list_price]]-order_items[[#This Row],[Discounted_price]]</f>
        <v>949.9905</v>
      </c>
      <c r="J3231">
        <f>VLOOKUP(B3231, Products!$A$2:$E$100, 3, FALSE)</f>
        <v>8</v>
      </c>
      <c r="K3231">
        <f>VLOOKUP(B3231, Products!$A$2:$F$100, 4, FALSE)</f>
        <v>6</v>
      </c>
    </row>
    <row r="3232" spans="1:11" x14ac:dyDescent="0.3">
      <c r="A3232">
        <v>1120</v>
      </c>
      <c r="B3232">
        <v>4</v>
      </c>
      <c r="C3232">
        <v>93</v>
      </c>
      <c r="D3232" t="str">
        <f>VLOOKUP(B3232, Products!$A$2:$C$100, 2, FALSE)</f>
        <v>Trek Fuel EX 8 29 - 2016</v>
      </c>
      <c r="E3232">
        <v>1</v>
      </c>
      <c r="F3232">
        <v>209.99</v>
      </c>
      <c r="G3232">
        <v>7.0000000000000007E-2</v>
      </c>
      <c r="H3232">
        <v>14.699300000000003</v>
      </c>
      <c r="I3232">
        <f>order_items[[#This Row],[list_price]]-order_items[[#This Row],[Discounted_price]]</f>
        <v>195.29070000000002</v>
      </c>
      <c r="J3232">
        <f>VLOOKUP(B3232, Products!$A$2:$E$100, 3, FALSE)</f>
        <v>9</v>
      </c>
      <c r="K3232">
        <f>VLOOKUP(B3232, Products!$A$2:$F$100, 4, FALSE)</f>
        <v>6</v>
      </c>
    </row>
    <row r="3233" spans="1:11" x14ac:dyDescent="0.3">
      <c r="A3233">
        <v>1120</v>
      </c>
      <c r="B3233">
        <v>5</v>
      </c>
      <c r="C3233">
        <v>94</v>
      </c>
      <c r="D3233" t="str">
        <f>VLOOKUP(B3233, Products!$A$2:$C$100, 2, FALSE)</f>
        <v>Heller Shagamaw Frame - 2016</v>
      </c>
      <c r="E3233">
        <v>1</v>
      </c>
      <c r="F3233">
        <v>249.99</v>
      </c>
      <c r="G3233">
        <v>0.2</v>
      </c>
      <c r="H3233">
        <v>49.998000000000005</v>
      </c>
      <c r="I3233">
        <f>order_items[[#This Row],[list_price]]-order_items[[#This Row],[Discounted_price]]</f>
        <v>199.99200000000002</v>
      </c>
      <c r="J3233">
        <f>VLOOKUP(B3233, Products!$A$2:$E$100, 3, FALSE)</f>
        <v>3</v>
      </c>
      <c r="K3233">
        <f>VLOOKUP(B3233, Products!$A$2:$F$100, 4, FALSE)</f>
        <v>6</v>
      </c>
    </row>
    <row r="3234" spans="1:11" x14ac:dyDescent="0.3">
      <c r="A3234">
        <v>1121</v>
      </c>
      <c r="B3234">
        <v>1</v>
      </c>
      <c r="C3234">
        <v>11</v>
      </c>
      <c r="D3234" t="str">
        <f>VLOOKUP(B3234, Products!$A$2:$C$100, 2, FALSE)</f>
        <v>Trek 820 - 2016</v>
      </c>
      <c r="E3234">
        <v>2</v>
      </c>
      <c r="F3234">
        <v>1680.99</v>
      </c>
      <c r="G3234">
        <v>0.1</v>
      </c>
      <c r="H3234">
        <v>168.09900000000002</v>
      </c>
      <c r="I3234">
        <f>order_items[[#This Row],[list_price]]-order_items[[#This Row],[Discounted_price]]</f>
        <v>1512.8910000000001</v>
      </c>
      <c r="J3234">
        <f>VLOOKUP(B3234, Products!$A$2:$E$100, 3, FALSE)</f>
        <v>9</v>
      </c>
      <c r="K3234">
        <f>VLOOKUP(B3234, Products!$A$2:$F$100, 4, FALSE)</f>
        <v>6</v>
      </c>
    </row>
    <row r="3235" spans="1:11" x14ac:dyDescent="0.3">
      <c r="A3235">
        <v>1121</v>
      </c>
      <c r="B3235">
        <v>2</v>
      </c>
      <c r="C3235">
        <v>110</v>
      </c>
      <c r="D3235" t="str">
        <f>VLOOKUP(B3235, Products!$A$2:$C$100, 2, FALSE)</f>
        <v>Ritchey Timberwolf Frameset - 2016</v>
      </c>
      <c r="E3235">
        <v>2</v>
      </c>
      <c r="F3235">
        <v>470.99</v>
      </c>
      <c r="G3235">
        <v>0.05</v>
      </c>
      <c r="H3235">
        <v>23.549500000000002</v>
      </c>
      <c r="I3235">
        <f>order_items[[#This Row],[list_price]]-order_items[[#This Row],[Discounted_price]]</f>
        <v>447.44049999999999</v>
      </c>
      <c r="J3235">
        <f>VLOOKUP(B3235, Products!$A$2:$E$100, 3, FALSE)</f>
        <v>5</v>
      </c>
      <c r="K3235">
        <f>VLOOKUP(B3235, Products!$A$2:$F$100, 4, FALSE)</f>
        <v>6</v>
      </c>
    </row>
    <row r="3236" spans="1:11" x14ac:dyDescent="0.3">
      <c r="A3236">
        <v>1122</v>
      </c>
      <c r="B3236">
        <v>1</v>
      </c>
      <c r="C3236">
        <v>9</v>
      </c>
      <c r="D3236" t="str">
        <f>VLOOKUP(B3236, Products!$A$2:$C$100, 2, FALSE)</f>
        <v>Trek 820 - 2016</v>
      </c>
      <c r="E3236">
        <v>2</v>
      </c>
      <c r="F3236">
        <v>2999.99</v>
      </c>
      <c r="G3236">
        <v>7.0000000000000007E-2</v>
      </c>
      <c r="H3236">
        <v>209.99930000000001</v>
      </c>
      <c r="I3236">
        <f>order_items[[#This Row],[list_price]]-order_items[[#This Row],[Discounted_price]]</f>
        <v>2789.9906999999998</v>
      </c>
      <c r="J3236">
        <f>VLOOKUP(B3236, Products!$A$2:$E$100, 3, FALSE)</f>
        <v>9</v>
      </c>
      <c r="K3236">
        <f>VLOOKUP(B3236, Products!$A$2:$F$100, 4, FALSE)</f>
        <v>6</v>
      </c>
    </row>
    <row r="3237" spans="1:11" x14ac:dyDescent="0.3">
      <c r="A3237">
        <v>1122</v>
      </c>
      <c r="B3237">
        <v>2</v>
      </c>
      <c r="C3237">
        <v>53</v>
      </c>
      <c r="D3237" t="str">
        <f>VLOOKUP(B3237, Products!$A$2:$C$100, 2, FALSE)</f>
        <v>Ritchey Timberwolf Frameset - 2016</v>
      </c>
      <c r="E3237">
        <v>1</v>
      </c>
      <c r="F3237">
        <v>749.99</v>
      </c>
      <c r="G3237">
        <v>0.1</v>
      </c>
      <c r="H3237">
        <v>74.999000000000009</v>
      </c>
      <c r="I3237">
        <f>order_items[[#This Row],[list_price]]-order_items[[#This Row],[Discounted_price]]</f>
        <v>674.99099999999999</v>
      </c>
      <c r="J3237">
        <f>VLOOKUP(B3237, Products!$A$2:$E$100, 3, FALSE)</f>
        <v>5</v>
      </c>
      <c r="K3237">
        <f>VLOOKUP(B3237, Products!$A$2:$F$100, 4, FALSE)</f>
        <v>6</v>
      </c>
    </row>
    <row r="3238" spans="1:11" x14ac:dyDescent="0.3">
      <c r="A3238">
        <v>1122</v>
      </c>
      <c r="B3238">
        <v>3</v>
      </c>
      <c r="C3238">
        <v>49</v>
      </c>
      <c r="D3238" t="str">
        <f>VLOOKUP(B3238, Products!$A$2:$C$100, 2, FALSE)</f>
        <v>Surly Wednesday Frameset - 2016</v>
      </c>
      <c r="E3238">
        <v>2</v>
      </c>
      <c r="F3238">
        <v>3499.99</v>
      </c>
      <c r="G3238">
        <v>0.2</v>
      </c>
      <c r="H3238">
        <v>699.99800000000005</v>
      </c>
      <c r="I3238">
        <f>order_items[[#This Row],[list_price]]-order_items[[#This Row],[Discounted_price]]</f>
        <v>2799.9919999999997</v>
      </c>
      <c r="J3238">
        <f>VLOOKUP(B3238, Products!$A$2:$E$100, 3, FALSE)</f>
        <v>8</v>
      </c>
      <c r="K3238">
        <f>VLOOKUP(B3238, Products!$A$2:$F$100, 4, FALSE)</f>
        <v>6</v>
      </c>
    </row>
    <row r="3239" spans="1:11" x14ac:dyDescent="0.3">
      <c r="A3239">
        <v>1122</v>
      </c>
      <c r="B3239">
        <v>4</v>
      </c>
      <c r="C3239">
        <v>41</v>
      </c>
      <c r="D3239" t="str">
        <f>VLOOKUP(B3239, Products!$A$2:$C$100, 2, FALSE)</f>
        <v>Trek Fuel EX 8 29 - 2016</v>
      </c>
      <c r="E3239">
        <v>2</v>
      </c>
      <c r="F3239">
        <v>1469.99</v>
      </c>
      <c r="G3239">
        <v>0.05</v>
      </c>
      <c r="H3239">
        <v>73.499499999999998</v>
      </c>
      <c r="I3239">
        <f>order_items[[#This Row],[list_price]]-order_items[[#This Row],[Discounted_price]]</f>
        <v>1396.4905000000001</v>
      </c>
      <c r="J3239">
        <f>VLOOKUP(B3239, Products!$A$2:$E$100, 3, FALSE)</f>
        <v>9</v>
      </c>
      <c r="K3239">
        <f>VLOOKUP(B3239, Products!$A$2:$F$100, 4, FALSE)</f>
        <v>6</v>
      </c>
    </row>
    <row r="3240" spans="1:11" x14ac:dyDescent="0.3">
      <c r="A3240">
        <v>1122</v>
      </c>
      <c r="B3240">
        <v>5</v>
      </c>
      <c r="C3240">
        <v>72</v>
      </c>
      <c r="D3240" t="str">
        <f>VLOOKUP(B3240, Products!$A$2:$C$100, 2, FALSE)</f>
        <v>Heller Shagamaw Frame - 2016</v>
      </c>
      <c r="E3240">
        <v>1</v>
      </c>
      <c r="F3240">
        <v>619.99</v>
      </c>
      <c r="G3240">
        <v>0.1</v>
      </c>
      <c r="H3240">
        <v>61.999000000000002</v>
      </c>
      <c r="I3240">
        <f>order_items[[#This Row],[list_price]]-order_items[[#This Row],[Discounted_price]]</f>
        <v>557.99099999999999</v>
      </c>
      <c r="J3240">
        <f>VLOOKUP(B3240, Products!$A$2:$E$100, 3, FALSE)</f>
        <v>3</v>
      </c>
      <c r="K3240">
        <f>VLOOKUP(B3240, Products!$A$2:$F$100, 4, FALSE)</f>
        <v>6</v>
      </c>
    </row>
    <row r="3241" spans="1:11" x14ac:dyDescent="0.3">
      <c r="A3241">
        <v>1123</v>
      </c>
      <c r="B3241">
        <v>1</v>
      </c>
      <c r="C3241">
        <v>65</v>
      </c>
      <c r="D3241" t="str">
        <f>VLOOKUP(B3241, Products!$A$2:$C$100, 2, FALSE)</f>
        <v>Trek 820 - 2016</v>
      </c>
      <c r="E3241">
        <v>2</v>
      </c>
      <c r="F3241">
        <v>346.99</v>
      </c>
      <c r="G3241">
        <v>7.0000000000000007E-2</v>
      </c>
      <c r="H3241">
        <v>24.289300000000004</v>
      </c>
      <c r="I3241">
        <f>order_items[[#This Row],[list_price]]-order_items[[#This Row],[Discounted_price]]</f>
        <v>322.70069999999998</v>
      </c>
      <c r="J3241">
        <f>VLOOKUP(B3241, Products!$A$2:$E$100, 3, FALSE)</f>
        <v>9</v>
      </c>
      <c r="K3241">
        <f>VLOOKUP(B3241, Products!$A$2:$F$100, 4, FALSE)</f>
        <v>6</v>
      </c>
    </row>
    <row r="3242" spans="1:11" x14ac:dyDescent="0.3">
      <c r="A3242">
        <v>1123</v>
      </c>
      <c r="B3242">
        <v>2</v>
      </c>
      <c r="C3242">
        <v>61</v>
      </c>
      <c r="D3242" t="str">
        <f>VLOOKUP(B3242, Products!$A$2:$C$100, 2, FALSE)</f>
        <v>Ritchey Timberwolf Frameset - 2016</v>
      </c>
      <c r="E3242">
        <v>2</v>
      </c>
      <c r="F3242">
        <v>4999.99</v>
      </c>
      <c r="G3242">
        <v>0.1</v>
      </c>
      <c r="H3242">
        <v>499.99900000000002</v>
      </c>
      <c r="I3242">
        <f>order_items[[#This Row],[list_price]]-order_items[[#This Row],[Discounted_price]]</f>
        <v>4499.991</v>
      </c>
      <c r="J3242">
        <f>VLOOKUP(B3242, Products!$A$2:$E$100, 3, FALSE)</f>
        <v>5</v>
      </c>
      <c r="K3242">
        <f>VLOOKUP(B3242, Products!$A$2:$F$100, 4, FALSE)</f>
        <v>6</v>
      </c>
    </row>
    <row r="3243" spans="1:11" x14ac:dyDescent="0.3">
      <c r="A3243">
        <v>1124</v>
      </c>
      <c r="B3243">
        <v>1</v>
      </c>
      <c r="C3243">
        <v>7</v>
      </c>
      <c r="D3243" t="str">
        <f>VLOOKUP(B3243, Products!$A$2:$C$100, 2, FALSE)</f>
        <v>Trek 820 - 2016</v>
      </c>
      <c r="E3243">
        <v>2</v>
      </c>
      <c r="F3243">
        <v>3999.99</v>
      </c>
      <c r="G3243">
        <v>0.1</v>
      </c>
      <c r="H3243">
        <v>399.99900000000002</v>
      </c>
      <c r="I3243">
        <f>order_items[[#This Row],[list_price]]-order_items[[#This Row],[Discounted_price]]</f>
        <v>3599.991</v>
      </c>
      <c r="J3243">
        <f>VLOOKUP(B3243, Products!$A$2:$E$100, 3, FALSE)</f>
        <v>9</v>
      </c>
      <c r="K3243">
        <f>VLOOKUP(B3243, Products!$A$2:$F$100, 4, FALSE)</f>
        <v>6</v>
      </c>
    </row>
    <row r="3244" spans="1:11" x14ac:dyDescent="0.3">
      <c r="A3244">
        <v>1124</v>
      </c>
      <c r="B3244">
        <v>2</v>
      </c>
      <c r="C3244">
        <v>6</v>
      </c>
      <c r="D3244" t="str">
        <f>VLOOKUP(B3244, Products!$A$2:$C$100, 2, FALSE)</f>
        <v>Ritchey Timberwolf Frameset - 2016</v>
      </c>
      <c r="E3244">
        <v>1</v>
      </c>
      <c r="F3244">
        <v>469.99</v>
      </c>
      <c r="G3244">
        <v>0.1</v>
      </c>
      <c r="H3244">
        <v>46.999000000000002</v>
      </c>
      <c r="I3244">
        <f>order_items[[#This Row],[list_price]]-order_items[[#This Row],[Discounted_price]]</f>
        <v>422.99099999999999</v>
      </c>
      <c r="J3244">
        <f>VLOOKUP(B3244, Products!$A$2:$E$100, 3, FALSE)</f>
        <v>5</v>
      </c>
      <c r="K3244">
        <f>VLOOKUP(B3244, Products!$A$2:$F$100, 4, FALSE)</f>
        <v>6</v>
      </c>
    </row>
    <row r="3245" spans="1:11" x14ac:dyDescent="0.3">
      <c r="A3245">
        <v>1124</v>
      </c>
      <c r="B3245">
        <v>3</v>
      </c>
      <c r="C3245">
        <v>109</v>
      </c>
      <c r="D3245" t="str">
        <f>VLOOKUP(B3245, Products!$A$2:$C$100, 2, FALSE)</f>
        <v>Surly Wednesday Frameset - 2016</v>
      </c>
      <c r="E3245">
        <v>2</v>
      </c>
      <c r="F3245">
        <v>416.99</v>
      </c>
      <c r="G3245">
        <v>7.0000000000000007E-2</v>
      </c>
      <c r="H3245">
        <v>29.189300000000003</v>
      </c>
      <c r="I3245">
        <f>order_items[[#This Row],[list_price]]-order_items[[#This Row],[Discounted_price]]</f>
        <v>387.80070000000001</v>
      </c>
      <c r="J3245">
        <f>VLOOKUP(B3245, Products!$A$2:$E$100, 3, FALSE)</f>
        <v>8</v>
      </c>
      <c r="K3245">
        <f>VLOOKUP(B3245, Products!$A$2:$F$100, 4, FALSE)</f>
        <v>6</v>
      </c>
    </row>
    <row r="3246" spans="1:11" x14ac:dyDescent="0.3">
      <c r="A3246">
        <v>1124</v>
      </c>
      <c r="B3246">
        <v>4</v>
      </c>
      <c r="C3246">
        <v>45</v>
      </c>
      <c r="D3246" t="str">
        <f>VLOOKUP(B3246, Products!$A$2:$C$100, 2, FALSE)</f>
        <v>Trek Fuel EX 8 29 - 2016</v>
      </c>
      <c r="E3246">
        <v>2</v>
      </c>
      <c r="F3246">
        <v>869.99</v>
      </c>
      <c r="G3246">
        <v>0.05</v>
      </c>
      <c r="H3246">
        <v>43.499500000000005</v>
      </c>
      <c r="I3246">
        <f>order_items[[#This Row],[list_price]]-order_items[[#This Row],[Discounted_price]]</f>
        <v>826.4905</v>
      </c>
      <c r="J3246">
        <f>VLOOKUP(B3246, Products!$A$2:$E$100, 3, FALSE)</f>
        <v>9</v>
      </c>
      <c r="K3246">
        <f>VLOOKUP(B3246, Products!$A$2:$F$100, 4, FALSE)</f>
        <v>6</v>
      </c>
    </row>
    <row r="3247" spans="1:11" x14ac:dyDescent="0.3">
      <c r="A3247">
        <v>1124</v>
      </c>
      <c r="B3247">
        <v>5</v>
      </c>
      <c r="C3247">
        <v>2</v>
      </c>
      <c r="D3247" t="str">
        <f>VLOOKUP(B3247, Products!$A$2:$C$100, 2, FALSE)</f>
        <v>Heller Shagamaw Frame - 2016</v>
      </c>
      <c r="E3247">
        <v>2</v>
      </c>
      <c r="F3247">
        <v>749.99</v>
      </c>
      <c r="G3247">
        <v>0.05</v>
      </c>
      <c r="H3247">
        <v>37.499500000000005</v>
      </c>
      <c r="I3247">
        <f>order_items[[#This Row],[list_price]]-order_items[[#This Row],[Discounted_price]]</f>
        <v>712.4905</v>
      </c>
      <c r="J3247">
        <f>VLOOKUP(B3247, Products!$A$2:$E$100, 3, FALSE)</f>
        <v>3</v>
      </c>
      <c r="K3247">
        <f>VLOOKUP(B3247, Products!$A$2:$F$100, 4, FALSE)</f>
        <v>6</v>
      </c>
    </row>
    <row r="3248" spans="1:11" x14ac:dyDescent="0.3">
      <c r="A3248">
        <v>1125</v>
      </c>
      <c r="B3248">
        <v>1</v>
      </c>
      <c r="C3248">
        <v>16</v>
      </c>
      <c r="D3248" t="str">
        <f>VLOOKUP(B3248, Products!$A$2:$C$100, 2, FALSE)</f>
        <v>Trek 820 - 2016</v>
      </c>
      <c r="E3248">
        <v>2</v>
      </c>
      <c r="F3248">
        <v>599.99</v>
      </c>
      <c r="G3248">
        <v>0.05</v>
      </c>
      <c r="H3248">
        <v>29.999500000000001</v>
      </c>
      <c r="I3248">
        <f>order_items[[#This Row],[list_price]]-order_items[[#This Row],[Discounted_price]]</f>
        <v>569.9905</v>
      </c>
      <c r="J3248">
        <f>VLOOKUP(B3248, Products!$A$2:$E$100, 3, FALSE)</f>
        <v>9</v>
      </c>
      <c r="K3248">
        <f>VLOOKUP(B3248, Products!$A$2:$F$100, 4, FALSE)</f>
        <v>6</v>
      </c>
    </row>
    <row r="3249" spans="1:11" x14ac:dyDescent="0.3">
      <c r="A3249">
        <v>1125</v>
      </c>
      <c r="B3249">
        <v>2</v>
      </c>
      <c r="C3249">
        <v>21</v>
      </c>
      <c r="D3249" t="str">
        <f>VLOOKUP(B3249, Products!$A$2:$C$100, 2, FALSE)</f>
        <v>Ritchey Timberwolf Frameset - 2016</v>
      </c>
      <c r="E3249">
        <v>1</v>
      </c>
      <c r="F3249">
        <v>269.99</v>
      </c>
      <c r="G3249">
        <v>0.1</v>
      </c>
      <c r="H3249">
        <v>26.999000000000002</v>
      </c>
      <c r="I3249">
        <f>order_items[[#This Row],[list_price]]-order_items[[#This Row],[Discounted_price]]</f>
        <v>242.99100000000001</v>
      </c>
      <c r="J3249">
        <f>VLOOKUP(B3249, Products!$A$2:$E$100, 3, FALSE)</f>
        <v>5</v>
      </c>
      <c r="K3249">
        <f>VLOOKUP(B3249, Products!$A$2:$F$100, 4, FALSE)</f>
        <v>6</v>
      </c>
    </row>
    <row r="3250" spans="1:11" x14ac:dyDescent="0.3">
      <c r="A3250">
        <v>1125</v>
      </c>
      <c r="B3250">
        <v>3</v>
      </c>
      <c r="C3250">
        <v>81</v>
      </c>
      <c r="D3250" t="str">
        <f>VLOOKUP(B3250, Products!$A$2:$C$100, 2, FALSE)</f>
        <v>Surly Wednesday Frameset - 2016</v>
      </c>
      <c r="E3250">
        <v>2</v>
      </c>
      <c r="F3250">
        <v>1099.99</v>
      </c>
      <c r="G3250">
        <v>7.0000000000000007E-2</v>
      </c>
      <c r="H3250">
        <v>76.999300000000005</v>
      </c>
      <c r="I3250">
        <f>order_items[[#This Row],[list_price]]-order_items[[#This Row],[Discounted_price]]</f>
        <v>1022.9907000000001</v>
      </c>
      <c r="J3250">
        <f>VLOOKUP(B3250, Products!$A$2:$E$100, 3, FALSE)</f>
        <v>8</v>
      </c>
      <c r="K3250">
        <f>VLOOKUP(B3250, Products!$A$2:$F$100, 4, FALSE)</f>
        <v>6</v>
      </c>
    </row>
    <row r="3251" spans="1:11" x14ac:dyDescent="0.3">
      <c r="A3251">
        <v>1125</v>
      </c>
      <c r="B3251">
        <v>4</v>
      </c>
      <c r="C3251">
        <v>24</v>
      </c>
      <c r="D3251" t="str">
        <f>VLOOKUP(B3251, Products!$A$2:$C$100, 2, FALSE)</f>
        <v>Trek Fuel EX 8 29 - 2016</v>
      </c>
      <c r="E3251">
        <v>1</v>
      </c>
      <c r="F3251">
        <v>549.99</v>
      </c>
      <c r="G3251">
        <v>7.0000000000000007E-2</v>
      </c>
      <c r="H3251">
        <v>38.499300000000005</v>
      </c>
      <c r="I3251">
        <f>order_items[[#This Row],[list_price]]-order_items[[#This Row],[Discounted_price]]</f>
        <v>511.4907</v>
      </c>
      <c r="J3251">
        <f>VLOOKUP(B3251, Products!$A$2:$E$100, 3, FALSE)</f>
        <v>9</v>
      </c>
      <c r="K3251">
        <f>VLOOKUP(B3251, Products!$A$2:$F$100, 4, FALSE)</f>
        <v>6</v>
      </c>
    </row>
    <row r="3252" spans="1:11" x14ac:dyDescent="0.3">
      <c r="A3252">
        <v>1125</v>
      </c>
      <c r="B3252">
        <v>5</v>
      </c>
      <c r="C3252">
        <v>32</v>
      </c>
      <c r="D3252" t="str">
        <f>VLOOKUP(B3252, Products!$A$2:$C$100, 2, FALSE)</f>
        <v>Heller Shagamaw Frame - 2016</v>
      </c>
      <c r="E3252">
        <v>2</v>
      </c>
      <c r="F3252">
        <v>469.99</v>
      </c>
      <c r="G3252">
        <v>7.0000000000000007E-2</v>
      </c>
      <c r="H3252">
        <v>32.899300000000004</v>
      </c>
      <c r="I3252">
        <f>order_items[[#This Row],[list_price]]-order_items[[#This Row],[Discounted_price]]</f>
        <v>437.09070000000003</v>
      </c>
      <c r="J3252">
        <f>VLOOKUP(B3252, Products!$A$2:$E$100, 3, FALSE)</f>
        <v>3</v>
      </c>
      <c r="K3252">
        <f>VLOOKUP(B3252, Products!$A$2:$F$100, 4, FALSE)</f>
        <v>6</v>
      </c>
    </row>
    <row r="3253" spans="1:11" x14ac:dyDescent="0.3">
      <c r="A3253">
        <v>1126</v>
      </c>
      <c r="B3253">
        <v>1</v>
      </c>
      <c r="C3253">
        <v>33</v>
      </c>
      <c r="D3253" t="str">
        <f>VLOOKUP(B3253, Products!$A$2:$C$100, 2, FALSE)</f>
        <v>Trek 820 - 2016</v>
      </c>
      <c r="E3253">
        <v>2</v>
      </c>
      <c r="F3253">
        <v>469.99</v>
      </c>
      <c r="G3253">
        <v>0.1</v>
      </c>
      <c r="H3253">
        <v>46.999000000000002</v>
      </c>
      <c r="I3253">
        <f>order_items[[#This Row],[list_price]]-order_items[[#This Row],[Discounted_price]]</f>
        <v>422.99099999999999</v>
      </c>
      <c r="J3253">
        <f>VLOOKUP(B3253, Products!$A$2:$E$100, 3, FALSE)</f>
        <v>9</v>
      </c>
      <c r="K3253">
        <f>VLOOKUP(B3253, Products!$A$2:$F$100, 4, FALSE)</f>
        <v>6</v>
      </c>
    </row>
    <row r="3254" spans="1:11" x14ac:dyDescent="0.3">
      <c r="A3254">
        <v>1126</v>
      </c>
      <c r="B3254">
        <v>2</v>
      </c>
      <c r="C3254">
        <v>58</v>
      </c>
      <c r="D3254" t="str">
        <f>VLOOKUP(B3254, Products!$A$2:$C$100, 2, FALSE)</f>
        <v>Ritchey Timberwolf Frameset - 2016</v>
      </c>
      <c r="E3254">
        <v>1</v>
      </c>
      <c r="F3254">
        <v>4999.99</v>
      </c>
      <c r="G3254">
        <v>0.2</v>
      </c>
      <c r="H3254">
        <v>999.99800000000005</v>
      </c>
      <c r="I3254">
        <f>order_items[[#This Row],[list_price]]-order_items[[#This Row],[Discounted_price]]</f>
        <v>3999.9919999999997</v>
      </c>
      <c r="J3254">
        <f>VLOOKUP(B3254, Products!$A$2:$E$100, 3, FALSE)</f>
        <v>5</v>
      </c>
      <c r="K3254">
        <f>VLOOKUP(B3254, Products!$A$2:$F$100, 4, FALSE)</f>
        <v>6</v>
      </c>
    </row>
    <row r="3255" spans="1:11" x14ac:dyDescent="0.3">
      <c r="A3255">
        <v>1126</v>
      </c>
      <c r="B3255">
        <v>3</v>
      </c>
      <c r="C3255">
        <v>89</v>
      </c>
      <c r="D3255" t="str">
        <f>VLOOKUP(B3255, Products!$A$2:$C$100, 2, FALSE)</f>
        <v>Surly Wednesday Frameset - 2016</v>
      </c>
      <c r="E3255">
        <v>2</v>
      </c>
      <c r="F3255">
        <v>209.99</v>
      </c>
      <c r="G3255">
        <v>0.05</v>
      </c>
      <c r="H3255">
        <v>10.499500000000001</v>
      </c>
      <c r="I3255">
        <f>order_items[[#This Row],[list_price]]-order_items[[#This Row],[Discounted_price]]</f>
        <v>199.4905</v>
      </c>
      <c r="J3255">
        <f>VLOOKUP(B3255, Products!$A$2:$E$100, 3, FALSE)</f>
        <v>8</v>
      </c>
      <c r="K3255">
        <f>VLOOKUP(B3255, Products!$A$2:$F$100, 4, FALSE)</f>
        <v>6</v>
      </c>
    </row>
    <row r="3256" spans="1:11" x14ac:dyDescent="0.3">
      <c r="A3256">
        <v>1127</v>
      </c>
      <c r="B3256">
        <v>1</v>
      </c>
      <c r="C3256">
        <v>23</v>
      </c>
      <c r="D3256" t="str">
        <f>VLOOKUP(B3256, Products!$A$2:$C$100, 2, FALSE)</f>
        <v>Trek 820 - 2016</v>
      </c>
      <c r="E3256">
        <v>2</v>
      </c>
      <c r="F3256">
        <v>299.99</v>
      </c>
      <c r="G3256">
        <v>0.1</v>
      </c>
      <c r="H3256">
        <v>29.999000000000002</v>
      </c>
      <c r="I3256">
        <f>order_items[[#This Row],[list_price]]-order_items[[#This Row],[Discounted_price]]</f>
        <v>269.99099999999999</v>
      </c>
      <c r="J3256">
        <f>VLOOKUP(B3256, Products!$A$2:$E$100, 3, FALSE)</f>
        <v>9</v>
      </c>
      <c r="K3256">
        <f>VLOOKUP(B3256, Products!$A$2:$F$100, 4, FALSE)</f>
        <v>6</v>
      </c>
    </row>
    <row r="3257" spans="1:11" x14ac:dyDescent="0.3">
      <c r="A3257">
        <v>1127</v>
      </c>
      <c r="B3257">
        <v>2</v>
      </c>
      <c r="C3257">
        <v>96</v>
      </c>
      <c r="D3257" t="str">
        <f>VLOOKUP(B3257, Products!$A$2:$C$100, 2, FALSE)</f>
        <v>Ritchey Timberwolf Frameset - 2016</v>
      </c>
      <c r="E3257">
        <v>2</v>
      </c>
      <c r="F3257">
        <v>349.99</v>
      </c>
      <c r="G3257">
        <v>7.0000000000000007E-2</v>
      </c>
      <c r="H3257">
        <v>24.499300000000002</v>
      </c>
      <c r="I3257">
        <f>order_items[[#This Row],[list_price]]-order_items[[#This Row],[Discounted_price]]</f>
        <v>325.4907</v>
      </c>
      <c r="J3257">
        <f>VLOOKUP(B3257, Products!$A$2:$E$100, 3, FALSE)</f>
        <v>5</v>
      </c>
      <c r="K3257">
        <f>VLOOKUP(B3257, Products!$A$2:$F$100, 4, FALSE)</f>
        <v>6</v>
      </c>
    </row>
    <row r="3258" spans="1:11" x14ac:dyDescent="0.3">
      <c r="A3258">
        <v>1127</v>
      </c>
      <c r="B3258">
        <v>3</v>
      </c>
      <c r="C3258">
        <v>37</v>
      </c>
      <c r="D3258" t="str">
        <f>VLOOKUP(B3258, Products!$A$2:$C$100, 2, FALSE)</f>
        <v>Surly Wednesday Frameset - 2016</v>
      </c>
      <c r="E3258">
        <v>1</v>
      </c>
      <c r="F3258">
        <v>379.99</v>
      </c>
      <c r="G3258">
        <v>0.2</v>
      </c>
      <c r="H3258">
        <v>75.998000000000005</v>
      </c>
      <c r="I3258">
        <f>order_items[[#This Row],[list_price]]-order_items[[#This Row],[Discounted_price]]</f>
        <v>303.99200000000002</v>
      </c>
      <c r="J3258">
        <f>VLOOKUP(B3258, Products!$A$2:$E$100, 3, FALSE)</f>
        <v>8</v>
      </c>
      <c r="K3258">
        <f>VLOOKUP(B3258, Products!$A$2:$F$100, 4, FALSE)</f>
        <v>6</v>
      </c>
    </row>
    <row r="3259" spans="1:11" x14ac:dyDescent="0.3">
      <c r="A3259">
        <v>1128</v>
      </c>
      <c r="B3259">
        <v>1</v>
      </c>
      <c r="C3259">
        <v>44</v>
      </c>
      <c r="D3259" t="str">
        <f>VLOOKUP(B3259, Products!$A$2:$C$100, 2, FALSE)</f>
        <v>Trek 820 - 2016</v>
      </c>
      <c r="E3259">
        <v>1</v>
      </c>
      <c r="F3259">
        <v>539.99</v>
      </c>
      <c r="G3259">
        <v>0.05</v>
      </c>
      <c r="H3259">
        <v>26.999500000000001</v>
      </c>
      <c r="I3259">
        <f>order_items[[#This Row],[list_price]]-order_items[[#This Row],[Discounted_price]]</f>
        <v>512.9905</v>
      </c>
      <c r="J3259">
        <f>VLOOKUP(B3259, Products!$A$2:$E$100, 3, FALSE)</f>
        <v>9</v>
      </c>
      <c r="K3259">
        <f>VLOOKUP(B3259, Products!$A$2:$F$100, 4, FALSE)</f>
        <v>6</v>
      </c>
    </row>
    <row r="3260" spans="1:11" x14ac:dyDescent="0.3">
      <c r="A3260">
        <v>1128</v>
      </c>
      <c r="B3260">
        <v>2</v>
      </c>
      <c r="C3260">
        <v>10</v>
      </c>
      <c r="D3260" t="str">
        <f>VLOOKUP(B3260, Products!$A$2:$C$100, 2, FALSE)</f>
        <v>Ritchey Timberwolf Frameset - 2016</v>
      </c>
      <c r="E3260">
        <v>1</v>
      </c>
      <c r="F3260">
        <v>1549</v>
      </c>
      <c r="G3260">
        <v>0.2</v>
      </c>
      <c r="H3260">
        <v>309.8</v>
      </c>
      <c r="I3260">
        <f>order_items[[#This Row],[list_price]]-order_items[[#This Row],[Discounted_price]]</f>
        <v>1239.2</v>
      </c>
      <c r="J3260">
        <f>VLOOKUP(B3260, Products!$A$2:$E$100, 3, FALSE)</f>
        <v>5</v>
      </c>
      <c r="K3260">
        <f>VLOOKUP(B3260, Products!$A$2:$F$100, 4, FALSE)</f>
        <v>6</v>
      </c>
    </row>
    <row r="3261" spans="1:11" x14ac:dyDescent="0.3">
      <c r="A3261">
        <v>1128</v>
      </c>
      <c r="B3261">
        <v>3</v>
      </c>
      <c r="C3261">
        <v>65</v>
      </c>
      <c r="D3261" t="str">
        <f>VLOOKUP(B3261, Products!$A$2:$C$100, 2, FALSE)</f>
        <v>Surly Wednesday Frameset - 2016</v>
      </c>
      <c r="E3261">
        <v>2</v>
      </c>
      <c r="F3261">
        <v>346.99</v>
      </c>
      <c r="G3261">
        <v>0.05</v>
      </c>
      <c r="H3261">
        <v>17.349500000000003</v>
      </c>
      <c r="I3261">
        <f>order_items[[#This Row],[list_price]]-order_items[[#This Row],[Discounted_price]]</f>
        <v>329.64050000000003</v>
      </c>
      <c r="J3261">
        <f>VLOOKUP(B3261, Products!$A$2:$E$100, 3, FALSE)</f>
        <v>8</v>
      </c>
      <c r="K3261">
        <f>VLOOKUP(B3261, Products!$A$2:$F$100, 4, FALSE)</f>
        <v>6</v>
      </c>
    </row>
    <row r="3262" spans="1:11" x14ac:dyDescent="0.3">
      <c r="A3262">
        <v>1129</v>
      </c>
      <c r="B3262">
        <v>1</v>
      </c>
      <c r="C3262">
        <v>71</v>
      </c>
      <c r="D3262" t="str">
        <f>VLOOKUP(B3262, Products!$A$2:$C$100, 2, FALSE)</f>
        <v>Trek 820 - 2016</v>
      </c>
      <c r="E3262">
        <v>2</v>
      </c>
      <c r="F3262">
        <v>416.99</v>
      </c>
      <c r="G3262">
        <v>0.2</v>
      </c>
      <c r="H3262">
        <v>83.39800000000001</v>
      </c>
      <c r="I3262">
        <f>order_items[[#This Row],[list_price]]-order_items[[#This Row],[Discounted_price]]</f>
        <v>333.59199999999998</v>
      </c>
      <c r="J3262">
        <f>VLOOKUP(B3262, Products!$A$2:$E$100, 3, FALSE)</f>
        <v>9</v>
      </c>
      <c r="K3262">
        <f>VLOOKUP(B3262, Products!$A$2:$F$100, 4, FALSE)</f>
        <v>6</v>
      </c>
    </row>
    <row r="3263" spans="1:11" x14ac:dyDescent="0.3">
      <c r="A3263">
        <v>1129</v>
      </c>
      <c r="B3263">
        <v>2</v>
      </c>
      <c r="C3263">
        <v>56</v>
      </c>
      <c r="D3263" t="str">
        <f>VLOOKUP(B3263, Products!$A$2:$C$100, 2, FALSE)</f>
        <v>Ritchey Timberwolf Frameset - 2016</v>
      </c>
      <c r="E3263">
        <v>1</v>
      </c>
      <c r="F3263">
        <v>5499.99</v>
      </c>
      <c r="G3263">
        <v>0.2</v>
      </c>
      <c r="H3263">
        <v>1099.998</v>
      </c>
      <c r="I3263">
        <f>order_items[[#This Row],[list_price]]-order_items[[#This Row],[Discounted_price]]</f>
        <v>4399.9920000000002</v>
      </c>
      <c r="J3263">
        <f>VLOOKUP(B3263, Products!$A$2:$E$100, 3, FALSE)</f>
        <v>5</v>
      </c>
      <c r="K3263">
        <f>VLOOKUP(B3263, Products!$A$2:$F$100, 4, FALSE)</f>
        <v>6</v>
      </c>
    </row>
    <row r="3264" spans="1:11" x14ac:dyDescent="0.3">
      <c r="A3264">
        <v>1129</v>
      </c>
      <c r="B3264">
        <v>3</v>
      </c>
      <c r="C3264">
        <v>61</v>
      </c>
      <c r="D3264" t="str">
        <f>VLOOKUP(B3264, Products!$A$2:$C$100, 2, FALSE)</f>
        <v>Surly Wednesday Frameset - 2016</v>
      </c>
      <c r="E3264">
        <v>2</v>
      </c>
      <c r="F3264">
        <v>4999.99</v>
      </c>
      <c r="G3264">
        <v>0.05</v>
      </c>
      <c r="H3264">
        <v>249.99950000000001</v>
      </c>
      <c r="I3264">
        <f>order_items[[#This Row],[list_price]]-order_items[[#This Row],[Discounted_price]]</f>
        <v>4749.9904999999999</v>
      </c>
      <c r="J3264">
        <f>VLOOKUP(B3264, Products!$A$2:$E$100, 3, FALSE)</f>
        <v>8</v>
      </c>
      <c r="K3264">
        <f>VLOOKUP(B3264, Products!$A$2:$F$100, 4, FALSE)</f>
        <v>6</v>
      </c>
    </row>
    <row r="3265" spans="1:11" x14ac:dyDescent="0.3">
      <c r="A3265">
        <v>1130</v>
      </c>
      <c r="B3265">
        <v>1</v>
      </c>
      <c r="C3265">
        <v>54</v>
      </c>
      <c r="D3265" t="str">
        <f>VLOOKUP(B3265, Products!$A$2:$C$100, 2, FALSE)</f>
        <v>Trek 820 - 2016</v>
      </c>
      <c r="E3265">
        <v>2</v>
      </c>
      <c r="F3265">
        <v>3199.99</v>
      </c>
      <c r="G3265">
        <v>0.2</v>
      </c>
      <c r="H3265">
        <v>639.99800000000005</v>
      </c>
      <c r="I3265">
        <f>order_items[[#This Row],[list_price]]-order_items[[#This Row],[Discounted_price]]</f>
        <v>2559.9919999999997</v>
      </c>
      <c r="J3265">
        <f>VLOOKUP(B3265, Products!$A$2:$E$100, 3, FALSE)</f>
        <v>9</v>
      </c>
      <c r="K3265">
        <f>VLOOKUP(B3265, Products!$A$2:$F$100, 4, FALSE)</f>
        <v>6</v>
      </c>
    </row>
    <row r="3266" spans="1:11" x14ac:dyDescent="0.3">
      <c r="A3266">
        <v>1131</v>
      </c>
      <c r="B3266">
        <v>1</v>
      </c>
      <c r="C3266">
        <v>60</v>
      </c>
      <c r="D3266" t="str">
        <f>VLOOKUP(B3266, Products!$A$2:$C$100, 2, FALSE)</f>
        <v>Trek 820 - 2016</v>
      </c>
      <c r="E3266">
        <v>2</v>
      </c>
      <c r="F3266">
        <v>1559.99</v>
      </c>
      <c r="G3266">
        <v>7.0000000000000007E-2</v>
      </c>
      <c r="H3266">
        <v>109.19930000000001</v>
      </c>
      <c r="I3266">
        <f>order_items[[#This Row],[list_price]]-order_items[[#This Row],[Discounted_price]]</f>
        <v>1450.7907</v>
      </c>
      <c r="J3266">
        <f>VLOOKUP(B3266, Products!$A$2:$E$100, 3, FALSE)</f>
        <v>9</v>
      </c>
      <c r="K3266">
        <f>VLOOKUP(B3266, Products!$A$2:$F$100, 4, FALSE)</f>
        <v>6</v>
      </c>
    </row>
    <row r="3267" spans="1:11" x14ac:dyDescent="0.3">
      <c r="A3267">
        <v>1131</v>
      </c>
      <c r="B3267">
        <v>2</v>
      </c>
      <c r="C3267">
        <v>103</v>
      </c>
      <c r="D3267" t="str">
        <f>VLOOKUP(B3267, Products!$A$2:$C$100, 2, FALSE)</f>
        <v>Ritchey Timberwolf Frameset - 2016</v>
      </c>
      <c r="E3267">
        <v>2</v>
      </c>
      <c r="F3267">
        <v>551.99</v>
      </c>
      <c r="G3267">
        <v>0.05</v>
      </c>
      <c r="H3267">
        <v>27.599500000000003</v>
      </c>
      <c r="I3267">
        <f>order_items[[#This Row],[list_price]]-order_items[[#This Row],[Discounted_price]]</f>
        <v>524.39049999999997</v>
      </c>
      <c r="J3267">
        <f>VLOOKUP(B3267, Products!$A$2:$E$100, 3, FALSE)</f>
        <v>5</v>
      </c>
      <c r="K3267">
        <f>VLOOKUP(B3267, Products!$A$2:$F$100, 4, FALSE)</f>
        <v>6</v>
      </c>
    </row>
    <row r="3268" spans="1:11" x14ac:dyDescent="0.3">
      <c r="A3268">
        <v>1132</v>
      </c>
      <c r="B3268">
        <v>1</v>
      </c>
      <c r="C3268">
        <v>43</v>
      </c>
      <c r="D3268" t="str">
        <f>VLOOKUP(B3268, Products!$A$2:$C$100, 2, FALSE)</f>
        <v>Trek 820 - 2016</v>
      </c>
      <c r="E3268">
        <v>1</v>
      </c>
      <c r="F3268">
        <v>5299.99</v>
      </c>
      <c r="G3268">
        <v>0.05</v>
      </c>
      <c r="H3268">
        <v>264.99950000000001</v>
      </c>
      <c r="I3268">
        <f>order_items[[#This Row],[list_price]]-order_items[[#This Row],[Discounted_price]]</f>
        <v>5034.9904999999999</v>
      </c>
      <c r="J3268">
        <f>VLOOKUP(B3268, Products!$A$2:$E$100, 3, FALSE)</f>
        <v>9</v>
      </c>
      <c r="K3268">
        <f>VLOOKUP(B3268, Products!$A$2:$F$100, 4, FALSE)</f>
        <v>6</v>
      </c>
    </row>
    <row r="3269" spans="1:11" x14ac:dyDescent="0.3">
      <c r="A3269">
        <v>1132</v>
      </c>
      <c r="B3269">
        <v>2</v>
      </c>
      <c r="C3269">
        <v>10</v>
      </c>
      <c r="D3269" t="str">
        <f>VLOOKUP(B3269, Products!$A$2:$C$100, 2, FALSE)</f>
        <v>Ritchey Timberwolf Frameset - 2016</v>
      </c>
      <c r="E3269">
        <v>1</v>
      </c>
      <c r="F3269">
        <v>1549</v>
      </c>
      <c r="G3269">
        <v>0.1</v>
      </c>
      <c r="H3269">
        <v>154.9</v>
      </c>
      <c r="I3269">
        <f>order_items[[#This Row],[list_price]]-order_items[[#This Row],[Discounted_price]]</f>
        <v>1394.1</v>
      </c>
      <c r="J3269">
        <f>VLOOKUP(B3269, Products!$A$2:$E$100, 3, FALSE)</f>
        <v>5</v>
      </c>
      <c r="K3269">
        <f>VLOOKUP(B3269, Products!$A$2:$F$100, 4, FALSE)</f>
        <v>6</v>
      </c>
    </row>
    <row r="3270" spans="1:11" x14ac:dyDescent="0.3">
      <c r="A3270">
        <v>1132</v>
      </c>
      <c r="B3270">
        <v>3</v>
      </c>
      <c r="C3270">
        <v>36</v>
      </c>
      <c r="D3270" t="str">
        <f>VLOOKUP(B3270, Products!$A$2:$C$100, 2, FALSE)</f>
        <v>Surly Wednesday Frameset - 2016</v>
      </c>
      <c r="E3270">
        <v>2</v>
      </c>
      <c r="F3270">
        <v>832.99</v>
      </c>
      <c r="G3270">
        <v>0.1</v>
      </c>
      <c r="H3270">
        <v>83.299000000000007</v>
      </c>
      <c r="I3270">
        <f>order_items[[#This Row],[list_price]]-order_items[[#This Row],[Discounted_price]]</f>
        <v>749.69100000000003</v>
      </c>
      <c r="J3270">
        <f>VLOOKUP(B3270, Products!$A$2:$E$100, 3, FALSE)</f>
        <v>8</v>
      </c>
      <c r="K3270">
        <f>VLOOKUP(B3270, Products!$A$2:$F$100, 4, FALSE)</f>
        <v>6</v>
      </c>
    </row>
    <row r="3271" spans="1:11" x14ac:dyDescent="0.3">
      <c r="A3271">
        <v>1132</v>
      </c>
      <c r="B3271">
        <v>4</v>
      </c>
      <c r="C3271">
        <v>16</v>
      </c>
      <c r="D3271" t="str">
        <f>VLOOKUP(B3271, Products!$A$2:$C$100, 2, FALSE)</f>
        <v>Trek Fuel EX 8 29 - 2016</v>
      </c>
      <c r="E3271">
        <v>1</v>
      </c>
      <c r="F3271">
        <v>599.99</v>
      </c>
      <c r="G3271">
        <v>0.05</v>
      </c>
      <c r="H3271">
        <v>29.999500000000001</v>
      </c>
      <c r="I3271">
        <f>order_items[[#This Row],[list_price]]-order_items[[#This Row],[Discounted_price]]</f>
        <v>569.9905</v>
      </c>
      <c r="J3271">
        <f>VLOOKUP(B3271, Products!$A$2:$E$100, 3, FALSE)</f>
        <v>9</v>
      </c>
      <c r="K3271">
        <f>VLOOKUP(B3271, Products!$A$2:$F$100, 4, FALSE)</f>
        <v>6</v>
      </c>
    </row>
    <row r="3272" spans="1:11" x14ac:dyDescent="0.3">
      <c r="A3272">
        <v>1133</v>
      </c>
      <c r="B3272">
        <v>1</v>
      </c>
      <c r="C3272">
        <v>4</v>
      </c>
      <c r="D3272" t="str">
        <f>VLOOKUP(B3272, Products!$A$2:$C$100, 2, FALSE)</f>
        <v>Trek 820 - 2016</v>
      </c>
      <c r="E3272">
        <v>2</v>
      </c>
      <c r="F3272">
        <v>2899.99</v>
      </c>
      <c r="G3272">
        <v>0.05</v>
      </c>
      <c r="H3272">
        <v>144.99949999999998</v>
      </c>
      <c r="I3272">
        <f>order_items[[#This Row],[list_price]]-order_items[[#This Row],[Discounted_price]]</f>
        <v>2754.9904999999999</v>
      </c>
      <c r="J3272">
        <f>VLOOKUP(B3272, Products!$A$2:$E$100, 3, FALSE)</f>
        <v>9</v>
      </c>
      <c r="K3272">
        <f>VLOOKUP(B3272, Products!$A$2:$F$100, 4, FALSE)</f>
        <v>6</v>
      </c>
    </row>
    <row r="3273" spans="1:11" x14ac:dyDescent="0.3">
      <c r="A3273">
        <v>1133</v>
      </c>
      <c r="B3273">
        <v>2</v>
      </c>
      <c r="C3273">
        <v>17</v>
      </c>
      <c r="D3273" t="str">
        <f>VLOOKUP(B3273, Products!$A$2:$C$100, 2, FALSE)</f>
        <v>Ritchey Timberwolf Frameset - 2016</v>
      </c>
      <c r="E3273">
        <v>1</v>
      </c>
      <c r="F3273">
        <v>429</v>
      </c>
      <c r="G3273">
        <v>7.0000000000000007E-2</v>
      </c>
      <c r="H3273">
        <v>30.03</v>
      </c>
      <c r="I3273">
        <f>order_items[[#This Row],[list_price]]-order_items[[#This Row],[Discounted_price]]</f>
        <v>398.97</v>
      </c>
      <c r="J3273">
        <f>VLOOKUP(B3273, Products!$A$2:$E$100, 3, FALSE)</f>
        <v>5</v>
      </c>
      <c r="K3273">
        <f>VLOOKUP(B3273, Products!$A$2:$F$100, 4, FALSE)</f>
        <v>6</v>
      </c>
    </row>
    <row r="3274" spans="1:11" x14ac:dyDescent="0.3">
      <c r="A3274">
        <v>1133</v>
      </c>
      <c r="B3274">
        <v>3</v>
      </c>
      <c r="C3274">
        <v>90</v>
      </c>
      <c r="D3274" t="str">
        <f>VLOOKUP(B3274, Products!$A$2:$C$100, 2, FALSE)</f>
        <v>Surly Wednesday Frameset - 2016</v>
      </c>
      <c r="E3274">
        <v>2</v>
      </c>
      <c r="F3274">
        <v>209.99</v>
      </c>
      <c r="G3274">
        <v>0.2</v>
      </c>
      <c r="H3274">
        <v>41.998000000000005</v>
      </c>
      <c r="I3274">
        <f>order_items[[#This Row],[list_price]]-order_items[[#This Row],[Discounted_price]]</f>
        <v>167.99200000000002</v>
      </c>
      <c r="J3274">
        <f>VLOOKUP(B3274, Products!$A$2:$E$100, 3, FALSE)</f>
        <v>8</v>
      </c>
      <c r="K3274">
        <f>VLOOKUP(B3274, Products!$A$2:$F$100, 4, FALSE)</f>
        <v>6</v>
      </c>
    </row>
    <row r="3275" spans="1:11" x14ac:dyDescent="0.3">
      <c r="A3275">
        <v>1133</v>
      </c>
      <c r="B3275">
        <v>4</v>
      </c>
      <c r="C3275">
        <v>62</v>
      </c>
      <c r="D3275" t="str">
        <f>VLOOKUP(B3275, Products!$A$2:$C$100, 2, FALSE)</f>
        <v>Trek Fuel EX 8 29 - 2016</v>
      </c>
      <c r="E3275">
        <v>1</v>
      </c>
      <c r="F3275">
        <v>3499.99</v>
      </c>
      <c r="G3275">
        <v>0.2</v>
      </c>
      <c r="H3275">
        <v>699.99800000000005</v>
      </c>
      <c r="I3275">
        <f>order_items[[#This Row],[list_price]]-order_items[[#This Row],[Discounted_price]]</f>
        <v>2799.9919999999997</v>
      </c>
      <c r="J3275">
        <f>VLOOKUP(B3275, Products!$A$2:$E$100, 3, FALSE)</f>
        <v>9</v>
      </c>
      <c r="K3275">
        <f>VLOOKUP(B3275, Products!$A$2:$F$100, 4, FALSE)</f>
        <v>6</v>
      </c>
    </row>
    <row r="3276" spans="1:11" x14ac:dyDescent="0.3">
      <c r="A3276">
        <v>1134</v>
      </c>
      <c r="B3276">
        <v>1</v>
      </c>
      <c r="C3276">
        <v>97</v>
      </c>
      <c r="D3276" t="str">
        <f>VLOOKUP(B3276, Products!$A$2:$C$100, 2, FALSE)</f>
        <v>Trek 820 - 2016</v>
      </c>
      <c r="E3276">
        <v>1</v>
      </c>
      <c r="F3276">
        <v>349.99</v>
      </c>
      <c r="G3276">
        <v>0.1</v>
      </c>
      <c r="H3276">
        <v>34.999000000000002</v>
      </c>
      <c r="I3276">
        <f>order_items[[#This Row],[list_price]]-order_items[[#This Row],[Discounted_price]]</f>
        <v>314.99099999999999</v>
      </c>
      <c r="J3276">
        <f>VLOOKUP(B3276, Products!$A$2:$E$100, 3, FALSE)</f>
        <v>9</v>
      </c>
      <c r="K3276">
        <f>VLOOKUP(B3276, Products!$A$2:$F$100, 4, FALSE)</f>
        <v>6</v>
      </c>
    </row>
    <row r="3277" spans="1:11" x14ac:dyDescent="0.3">
      <c r="A3277">
        <v>1134</v>
      </c>
      <c r="B3277">
        <v>2</v>
      </c>
      <c r="C3277">
        <v>36</v>
      </c>
      <c r="D3277" t="str">
        <f>VLOOKUP(B3277, Products!$A$2:$C$100, 2, FALSE)</f>
        <v>Ritchey Timberwolf Frameset - 2016</v>
      </c>
      <c r="E3277">
        <v>1</v>
      </c>
      <c r="F3277">
        <v>832.99</v>
      </c>
      <c r="G3277">
        <v>0.1</v>
      </c>
      <c r="H3277">
        <v>83.299000000000007</v>
      </c>
      <c r="I3277">
        <f>order_items[[#This Row],[list_price]]-order_items[[#This Row],[Discounted_price]]</f>
        <v>749.69100000000003</v>
      </c>
      <c r="J3277">
        <f>VLOOKUP(B3277, Products!$A$2:$E$100, 3, FALSE)</f>
        <v>5</v>
      </c>
      <c r="K3277">
        <f>VLOOKUP(B3277, Products!$A$2:$F$100, 4, FALSE)</f>
        <v>6</v>
      </c>
    </row>
    <row r="3278" spans="1:11" x14ac:dyDescent="0.3">
      <c r="A3278">
        <v>1135</v>
      </c>
      <c r="B3278">
        <v>1</v>
      </c>
      <c r="C3278">
        <v>101</v>
      </c>
      <c r="D3278" t="str">
        <f>VLOOKUP(B3278, Products!$A$2:$C$100, 2, FALSE)</f>
        <v>Trek 820 - 2016</v>
      </c>
      <c r="E3278">
        <v>2</v>
      </c>
      <c r="F3278">
        <v>339.99</v>
      </c>
      <c r="G3278">
        <v>0.05</v>
      </c>
      <c r="H3278">
        <v>16.999500000000001</v>
      </c>
      <c r="I3278">
        <f>order_items[[#This Row],[list_price]]-order_items[[#This Row],[Discounted_price]]</f>
        <v>322.9905</v>
      </c>
      <c r="J3278">
        <f>VLOOKUP(B3278, Products!$A$2:$E$100, 3, FALSE)</f>
        <v>9</v>
      </c>
      <c r="K3278">
        <f>VLOOKUP(B3278, Products!$A$2:$F$100, 4, FALSE)</f>
        <v>6</v>
      </c>
    </row>
    <row r="3279" spans="1:11" x14ac:dyDescent="0.3">
      <c r="A3279">
        <v>1135</v>
      </c>
      <c r="B3279">
        <v>2</v>
      </c>
      <c r="C3279">
        <v>51</v>
      </c>
      <c r="D3279" t="str">
        <f>VLOOKUP(B3279, Products!$A$2:$C$100, 2, FALSE)</f>
        <v>Ritchey Timberwolf Frameset - 2016</v>
      </c>
      <c r="E3279">
        <v>1</v>
      </c>
      <c r="F3279">
        <v>6499.99</v>
      </c>
      <c r="G3279">
        <v>0.1</v>
      </c>
      <c r="H3279">
        <v>649.99900000000002</v>
      </c>
      <c r="I3279">
        <f>order_items[[#This Row],[list_price]]-order_items[[#This Row],[Discounted_price]]</f>
        <v>5849.991</v>
      </c>
      <c r="J3279">
        <f>VLOOKUP(B3279, Products!$A$2:$E$100, 3, FALSE)</f>
        <v>5</v>
      </c>
      <c r="K3279">
        <f>VLOOKUP(B3279, Products!$A$2:$F$100, 4, FALSE)</f>
        <v>6</v>
      </c>
    </row>
    <row r="3280" spans="1:11" x14ac:dyDescent="0.3">
      <c r="A3280">
        <v>1136</v>
      </c>
      <c r="B3280">
        <v>1</v>
      </c>
      <c r="C3280">
        <v>105</v>
      </c>
      <c r="D3280" t="str">
        <f>VLOOKUP(B3280, Products!$A$2:$C$100, 2, FALSE)</f>
        <v>Trek 820 - 2016</v>
      </c>
      <c r="E3280">
        <v>1</v>
      </c>
      <c r="F3280">
        <v>533.99</v>
      </c>
      <c r="G3280">
        <v>0.1</v>
      </c>
      <c r="H3280">
        <v>53.399000000000001</v>
      </c>
      <c r="I3280">
        <f>order_items[[#This Row],[list_price]]-order_items[[#This Row],[Discounted_price]]</f>
        <v>480.59100000000001</v>
      </c>
      <c r="J3280">
        <f>VLOOKUP(B3280, Products!$A$2:$E$100, 3, FALSE)</f>
        <v>9</v>
      </c>
      <c r="K3280">
        <f>VLOOKUP(B3280, Products!$A$2:$F$100, 4, FALSE)</f>
        <v>6</v>
      </c>
    </row>
    <row r="3281" spans="1:11" x14ac:dyDescent="0.3">
      <c r="A3281">
        <v>1137</v>
      </c>
      <c r="B3281">
        <v>1</v>
      </c>
      <c r="C3281">
        <v>28</v>
      </c>
      <c r="D3281" t="str">
        <f>VLOOKUP(B3281, Products!$A$2:$C$100, 2, FALSE)</f>
        <v>Trek 820 - 2016</v>
      </c>
      <c r="E3281">
        <v>1</v>
      </c>
      <c r="F3281">
        <v>2499.9899999999998</v>
      </c>
      <c r="G3281">
        <v>0.2</v>
      </c>
      <c r="H3281">
        <v>499.99799999999999</v>
      </c>
      <c r="I3281">
        <f>order_items[[#This Row],[list_price]]-order_items[[#This Row],[Discounted_price]]</f>
        <v>1999.9919999999997</v>
      </c>
      <c r="J3281">
        <f>VLOOKUP(B3281, Products!$A$2:$E$100, 3, FALSE)</f>
        <v>9</v>
      </c>
      <c r="K3281">
        <f>VLOOKUP(B3281, Products!$A$2:$F$100, 4, FALSE)</f>
        <v>6</v>
      </c>
    </row>
    <row r="3282" spans="1:11" x14ac:dyDescent="0.3">
      <c r="A3282">
        <v>1137</v>
      </c>
      <c r="B3282">
        <v>2</v>
      </c>
      <c r="C3282">
        <v>58</v>
      </c>
      <c r="D3282" t="str">
        <f>VLOOKUP(B3282, Products!$A$2:$C$100, 2, FALSE)</f>
        <v>Ritchey Timberwolf Frameset - 2016</v>
      </c>
      <c r="E3282">
        <v>2</v>
      </c>
      <c r="F3282">
        <v>4999.99</v>
      </c>
      <c r="G3282">
        <v>0.2</v>
      </c>
      <c r="H3282">
        <v>999.99800000000005</v>
      </c>
      <c r="I3282">
        <f>order_items[[#This Row],[list_price]]-order_items[[#This Row],[Discounted_price]]</f>
        <v>3999.9919999999997</v>
      </c>
      <c r="J3282">
        <f>VLOOKUP(B3282, Products!$A$2:$E$100, 3, FALSE)</f>
        <v>5</v>
      </c>
      <c r="K3282">
        <f>VLOOKUP(B3282, Products!$A$2:$F$100, 4, FALSE)</f>
        <v>6</v>
      </c>
    </row>
    <row r="3283" spans="1:11" x14ac:dyDescent="0.3">
      <c r="A3283">
        <v>1137</v>
      </c>
      <c r="B3283">
        <v>3</v>
      </c>
      <c r="C3283">
        <v>84</v>
      </c>
      <c r="D3283" t="str">
        <f>VLOOKUP(B3283, Products!$A$2:$C$100, 2, FALSE)</f>
        <v>Surly Wednesday Frameset - 2016</v>
      </c>
      <c r="E3283">
        <v>2</v>
      </c>
      <c r="F3283">
        <v>109.99</v>
      </c>
      <c r="G3283">
        <v>0.2</v>
      </c>
      <c r="H3283">
        <v>21.998000000000001</v>
      </c>
      <c r="I3283">
        <f>order_items[[#This Row],[list_price]]-order_items[[#This Row],[Discounted_price]]</f>
        <v>87.99199999999999</v>
      </c>
      <c r="J3283">
        <f>VLOOKUP(B3283, Products!$A$2:$E$100, 3, FALSE)</f>
        <v>8</v>
      </c>
      <c r="K3283">
        <f>VLOOKUP(B3283, Products!$A$2:$F$100, 4, FALSE)</f>
        <v>6</v>
      </c>
    </row>
    <row r="3284" spans="1:11" x14ac:dyDescent="0.3">
      <c r="A3284">
        <v>1137</v>
      </c>
      <c r="B3284">
        <v>4</v>
      </c>
      <c r="C3284">
        <v>69</v>
      </c>
      <c r="D3284" t="str">
        <f>VLOOKUP(B3284, Products!$A$2:$C$100, 2, FALSE)</f>
        <v>Trek Fuel EX 8 29 - 2016</v>
      </c>
      <c r="E3284">
        <v>2</v>
      </c>
      <c r="F3284">
        <v>416.99</v>
      </c>
      <c r="G3284">
        <v>7.0000000000000007E-2</v>
      </c>
      <c r="H3284">
        <v>29.189300000000003</v>
      </c>
      <c r="I3284">
        <f>order_items[[#This Row],[list_price]]-order_items[[#This Row],[Discounted_price]]</f>
        <v>387.80070000000001</v>
      </c>
      <c r="J3284">
        <f>VLOOKUP(B3284, Products!$A$2:$E$100, 3, FALSE)</f>
        <v>9</v>
      </c>
      <c r="K3284">
        <f>VLOOKUP(B3284, Products!$A$2:$F$100, 4, FALSE)</f>
        <v>6</v>
      </c>
    </row>
    <row r="3285" spans="1:11" x14ac:dyDescent="0.3">
      <c r="A3285">
        <v>1138</v>
      </c>
      <c r="B3285">
        <v>1</v>
      </c>
      <c r="C3285">
        <v>13</v>
      </c>
      <c r="D3285" t="str">
        <f>VLOOKUP(B3285, Products!$A$2:$C$100, 2, FALSE)</f>
        <v>Trek 820 - 2016</v>
      </c>
      <c r="E3285">
        <v>2</v>
      </c>
      <c r="F3285">
        <v>269.99</v>
      </c>
      <c r="G3285">
        <v>0.05</v>
      </c>
      <c r="H3285">
        <v>13.499500000000001</v>
      </c>
      <c r="I3285">
        <f>order_items[[#This Row],[list_price]]-order_items[[#This Row],[Discounted_price]]</f>
        <v>256.4905</v>
      </c>
      <c r="J3285">
        <f>VLOOKUP(B3285, Products!$A$2:$E$100, 3, FALSE)</f>
        <v>9</v>
      </c>
      <c r="K3285">
        <f>VLOOKUP(B3285, Products!$A$2:$F$100, 4, FALSE)</f>
        <v>6</v>
      </c>
    </row>
    <row r="3286" spans="1:11" x14ac:dyDescent="0.3">
      <c r="A3286">
        <v>1138</v>
      </c>
      <c r="B3286">
        <v>2</v>
      </c>
      <c r="C3286">
        <v>105</v>
      </c>
      <c r="D3286" t="str">
        <f>VLOOKUP(B3286, Products!$A$2:$C$100, 2, FALSE)</f>
        <v>Ritchey Timberwolf Frameset - 2016</v>
      </c>
      <c r="E3286">
        <v>2</v>
      </c>
      <c r="F3286">
        <v>533.99</v>
      </c>
      <c r="G3286">
        <v>0.05</v>
      </c>
      <c r="H3286">
        <v>26.6995</v>
      </c>
      <c r="I3286">
        <f>order_items[[#This Row],[list_price]]-order_items[[#This Row],[Discounted_price]]</f>
        <v>507.29050000000001</v>
      </c>
      <c r="J3286">
        <f>VLOOKUP(B3286, Products!$A$2:$E$100, 3, FALSE)</f>
        <v>5</v>
      </c>
      <c r="K3286">
        <f>VLOOKUP(B3286, Products!$A$2:$F$100, 4, FALSE)</f>
        <v>6</v>
      </c>
    </row>
    <row r="3287" spans="1:11" x14ac:dyDescent="0.3">
      <c r="A3287">
        <v>1138</v>
      </c>
      <c r="B3287">
        <v>3</v>
      </c>
      <c r="C3287">
        <v>93</v>
      </c>
      <c r="D3287" t="str">
        <f>VLOOKUP(B3287, Products!$A$2:$C$100, 2, FALSE)</f>
        <v>Surly Wednesday Frameset - 2016</v>
      </c>
      <c r="E3287">
        <v>1</v>
      </c>
      <c r="F3287">
        <v>209.99</v>
      </c>
      <c r="G3287">
        <v>0.1</v>
      </c>
      <c r="H3287">
        <v>20.999000000000002</v>
      </c>
      <c r="I3287">
        <f>order_items[[#This Row],[list_price]]-order_items[[#This Row],[Discounted_price]]</f>
        <v>188.99100000000001</v>
      </c>
      <c r="J3287">
        <f>VLOOKUP(B3287, Products!$A$2:$E$100, 3, FALSE)</f>
        <v>8</v>
      </c>
      <c r="K3287">
        <f>VLOOKUP(B3287, Products!$A$2:$F$100, 4, FALSE)</f>
        <v>6</v>
      </c>
    </row>
    <row r="3288" spans="1:11" x14ac:dyDescent="0.3">
      <c r="A3288">
        <v>1139</v>
      </c>
      <c r="B3288">
        <v>1</v>
      </c>
      <c r="C3288">
        <v>106</v>
      </c>
      <c r="D3288" t="str">
        <f>VLOOKUP(B3288, Products!$A$2:$C$100, 2, FALSE)</f>
        <v>Trek 820 - 2016</v>
      </c>
      <c r="E3288">
        <v>2</v>
      </c>
      <c r="F3288">
        <v>449.99</v>
      </c>
      <c r="G3288">
        <v>0.05</v>
      </c>
      <c r="H3288">
        <v>22.499500000000001</v>
      </c>
      <c r="I3288">
        <f>order_items[[#This Row],[list_price]]-order_items[[#This Row],[Discounted_price]]</f>
        <v>427.4905</v>
      </c>
      <c r="J3288">
        <f>VLOOKUP(B3288, Products!$A$2:$E$100, 3, FALSE)</f>
        <v>9</v>
      </c>
      <c r="K3288">
        <f>VLOOKUP(B3288, Products!$A$2:$F$100, 4, FALSE)</f>
        <v>6</v>
      </c>
    </row>
    <row r="3289" spans="1:11" x14ac:dyDescent="0.3">
      <c r="A3289">
        <v>1139</v>
      </c>
      <c r="B3289">
        <v>2</v>
      </c>
      <c r="C3289">
        <v>44</v>
      </c>
      <c r="D3289" t="str">
        <f>VLOOKUP(B3289, Products!$A$2:$C$100, 2, FALSE)</f>
        <v>Ritchey Timberwolf Frameset - 2016</v>
      </c>
      <c r="E3289">
        <v>2</v>
      </c>
      <c r="F3289">
        <v>539.99</v>
      </c>
      <c r="G3289">
        <v>0.1</v>
      </c>
      <c r="H3289">
        <v>53.999000000000002</v>
      </c>
      <c r="I3289">
        <f>order_items[[#This Row],[list_price]]-order_items[[#This Row],[Discounted_price]]</f>
        <v>485.99099999999999</v>
      </c>
      <c r="J3289">
        <f>VLOOKUP(B3289, Products!$A$2:$E$100, 3, FALSE)</f>
        <v>5</v>
      </c>
      <c r="K3289">
        <f>VLOOKUP(B3289, Products!$A$2:$F$100, 4, FALSE)</f>
        <v>6</v>
      </c>
    </row>
    <row r="3290" spans="1:11" x14ac:dyDescent="0.3">
      <c r="A3290">
        <v>1139</v>
      </c>
      <c r="B3290">
        <v>3</v>
      </c>
      <c r="C3290">
        <v>69</v>
      </c>
      <c r="D3290" t="str">
        <f>VLOOKUP(B3290, Products!$A$2:$C$100, 2, FALSE)</f>
        <v>Surly Wednesday Frameset - 2016</v>
      </c>
      <c r="E3290">
        <v>1</v>
      </c>
      <c r="F3290">
        <v>416.99</v>
      </c>
      <c r="G3290">
        <v>0.05</v>
      </c>
      <c r="H3290">
        <v>20.849500000000003</v>
      </c>
      <c r="I3290">
        <f>order_items[[#This Row],[list_price]]-order_items[[#This Row],[Discounted_price]]</f>
        <v>396.14050000000003</v>
      </c>
      <c r="J3290">
        <f>VLOOKUP(B3290, Products!$A$2:$E$100, 3, FALSE)</f>
        <v>8</v>
      </c>
      <c r="K3290">
        <f>VLOOKUP(B3290, Products!$A$2:$F$100, 4, FALSE)</f>
        <v>6</v>
      </c>
    </row>
    <row r="3291" spans="1:11" x14ac:dyDescent="0.3">
      <c r="A3291">
        <v>1139</v>
      </c>
      <c r="B3291">
        <v>4</v>
      </c>
      <c r="C3291">
        <v>25</v>
      </c>
      <c r="D3291" t="str">
        <f>VLOOKUP(B3291, Products!$A$2:$C$100, 2, FALSE)</f>
        <v>Trek Fuel EX 8 29 - 2016</v>
      </c>
      <c r="E3291">
        <v>2</v>
      </c>
      <c r="F3291">
        <v>499.99</v>
      </c>
      <c r="G3291">
        <v>0.1</v>
      </c>
      <c r="H3291">
        <v>49.999000000000002</v>
      </c>
      <c r="I3291">
        <f>order_items[[#This Row],[list_price]]-order_items[[#This Row],[Discounted_price]]</f>
        <v>449.99099999999999</v>
      </c>
      <c r="J3291">
        <f>VLOOKUP(B3291, Products!$A$2:$E$100, 3, FALSE)</f>
        <v>9</v>
      </c>
      <c r="K3291">
        <f>VLOOKUP(B3291, Products!$A$2:$F$100, 4, FALSE)</f>
        <v>6</v>
      </c>
    </row>
    <row r="3292" spans="1:11" x14ac:dyDescent="0.3">
      <c r="A3292">
        <v>1139</v>
      </c>
      <c r="B3292">
        <v>5</v>
      </c>
      <c r="C3292">
        <v>7</v>
      </c>
      <c r="D3292" t="str">
        <f>VLOOKUP(B3292, Products!$A$2:$C$100, 2, FALSE)</f>
        <v>Heller Shagamaw Frame - 2016</v>
      </c>
      <c r="E3292">
        <v>1</v>
      </c>
      <c r="F3292">
        <v>3999.99</v>
      </c>
      <c r="G3292">
        <v>0.1</v>
      </c>
      <c r="H3292">
        <v>399.99900000000002</v>
      </c>
      <c r="I3292">
        <f>order_items[[#This Row],[list_price]]-order_items[[#This Row],[Discounted_price]]</f>
        <v>3599.991</v>
      </c>
      <c r="J3292">
        <f>VLOOKUP(B3292, Products!$A$2:$E$100, 3, FALSE)</f>
        <v>3</v>
      </c>
      <c r="K3292">
        <f>VLOOKUP(B3292, Products!$A$2:$F$100, 4, FALSE)</f>
        <v>6</v>
      </c>
    </row>
    <row r="3293" spans="1:11" x14ac:dyDescent="0.3">
      <c r="A3293">
        <v>1140</v>
      </c>
      <c r="B3293">
        <v>1</v>
      </c>
      <c r="C3293">
        <v>39</v>
      </c>
      <c r="D3293" t="str">
        <f>VLOOKUP(B3293, Products!$A$2:$C$100, 2, FALSE)</f>
        <v>Trek 820 - 2016</v>
      </c>
      <c r="E3293">
        <v>2</v>
      </c>
      <c r="F3293">
        <v>1499.99</v>
      </c>
      <c r="G3293">
        <v>0.1</v>
      </c>
      <c r="H3293">
        <v>149.999</v>
      </c>
      <c r="I3293">
        <f>order_items[[#This Row],[list_price]]-order_items[[#This Row],[Discounted_price]]</f>
        <v>1349.991</v>
      </c>
      <c r="J3293">
        <f>VLOOKUP(B3293, Products!$A$2:$E$100, 3, FALSE)</f>
        <v>9</v>
      </c>
      <c r="K3293">
        <f>VLOOKUP(B3293, Products!$A$2:$F$100, 4, FALSE)</f>
        <v>6</v>
      </c>
    </row>
    <row r="3294" spans="1:11" x14ac:dyDescent="0.3">
      <c r="A3294">
        <v>1140</v>
      </c>
      <c r="B3294">
        <v>2</v>
      </c>
      <c r="C3294">
        <v>71</v>
      </c>
      <c r="D3294" t="str">
        <f>VLOOKUP(B3294, Products!$A$2:$C$100, 2, FALSE)</f>
        <v>Ritchey Timberwolf Frameset - 2016</v>
      </c>
      <c r="E3294">
        <v>2</v>
      </c>
      <c r="F3294">
        <v>416.99</v>
      </c>
      <c r="G3294">
        <v>7.0000000000000007E-2</v>
      </c>
      <c r="H3294">
        <v>29.189300000000003</v>
      </c>
      <c r="I3294">
        <f>order_items[[#This Row],[list_price]]-order_items[[#This Row],[Discounted_price]]</f>
        <v>387.80070000000001</v>
      </c>
      <c r="J3294">
        <f>VLOOKUP(B3294, Products!$A$2:$E$100, 3, FALSE)</f>
        <v>5</v>
      </c>
      <c r="K3294">
        <f>VLOOKUP(B3294, Products!$A$2:$F$100, 4, FALSE)</f>
        <v>6</v>
      </c>
    </row>
    <row r="3295" spans="1:11" x14ac:dyDescent="0.3">
      <c r="A3295">
        <v>1140</v>
      </c>
      <c r="B3295">
        <v>3</v>
      </c>
      <c r="C3295">
        <v>38</v>
      </c>
      <c r="D3295" t="str">
        <f>VLOOKUP(B3295, Products!$A$2:$C$100, 2, FALSE)</f>
        <v>Surly Wednesday Frameset - 2016</v>
      </c>
      <c r="E3295">
        <v>2</v>
      </c>
      <c r="F3295">
        <v>549.99</v>
      </c>
      <c r="G3295">
        <v>0.1</v>
      </c>
      <c r="H3295">
        <v>54.999000000000002</v>
      </c>
      <c r="I3295">
        <f>order_items[[#This Row],[list_price]]-order_items[[#This Row],[Discounted_price]]</f>
        <v>494.99099999999999</v>
      </c>
      <c r="J3295">
        <f>VLOOKUP(B3295, Products!$A$2:$E$100, 3, FALSE)</f>
        <v>8</v>
      </c>
      <c r="K3295">
        <f>VLOOKUP(B3295, Products!$A$2:$F$100, 4, FALSE)</f>
        <v>6</v>
      </c>
    </row>
    <row r="3296" spans="1:11" x14ac:dyDescent="0.3">
      <c r="A3296">
        <v>1140</v>
      </c>
      <c r="B3296">
        <v>4</v>
      </c>
      <c r="C3296">
        <v>40</v>
      </c>
      <c r="D3296" t="str">
        <f>VLOOKUP(B3296, Products!$A$2:$C$100, 2, FALSE)</f>
        <v>Trek Fuel EX 8 29 - 2016</v>
      </c>
      <c r="E3296">
        <v>2</v>
      </c>
      <c r="F3296">
        <v>4999.99</v>
      </c>
      <c r="G3296">
        <v>7.0000000000000007E-2</v>
      </c>
      <c r="H3296">
        <v>349.99930000000001</v>
      </c>
      <c r="I3296">
        <f>order_items[[#This Row],[list_price]]-order_items[[#This Row],[Discounted_price]]</f>
        <v>4649.9906999999994</v>
      </c>
      <c r="J3296">
        <f>VLOOKUP(B3296, Products!$A$2:$E$100, 3, FALSE)</f>
        <v>9</v>
      </c>
      <c r="K3296">
        <f>VLOOKUP(B3296, Products!$A$2:$F$100, 4, FALSE)</f>
        <v>6</v>
      </c>
    </row>
    <row r="3297" spans="1:11" x14ac:dyDescent="0.3">
      <c r="A3297">
        <v>1141</v>
      </c>
      <c r="B3297">
        <v>1</v>
      </c>
      <c r="C3297">
        <v>8</v>
      </c>
      <c r="D3297" t="str">
        <f>VLOOKUP(B3297, Products!$A$2:$C$100, 2, FALSE)</f>
        <v>Trek 820 - 2016</v>
      </c>
      <c r="E3297">
        <v>1</v>
      </c>
      <c r="F3297">
        <v>1799.99</v>
      </c>
      <c r="G3297">
        <v>0.1</v>
      </c>
      <c r="H3297">
        <v>179.99900000000002</v>
      </c>
      <c r="I3297">
        <f>order_items[[#This Row],[list_price]]-order_items[[#This Row],[Discounted_price]]</f>
        <v>1619.991</v>
      </c>
      <c r="J3297">
        <f>VLOOKUP(B3297, Products!$A$2:$E$100, 3, FALSE)</f>
        <v>9</v>
      </c>
      <c r="K3297">
        <f>VLOOKUP(B3297, Products!$A$2:$F$100, 4, FALSE)</f>
        <v>6</v>
      </c>
    </row>
    <row r="3298" spans="1:11" x14ac:dyDescent="0.3">
      <c r="A3298">
        <v>1142</v>
      </c>
      <c r="B3298">
        <v>1</v>
      </c>
      <c r="C3298">
        <v>20</v>
      </c>
      <c r="D3298" t="str">
        <f>VLOOKUP(B3298, Products!$A$2:$C$100, 2, FALSE)</f>
        <v>Trek 820 - 2016</v>
      </c>
      <c r="E3298">
        <v>2</v>
      </c>
      <c r="F3298">
        <v>599.99</v>
      </c>
      <c r="G3298">
        <v>7.0000000000000007E-2</v>
      </c>
      <c r="H3298">
        <v>41.999300000000005</v>
      </c>
      <c r="I3298">
        <f>order_items[[#This Row],[list_price]]-order_items[[#This Row],[Discounted_price]]</f>
        <v>557.99070000000006</v>
      </c>
      <c r="J3298">
        <f>VLOOKUP(B3298, Products!$A$2:$E$100, 3, FALSE)</f>
        <v>9</v>
      </c>
      <c r="K3298">
        <f>VLOOKUP(B3298, Products!$A$2:$F$100, 4, FALSE)</f>
        <v>6</v>
      </c>
    </row>
    <row r="3299" spans="1:11" x14ac:dyDescent="0.3">
      <c r="A3299">
        <v>1142</v>
      </c>
      <c r="B3299">
        <v>2</v>
      </c>
      <c r="C3299">
        <v>30</v>
      </c>
      <c r="D3299" t="str">
        <f>VLOOKUP(B3299, Products!$A$2:$C$100, 2, FALSE)</f>
        <v>Ritchey Timberwolf Frameset - 2016</v>
      </c>
      <c r="E3299">
        <v>1</v>
      </c>
      <c r="F3299">
        <v>999.99</v>
      </c>
      <c r="G3299">
        <v>0.1</v>
      </c>
      <c r="H3299">
        <v>99.999000000000009</v>
      </c>
      <c r="I3299">
        <f>order_items[[#This Row],[list_price]]-order_items[[#This Row],[Discounted_price]]</f>
        <v>899.99099999999999</v>
      </c>
      <c r="J3299">
        <f>VLOOKUP(B3299, Products!$A$2:$E$100, 3, FALSE)</f>
        <v>5</v>
      </c>
      <c r="K3299">
        <f>VLOOKUP(B3299, Products!$A$2:$F$100, 4, FALSE)</f>
        <v>6</v>
      </c>
    </row>
    <row r="3300" spans="1:11" x14ac:dyDescent="0.3">
      <c r="A3300">
        <v>1142</v>
      </c>
      <c r="B3300">
        <v>3</v>
      </c>
      <c r="C3300">
        <v>109</v>
      </c>
      <c r="D3300" t="str">
        <f>VLOOKUP(B3300, Products!$A$2:$C$100, 2, FALSE)</f>
        <v>Surly Wednesday Frameset - 2016</v>
      </c>
      <c r="E3300">
        <v>2</v>
      </c>
      <c r="F3300">
        <v>416.99</v>
      </c>
      <c r="G3300">
        <v>0.05</v>
      </c>
      <c r="H3300">
        <v>20.849500000000003</v>
      </c>
      <c r="I3300">
        <f>order_items[[#This Row],[list_price]]-order_items[[#This Row],[Discounted_price]]</f>
        <v>396.14050000000003</v>
      </c>
      <c r="J3300">
        <f>VLOOKUP(B3300, Products!$A$2:$E$100, 3, FALSE)</f>
        <v>8</v>
      </c>
      <c r="K3300">
        <f>VLOOKUP(B3300, Products!$A$2:$F$100, 4, FALSE)</f>
        <v>6</v>
      </c>
    </row>
    <row r="3301" spans="1:11" x14ac:dyDescent="0.3">
      <c r="A3301">
        <v>1142</v>
      </c>
      <c r="B3301">
        <v>4</v>
      </c>
      <c r="C3301">
        <v>108</v>
      </c>
      <c r="D3301" t="str">
        <f>VLOOKUP(B3301, Products!$A$2:$C$100, 2, FALSE)</f>
        <v>Trek Fuel EX 8 29 - 2016</v>
      </c>
      <c r="E3301">
        <v>2</v>
      </c>
      <c r="F3301">
        <v>449.99</v>
      </c>
      <c r="G3301">
        <v>0.2</v>
      </c>
      <c r="H3301">
        <v>89.998000000000005</v>
      </c>
      <c r="I3301">
        <f>order_items[[#This Row],[list_price]]-order_items[[#This Row],[Discounted_price]]</f>
        <v>359.99200000000002</v>
      </c>
      <c r="J3301">
        <f>VLOOKUP(B3301, Products!$A$2:$E$100, 3, FALSE)</f>
        <v>9</v>
      </c>
      <c r="K3301">
        <f>VLOOKUP(B3301, Products!$A$2:$F$100, 4, FALSE)</f>
        <v>6</v>
      </c>
    </row>
    <row r="3302" spans="1:11" x14ac:dyDescent="0.3">
      <c r="A3302">
        <v>1142</v>
      </c>
      <c r="B3302">
        <v>5</v>
      </c>
      <c r="C3302">
        <v>100</v>
      </c>
      <c r="D3302" t="str">
        <f>VLOOKUP(B3302, Products!$A$2:$C$100, 2, FALSE)</f>
        <v>Heller Shagamaw Frame - 2016</v>
      </c>
      <c r="E3302">
        <v>2</v>
      </c>
      <c r="F3302">
        <v>489.99</v>
      </c>
      <c r="G3302">
        <v>0.05</v>
      </c>
      <c r="H3302">
        <v>24.499500000000001</v>
      </c>
      <c r="I3302">
        <f>order_items[[#This Row],[list_price]]-order_items[[#This Row],[Discounted_price]]</f>
        <v>465.4905</v>
      </c>
      <c r="J3302">
        <f>VLOOKUP(B3302, Products!$A$2:$E$100, 3, FALSE)</f>
        <v>3</v>
      </c>
      <c r="K3302">
        <f>VLOOKUP(B3302, Products!$A$2:$F$100, 4, FALSE)</f>
        <v>6</v>
      </c>
    </row>
    <row r="3303" spans="1:11" x14ac:dyDescent="0.3">
      <c r="A3303">
        <v>1143</v>
      </c>
      <c r="B3303">
        <v>1</v>
      </c>
      <c r="C3303">
        <v>99</v>
      </c>
      <c r="D3303" t="str">
        <f>VLOOKUP(B3303, Products!$A$2:$C$100, 2, FALSE)</f>
        <v>Trek 820 - 2016</v>
      </c>
      <c r="E3303">
        <v>1</v>
      </c>
      <c r="F3303">
        <v>299.99</v>
      </c>
      <c r="G3303">
        <v>0.2</v>
      </c>
      <c r="H3303">
        <v>59.998000000000005</v>
      </c>
      <c r="I3303">
        <f>order_items[[#This Row],[list_price]]-order_items[[#This Row],[Discounted_price]]</f>
        <v>239.99200000000002</v>
      </c>
      <c r="J3303">
        <f>VLOOKUP(B3303, Products!$A$2:$E$100, 3, FALSE)</f>
        <v>9</v>
      </c>
      <c r="K3303">
        <f>VLOOKUP(B3303, Products!$A$2:$F$100, 4, FALSE)</f>
        <v>6</v>
      </c>
    </row>
    <row r="3304" spans="1:11" x14ac:dyDescent="0.3">
      <c r="A3304">
        <v>1143</v>
      </c>
      <c r="B3304">
        <v>2</v>
      </c>
      <c r="C3304">
        <v>48</v>
      </c>
      <c r="D3304" t="str">
        <f>VLOOKUP(B3304, Products!$A$2:$C$100, 2, FALSE)</f>
        <v>Ritchey Timberwolf Frameset - 2016</v>
      </c>
      <c r="E3304">
        <v>1</v>
      </c>
      <c r="F3304">
        <v>1499.99</v>
      </c>
      <c r="G3304">
        <v>0.2</v>
      </c>
      <c r="H3304">
        <v>299.99799999999999</v>
      </c>
      <c r="I3304">
        <f>order_items[[#This Row],[list_price]]-order_items[[#This Row],[Discounted_price]]</f>
        <v>1199.992</v>
      </c>
      <c r="J3304">
        <f>VLOOKUP(B3304, Products!$A$2:$E$100, 3, FALSE)</f>
        <v>5</v>
      </c>
      <c r="K3304">
        <f>VLOOKUP(B3304, Products!$A$2:$F$100, 4, FALSE)</f>
        <v>6</v>
      </c>
    </row>
    <row r="3305" spans="1:11" x14ac:dyDescent="0.3">
      <c r="A3305">
        <v>1143</v>
      </c>
      <c r="B3305">
        <v>3</v>
      </c>
      <c r="C3305">
        <v>69</v>
      </c>
      <c r="D3305" t="str">
        <f>VLOOKUP(B3305, Products!$A$2:$C$100, 2, FALSE)</f>
        <v>Surly Wednesday Frameset - 2016</v>
      </c>
      <c r="E3305">
        <v>2</v>
      </c>
      <c r="F3305">
        <v>416.99</v>
      </c>
      <c r="G3305">
        <v>0.1</v>
      </c>
      <c r="H3305">
        <v>41.699000000000005</v>
      </c>
      <c r="I3305">
        <f>order_items[[#This Row],[list_price]]-order_items[[#This Row],[Discounted_price]]</f>
        <v>375.291</v>
      </c>
      <c r="J3305">
        <f>VLOOKUP(B3305, Products!$A$2:$E$100, 3, FALSE)</f>
        <v>8</v>
      </c>
      <c r="K3305">
        <f>VLOOKUP(B3305, Products!$A$2:$F$100, 4, FALSE)</f>
        <v>6</v>
      </c>
    </row>
    <row r="3306" spans="1:11" x14ac:dyDescent="0.3">
      <c r="A3306">
        <v>1144</v>
      </c>
      <c r="B3306">
        <v>1</v>
      </c>
      <c r="C3306">
        <v>88</v>
      </c>
      <c r="D3306" t="str">
        <f>VLOOKUP(B3306, Products!$A$2:$C$100, 2, FALSE)</f>
        <v>Trek 820 - 2016</v>
      </c>
      <c r="E3306">
        <v>1</v>
      </c>
      <c r="F3306">
        <v>189.99</v>
      </c>
      <c r="G3306">
        <v>7.0000000000000007E-2</v>
      </c>
      <c r="H3306">
        <v>13.299300000000002</v>
      </c>
      <c r="I3306">
        <f>order_items[[#This Row],[list_price]]-order_items[[#This Row],[Discounted_price]]</f>
        <v>176.69069999999999</v>
      </c>
      <c r="J3306">
        <f>VLOOKUP(B3306, Products!$A$2:$E$100, 3, FALSE)</f>
        <v>9</v>
      </c>
      <c r="K3306">
        <f>VLOOKUP(B3306, Products!$A$2:$F$100, 4, FALSE)</f>
        <v>6</v>
      </c>
    </row>
    <row r="3307" spans="1:11" x14ac:dyDescent="0.3">
      <c r="A3307">
        <v>1145</v>
      </c>
      <c r="B3307">
        <v>1</v>
      </c>
      <c r="C3307">
        <v>105</v>
      </c>
      <c r="D3307" t="str">
        <f>VLOOKUP(B3307, Products!$A$2:$C$100, 2, FALSE)</f>
        <v>Trek 820 - 2016</v>
      </c>
      <c r="E3307">
        <v>2</v>
      </c>
      <c r="F3307">
        <v>533.99</v>
      </c>
      <c r="G3307">
        <v>7.0000000000000007E-2</v>
      </c>
      <c r="H3307">
        <v>37.379300000000008</v>
      </c>
      <c r="I3307">
        <f>order_items[[#This Row],[list_price]]-order_items[[#This Row],[Discounted_price]]</f>
        <v>496.61070000000001</v>
      </c>
      <c r="J3307">
        <f>VLOOKUP(B3307, Products!$A$2:$E$100, 3, FALSE)</f>
        <v>9</v>
      </c>
      <c r="K3307">
        <f>VLOOKUP(B3307, Products!$A$2:$F$100, 4, FALSE)</f>
        <v>6</v>
      </c>
    </row>
    <row r="3308" spans="1:11" x14ac:dyDescent="0.3">
      <c r="A3308">
        <v>1146</v>
      </c>
      <c r="B3308">
        <v>1</v>
      </c>
      <c r="C3308">
        <v>36</v>
      </c>
      <c r="D3308" t="str">
        <f>VLOOKUP(B3308, Products!$A$2:$C$100, 2, FALSE)</f>
        <v>Trek 820 - 2016</v>
      </c>
      <c r="E3308">
        <v>1</v>
      </c>
      <c r="F3308">
        <v>832.99</v>
      </c>
      <c r="G3308">
        <v>7.0000000000000007E-2</v>
      </c>
      <c r="H3308">
        <v>58.309300000000007</v>
      </c>
      <c r="I3308">
        <f>order_items[[#This Row],[list_price]]-order_items[[#This Row],[Discounted_price]]</f>
        <v>774.6807</v>
      </c>
      <c r="J3308">
        <f>VLOOKUP(B3308, Products!$A$2:$E$100, 3, FALSE)</f>
        <v>9</v>
      </c>
      <c r="K3308">
        <f>VLOOKUP(B3308, Products!$A$2:$F$100, 4, FALSE)</f>
        <v>6</v>
      </c>
    </row>
    <row r="3309" spans="1:11" x14ac:dyDescent="0.3">
      <c r="A3309">
        <v>1146</v>
      </c>
      <c r="B3309">
        <v>2</v>
      </c>
      <c r="C3309">
        <v>64</v>
      </c>
      <c r="D3309" t="str">
        <f>VLOOKUP(B3309, Products!$A$2:$C$100, 2, FALSE)</f>
        <v>Ritchey Timberwolf Frameset - 2016</v>
      </c>
      <c r="E3309">
        <v>1</v>
      </c>
      <c r="F3309">
        <v>489.99</v>
      </c>
      <c r="G3309">
        <v>0.2</v>
      </c>
      <c r="H3309">
        <v>97.998000000000005</v>
      </c>
      <c r="I3309">
        <f>order_items[[#This Row],[list_price]]-order_items[[#This Row],[Discounted_price]]</f>
        <v>391.99200000000002</v>
      </c>
      <c r="J3309">
        <f>VLOOKUP(B3309, Products!$A$2:$E$100, 3, FALSE)</f>
        <v>5</v>
      </c>
      <c r="K3309">
        <f>VLOOKUP(B3309, Products!$A$2:$F$100, 4, FALSE)</f>
        <v>6</v>
      </c>
    </row>
    <row r="3310" spans="1:11" x14ac:dyDescent="0.3">
      <c r="A3310">
        <v>1146</v>
      </c>
      <c r="B3310">
        <v>3</v>
      </c>
      <c r="C3310">
        <v>11</v>
      </c>
      <c r="D3310" t="str">
        <f>VLOOKUP(B3310, Products!$A$2:$C$100, 2, FALSE)</f>
        <v>Surly Wednesday Frameset - 2016</v>
      </c>
      <c r="E3310">
        <v>1</v>
      </c>
      <c r="F3310">
        <v>1680.99</v>
      </c>
      <c r="G3310">
        <v>0.2</v>
      </c>
      <c r="H3310">
        <v>336.19800000000004</v>
      </c>
      <c r="I3310">
        <f>order_items[[#This Row],[list_price]]-order_items[[#This Row],[Discounted_price]]</f>
        <v>1344.7919999999999</v>
      </c>
      <c r="J3310">
        <f>VLOOKUP(B3310, Products!$A$2:$E$100, 3, FALSE)</f>
        <v>8</v>
      </c>
      <c r="K3310">
        <f>VLOOKUP(B3310, Products!$A$2:$F$100, 4, FALSE)</f>
        <v>6</v>
      </c>
    </row>
    <row r="3311" spans="1:11" x14ac:dyDescent="0.3">
      <c r="A3311">
        <v>1147</v>
      </c>
      <c r="B3311">
        <v>1</v>
      </c>
      <c r="C3311">
        <v>82</v>
      </c>
      <c r="D3311" t="str">
        <f>VLOOKUP(B3311, Products!$A$2:$C$100, 2, FALSE)</f>
        <v>Trek 820 - 2016</v>
      </c>
      <c r="E3311">
        <v>1</v>
      </c>
      <c r="F3311">
        <v>659.99</v>
      </c>
      <c r="G3311">
        <v>0.2</v>
      </c>
      <c r="H3311">
        <v>131.99800000000002</v>
      </c>
      <c r="I3311">
        <f>order_items[[#This Row],[list_price]]-order_items[[#This Row],[Discounted_price]]</f>
        <v>527.99199999999996</v>
      </c>
      <c r="J3311">
        <f>VLOOKUP(B3311, Products!$A$2:$E$100, 3, FALSE)</f>
        <v>9</v>
      </c>
      <c r="K3311">
        <f>VLOOKUP(B3311, Products!$A$2:$F$100, 4, FALSE)</f>
        <v>6</v>
      </c>
    </row>
    <row r="3312" spans="1:11" x14ac:dyDescent="0.3">
      <c r="A3312">
        <v>1147</v>
      </c>
      <c r="B3312">
        <v>2</v>
      </c>
      <c r="C3312">
        <v>39</v>
      </c>
      <c r="D3312" t="str">
        <f>VLOOKUP(B3312, Products!$A$2:$C$100, 2, FALSE)</f>
        <v>Ritchey Timberwolf Frameset - 2016</v>
      </c>
      <c r="E3312">
        <v>2</v>
      </c>
      <c r="F3312">
        <v>1499.99</v>
      </c>
      <c r="G3312">
        <v>0.05</v>
      </c>
      <c r="H3312">
        <v>74.999499999999998</v>
      </c>
      <c r="I3312">
        <f>order_items[[#This Row],[list_price]]-order_items[[#This Row],[Discounted_price]]</f>
        <v>1424.9905000000001</v>
      </c>
      <c r="J3312">
        <f>VLOOKUP(B3312, Products!$A$2:$E$100, 3, FALSE)</f>
        <v>5</v>
      </c>
      <c r="K3312">
        <f>VLOOKUP(B3312, Products!$A$2:$F$100, 4, FALSE)</f>
        <v>6</v>
      </c>
    </row>
    <row r="3313" spans="1:11" x14ac:dyDescent="0.3">
      <c r="A3313">
        <v>1148</v>
      </c>
      <c r="B3313">
        <v>1</v>
      </c>
      <c r="C3313">
        <v>82</v>
      </c>
      <c r="D3313" t="str">
        <f>VLOOKUP(B3313, Products!$A$2:$C$100, 2, FALSE)</f>
        <v>Trek 820 - 2016</v>
      </c>
      <c r="E3313">
        <v>1</v>
      </c>
      <c r="F3313">
        <v>659.99</v>
      </c>
      <c r="G3313">
        <v>7.0000000000000007E-2</v>
      </c>
      <c r="H3313">
        <v>46.199300000000008</v>
      </c>
      <c r="I3313">
        <f>order_items[[#This Row],[list_price]]-order_items[[#This Row],[Discounted_price]]</f>
        <v>613.79070000000002</v>
      </c>
      <c r="J3313">
        <f>VLOOKUP(B3313, Products!$A$2:$E$100, 3, FALSE)</f>
        <v>9</v>
      </c>
      <c r="K3313">
        <f>VLOOKUP(B3313, Products!$A$2:$F$100, 4, FALSE)</f>
        <v>6</v>
      </c>
    </row>
    <row r="3314" spans="1:11" x14ac:dyDescent="0.3">
      <c r="A3314">
        <v>1148</v>
      </c>
      <c r="B3314">
        <v>2</v>
      </c>
      <c r="C3314">
        <v>22</v>
      </c>
      <c r="D3314" t="str">
        <f>VLOOKUP(B3314, Products!$A$2:$C$100, 2, FALSE)</f>
        <v>Ritchey Timberwolf Frameset - 2016</v>
      </c>
      <c r="E3314">
        <v>1</v>
      </c>
      <c r="F3314">
        <v>269.99</v>
      </c>
      <c r="G3314">
        <v>7.0000000000000007E-2</v>
      </c>
      <c r="H3314">
        <v>18.899300000000004</v>
      </c>
      <c r="I3314">
        <f>order_items[[#This Row],[list_price]]-order_items[[#This Row],[Discounted_price]]</f>
        <v>251.0907</v>
      </c>
      <c r="J3314">
        <f>VLOOKUP(B3314, Products!$A$2:$E$100, 3, FALSE)</f>
        <v>5</v>
      </c>
      <c r="K3314">
        <f>VLOOKUP(B3314, Products!$A$2:$F$100, 4, FALSE)</f>
        <v>6</v>
      </c>
    </row>
    <row r="3315" spans="1:11" x14ac:dyDescent="0.3">
      <c r="A3315">
        <v>1148</v>
      </c>
      <c r="B3315">
        <v>3</v>
      </c>
      <c r="C3315">
        <v>77</v>
      </c>
      <c r="D3315" t="str">
        <f>VLOOKUP(B3315, Products!$A$2:$C$100, 2, FALSE)</f>
        <v>Surly Wednesday Frameset - 2016</v>
      </c>
      <c r="E3315">
        <v>2</v>
      </c>
      <c r="F3315">
        <v>799.99</v>
      </c>
      <c r="G3315">
        <v>0.05</v>
      </c>
      <c r="H3315">
        <v>39.999500000000005</v>
      </c>
      <c r="I3315">
        <f>order_items[[#This Row],[list_price]]-order_items[[#This Row],[Discounted_price]]</f>
        <v>759.9905</v>
      </c>
      <c r="J3315">
        <f>VLOOKUP(B3315, Products!$A$2:$E$100, 3, FALSE)</f>
        <v>8</v>
      </c>
      <c r="K3315">
        <f>VLOOKUP(B3315, Products!$A$2:$F$100, 4, FALSE)</f>
        <v>6</v>
      </c>
    </row>
    <row r="3316" spans="1:11" x14ac:dyDescent="0.3">
      <c r="A3316">
        <v>1148</v>
      </c>
      <c r="B3316">
        <v>4</v>
      </c>
      <c r="C3316">
        <v>94</v>
      </c>
      <c r="D3316" t="str">
        <f>VLOOKUP(B3316, Products!$A$2:$C$100, 2, FALSE)</f>
        <v>Trek Fuel EX 8 29 - 2016</v>
      </c>
      <c r="E3316">
        <v>2</v>
      </c>
      <c r="F3316">
        <v>249.99</v>
      </c>
      <c r="G3316">
        <v>0.1</v>
      </c>
      <c r="H3316">
        <v>24.999000000000002</v>
      </c>
      <c r="I3316">
        <f>order_items[[#This Row],[list_price]]-order_items[[#This Row],[Discounted_price]]</f>
        <v>224.99100000000001</v>
      </c>
      <c r="J3316">
        <f>VLOOKUP(B3316, Products!$A$2:$E$100, 3, FALSE)</f>
        <v>9</v>
      </c>
      <c r="K3316">
        <f>VLOOKUP(B3316, Products!$A$2:$F$100, 4, FALSE)</f>
        <v>6</v>
      </c>
    </row>
    <row r="3317" spans="1:11" x14ac:dyDescent="0.3">
      <c r="A3317">
        <v>1149</v>
      </c>
      <c r="B3317">
        <v>1</v>
      </c>
      <c r="C3317">
        <v>98</v>
      </c>
      <c r="D3317" t="str">
        <f>VLOOKUP(B3317, Products!$A$2:$C$100, 2, FALSE)</f>
        <v>Trek 820 - 2016</v>
      </c>
      <c r="E3317">
        <v>2</v>
      </c>
      <c r="F3317">
        <v>489.99</v>
      </c>
      <c r="G3317">
        <v>7.0000000000000007E-2</v>
      </c>
      <c r="H3317">
        <v>34.299300000000002</v>
      </c>
      <c r="I3317">
        <f>order_items[[#This Row],[list_price]]-order_items[[#This Row],[Discounted_price]]</f>
        <v>455.69069999999999</v>
      </c>
      <c r="J3317">
        <f>VLOOKUP(B3317, Products!$A$2:$E$100, 3, FALSE)</f>
        <v>9</v>
      </c>
      <c r="K3317">
        <f>VLOOKUP(B3317, Products!$A$2:$F$100, 4, FALSE)</f>
        <v>6</v>
      </c>
    </row>
    <row r="3318" spans="1:11" x14ac:dyDescent="0.3">
      <c r="A3318">
        <v>1149</v>
      </c>
      <c r="B3318">
        <v>2</v>
      </c>
      <c r="C3318">
        <v>48</v>
      </c>
      <c r="D3318" t="str">
        <f>VLOOKUP(B3318, Products!$A$2:$C$100, 2, FALSE)</f>
        <v>Ritchey Timberwolf Frameset - 2016</v>
      </c>
      <c r="E3318">
        <v>1</v>
      </c>
      <c r="F3318">
        <v>1499.99</v>
      </c>
      <c r="G3318">
        <v>0.05</v>
      </c>
      <c r="H3318">
        <v>74.999499999999998</v>
      </c>
      <c r="I3318">
        <f>order_items[[#This Row],[list_price]]-order_items[[#This Row],[Discounted_price]]</f>
        <v>1424.9905000000001</v>
      </c>
      <c r="J3318">
        <f>VLOOKUP(B3318, Products!$A$2:$E$100, 3, FALSE)</f>
        <v>5</v>
      </c>
      <c r="K3318">
        <f>VLOOKUP(B3318, Products!$A$2:$F$100, 4, FALSE)</f>
        <v>6</v>
      </c>
    </row>
    <row r="3319" spans="1:11" x14ac:dyDescent="0.3">
      <c r="A3319">
        <v>1149</v>
      </c>
      <c r="B3319">
        <v>3</v>
      </c>
      <c r="C3319">
        <v>58</v>
      </c>
      <c r="D3319" t="str">
        <f>VLOOKUP(B3319, Products!$A$2:$C$100, 2, FALSE)</f>
        <v>Surly Wednesday Frameset - 2016</v>
      </c>
      <c r="E3319">
        <v>1</v>
      </c>
      <c r="F3319">
        <v>4999.99</v>
      </c>
      <c r="G3319">
        <v>0.05</v>
      </c>
      <c r="H3319">
        <v>249.99950000000001</v>
      </c>
      <c r="I3319">
        <f>order_items[[#This Row],[list_price]]-order_items[[#This Row],[Discounted_price]]</f>
        <v>4749.9904999999999</v>
      </c>
      <c r="J3319">
        <f>VLOOKUP(B3319, Products!$A$2:$E$100, 3, FALSE)</f>
        <v>8</v>
      </c>
      <c r="K3319">
        <f>VLOOKUP(B3319, Products!$A$2:$F$100, 4, FALSE)</f>
        <v>6</v>
      </c>
    </row>
    <row r="3320" spans="1:11" x14ac:dyDescent="0.3">
      <c r="A3320">
        <v>1149</v>
      </c>
      <c r="B3320">
        <v>4</v>
      </c>
      <c r="C3320">
        <v>85</v>
      </c>
      <c r="D3320" t="str">
        <f>VLOOKUP(B3320, Products!$A$2:$C$100, 2, FALSE)</f>
        <v>Trek Fuel EX 8 29 - 2016</v>
      </c>
      <c r="E3320">
        <v>1</v>
      </c>
      <c r="F3320">
        <v>329.99</v>
      </c>
      <c r="G3320">
        <v>0.2</v>
      </c>
      <c r="H3320">
        <v>65.998000000000005</v>
      </c>
      <c r="I3320">
        <f>order_items[[#This Row],[list_price]]-order_items[[#This Row],[Discounted_price]]</f>
        <v>263.99200000000002</v>
      </c>
      <c r="J3320">
        <f>VLOOKUP(B3320, Products!$A$2:$E$100, 3, FALSE)</f>
        <v>9</v>
      </c>
      <c r="K3320">
        <f>VLOOKUP(B3320, Products!$A$2:$F$100, 4, FALSE)</f>
        <v>6</v>
      </c>
    </row>
    <row r="3321" spans="1:11" x14ac:dyDescent="0.3">
      <c r="A3321">
        <v>1149</v>
      </c>
      <c r="B3321">
        <v>5</v>
      </c>
      <c r="C3321">
        <v>94</v>
      </c>
      <c r="D3321" t="str">
        <f>VLOOKUP(B3321, Products!$A$2:$C$100, 2, FALSE)</f>
        <v>Heller Shagamaw Frame - 2016</v>
      </c>
      <c r="E3321">
        <v>1</v>
      </c>
      <c r="F3321">
        <v>249.99</v>
      </c>
      <c r="G3321">
        <v>0.1</v>
      </c>
      <c r="H3321">
        <v>24.999000000000002</v>
      </c>
      <c r="I3321">
        <f>order_items[[#This Row],[list_price]]-order_items[[#This Row],[Discounted_price]]</f>
        <v>224.99100000000001</v>
      </c>
      <c r="J3321">
        <f>VLOOKUP(B3321, Products!$A$2:$E$100, 3, FALSE)</f>
        <v>3</v>
      </c>
      <c r="K3321">
        <f>VLOOKUP(B3321, Products!$A$2:$F$100, 4, FALSE)</f>
        <v>6</v>
      </c>
    </row>
    <row r="3322" spans="1:11" x14ac:dyDescent="0.3">
      <c r="A3322">
        <v>1150</v>
      </c>
      <c r="B3322">
        <v>1</v>
      </c>
      <c r="C3322">
        <v>29</v>
      </c>
      <c r="D3322" t="str">
        <f>VLOOKUP(B3322, Products!$A$2:$C$100, 2, FALSE)</f>
        <v>Trek 820 - 2016</v>
      </c>
      <c r="E3322">
        <v>1</v>
      </c>
      <c r="F3322">
        <v>999.99</v>
      </c>
      <c r="G3322">
        <v>0.05</v>
      </c>
      <c r="H3322">
        <v>49.999500000000005</v>
      </c>
      <c r="I3322">
        <f>order_items[[#This Row],[list_price]]-order_items[[#This Row],[Discounted_price]]</f>
        <v>949.9905</v>
      </c>
      <c r="J3322">
        <f>VLOOKUP(B3322, Products!$A$2:$E$100, 3, FALSE)</f>
        <v>9</v>
      </c>
      <c r="K3322">
        <f>VLOOKUP(B3322, Products!$A$2:$F$100, 4, FALSE)</f>
        <v>6</v>
      </c>
    </row>
    <row r="3323" spans="1:11" x14ac:dyDescent="0.3">
      <c r="A3323">
        <v>1150</v>
      </c>
      <c r="B3323">
        <v>2</v>
      </c>
      <c r="C3323">
        <v>91</v>
      </c>
      <c r="D3323" t="str">
        <f>VLOOKUP(B3323, Products!$A$2:$C$100, 2, FALSE)</f>
        <v>Ritchey Timberwolf Frameset - 2016</v>
      </c>
      <c r="E3323">
        <v>1</v>
      </c>
      <c r="F3323">
        <v>349.99</v>
      </c>
      <c r="G3323">
        <v>0.05</v>
      </c>
      <c r="H3323">
        <v>17.499500000000001</v>
      </c>
      <c r="I3323">
        <f>order_items[[#This Row],[list_price]]-order_items[[#This Row],[Discounted_price]]</f>
        <v>332.4905</v>
      </c>
      <c r="J3323">
        <f>VLOOKUP(B3323, Products!$A$2:$E$100, 3, FALSE)</f>
        <v>5</v>
      </c>
      <c r="K3323">
        <f>VLOOKUP(B3323, Products!$A$2:$F$100, 4, FALSE)</f>
        <v>6</v>
      </c>
    </row>
    <row r="3324" spans="1:11" x14ac:dyDescent="0.3">
      <c r="A3324">
        <v>1150</v>
      </c>
      <c r="B3324">
        <v>3</v>
      </c>
      <c r="C3324">
        <v>104</v>
      </c>
      <c r="D3324" t="str">
        <f>VLOOKUP(B3324, Products!$A$2:$C$100, 2, FALSE)</f>
        <v>Surly Wednesday Frameset - 2016</v>
      </c>
      <c r="E3324">
        <v>2</v>
      </c>
      <c r="F3324">
        <v>481.99</v>
      </c>
      <c r="G3324">
        <v>7.0000000000000007E-2</v>
      </c>
      <c r="H3324">
        <v>33.739300000000007</v>
      </c>
      <c r="I3324">
        <f>order_items[[#This Row],[list_price]]-order_items[[#This Row],[Discounted_price]]</f>
        <v>448.25069999999999</v>
      </c>
      <c r="J3324">
        <f>VLOOKUP(B3324, Products!$A$2:$E$100, 3, FALSE)</f>
        <v>8</v>
      </c>
      <c r="K3324">
        <f>VLOOKUP(B3324, Products!$A$2:$F$100, 4, FALSE)</f>
        <v>6</v>
      </c>
    </row>
    <row r="3325" spans="1:11" x14ac:dyDescent="0.3">
      <c r="A3325">
        <v>1150</v>
      </c>
      <c r="B3325">
        <v>4</v>
      </c>
      <c r="C3325">
        <v>21</v>
      </c>
      <c r="D3325" t="str">
        <f>VLOOKUP(B3325, Products!$A$2:$C$100, 2, FALSE)</f>
        <v>Trek Fuel EX 8 29 - 2016</v>
      </c>
      <c r="E3325">
        <v>2</v>
      </c>
      <c r="F3325">
        <v>269.99</v>
      </c>
      <c r="G3325">
        <v>0.1</v>
      </c>
      <c r="H3325">
        <v>26.999000000000002</v>
      </c>
      <c r="I3325">
        <f>order_items[[#This Row],[list_price]]-order_items[[#This Row],[Discounted_price]]</f>
        <v>242.99100000000001</v>
      </c>
      <c r="J3325">
        <f>VLOOKUP(B3325, Products!$A$2:$E$100, 3, FALSE)</f>
        <v>9</v>
      </c>
      <c r="K3325">
        <f>VLOOKUP(B3325, Products!$A$2:$F$100, 4, FALSE)</f>
        <v>6</v>
      </c>
    </row>
    <row r="3326" spans="1:11" x14ac:dyDescent="0.3">
      <c r="A3326">
        <v>1151</v>
      </c>
      <c r="B3326">
        <v>1</v>
      </c>
      <c r="C3326">
        <v>30</v>
      </c>
      <c r="D3326" t="str">
        <f>VLOOKUP(B3326, Products!$A$2:$C$100, 2, FALSE)</f>
        <v>Trek 820 - 2016</v>
      </c>
      <c r="E3326">
        <v>2</v>
      </c>
      <c r="F3326">
        <v>999.99</v>
      </c>
      <c r="G3326">
        <v>0.05</v>
      </c>
      <c r="H3326">
        <v>49.999500000000005</v>
      </c>
      <c r="I3326">
        <f>order_items[[#This Row],[list_price]]-order_items[[#This Row],[Discounted_price]]</f>
        <v>949.9905</v>
      </c>
      <c r="J3326">
        <f>VLOOKUP(B3326, Products!$A$2:$E$100, 3, FALSE)</f>
        <v>9</v>
      </c>
      <c r="K3326">
        <f>VLOOKUP(B3326, Products!$A$2:$F$100, 4, FALSE)</f>
        <v>6</v>
      </c>
    </row>
    <row r="3327" spans="1:11" x14ac:dyDescent="0.3">
      <c r="A3327">
        <v>1152</v>
      </c>
      <c r="B3327">
        <v>1</v>
      </c>
      <c r="C3327">
        <v>58</v>
      </c>
      <c r="D3327" t="str">
        <f>VLOOKUP(B3327, Products!$A$2:$C$100, 2, FALSE)</f>
        <v>Trek 820 - 2016</v>
      </c>
      <c r="E3327">
        <v>1</v>
      </c>
      <c r="F3327">
        <v>4999.99</v>
      </c>
      <c r="G3327">
        <v>7.0000000000000007E-2</v>
      </c>
      <c r="H3327">
        <v>349.99930000000001</v>
      </c>
      <c r="I3327">
        <f>order_items[[#This Row],[list_price]]-order_items[[#This Row],[Discounted_price]]</f>
        <v>4649.9906999999994</v>
      </c>
      <c r="J3327">
        <f>VLOOKUP(B3327, Products!$A$2:$E$100, 3, FALSE)</f>
        <v>9</v>
      </c>
      <c r="K3327">
        <f>VLOOKUP(B3327, Products!$A$2:$F$100, 4, FALSE)</f>
        <v>6</v>
      </c>
    </row>
    <row r="3328" spans="1:11" x14ac:dyDescent="0.3">
      <c r="A3328">
        <v>1152</v>
      </c>
      <c r="B3328">
        <v>2</v>
      </c>
      <c r="C3328">
        <v>91</v>
      </c>
      <c r="D3328" t="str">
        <f>VLOOKUP(B3328, Products!$A$2:$C$100, 2, FALSE)</f>
        <v>Ritchey Timberwolf Frameset - 2016</v>
      </c>
      <c r="E3328">
        <v>2</v>
      </c>
      <c r="F3328">
        <v>349.99</v>
      </c>
      <c r="G3328">
        <v>0.2</v>
      </c>
      <c r="H3328">
        <v>69.998000000000005</v>
      </c>
      <c r="I3328">
        <f>order_items[[#This Row],[list_price]]-order_items[[#This Row],[Discounted_price]]</f>
        <v>279.99200000000002</v>
      </c>
      <c r="J3328">
        <f>VLOOKUP(B3328, Products!$A$2:$E$100, 3, FALSE)</f>
        <v>5</v>
      </c>
      <c r="K3328">
        <f>VLOOKUP(B3328, Products!$A$2:$F$100, 4, FALSE)</f>
        <v>6</v>
      </c>
    </row>
    <row r="3329" spans="1:11" x14ac:dyDescent="0.3">
      <c r="A3329">
        <v>1152</v>
      </c>
      <c r="B3329">
        <v>3</v>
      </c>
      <c r="C3329">
        <v>24</v>
      </c>
      <c r="D3329" t="str">
        <f>VLOOKUP(B3329, Products!$A$2:$C$100, 2, FALSE)</f>
        <v>Surly Wednesday Frameset - 2016</v>
      </c>
      <c r="E3329">
        <v>1</v>
      </c>
      <c r="F3329">
        <v>549.99</v>
      </c>
      <c r="G3329">
        <v>0.05</v>
      </c>
      <c r="H3329">
        <v>27.499500000000001</v>
      </c>
      <c r="I3329">
        <f>order_items[[#This Row],[list_price]]-order_items[[#This Row],[Discounted_price]]</f>
        <v>522.4905</v>
      </c>
      <c r="J3329">
        <f>VLOOKUP(B3329, Products!$A$2:$E$100, 3, FALSE)</f>
        <v>8</v>
      </c>
      <c r="K3329">
        <f>VLOOKUP(B3329, Products!$A$2:$F$100, 4, FALSE)</f>
        <v>6</v>
      </c>
    </row>
    <row r="3330" spans="1:11" x14ac:dyDescent="0.3">
      <c r="A3330">
        <v>1153</v>
      </c>
      <c r="B3330">
        <v>1</v>
      </c>
      <c r="C3330">
        <v>103</v>
      </c>
      <c r="D3330" t="str">
        <f>VLOOKUP(B3330, Products!$A$2:$C$100, 2, FALSE)</f>
        <v>Trek 820 - 2016</v>
      </c>
      <c r="E3330">
        <v>1</v>
      </c>
      <c r="F3330">
        <v>551.99</v>
      </c>
      <c r="G3330">
        <v>0.1</v>
      </c>
      <c r="H3330">
        <v>55.199000000000005</v>
      </c>
      <c r="I3330">
        <f>order_items[[#This Row],[list_price]]-order_items[[#This Row],[Discounted_price]]</f>
        <v>496.791</v>
      </c>
      <c r="J3330">
        <f>VLOOKUP(B3330, Products!$A$2:$E$100, 3, FALSE)</f>
        <v>9</v>
      </c>
      <c r="K3330">
        <f>VLOOKUP(B3330, Products!$A$2:$F$100, 4, FALSE)</f>
        <v>6</v>
      </c>
    </row>
    <row r="3331" spans="1:11" x14ac:dyDescent="0.3">
      <c r="A3331">
        <v>1153</v>
      </c>
      <c r="B3331">
        <v>2</v>
      </c>
      <c r="C3331">
        <v>6</v>
      </c>
      <c r="D3331" t="str">
        <f>VLOOKUP(B3331, Products!$A$2:$C$100, 2, FALSE)</f>
        <v>Ritchey Timberwolf Frameset - 2016</v>
      </c>
      <c r="E3331">
        <v>2</v>
      </c>
      <c r="F3331">
        <v>469.99</v>
      </c>
      <c r="G3331">
        <v>0.05</v>
      </c>
      <c r="H3331">
        <v>23.499500000000001</v>
      </c>
      <c r="I3331">
        <f>order_items[[#This Row],[list_price]]-order_items[[#This Row],[Discounted_price]]</f>
        <v>446.4905</v>
      </c>
      <c r="J3331">
        <f>VLOOKUP(B3331, Products!$A$2:$E$100, 3, FALSE)</f>
        <v>5</v>
      </c>
      <c r="K3331">
        <f>VLOOKUP(B3331, Products!$A$2:$F$100, 4, FALSE)</f>
        <v>6</v>
      </c>
    </row>
    <row r="3332" spans="1:11" x14ac:dyDescent="0.3">
      <c r="A3332">
        <v>1154</v>
      </c>
      <c r="B3332">
        <v>1</v>
      </c>
      <c r="C3332">
        <v>17</v>
      </c>
      <c r="D3332" t="str">
        <f>VLOOKUP(B3332, Products!$A$2:$C$100, 2, FALSE)</f>
        <v>Trek 820 - 2016</v>
      </c>
      <c r="E3332">
        <v>1</v>
      </c>
      <c r="F3332">
        <v>429</v>
      </c>
      <c r="G3332">
        <v>0.2</v>
      </c>
      <c r="H3332">
        <v>85.800000000000011</v>
      </c>
      <c r="I3332">
        <f>order_items[[#This Row],[list_price]]-order_items[[#This Row],[Discounted_price]]</f>
        <v>343.2</v>
      </c>
      <c r="J3332">
        <f>VLOOKUP(B3332, Products!$A$2:$E$100, 3, FALSE)</f>
        <v>9</v>
      </c>
      <c r="K3332">
        <f>VLOOKUP(B3332, Products!$A$2:$F$100, 4, FALSE)</f>
        <v>6</v>
      </c>
    </row>
    <row r="3333" spans="1:11" x14ac:dyDescent="0.3">
      <c r="A3333">
        <v>1154</v>
      </c>
      <c r="B3333">
        <v>2</v>
      </c>
      <c r="C3333">
        <v>60</v>
      </c>
      <c r="D3333" t="str">
        <f>VLOOKUP(B3333, Products!$A$2:$C$100, 2, FALSE)</f>
        <v>Ritchey Timberwolf Frameset - 2016</v>
      </c>
      <c r="E3333">
        <v>1</v>
      </c>
      <c r="F3333">
        <v>1559.99</v>
      </c>
      <c r="G3333">
        <v>7.0000000000000007E-2</v>
      </c>
      <c r="H3333">
        <v>109.19930000000001</v>
      </c>
      <c r="I3333">
        <f>order_items[[#This Row],[list_price]]-order_items[[#This Row],[Discounted_price]]</f>
        <v>1450.7907</v>
      </c>
      <c r="J3333">
        <f>VLOOKUP(B3333, Products!$A$2:$E$100, 3, FALSE)</f>
        <v>5</v>
      </c>
      <c r="K3333">
        <f>VLOOKUP(B3333, Products!$A$2:$F$100, 4, FALSE)</f>
        <v>6</v>
      </c>
    </row>
    <row r="3334" spans="1:11" x14ac:dyDescent="0.3">
      <c r="A3334">
        <v>1154</v>
      </c>
      <c r="B3334">
        <v>3</v>
      </c>
      <c r="C3334">
        <v>67</v>
      </c>
      <c r="D3334" t="str">
        <f>VLOOKUP(B3334, Products!$A$2:$C$100, 2, FALSE)</f>
        <v>Surly Wednesday Frameset - 2016</v>
      </c>
      <c r="E3334">
        <v>2</v>
      </c>
      <c r="F3334">
        <v>250.99</v>
      </c>
      <c r="G3334">
        <v>0.2</v>
      </c>
      <c r="H3334">
        <v>50.198000000000008</v>
      </c>
      <c r="I3334">
        <f>order_items[[#This Row],[list_price]]-order_items[[#This Row],[Discounted_price]]</f>
        <v>200.792</v>
      </c>
      <c r="J3334">
        <f>VLOOKUP(B3334, Products!$A$2:$E$100, 3, FALSE)</f>
        <v>8</v>
      </c>
      <c r="K3334">
        <f>VLOOKUP(B3334, Products!$A$2:$F$100, 4, FALSE)</f>
        <v>6</v>
      </c>
    </row>
    <row r="3335" spans="1:11" x14ac:dyDescent="0.3">
      <c r="A3335">
        <v>1155</v>
      </c>
      <c r="B3335">
        <v>1</v>
      </c>
      <c r="C3335">
        <v>68</v>
      </c>
      <c r="D3335" t="str">
        <f>VLOOKUP(B3335, Products!$A$2:$C$100, 2, FALSE)</f>
        <v>Trek 820 - 2016</v>
      </c>
      <c r="E3335">
        <v>2</v>
      </c>
      <c r="F3335">
        <v>449.99</v>
      </c>
      <c r="G3335">
        <v>0.05</v>
      </c>
      <c r="H3335">
        <v>22.499500000000001</v>
      </c>
      <c r="I3335">
        <f>order_items[[#This Row],[list_price]]-order_items[[#This Row],[Discounted_price]]</f>
        <v>427.4905</v>
      </c>
      <c r="J3335">
        <f>VLOOKUP(B3335, Products!$A$2:$E$100, 3, FALSE)</f>
        <v>9</v>
      </c>
      <c r="K3335">
        <f>VLOOKUP(B3335, Products!$A$2:$F$100, 4, FALSE)</f>
        <v>6</v>
      </c>
    </row>
    <row r="3336" spans="1:11" x14ac:dyDescent="0.3">
      <c r="A3336">
        <v>1155</v>
      </c>
      <c r="B3336">
        <v>2</v>
      </c>
      <c r="C3336">
        <v>6</v>
      </c>
      <c r="D3336" t="str">
        <f>VLOOKUP(B3336, Products!$A$2:$C$100, 2, FALSE)</f>
        <v>Ritchey Timberwolf Frameset - 2016</v>
      </c>
      <c r="E3336">
        <v>2</v>
      </c>
      <c r="F3336">
        <v>469.99</v>
      </c>
      <c r="G3336">
        <v>0.1</v>
      </c>
      <c r="H3336">
        <v>46.999000000000002</v>
      </c>
      <c r="I3336">
        <f>order_items[[#This Row],[list_price]]-order_items[[#This Row],[Discounted_price]]</f>
        <v>422.99099999999999</v>
      </c>
      <c r="J3336">
        <f>VLOOKUP(B3336, Products!$A$2:$E$100, 3, FALSE)</f>
        <v>5</v>
      </c>
      <c r="K3336">
        <f>VLOOKUP(B3336, Products!$A$2:$F$100, 4, FALSE)</f>
        <v>6</v>
      </c>
    </row>
    <row r="3337" spans="1:11" x14ac:dyDescent="0.3">
      <c r="A3337">
        <v>1155</v>
      </c>
      <c r="B3337">
        <v>3</v>
      </c>
      <c r="C3337">
        <v>35</v>
      </c>
      <c r="D3337" t="str">
        <f>VLOOKUP(B3337, Products!$A$2:$C$100, 2, FALSE)</f>
        <v>Surly Wednesday Frameset - 2016</v>
      </c>
      <c r="E3337">
        <v>1</v>
      </c>
      <c r="F3337">
        <v>832.99</v>
      </c>
      <c r="G3337">
        <v>7.0000000000000007E-2</v>
      </c>
      <c r="H3337">
        <v>58.309300000000007</v>
      </c>
      <c r="I3337">
        <f>order_items[[#This Row],[list_price]]-order_items[[#This Row],[Discounted_price]]</f>
        <v>774.6807</v>
      </c>
      <c r="J3337">
        <f>VLOOKUP(B3337, Products!$A$2:$E$100, 3, FALSE)</f>
        <v>8</v>
      </c>
      <c r="K3337">
        <f>VLOOKUP(B3337, Products!$A$2:$F$100, 4, FALSE)</f>
        <v>6</v>
      </c>
    </row>
    <row r="3338" spans="1:11" x14ac:dyDescent="0.3">
      <c r="A3338">
        <v>1155</v>
      </c>
      <c r="B3338">
        <v>4</v>
      </c>
      <c r="C3338">
        <v>77</v>
      </c>
      <c r="D3338" t="str">
        <f>VLOOKUP(B3338, Products!$A$2:$C$100, 2, FALSE)</f>
        <v>Trek Fuel EX 8 29 - 2016</v>
      </c>
      <c r="E3338">
        <v>2</v>
      </c>
      <c r="F3338">
        <v>799.99</v>
      </c>
      <c r="G3338">
        <v>0.05</v>
      </c>
      <c r="H3338">
        <v>39.999500000000005</v>
      </c>
      <c r="I3338">
        <f>order_items[[#This Row],[list_price]]-order_items[[#This Row],[Discounted_price]]</f>
        <v>759.9905</v>
      </c>
      <c r="J3338">
        <f>VLOOKUP(B3338, Products!$A$2:$E$100, 3, FALSE)</f>
        <v>9</v>
      </c>
      <c r="K3338">
        <f>VLOOKUP(B3338, Products!$A$2:$F$100, 4, FALSE)</f>
        <v>6</v>
      </c>
    </row>
    <row r="3339" spans="1:11" x14ac:dyDescent="0.3">
      <c r="A3339">
        <v>1156</v>
      </c>
      <c r="B3339">
        <v>1</v>
      </c>
      <c r="C3339">
        <v>111</v>
      </c>
      <c r="D3339" t="str">
        <f>VLOOKUP(B3339, Products!$A$2:$C$100, 2, FALSE)</f>
        <v>Trek 820 - 2016</v>
      </c>
      <c r="E3339">
        <v>2</v>
      </c>
      <c r="F3339">
        <v>470.99</v>
      </c>
      <c r="G3339">
        <v>0.05</v>
      </c>
      <c r="H3339">
        <v>23.549500000000002</v>
      </c>
      <c r="I3339">
        <f>order_items[[#This Row],[list_price]]-order_items[[#This Row],[Discounted_price]]</f>
        <v>447.44049999999999</v>
      </c>
      <c r="J3339">
        <f>VLOOKUP(B3339, Products!$A$2:$E$100, 3, FALSE)</f>
        <v>9</v>
      </c>
      <c r="K3339">
        <f>VLOOKUP(B3339, Products!$A$2:$F$100, 4, FALSE)</f>
        <v>6</v>
      </c>
    </row>
    <row r="3340" spans="1:11" x14ac:dyDescent="0.3">
      <c r="A3340">
        <v>1156</v>
      </c>
      <c r="B3340">
        <v>2</v>
      </c>
      <c r="C3340">
        <v>86</v>
      </c>
      <c r="D3340" t="str">
        <f>VLOOKUP(B3340, Products!$A$2:$C$100, 2, FALSE)</f>
        <v>Ritchey Timberwolf Frameset - 2016</v>
      </c>
      <c r="E3340">
        <v>1</v>
      </c>
      <c r="F3340">
        <v>149.99</v>
      </c>
      <c r="G3340">
        <v>0.05</v>
      </c>
      <c r="H3340">
        <v>7.4995000000000012</v>
      </c>
      <c r="I3340">
        <f>order_items[[#This Row],[list_price]]-order_items[[#This Row],[Discounted_price]]</f>
        <v>142.4905</v>
      </c>
      <c r="J3340">
        <f>VLOOKUP(B3340, Products!$A$2:$E$100, 3, FALSE)</f>
        <v>5</v>
      </c>
      <c r="K3340">
        <f>VLOOKUP(B3340, Products!$A$2:$F$100, 4, FALSE)</f>
        <v>6</v>
      </c>
    </row>
    <row r="3341" spans="1:11" x14ac:dyDescent="0.3">
      <c r="A3341">
        <v>1157</v>
      </c>
      <c r="B3341">
        <v>1</v>
      </c>
      <c r="C3341">
        <v>20</v>
      </c>
      <c r="D3341" t="str">
        <f>VLOOKUP(B3341, Products!$A$2:$C$100, 2, FALSE)</f>
        <v>Trek 820 - 2016</v>
      </c>
      <c r="E3341">
        <v>1</v>
      </c>
      <c r="F3341">
        <v>599.99</v>
      </c>
      <c r="G3341">
        <v>0.1</v>
      </c>
      <c r="H3341">
        <v>59.999000000000002</v>
      </c>
      <c r="I3341">
        <f>order_items[[#This Row],[list_price]]-order_items[[#This Row],[Discounted_price]]</f>
        <v>539.99099999999999</v>
      </c>
      <c r="J3341">
        <f>VLOOKUP(B3341, Products!$A$2:$E$100, 3, FALSE)</f>
        <v>9</v>
      </c>
      <c r="K3341">
        <f>VLOOKUP(B3341, Products!$A$2:$F$100, 4, FALSE)</f>
        <v>6</v>
      </c>
    </row>
    <row r="3342" spans="1:11" x14ac:dyDescent="0.3">
      <c r="A3342">
        <v>1157</v>
      </c>
      <c r="B3342">
        <v>2</v>
      </c>
      <c r="C3342">
        <v>31</v>
      </c>
      <c r="D3342" t="str">
        <f>VLOOKUP(B3342, Products!$A$2:$C$100, 2, FALSE)</f>
        <v>Ritchey Timberwolf Frameset - 2016</v>
      </c>
      <c r="E3342">
        <v>2</v>
      </c>
      <c r="F3342">
        <v>1632.99</v>
      </c>
      <c r="G3342">
        <v>0.1</v>
      </c>
      <c r="H3342">
        <v>163.29900000000001</v>
      </c>
      <c r="I3342">
        <f>order_items[[#This Row],[list_price]]-order_items[[#This Row],[Discounted_price]]</f>
        <v>1469.691</v>
      </c>
      <c r="J3342">
        <f>VLOOKUP(B3342, Products!$A$2:$E$100, 3, FALSE)</f>
        <v>5</v>
      </c>
      <c r="K3342">
        <f>VLOOKUP(B3342, Products!$A$2:$F$100, 4, FALSE)</f>
        <v>6</v>
      </c>
    </row>
    <row r="3343" spans="1:11" x14ac:dyDescent="0.3">
      <c r="A3343">
        <v>1157</v>
      </c>
      <c r="B3343">
        <v>3</v>
      </c>
      <c r="C3343">
        <v>37</v>
      </c>
      <c r="D3343" t="str">
        <f>VLOOKUP(B3343, Products!$A$2:$C$100, 2, FALSE)</f>
        <v>Surly Wednesday Frameset - 2016</v>
      </c>
      <c r="E3343">
        <v>2</v>
      </c>
      <c r="F3343">
        <v>379.99</v>
      </c>
      <c r="G3343">
        <v>0.2</v>
      </c>
      <c r="H3343">
        <v>75.998000000000005</v>
      </c>
      <c r="I3343">
        <f>order_items[[#This Row],[list_price]]-order_items[[#This Row],[Discounted_price]]</f>
        <v>303.99200000000002</v>
      </c>
      <c r="J3343">
        <f>VLOOKUP(B3343, Products!$A$2:$E$100, 3, FALSE)</f>
        <v>8</v>
      </c>
      <c r="K3343">
        <f>VLOOKUP(B3343, Products!$A$2:$F$100, 4, FALSE)</f>
        <v>6</v>
      </c>
    </row>
    <row r="3344" spans="1:11" x14ac:dyDescent="0.3">
      <c r="A3344">
        <v>1157</v>
      </c>
      <c r="B3344">
        <v>4</v>
      </c>
      <c r="C3344">
        <v>41</v>
      </c>
      <c r="D3344" t="str">
        <f>VLOOKUP(B3344, Products!$A$2:$C$100, 2, FALSE)</f>
        <v>Trek Fuel EX 8 29 - 2016</v>
      </c>
      <c r="E3344">
        <v>1</v>
      </c>
      <c r="F3344">
        <v>1469.99</v>
      </c>
      <c r="G3344">
        <v>7.0000000000000007E-2</v>
      </c>
      <c r="H3344">
        <v>102.89930000000001</v>
      </c>
      <c r="I3344">
        <f>order_items[[#This Row],[list_price]]-order_items[[#This Row],[Discounted_price]]</f>
        <v>1367.0907</v>
      </c>
      <c r="J3344">
        <f>VLOOKUP(B3344, Products!$A$2:$E$100, 3, FALSE)</f>
        <v>9</v>
      </c>
      <c r="K3344">
        <f>VLOOKUP(B3344, Products!$A$2:$F$100, 4, FALSE)</f>
        <v>6</v>
      </c>
    </row>
    <row r="3345" spans="1:11" x14ac:dyDescent="0.3">
      <c r="A3345">
        <v>1158</v>
      </c>
      <c r="B3345">
        <v>1</v>
      </c>
      <c r="C3345">
        <v>95</v>
      </c>
      <c r="D3345" t="str">
        <f>VLOOKUP(B3345, Products!$A$2:$C$100, 2, FALSE)</f>
        <v>Trek 820 - 2016</v>
      </c>
      <c r="E3345">
        <v>2</v>
      </c>
      <c r="F3345">
        <v>299.99</v>
      </c>
      <c r="G3345">
        <v>0.1</v>
      </c>
      <c r="H3345">
        <v>29.999000000000002</v>
      </c>
      <c r="I3345">
        <f>order_items[[#This Row],[list_price]]-order_items[[#This Row],[Discounted_price]]</f>
        <v>269.99099999999999</v>
      </c>
      <c r="J3345">
        <f>VLOOKUP(B3345, Products!$A$2:$E$100, 3, FALSE)</f>
        <v>9</v>
      </c>
      <c r="K3345">
        <f>VLOOKUP(B3345, Products!$A$2:$F$100, 4, FALSE)</f>
        <v>6</v>
      </c>
    </row>
    <row r="3346" spans="1:11" x14ac:dyDescent="0.3">
      <c r="A3346">
        <v>1158</v>
      </c>
      <c r="B3346">
        <v>2</v>
      </c>
      <c r="C3346">
        <v>74</v>
      </c>
      <c r="D3346" t="str">
        <f>VLOOKUP(B3346, Products!$A$2:$C$100, 2, FALSE)</f>
        <v>Ritchey Timberwolf Frameset - 2016</v>
      </c>
      <c r="E3346">
        <v>1</v>
      </c>
      <c r="F3346">
        <v>439.99</v>
      </c>
      <c r="G3346">
        <v>7.0000000000000007E-2</v>
      </c>
      <c r="H3346">
        <v>30.799300000000002</v>
      </c>
      <c r="I3346">
        <f>order_items[[#This Row],[list_price]]-order_items[[#This Row],[Discounted_price]]</f>
        <v>409.19069999999999</v>
      </c>
      <c r="J3346">
        <f>VLOOKUP(B3346, Products!$A$2:$E$100, 3, FALSE)</f>
        <v>5</v>
      </c>
      <c r="K3346">
        <f>VLOOKUP(B3346, Products!$A$2:$F$100, 4, FALSE)</f>
        <v>6</v>
      </c>
    </row>
    <row r="3347" spans="1:11" x14ac:dyDescent="0.3">
      <c r="A3347">
        <v>1159</v>
      </c>
      <c r="B3347">
        <v>1</v>
      </c>
      <c r="C3347">
        <v>12</v>
      </c>
      <c r="D3347" t="str">
        <f>VLOOKUP(B3347, Products!$A$2:$C$100, 2, FALSE)</f>
        <v>Trek 820 - 2016</v>
      </c>
      <c r="E3347">
        <v>2</v>
      </c>
      <c r="F3347">
        <v>549.99</v>
      </c>
      <c r="G3347">
        <v>0.1</v>
      </c>
      <c r="H3347">
        <v>54.999000000000002</v>
      </c>
      <c r="I3347">
        <f>order_items[[#This Row],[list_price]]-order_items[[#This Row],[Discounted_price]]</f>
        <v>494.99099999999999</v>
      </c>
      <c r="J3347">
        <f>VLOOKUP(B3347, Products!$A$2:$E$100, 3, FALSE)</f>
        <v>9</v>
      </c>
      <c r="K3347">
        <f>VLOOKUP(B3347, Products!$A$2:$F$100, 4, FALSE)</f>
        <v>6</v>
      </c>
    </row>
    <row r="3348" spans="1:11" x14ac:dyDescent="0.3">
      <c r="A3348">
        <v>1160</v>
      </c>
      <c r="B3348">
        <v>1</v>
      </c>
      <c r="C3348">
        <v>41</v>
      </c>
      <c r="D3348" t="str">
        <f>VLOOKUP(B3348, Products!$A$2:$C$100, 2, FALSE)</f>
        <v>Trek 820 - 2016</v>
      </c>
      <c r="E3348">
        <v>1</v>
      </c>
      <c r="F3348">
        <v>1469.99</v>
      </c>
      <c r="G3348">
        <v>0.1</v>
      </c>
      <c r="H3348">
        <v>146.999</v>
      </c>
      <c r="I3348">
        <f>order_items[[#This Row],[list_price]]-order_items[[#This Row],[Discounted_price]]</f>
        <v>1322.991</v>
      </c>
      <c r="J3348">
        <f>VLOOKUP(B3348, Products!$A$2:$E$100, 3, FALSE)</f>
        <v>9</v>
      </c>
      <c r="K3348">
        <f>VLOOKUP(B3348, Products!$A$2:$F$100, 4, FALSE)</f>
        <v>6</v>
      </c>
    </row>
    <row r="3349" spans="1:11" x14ac:dyDescent="0.3">
      <c r="A3349">
        <v>1160</v>
      </c>
      <c r="B3349">
        <v>2</v>
      </c>
      <c r="C3349">
        <v>9</v>
      </c>
      <c r="D3349" t="str">
        <f>VLOOKUP(B3349, Products!$A$2:$C$100, 2, FALSE)</f>
        <v>Ritchey Timberwolf Frameset - 2016</v>
      </c>
      <c r="E3349">
        <v>1</v>
      </c>
      <c r="F3349">
        <v>2999.99</v>
      </c>
      <c r="G3349">
        <v>0.2</v>
      </c>
      <c r="H3349">
        <v>599.99799999999993</v>
      </c>
      <c r="I3349">
        <f>order_items[[#This Row],[list_price]]-order_items[[#This Row],[Discounted_price]]</f>
        <v>2399.9919999999997</v>
      </c>
      <c r="J3349">
        <f>VLOOKUP(B3349, Products!$A$2:$E$100, 3, FALSE)</f>
        <v>5</v>
      </c>
      <c r="K3349">
        <f>VLOOKUP(B3349, Products!$A$2:$F$100, 4, FALSE)</f>
        <v>6</v>
      </c>
    </row>
    <row r="3350" spans="1:11" x14ac:dyDescent="0.3">
      <c r="A3350">
        <v>1161</v>
      </c>
      <c r="B3350">
        <v>1</v>
      </c>
      <c r="C3350">
        <v>71</v>
      </c>
      <c r="D3350" t="str">
        <f>VLOOKUP(B3350, Products!$A$2:$C$100, 2, FALSE)</f>
        <v>Trek 820 - 2016</v>
      </c>
      <c r="E3350">
        <v>2</v>
      </c>
      <c r="F3350">
        <v>416.99</v>
      </c>
      <c r="G3350">
        <v>0.1</v>
      </c>
      <c r="H3350">
        <v>41.699000000000005</v>
      </c>
      <c r="I3350">
        <f>order_items[[#This Row],[list_price]]-order_items[[#This Row],[Discounted_price]]</f>
        <v>375.291</v>
      </c>
      <c r="J3350">
        <f>VLOOKUP(B3350, Products!$A$2:$E$100, 3, FALSE)</f>
        <v>9</v>
      </c>
      <c r="K3350">
        <f>VLOOKUP(B3350, Products!$A$2:$F$100, 4, FALSE)</f>
        <v>6</v>
      </c>
    </row>
    <row r="3351" spans="1:11" x14ac:dyDescent="0.3">
      <c r="A3351">
        <v>1161</v>
      </c>
      <c r="B3351">
        <v>2</v>
      </c>
      <c r="C3351">
        <v>38</v>
      </c>
      <c r="D3351" t="str">
        <f>VLOOKUP(B3351, Products!$A$2:$C$100, 2, FALSE)</f>
        <v>Ritchey Timberwolf Frameset - 2016</v>
      </c>
      <c r="E3351">
        <v>1</v>
      </c>
      <c r="F3351">
        <v>549.99</v>
      </c>
      <c r="G3351">
        <v>7.0000000000000007E-2</v>
      </c>
      <c r="H3351">
        <v>38.499300000000005</v>
      </c>
      <c r="I3351">
        <f>order_items[[#This Row],[list_price]]-order_items[[#This Row],[Discounted_price]]</f>
        <v>511.4907</v>
      </c>
      <c r="J3351">
        <f>VLOOKUP(B3351, Products!$A$2:$E$100, 3, FALSE)</f>
        <v>5</v>
      </c>
      <c r="K3351">
        <f>VLOOKUP(B3351, Products!$A$2:$F$100, 4, FALSE)</f>
        <v>6</v>
      </c>
    </row>
    <row r="3352" spans="1:11" x14ac:dyDescent="0.3">
      <c r="A3352">
        <v>1161</v>
      </c>
      <c r="B3352">
        <v>3</v>
      </c>
      <c r="C3352">
        <v>22</v>
      </c>
      <c r="D3352" t="str">
        <f>VLOOKUP(B3352, Products!$A$2:$C$100, 2, FALSE)</f>
        <v>Surly Wednesday Frameset - 2016</v>
      </c>
      <c r="E3352">
        <v>1</v>
      </c>
      <c r="F3352">
        <v>269.99</v>
      </c>
      <c r="G3352">
        <v>0.2</v>
      </c>
      <c r="H3352">
        <v>53.998000000000005</v>
      </c>
      <c r="I3352">
        <f>order_items[[#This Row],[list_price]]-order_items[[#This Row],[Discounted_price]]</f>
        <v>215.99200000000002</v>
      </c>
      <c r="J3352">
        <f>VLOOKUP(B3352, Products!$A$2:$E$100, 3, FALSE)</f>
        <v>8</v>
      </c>
      <c r="K3352">
        <f>VLOOKUP(B3352, Products!$A$2:$F$100, 4, FALSE)</f>
        <v>6</v>
      </c>
    </row>
    <row r="3353" spans="1:11" x14ac:dyDescent="0.3">
      <c r="A3353">
        <v>1161</v>
      </c>
      <c r="B3353">
        <v>4</v>
      </c>
      <c r="C3353">
        <v>29</v>
      </c>
      <c r="D3353" t="str">
        <f>VLOOKUP(B3353, Products!$A$2:$C$100, 2, FALSE)</f>
        <v>Trek Fuel EX 8 29 - 2016</v>
      </c>
      <c r="E3353">
        <v>2</v>
      </c>
      <c r="F3353">
        <v>999.99</v>
      </c>
      <c r="G3353">
        <v>0.1</v>
      </c>
      <c r="H3353">
        <v>99.999000000000009</v>
      </c>
      <c r="I3353">
        <f>order_items[[#This Row],[list_price]]-order_items[[#This Row],[Discounted_price]]</f>
        <v>899.99099999999999</v>
      </c>
      <c r="J3353">
        <f>VLOOKUP(B3353, Products!$A$2:$E$100, 3, FALSE)</f>
        <v>9</v>
      </c>
      <c r="K3353">
        <f>VLOOKUP(B3353, Products!$A$2:$F$100, 4, FALSE)</f>
        <v>6</v>
      </c>
    </row>
    <row r="3354" spans="1:11" x14ac:dyDescent="0.3">
      <c r="A3354">
        <v>1162</v>
      </c>
      <c r="B3354">
        <v>1</v>
      </c>
      <c r="C3354">
        <v>88</v>
      </c>
      <c r="D3354" t="str">
        <f>VLOOKUP(B3354, Products!$A$2:$C$100, 2, FALSE)</f>
        <v>Trek 820 - 2016</v>
      </c>
      <c r="E3354">
        <v>1</v>
      </c>
      <c r="F3354">
        <v>189.99</v>
      </c>
      <c r="G3354">
        <v>0.2</v>
      </c>
      <c r="H3354">
        <v>37.998000000000005</v>
      </c>
      <c r="I3354">
        <f>order_items[[#This Row],[list_price]]-order_items[[#This Row],[Discounted_price]]</f>
        <v>151.99200000000002</v>
      </c>
      <c r="J3354">
        <f>VLOOKUP(B3354, Products!$A$2:$E$100, 3, FALSE)</f>
        <v>9</v>
      </c>
      <c r="K3354">
        <f>VLOOKUP(B3354, Products!$A$2:$F$100, 4, FALSE)</f>
        <v>6</v>
      </c>
    </row>
    <row r="3355" spans="1:11" x14ac:dyDescent="0.3">
      <c r="A3355">
        <v>1162</v>
      </c>
      <c r="B3355">
        <v>2</v>
      </c>
      <c r="C3355">
        <v>40</v>
      </c>
      <c r="D3355" t="str">
        <f>VLOOKUP(B3355, Products!$A$2:$C$100, 2, FALSE)</f>
        <v>Ritchey Timberwolf Frameset - 2016</v>
      </c>
      <c r="E3355">
        <v>2</v>
      </c>
      <c r="F3355">
        <v>4999.99</v>
      </c>
      <c r="G3355">
        <v>0.2</v>
      </c>
      <c r="H3355">
        <v>999.99800000000005</v>
      </c>
      <c r="I3355">
        <f>order_items[[#This Row],[list_price]]-order_items[[#This Row],[Discounted_price]]</f>
        <v>3999.9919999999997</v>
      </c>
      <c r="J3355">
        <f>VLOOKUP(B3355, Products!$A$2:$E$100, 3, FALSE)</f>
        <v>5</v>
      </c>
      <c r="K3355">
        <f>VLOOKUP(B3355, Products!$A$2:$F$100, 4, FALSE)</f>
        <v>6</v>
      </c>
    </row>
    <row r="3356" spans="1:11" x14ac:dyDescent="0.3">
      <c r="A3356">
        <v>1162</v>
      </c>
      <c r="B3356">
        <v>3</v>
      </c>
      <c r="C3356">
        <v>86</v>
      </c>
      <c r="D3356" t="str">
        <f>VLOOKUP(B3356, Products!$A$2:$C$100, 2, FALSE)</f>
        <v>Surly Wednesday Frameset - 2016</v>
      </c>
      <c r="E3356">
        <v>1</v>
      </c>
      <c r="F3356">
        <v>149.99</v>
      </c>
      <c r="G3356">
        <v>0.1</v>
      </c>
      <c r="H3356">
        <v>14.999000000000002</v>
      </c>
      <c r="I3356">
        <f>order_items[[#This Row],[list_price]]-order_items[[#This Row],[Discounted_price]]</f>
        <v>134.99100000000001</v>
      </c>
      <c r="J3356">
        <f>VLOOKUP(B3356, Products!$A$2:$E$100, 3, FALSE)</f>
        <v>8</v>
      </c>
      <c r="K3356">
        <f>VLOOKUP(B3356, Products!$A$2:$F$100, 4, FALSE)</f>
        <v>6</v>
      </c>
    </row>
    <row r="3357" spans="1:11" x14ac:dyDescent="0.3">
      <c r="A3357">
        <v>1162</v>
      </c>
      <c r="B3357">
        <v>4</v>
      </c>
      <c r="C3357">
        <v>41</v>
      </c>
      <c r="D3357" t="str">
        <f>VLOOKUP(B3357, Products!$A$2:$C$100, 2, FALSE)</f>
        <v>Trek Fuel EX 8 29 - 2016</v>
      </c>
      <c r="E3357">
        <v>1</v>
      </c>
      <c r="F3357">
        <v>1469.99</v>
      </c>
      <c r="G3357">
        <v>0.05</v>
      </c>
      <c r="H3357">
        <v>73.499499999999998</v>
      </c>
      <c r="I3357">
        <f>order_items[[#This Row],[list_price]]-order_items[[#This Row],[Discounted_price]]</f>
        <v>1396.4905000000001</v>
      </c>
      <c r="J3357">
        <f>VLOOKUP(B3357, Products!$A$2:$E$100, 3, FALSE)</f>
        <v>9</v>
      </c>
      <c r="K3357">
        <f>VLOOKUP(B3357, Products!$A$2:$F$100, 4, FALSE)</f>
        <v>6</v>
      </c>
    </row>
    <row r="3358" spans="1:11" x14ac:dyDescent="0.3">
      <c r="A3358">
        <v>1162</v>
      </c>
      <c r="B3358">
        <v>5</v>
      </c>
      <c r="C3358">
        <v>12</v>
      </c>
      <c r="D3358" t="str">
        <f>VLOOKUP(B3358, Products!$A$2:$C$100, 2, FALSE)</f>
        <v>Heller Shagamaw Frame - 2016</v>
      </c>
      <c r="E3358">
        <v>2</v>
      </c>
      <c r="F3358">
        <v>549.99</v>
      </c>
      <c r="G3358">
        <v>0.05</v>
      </c>
      <c r="H3358">
        <v>27.499500000000001</v>
      </c>
      <c r="I3358">
        <f>order_items[[#This Row],[list_price]]-order_items[[#This Row],[Discounted_price]]</f>
        <v>522.4905</v>
      </c>
      <c r="J3358">
        <f>VLOOKUP(B3358, Products!$A$2:$E$100, 3, FALSE)</f>
        <v>3</v>
      </c>
      <c r="K3358">
        <f>VLOOKUP(B3358, Products!$A$2:$F$100, 4, FALSE)</f>
        <v>6</v>
      </c>
    </row>
    <row r="3359" spans="1:11" x14ac:dyDescent="0.3">
      <c r="A3359">
        <v>1163</v>
      </c>
      <c r="B3359">
        <v>1</v>
      </c>
      <c r="C3359">
        <v>63</v>
      </c>
      <c r="D3359" t="str">
        <f>VLOOKUP(B3359, Products!$A$2:$C$100, 2, FALSE)</f>
        <v>Trek 820 - 2016</v>
      </c>
      <c r="E3359">
        <v>2</v>
      </c>
      <c r="F3359">
        <v>3499.99</v>
      </c>
      <c r="G3359">
        <v>0.05</v>
      </c>
      <c r="H3359">
        <v>174.99950000000001</v>
      </c>
      <c r="I3359">
        <f>order_items[[#This Row],[list_price]]-order_items[[#This Row],[Discounted_price]]</f>
        <v>3324.9904999999999</v>
      </c>
      <c r="J3359">
        <f>VLOOKUP(B3359, Products!$A$2:$E$100, 3, FALSE)</f>
        <v>9</v>
      </c>
      <c r="K3359">
        <f>VLOOKUP(B3359, Products!$A$2:$F$100, 4, FALSE)</f>
        <v>6</v>
      </c>
    </row>
    <row r="3360" spans="1:11" x14ac:dyDescent="0.3">
      <c r="A3360">
        <v>1163</v>
      </c>
      <c r="B3360">
        <v>2</v>
      </c>
      <c r="C3360">
        <v>53</v>
      </c>
      <c r="D3360" t="str">
        <f>VLOOKUP(B3360, Products!$A$2:$C$100, 2, FALSE)</f>
        <v>Ritchey Timberwolf Frameset - 2016</v>
      </c>
      <c r="E3360">
        <v>2</v>
      </c>
      <c r="F3360">
        <v>749.99</v>
      </c>
      <c r="G3360">
        <v>0.1</v>
      </c>
      <c r="H3360">
        <v>74.999000000000009</v>
      </c>
      <c r="I3360">
        <f>order_items[[#This Row],[list_price]]-order_items[[#This Row],[Discounted_price]]</f>
        <v>674.99099999999999</v>
      </c>
      <c r="J3360">
        <f>VLOOKUP(B3360, Products!$A$2:$E$100, 3, FALSE)</f>
        <v>5</v>
      </c>
      <c r="K3360">
        <f>VLOOKUP(B3360, Products!$A$2:$F$100, 4, FALSE)</f>
        <v>6</v>
      </c>
    </row>
    <row r="3361" spans="1:11" x14ac:dyDescent="0.3">
      <c r="A3361">
        <v>1164</v>
      </c>
      <c r="B3361">
        <v>1</v>
      </c>
      <c r="C3361">
        <v>8</v>
      </c>
      <c r="D3361" t="str">
        <f>VLOOKUP(B3361, Products!$A$2:$C$100, 2, FALSE)</f>
        <v>Trek 820 - 2016</v>
      </c>
      <c r="E3361">
        <v>1</v>
      </c>
      <c r="F3361">
        <v>1799.99</v>
      </c>
      <c r="G3361">
        <v>0.2</v>
      </c>
      <c r="H3361">
        <v>359.99800000000005</v>
      </c>
      <c r="I3361">
        <f>order_items[[#This Row],[list_price]]-order_items[[#This Row],[Discounted_price]]</f>
        <v>1439.992</v>
      </c>
      <c r="J3361">
        <f>VLOOKUP(B3361, Products!$A$2:$E$100, 3, FALSE)</f>
        <v>9</v>
      </c>
      <c r="K3361">
        <f>VLOOKUP(B3361, Products!$A$2:$F$100, 4, FALSE)</f>
        <v>6</v>
      </c>
    </row>
    <row r="3362" spans="1:11" x14ac:dyDescent="0.3">
      <c r="A3362">
        <v>1164</v>
      </c>
      <c r="B3362">
        <v>2</v>
      </c>
      <c r="C3362">
        <v>78</v>
      </c>
      <c r="D3362" t="str">
        <f>VLOOKUP(B3362, Products!$A$2:$C$100, 2, FALSE)</f>
        <v>Ritchey Timberwolf Frameset - 2016</v>
      </c>
      <c r="E3362">
        <v>1</v>
      </c>
      <c r="F3362">
        <v>647.99</v>
      </c>
      <c r="G3362">
        <v>0.05</v>
      </c>
      <c r="H3362">
        <v>32.399500000000003</v>
      </c>
      <c r="I3362">
        <f>order_items[[#This Row],[list_price]]-order_items[[#This Row],[Discounted_price]]</f>
        <v>615.59050000000002</v>
      </c>
      <c r="J3362">
        <f>VLOOKUP(B3362, Products!$A$2:$E$100, 3, FALSE)</f>
        <v>5</v>
      </c>
      <c r="K3362">
        <f>VLOOKUP(B3362, Products!$A$2:$F$100, 4, FALSE)</f>
        <v>6</v>
      </c>
    </row>
    <row r="3363" spans="1:11" x14ac:dyDescent="0.3">
      <c r="A3363">
        <v>1164</v>
      </c>
      <c r="B3363">
        <v>3</v>
      </c>
      <c r="C3363">
        <v>103</v>
      </c>
      <c r="D3363" t="str">
        <f>VLOOKUP(B3363, Products!$A$2:$C$100, 2, FALSE)</f>
        <v>Surly Wednesday Frameset - 2016</v>
      </c>
      <c r="E3363">
        <v>2</v>
      </c>
      <c r="F3363">
        <v>551.99</v>
      </c>
      <c r="G3363">
        <v>0.05</v>
      </c>
      <c r="H3363">
        <v>27.599500000000003</v>
      </c>
      <c r="I3363">
        <f>order_items[[#This Row],[list_price]]-order_items[[#This Row],[Discounted_price]]</f>
        <v>524.39049999999997</v>
      </c>
      <c r="J3363">
        <f>VLOOKUP(B3363, Products!$A$2:$E$100, 3, FALSE)</f>
        <v>8</v>
      </c>
      <c r="K3363">
        <f>VLOOKUP(B3363, Products!$A$2:$F$100, 4, FALSE)</f>
        <v>6</v>
      </c>
    </row>
    <row r="3364" spans="1:11" x14ac:dyDescent="0.3">
      <c r="A3364">
        <v>1164</v>
      </c>
      <c r="B3364">
        <v>4</v>
      </c>
      <c r="C3364">
        <v>44</v>
      </c>
      <c r="D3364" t="str">
        <f>VLOOKUP(B3364, Products!$A$2:$C$100, 2, FALSE)</f>
        <v>Trek Fuel EX 8 29 - 2016</v>
      </c>
      <c r="E3364">
        <v>2</v>
      </c>
      <c r="F3364">
        <v>539.99</v>
      </c>
      <c r="G3364">
        <v>0.05</v>
      </c>
      <c r="H3364">
        <v>26.999500000000001</v>
      </c>
      <c r="I3364">
        <f>order_items[[#This Row],[list_price]]-order_items[[#This Row],[Discounted_price]]</f>
        <v>512.9905</v>
      </c>
      <c r="J3364">
        <f>VLOOKUP(B3364, Products!$A$2:$E$100, 3, FALSE)</f>
        <v>9</v>
      </c>
      <c r="K3364">
        <f>VLOOKUP(B3364, Products!$A$2:$F$100, 4, FALSE)</f>
        <v>6</v>
      </c>
    </row>
    <row r="3365" spans="1:11" x14ac:dyDescent="0.3">
      <c r="A3365">
        <v>1165</v>
      </c>
      <c r="B3365">
        <v>1</v>
      </c>
      <c r="C3365">
        <v>65</v>
      </c>
      <c r="D3365" t="str">
        <f>VLOOKUP(B3365, Products!$A$2:$C$100, 2, FALSE)</f>
        <v>Trek 820 - 2016</v>
      </c>
      <c r="E3365">
        <v>2</v>
      </c>
      <c r="F3365">
        <v>346.99</v>
      </c>
      <c r="G3365">
        <v>7.0000000000000007E-2</v>
      </c>
      <c r="H3365">
        <v>24.289300000000004</v>
      </c>
      <c r="I3365">
        <f>order_items[[#This Row],[list_price]]-order_items[[#This Row],[Discounted_price]]</f>
        <v>322.70069999999998</v>
      </c>
      <c r="J3365">
        <f>VLOOKUP(B3365, Products!$A$2:$E$100, 3, FALSE)</f>
        <v>9</v>
      </c>
      <c r="K3365">
        <f>VLOOKUP(B3365, Products!$A$2:$F$100, 4, FALSE)</f>
        <v>6</v>
      </c>
    </row>
    <row r="3366" spans="1:11" x14ac:dyDescent="0.3">
      <c r="A3366">
        <v>1165</v>
      </c>
      <c r="B3366">
        <v>2</v>
      </c>
      <c r="C3366">
        <v>68</v>
      </c>
      <c r="D3366" t="str">
        <f>VLOOKUP(B3366, Products!$A$2:$C$100, 2, FALSE)</f>
        <v>Ritchey Timberwolf Frameset - 2016</v>
      </c>
      <c r="E3366">
        <v>1</v>
      </c>
      <c r="F3366">
        <v>449.99</v>
      </c>
      <c r="G3366">
        <v>7.0000000000000007E-2</v>
      </c>
      <c r="H3366">
        <v>31.499300000000005</v>
      </c>
      <c r="I3366">
        <f>order_items[[#This Row],[list_price]]-order_items[[#This Row],[Discounted_price]]</f>
        <v>418.4907</v>
      </c>
      <c r="J3366">
        <f>VLOOKUP(B3366, Products!$A$2:$E$100, 3, FALSE)</f>
        <v>5</v>
      </c>
      <c r="K3366">
        <f>VLOOKUP(B3366, Products!$A$2:$F$100, 4, FALSE)</f>
        <v>6</v>
      </c>
    </row>
    <row r="3367" spans="1:11" x14ac:dyDescent="0.3">
      <c r="A3367">
        <v>1166</v>
      </c>
      <c r="B3367">
        <v>1</v>
      </c>
      <c r="C3367">
        <v>103</v>
      </c>
      <c r="D3367" t="str">
        <f>VLOOKUP(B3367, Products!$A$2:$C$100, 2, FALSE)</f>
        <v>Trek 820 - 2016</v>
      </c>
      <c r="E3367">
        <v>2</v>
      </c>
      <c r="F3367">
        <v>551.99</v>
      </c>
      <c r="G3367">
        <v>7.0000000000000007E-2</v>
      </c>
      <c r="H3367">
        <v>38.639300000000006</v>
      </c>
      <c r="I3367">
        <f>order_items[[#This Row],[list_price]]-order_items[[#This Row],[Discounted_price]]</f>
        <v>513.35069999999996</v>
      </c>
      <c r="J3367">
        <f>VLOOKUP(B3367, Products!$A$2:$E$100, 3, FALSE)</f>
        <v>9</v>
      </c>
      <c r="K3367">
        <f>VLOOKUP(B3367, Products!$A$2:$F$100, 4, FALSE)</f>
        <v>6</v>
      </c>
    </row>
    <row r="3368" spans="1:11" x14ac:dyDescent="0.3">
      <c r="A3368">
        <v>1167</v>
      </c>
      <c r="B3368">
        <v>1</v>
      </c>
      <c r="C3368">
        <v>29</v>
      </c>
      <c r="D3368" t="str">
        <f>VLOOKUP(B3368, Products!$A$2:$C$100, 2, FALSE)</f>
        <v>Trek 820 - 2016</v>
      </c>
      <c r="E3368">
        <v>2</v>
      </c>
      <c r="F3368">
        <v>999.99</v>
      </c>
      <c r="G3368">
        <v>0.05</v>
      </c>
      <c r="H3368">
        <v>49.999500000000005</v>
      </c>
      <c r="I3368">
        <f>order_items[[#This Row],[list_price]]-order_items[[#This Row],[Discounted_price]]</f>
        <v>949.9905</v>
      </c>
      <c r="J3368">
        <f>VLOOKUP(B3368, Products!$A$2:$E$100, 3, FALSE)</f>
        <v>9</v>
      </c>
      <c r="K3368">
        <f>VLOOKUP(B3368, Products!$A$2:$F$100, 4, FALSE)</f>
        <v>6</v>
      </c>
    </row>
    <row r="3369" spans="1:11" x14ac:dyDescent="0.3">
      <c r="A3369">
        <v>1167</v>
      </c>
      <c r="B3369">
        <v>2</v>
      </c>
      <c r="C3369">
        <v>81</v>
      </c>
      <c r="D3369" t="str">
        <f>VLOOKUP(B3369, Products!$A$2:$C$100, 2, FALSE)</f>
        <v>Ritchey Timberwolf Frameset - 2016</v>
      </c>
      <c r="E3369">
        <v>2</v>
      </c>
      <c r="F3369">
        <v>1099.99</v>
      </c>
      <c r="G3369">
        <v>0.1</v>
      </c>
      <c r="H3369">
        <v>109.99900000000001</v>
      </c>
      <c r="I3369">
        <f>order_items[[#This Row],[list_price]]-order_items[[#This Row],[Discounted_price]]</f>
        <v>989.99099999999999</v>
      </c>
      <c r="J3369">
        <f>VLOOKUP(B3369, Products!$A$2:$E$100, 3, FALSE)</f>
        <v>5</v>
      </c>
      <c r="K3369">
        <f>VLOOKUP(B3369, Products!$A$2:$F$100, 4, FALSE)</f>
        <v>6</v>
      </c>
    </row>
    <row r="3370" spans="1:11" x14ac:dyDescent="0.3">
      <c r="A3370">
        <v>1167</v>
      </c>
      <c r="B3370">
        <v>3</v>
      </c>
      <c r="C3370">
        <v>68</v>
      </c>
      <c r="D3370" t="str">
        <f>VLOOKUP(B3370, Products!$A$2:$C$100, 2, FALSE)</f>
        <v>Surly Wednesday Frameset - 2016</v>
      </c>
      <c r="E3370">
        <v>1</v>
      </c>
      <c r="F3370">
        <v>449.99</v>
      </c>
      <c r="G3370">
        <v>7.0000000000000007E-2</v>
      </c>
      <c r="H3370">
        <v>31.499300000000005</v>
      </c>
      <c r="I3370">
        <f>order_items[[#This Row],[list_price]]-order_items[[#This Row],[Discounted_price]]</f>
        <v>418.4907</v>
      </c>
      <c r="J3370">
        <f>VLOOKUP(B3370, Products!$A$2:$E$100, 3, FALSE)</f>
        <v>8</v>
      </c>
      <c r="K3370">
        <f>VLOOKUP(B3370, Products!$A$2:$F$100, 4, FALSE)</f>
        <v>6</v>
      </c>
    </row>
    <row r="3371" spans="1:11" x14ac:dyDescent="0.3">
      <c r="A3371">
        <v>1168</v>
      </c>
      <c r="B3371">
        <v>1</v>
      </c>
      <c r="C3371">
        <v>23</v>
      </c>
      <c r="D3371" t="str">
        <f>VLOOKUP(B3371, Products!$A$2:$C$100, 2, FALSE)</f>
        <v>Trek 820 - 2016</v>
      </c>
      <c r="E3371">
        <v>2</v>
      </c>
      <c r="F3371">
        <v>299.99</v>
      </c>
      <c r="G3371">
        <v>0.1</v>
      </c>
      <c r="H3371">
        <v>29.999000000000002</v>
      </c>
      <c r="I3371">
        <f>order_items[[#This Row],[list_price]]-order_items[[#This Row],[Discounted_price]]</f>
        <v>269.99099999999999</v>
      </c>
      <c r="J3371">
        <f>VLOOKUP(B3371, Products!$A$2:$E$100, 3, FALSE)</f>
        <v>9</v>
      </c>
      <c r="K3371">
        <f>VLOOKUP(B3371, Products!$A$2:$F$100, 4, FALSE)</f>
        <v>6</v>
      </c>
    </row>
    <row r="3372" spans="1:11" x14ac:dyDescent="0.3">
      <c r="A3372">
        <v>1168</v>
      </c>
      <c r="B3372">
        <v>2</v>
      </c>
      <c r="C3372">
        <v>82</v>
      </c>
      <c r="D3372" t="str">
        <f>VLOOKUP(B3372, Products!$A$2:$C$100, 2, FALSE)</f>
        <v>Ritchey Timberwolf Frameset - 2016</v>
      </c>
      <c r="E3372">
        <v>1</v>
      </c>
      <c r="F3372">
        <v>659.99</v>
      </c>
      <c r="G3372">
        <v>0.2</v>
      </c>
      <c r="H3372">
        <v>131.99800000000002</v>
      </c>
      <c r="I3372">
        <f>order_items[[#This Row],[list_price]]-order_items[[#This Row],[Discounted_price]]</f>
        <v>527.99199999999996</v>
      </c>
      <c r="J3372">
        <f>VLOOKUP(B3372, Products!$A$2:$E$100, 3, FALSE)</f>
        <v>5</v>
      </c>
      <c r="K3372">
        <f>VLOOKUP(B3372, Products!$A$2:$F$100, 4, FALSE)</f>
        <v>6</v>
      </c>
    </row>
    <row r="3373" spans="1:11" x14ac:dyDescent="0.3">
      <c r="A3373">
        <v>1168</v>
      </c>
      <c r="B3373">
        <v>3</v>
      </c>
      <c r="C3373">
        <v>51</v>
      </c>
      <c r="D3373" t="str">
        <f>VLOOKUP(B3373, Products!$A$2:$C$100, 2, FALSE)</f>
        <v>Surly Wednesday Frameset - 2016</v>
      </c>
      <c r="E3373">
        <v>1</v>
      </c>
      <c r="F3373">
        <v>6499.99</v>
      </c>
      <c r="G3373">
        <v>7.0000000000000007E-2</v>
      </c>
      <c r="H3373">
        <v>454.99930000000001</v>
      </c>
      <c r="I3373">
        <f>order_items[[#This Row],[list_price]]-order_items[[#This Row],[Discounted_price]]</f>
        <v>6044.9906999999994</v>
      </c>
      <c r="J3373">
        <f>VLOOKUP(B3373, Products!$A$2:$E$100, 3, FALSE)</f>
        <v>8</v>
      </c>
      <c r="K3373">
        <f>VLOOKUP(B3373, Products!$A$2:$F$100, 4, FALSE)</f>
        <v>6</v>
      </c>
    </row>
    <row r="3374" spans="1:11" x14ac:dyDescent="0.3">
      <c r="A3374">
        <v>1168</v>
      </c>
      <c r="B3374">
        <v>4</v>
      </c>
      <c r="C3374">
        <v>107</v>
      </c>
      <c r="D3374" t="str">
        <f>VLOOKUP(B3374, Products!$A$2:$C$100, 2, FALSE)</f>
        <v>Trek Fuel EX 8 29 - 2016</v>
      </c>
      <c r="E3374">
        <v>2</v>
      </c>
      <c r="F3374">
        <v>416.99</v>
      </c>
      <c r="G3374">
        <v>0.2</v>
      </c>
      <c r="H3374">
        <v>83.39800000000001</v>
      </c>
      <c r="I3374">
        <f>order_items[[#This Row],[list_price]]-order_items[[#This Row],[Discounted_price]]</f>
        <v>333.59199999999998</v>
      </c>
      <c r="J3374">
        <f>VLOOKUP(B3374, Products!$A$2:$E$100, 3, FALSE)</f>
        <v>9</v>
      </c>
      <c r="K3374">
        <f>VLOOKUP(B3374, Products!$A$2:$F$100, 4, FALSE)</f>
        <v>6</v>
      </c>
    </row>
    <row r="3375" spans="1:11" x14ac:dyDescent="0.3">
      <c r="A3375">
        <v>1168</v>
      </c>
      <c r="B3375">
        <v>5</v>
      </c>
      <c r="C3375">
        <v>15</v>
      </c>
      <c r="D3375" t="str">
        <f>VLOOKUP(B3375, Products!$A$2:$C$100, 2, FALSE)</f>
        <v>Heller Shagamaw Frame - 2016</v>
      </c>
      <c r="E3375">
        <v>2</v>
      </c>
      <c r="F3375">
        <v>529.99</v>
      </c>
      <c r="G3375">
        <v>0.05</v>
      </c>
      <c r="H3375">
        <v>26.499500000000001</v>
      </c>
      <c r="I3375">
        <f>order_items[[#This Row],[list_price]]-order_items[[#This Row],[Discounted_price]]</f>
        <v>503.4905</v>
      </c>
      <c r="J3375">
        <f>VLOOKUP(B3375, Products!$A$2:$E$100, 3, FALSE)</f>
        <v>3</v>
      </c>
      <c r="K3375">
        <f>VLOOKUP(B3375, Products!$A$2:$F$100, 4, FALSE)</f>
        <v>6</v>
      </c>
    </row>
    <row r="3376" spans="1:11" x14ac:dyDescent="0.3">
      <c r="A3376">
        <v>1169</v>
      </c>
      <c r="B3376">
        <v>1</v>
      </c>
      <c r="C3376">
        <v>91</v>
      </c>
      <c r="D3376" t="str">
        <f>VLOOKUP(B3376, Products!$A$2:$C$100, 2, FALSE)</f>
        <v>Trek 820 - 2016</v>
      </c>
      <c r="E3376">
        <v>2</v>
      </c>
      <c r="F3376">
        <v>349.99</v>
      </c>
      <c r="G3376">
        <v>0.2</v>
      </c>
      <c r="H3376">
        <v>69.998000000000005</v>
      </c>
      <c r="I3376">
        <f>order_items[[#This Row],[list_price]]-order_items[[#This Row],[Discounted_price]]</f>
        <v>279.99200000000002</v>
      </c>
      <c r="J3376">
        <f>VLOOKUP(B3376, Products!$A$2:$E$100, 3, FALSE)</f>
        <v>9</v>
      </c>
      <c r="K3376">
        <f>VLOOKUP(B3376, Products!$A$2:$F$100, 4, FALSE)</f>
        <v>6</v>
      </c>
    </row>
    <row r="3377" spans="1:11" x14ac:dyDescent="0.3">
      <c r="A3377">
        <v>1169</v>
      </c>
      <c r="B3377">
        <v>2</v>
      </c>
      <c r="C3377">
        <v>51</v>
      </c>
      <c r="D3377" t="str">
        <f>VLOOKUP(B3377, Products!$A$2:$C$100, 2, FALSE)</f>
        <v>Ritchey Timberwolf Frameset - 2016</v>
      </c>
      <c r="E3377">
        <v>1</v>
      </c>
      <c r="F3377">
        <v>6499.99</v>
      </c>
      <c r="G3377">
        <v>0.05</v>
      </c>
      <c r="H3377">
        <v>324.99950000000001</v>
      </c>
      <c r="I3377">
        <f>order_items[[#This Row],[list_price]]-order_items[[#This Row],[Discounted_price]]</f>
        <v>6174.9904999999999</v>
      </c>
      <c r="J3377">
        <f>VLOOKUP(B3377, Products!$A$2:$E$100, 3, FALSE)</f>
        <v>5</v>
      </c>
      <c r="K3377">
        <f>VLOOKUP(B3377, Products!$A$2:$F$100, 4, FALSE)</f>
        <v>6</v>
      </c>
    </row>
    <row r="3378" spans="1:11" x14ac:dyDescent="0.3">
      <c r="A3378">
        <v>1169</v>
      </c>
      <c r="B3378">
        <v>3</v>
      </c>
      <c r="C3378">
        <v>58</v>
      </c>
      <c r="D3378" t="str">
        <f>VLOOKUP(B3378, Products!$A$2:$C$100, 2, FALSE)</f>
        <v>Surly Wednesday Frameset - 2016</v>
      </c>
      <c r="E3378">
        <v>2</v>
      </c>
      <c r="F3378">
        <v>4999.99</v>
      </c>
      <c r="G3378">
        <v>0.1</v>
      </c>
      <c r="H3378">
        <v>499.99900000000002</v>
      </c>
      <c r="I3378">
        <f>order_items[[#This Row],[list_price]]-order_items[[#This Row],[Discounted_price]]</f>
        <v>4499.991</v>
      </c>
      <c r="J3378">
        <f>VLOOKUP(B3378, Products!$A$2:$E$100, 3, FALSE)</f>
        <v>8</v>
      </c>
      <c r="K3378">
        <f>VLOOKUP(B3378, Products!$A$2:$F$100, 4, FALSE)</f>
        <v>6</v>
      </c>
    </row>
    <row r="3379" spans="1:11" x14ac:dyDescent="0.3">
      <c r="A3379">
        <v>1169</v>
      </c>
      <c r="B3379">
        <v>4</v>
      </c>
      <c r="C3379">
        <v>81</v>
      </c>
      <c r="D3379" t="str">
        <f>VLOOKUP(B3379, Products!$A$2:$C$100, 2, FALSE)</f>
        <v>Trek Fuel EX 8 29 - 2016</v>
      </c>
      <c r="E3379">
        <v>2</v>
      </c>
      <c r="F3379">
        <v>1099.99</v>
      </c>
      <c r="G3379">
        <v>0.2</v>
      </c>
      <c r="H3379">
        <v>219.99800000000002</v>
      </c>
      <c r="I3379">
        <f>order_items[[#This Row],[list_price]]-order_items[[#This Row],[Discounted_price]]</f>
        <v>879.99199999999996</v>
      </c>
      <c r="J3379">
        <f>VLOOKUP(B3379, Products!$A$2:$E$100, 3, FALSE)</f>
        <v>9</v>
      </c>
      <c r="K3379">
        <f>VLOOKUP(B3379, Products!$A$2:$F$100, 4, FALSE)</f>
        <v>6</v>
      </c>
    </row>
    <row r="3380" spans="1:11" x14ac:dyDescent="0.3">
      <c r="A3380">
        <v>1170</v>
      </c>
      <c r="B3380">
        <v>1</v>
      </c>
      <c r="C3380">
        <v>15</v>
      </c>
      <c r="D3380" t="str">
        <f>VLOOKUP(B3380, Products!$A$2:$C$100, 2, FALSE)</f>
        <v>Trek 820 - 2016</v>
      </c>
      <c r="E3380">
        <v>1</v>
      </c>
      <c r="F3380">
        <v>529.99</v>
      </c>
      <c r="G3380">
        <v>0.1</v>
      </c>
      <c r="H3380">
        <v>52.999000000000002</v>
      </c>
      <c r="I3380">
        <f>order_items[[#This Row],[list_price]]-order_items[[#This Row],[Discounted_price]]</f>
        <v>476.99099999999999</v>
      </c>
      <c r="J3380">
        <f>VLOOKUP(B3380, Products!$A$2:$E$100, 3, FALSE)</f>
        <v>9</v>
      </c>
      <c r="K3380">
        <f>VLOOKUP(B3380, Products!$A$2:$F$100, 4, FALSE)</f>
        <v>6</v>
      </c>
    </row>
    <row r="3381" spans="1:11" x14ac:dyDescent="0.3">
      <c r="A3381">
        <v>1170</v>
      </c>
      <c r="B3381">
        <v>2</v>
      </c>
      <c r="C3381">
        <v>47</v>
      </c>
      <c r="D3381" t="str">
        <f>VLOOKUP(B3381, Products!$A$2:$C$100, 2, FALSE)</f>
        <v>Ritchey Timberwolf Frameset - 2016</v>
      </c>
      <c r="E3381">
        <v>2</v>
      </c>
      <c r="F3381">
        <v>5299.99</v>
      </c>
      <c r="G3381">
        <v>0.05</v>
      </c>
      <c r="H3381">
        <v>264.99950000000001</v>
      </c>
      <c r="I3381">
        <f>order_items[[#This Row],[list_price]]-order_items[[#This Row],[Discounted_price]]</f>
        <v>5034.9904999999999</v>
      </c>
      <c r="J3381">
        <f>VLOOKUP(B3381, Products!$A$2:$E$100, 3, FALSE)</f>
        <v>5</v>
      </c>
      <c r="K3381">
        <f>VLOOKUP(B3381, Products!$A$2:$F$100, 4, FALSE)</f>
        <v>6</v>
      </c>
    </row>
    <row r="3382" spans="1:11" x14ac:dyDescent="0.3">
      <c r="A3382">
        <v>1170</v>
      </c>
      <c r="B3382">
        <v>3</v>
      </c>
      <c r="C3382">
        <v>62</v>
      </c>
      <c r="D3382" t="str">
        <f>VLOOKUP(B3382, Products!$A$2:$C$100, 2, FALSE)</f>
        <v>Surly Wednesday Frameset - 2016</v>
      </c>
      <c r="E3382">
        <v>2</v>
      </c>
      <c r="F3382">
        <v>3499.99</v>
      </c>
      <c r="G3382">
        <v>0.1</v>
      </c>
      <c r="H3382">
        <v>349.99900000000002</v>
      </c>
      <c r="I3382">
        <f>order_items[[#This Row],[list_price]]-order_items[[#This Row],[Discounted_price]]</f>
        <v>3149.991</v>
      </c>
      <c r="J3382">
        <f>VLOOKUP(B3382, Products!$A$2:$E$100, 3, FALSE)</f>
        <v>8</v>
      </c>
      <c r="K3382">
        <f>VLOOKUP(B3382, Products!$A$2:$F$100, 4, FALSE)</f>
        <v>6</v>
      </c>
    </row>
    <row r="3383" spans="1:11" x14ac:dyDescent="0.3">
      <c r="A3383">
        <v>1171</v>
      </c>
      <c r="B3383">
        <v>1</v>
      </c>
      <c r="C3383">
        <v>94</v>
      </c>
      <c r="D3383" t="str">
        <f>VLOOKUP(B3383, Products!$A$2:$C$100, 2, FALSE)</f>
        <v>Trek 820 - 2016</v>
      </c>
      <c r="E3383">
        <v>2</v>
      </c>
      <c r="F3383">
        <v>249.99</v>
      </c>
      <c r="G3383">
        <v>0.2</v>
      </c>
      <c r="H3383">
        <v>49.998000000000005</v>
      </c>
      <c r="I3383">
        <f>order_items[[#This Row],[list_price]]-order_items[[#This Row],[Discounted_price]]</f>
        <v>199.99200000000002</v>
      </c>
      <c r="J3383">
        <f>VLOOKUP(B3383, Products!$A$2:$E$100, 3, FALSE)</f>
        <v>9</v>
      </c>
      <c r="K3383">
        <f>VLOOKUP(B3383, Products!$A$2:$F$100, 4, FALSE)</f>
        <v>6</v>
      </c>
    </row>
    <row r="3384" spans="1:11" x14ac:dyDescent="0.3">
      <c r="A3384">
        <v>1171</v>
      </c>
      <c r="B3384">
        <v>2</v>
      </c>
      <c r="C3384">
        <v>92</v>
      </c>
      <c r="D3384" t="str">
        <f>VLOOKUP(B3384, Products!$A$2:$C$100, 2, FALSE)</f>
        <v>Ritchey Timberwolf Frameset - 2016</v>
      </c>
      <c r="E3384">
        <v>2</v>
      </c>
      <c r="F3384">
        <v>209.99</v>
      </c>
      <c r="G3384">
        <v>7.0000000000000007E-2</v>
      </c>
      <c r="H3384">
        <v>14.699300000000003</v>
      </c>
      <c r="I3384">
        <f>order_items[[#This Row],[list_price]]-order_items[[#This Row],[Discounted_price]]</f>
        <v>195.29070000000002</v>
      </c>
      <c r="J3384">
        <f>VLOOKUP(B3384, Products!$A$2:$E$100, 3, FALSE)</f>
        <v>5</v>
      </c>
      <c r="K3384">
        <f>VLOOKUP(B3384, Products!$A$2:$F$100, 4, FALSE)</f>
        <v>6</v>
      </c>
    </row>
    <row r="3385" spans="1:11" x14ac:dyDescent="0.3">
      <c r="A3385">
        <v>1171</v>
      </c>
      <c r="B3385">
        <v>3</v>
      </c>
      <c r="C3385">
        <v>10</v>
      </c>
      <c r="D3385" t="str">
        <f>VLOOKUP(B3385, Products!$A$2:$C$100, 2, FALSE)</f>
        <v>Surly Wednesday Frameset - 2016</v>
      </c>
      <c r="E3385">
        <v>2</v>
      </c>
      <c r="F3385">
        <v>1549</v>
      </c>
      <c r="G3385">
        <v>7.0000000000000007E-2</v>
      </c>
      <c r="H3385">
        <v>108.43</v>
      </c>
      <c r="I3385">
        <f>order_items[[#This Row],[list_price]]-order_items[[#This Row],[Discounted_price]]</f>
        <v>1440.57</v>
      </c>
      <c r="J3385">
        <f>VLOOKUP(B3385, Products!$A$2:$E$100, 3, FALSE)</f>
        <v>8</v>
      </c>
      <c r="K3385">
        <f>VLOOKUP(B3385, Products!$A$2:$F$100, 4, FALSE)</f>
        <v>6</v>
      </c>
    </row>
    <row r="3386" spans="1:11" x14ac:dyDescent="0.3">
      <c r="A3386">
        <v>1172</v>
      </c>
      <c r="B3386">
        <v>1</v>
      </c>
      <c r="C3386">
        <v>78</v>
      </c>
      <c r="D3386" t="str">
        <f>VLOOKUP(B3386, Products!$A$2:$C$100, 2, FALSE)</f>
        <v>Trek 820 - 2016</v>
      </c>
      <c r="E3386">
        <v>2</v>
      </c>
      <c r="F3386">
        <v>647.99</v>
      </c>
      <c r="G3386">
        <v>7.0000000000000007E-2</v>
      </c>
      <c r="H3386">
        <v>45.359300000000005</v>
      </c>
      <c r="I3386">
        <f>order_items[[#This Row],[list_price]]-order_items[[#This Row],[Discounted_price]]</f>
        <v>602.63070000000005</v>
      </c>
      <c r="J3386">
        <f>VLOOKUP(B3386, Products!$A$2:$E$100, 3, FALSE)</f>
        <v>9</v>
      </c>
      <c r="K3386">
        <f>VLOOKUP(B3386, Products!$A$2:$F$100, 4, FALSE)</f>
        <v>6</v>
      </c>
    </row>
    <row r="3387" spans="1:11" x14ac:dyDescent="0.3">
      <c r="A3387">
        <v>1172</v>
      </c>
      <c r="B3387">
        <v>2</v>
      </c>
      <c r="C3387">
        <v>104</v>
      </c>
      <c r="D3387" t="str">
        <f>VLOOKUP(B3387, Products!$A$2:$C$100, 2, FALSE)</f>
        <v>Ritchey Timberwolf Frameset - 2016</v>
      </c>
      <c r="E3387">
        <v>1</v>
      </c>
      <c r="F3387">
        <v>481.99</v>
      </c>
      <c r="G3387">
        <v>0.2</v>
      </c>
      <c r="H3387">
        <v>96.39800000000001</v>
      </c>
      <c r="I3387">
        <f>order_items[[#This Row],[list_price]]-order_items[[#This Row],[Discounted_price]]</f>
        <v>385.59199999999998</v>
      </c>
      <c r="J3387">
        <f>VLOOKUP(B3387, Products!$A$2:$E$100, 3, FALSE)</f>
        <v>5</v>
      </c>
      <c r="K3387">
        <f>VLOOKUP(B3387, Products!$A$2:$F$100, 4, FALSE)</f>
        <v>6</v>
      </c>
    </row>
    <row r="3388" spans="1:11" x14ac:dyDescent="0.3">
      <c r="A3388">
        <v>1173</v>
      </c>
      <c r="B3388">
        <v>1</v>
      </c>
      <c r="C3388">
        <v>95</v>
      </c>
      <c r="D3388" t="str">
        <f>VLOOKUP(B3388, Products!$A$2:$C$100, 2, FALSE)</f>
        <v>Trek 820 - 2016</v>
      </c>
      <c r="E3388">
        <v>1</v>
      </c>
      <c r="F3388">
        <v>299.99</v>
      </c>
      <c r="G3388">
        <v>0.2</v>
      </c>
      <c r="H3388">
        <v>59.998000000000005</v>
      </c>
      <c r="I3388">
        <f>order_items[[#This Row],[list_price]]-order_items[[#This Row],[Discounted_price]]</f>
        <v>239.99200000000002</v>
      </c>
      <c r="J3388">
        <f>VLOOKUP(B3388, Products!$A$2:$E$100, 3, FALSE)</f>
        <v>9</v>
      </c>
      <c r="K3388">
        <f>VLOOKUP(B3388, Products!$A$2:$F$100, 4, FALSE)</f>
        <v>6</v>
      </c>
    </row>
    <row r="3389" spans="1:11" x14ac:dyDescent="0.3">
      <c r="A3389">
        <v>1173</v>
      </c>
      <c r="B3389">
        <v>2</v>
      </c>
      <c r="C3389">
        <v>17</v>
      </c>
      <c r="D3389" t="str">
        <f>VLOOKUP(B3389, Products!$A$2:$C$100, 2, FALSE)</f>
        <v>Ritchey Timberwolf Frameset - 2016</v>
      </c>
      <c r="E3389">
        <v>1</v>
      </c>
      <c r="F3389">
        <v>429</v>
      </c>
      <c r="G3389">
        <v>7.0000000000000007E-2</v>
      </c>
      <c r="H3389">
        <v>30.03</v>
      </c>
      <c r="I3389">
        <f>order_items[[#This Row],[list_price]]-order_items[[#This Row],[Discounted_price]]</f>
        <v>398.97</v>
      </c>
      <c r="J3389">
        <f>VLOOKUP(B3389, Products!$A$2:$E$100, 3, FALSE)</f>
        <v>5</v>
      </c>
      <c r="K3389">
        <f>VLOOKUP(B3389, Products!$A$2:$F$100, 4, FALSE)</f>
        <v>6</v>
      </c>
    </row>
    <row r="3390" spans="1:11" x14ac:dyDescent="0.3">
      <c r="A3390">
        <v>1173</v>
      </c>
      <c r="B3390">
        <v>3</v>
      </c>
      <c r="C3390">
        <v>68</v>
      </c>
      <c r="D3390" t="str">
        <f>VLOOKUP(B3390, Products!$A$2:$C$100, 2, FALSE)</f>
        <v>Surly Wednesday Frameset - 2016</v>
      </c>
      <c r="E3390">
        <v>1</v>
      </c>
      <c r="F3390">
        <v>449.99</v>
      </c>
      <c r="G3390">
        <v>0.05</v>
      </c>
      <c r="H3390">
        <v>22.499500000000001</v>
      </c>
      <c r="I3390">
        <f>order_items[[#This Row],[list_price]]-order_items[[#This Row],[Discounted_price]]</f>
        <v>427.4905</v>
      </c>
      <c r="J3390">
        <f>VLOOKUP(B3390, Products!$A$2:$E$100, 3, FALSE)</f>
        <v>8</v>
      </c>
      <c r="K3390">
        <f>VLOOKUP(B3390, Products!$A$2:$F$100, 4, FALSE)</f>
        <v>6</v>
      </c>
    </row>
    <row r="3391" spans="1:11" x14ac:dyDescent="0.3">
      <c r="A3391">
        <v>1173</v>
      </c>
      <c r="B3391">
        <v>4</v>
      </c>
      <c r="C3391">
        <v>103</v>
      </c>
      <c r="D3391" t="str">
        <f>VLOOKUP(B3391, Products!$A$2:$C$100, 2, FALSE)</f>
        <v>Trek Fuel EX 8 29 - 2016</v>
      </c>
      <c r="E3391">
        <v>2</v>
      </c>
      <c r="F3391">
        <v>551.99</v>
      </c>
      <c r="G3391">
        <v>0.2</v>
      </c>
      <c r="H3391">
        <v>110.39800000000001</v>
      </c>
      <c r="I3391">
        <f>order_items[[#This Row],[list_price]]-order_items[[#This Row],[Discounted_price]]</f>
        <v>441.59199999999998</v>
      </c>
      <c r="J3391">
        <f>VLOOKUP(B3391, Products!$A$2:$E$100, 3, FALSE)</f>
        <v>9</v>
      </c>
      <c r="K3391">
        <f>VLOOKUP(B3391, Products!$A$2:$F$100, 4, FALSE)</f>
        <v>6</v>
      </c>
    </row>
    <row r="3392" spans="1:11" x14ac:dyDescent="0.3">
      <c r="A3392">
        <v>1174</v>
      </c>
      <c r="B3392">
        <v>1</v>
      </c>
      <c r="C3392">
        <v>110</v>
      </c>
      <c r="D3392" t="str">
        <f>VLOOKUP(B3392, Products!$A$2:$C$100, 2, FALSE)</f>
        <v>Trek 820 - 2016</v>
      </c>
      <c r="E3392">
        <v>2</v>
      </c>
      <c r="F3392">
        <v>470.99</v>
      </c>
      <c r="G3392">
        <v>0.2</v>
      </c>
      <c r="H3392">
        <v>94.198000000000008</v>
      </c>
      <c r="I3392">
        <f>order_items[[#This Row],[list_price]]-order_items[[#This Row],[Discounted_price]]</f>
        <v>376.79200000000003</v>
      </c>
      <c r="J3392">
        <f>VLOOKUP(B3392, Products!$A$2:$E$100, 3, FALSE)</f>
        <v>9</v>
      </c>
      <c r="K3392">
        <f>VLOOKUP(B3392, Products!$A$2:$F$100, 4, FALSE)</f>
        <v>6</v>
      </c>
    </row>
    <row r="3393" spans="1:11" x14ac:dyDescent="0.3">
      <c r="A3393">
        <v>1174</v>
      </c>
      <c r="B3393">
        <v>2</v>
      </c>
      <c r="C3393">
        <v>6</v>
      </c>
      <c r="D3393" t="str">
        <f>VLOOKUP(B3393, Products!$A$2:$C$100, 2, FALSE)</f>
        <v>Ritchey Timberwolf Frameset - 2016</v>
      </c>
      <c r="E3393">
        <v>1</v>
      </c>
      <c r="F3393">
        <v>469.99</v>
      </c>
      <c r="G3393">
        <v>7.0000000000000007E-2</v>
      </c>
      <c r="H3393">
        <v>32.899300000000004</v>
      </c>
      <c r="I3393">
        <f>order_items[[#This Row],[list_price]]-order_items[[#This Row],[Discounted_price]]</f>
        <v>437.09070000000003</v>
      </c>
      <c r="J3393">
        <f>VLOOKUP(B3393, Products!$A$2:$E$100, 3, FALSE)</f>
        <v>5</v>
      </c>
      <c r="K3393">
        <f>VLOOKUP(B3393, Products!$A$2:$F$100, 4, FALSE)</f>
        <v>6</v>
      </c>
    </row>
    <row r="3394" spans="1:11" x14ac:dyDescent="0.3">
      <c r="A3394">
        <v>1174</v>
      </c>
      <c r="B3394">
        <v>3</v>
      </c>
      <c r="C3394">
        <v>106</v>
      </c>
      <c r="D3394" t="str">
        <f>VLOOKUP(B3394, Products!$A$2:$C$100, 2, FALSE)</f>
        <v>Surly Wednesday Frameset - 2016</v>
      </c>
      <c r="E3394">
        <v>1</v>
      </c>
      <c r="F3394">
        <v>449.99</v>
      </c>
      <c r="G3394">
        <v>0.1</v>
      </c>
      <c r="H3394">
        <v>44.999000000000002</v>
      </c>
      <c r="I3394">
        <f>order_items[[#This Row],[list_price]]-order_items[[#This Row],[Discounted_price]]</f>
        <v>404.99099999999999</v>
      </c>
      <c r="J3394">
        <f>VLOOKUP(B3394, Products!$A$2:$E$100, 3, FALSE)</f>
        <v>8</v>
      </c>
      <c r="K3394">
        <f>VLOOKUP(B3394, Products!$A$2:$F$100, 4, FALSE)</f>
        <v>6</v>
      </c>
    </row>
    <row r="3395" spans="1:11" x14ac:dyDescent="0.3">
      <c r="A3395">
        <v>1175</v>
      </c>
      <c r="B3395">
        <v>1</v>
      </c>
      <c r="C3395">
        <v>58</v>
      </c>
      <c r="D3395" t="str">
        <f>VLOOKUP(B3395, Products!$A$2:$C$100, 2, FALSE)</f>
        <v>Trek 820 - 2016</v>
      </c>
      <c r="E3395">
        <v>2</v>
      </c>
      <c r="F3395">
        <v>4999.99</v>
      </c>
      <c r="G3395">
        <v>7.0000000000000007E-2</v>
      </c>
      <c r="H3395">
        <v>349.99930000000001</v>
      </c>
      <c r="I3395">
        <f>order_items[[#This Row],[list_price]]-order_items[[#This Row],[Discounted_price]]</f>
        <v>4649.9906999999994</v>
      </c>
      <c r="J3395">
        <f>VLOOKUP(B3395, Products!$A$2:$E$100, 3, FALSE)</f>
        <v>9</v>
      </c>
      <c r="K3395">
        <f>VLOOKUP(B3395, Products!$A$2:$F$100, 4, FALSE)</f>
        <v>6</v>
      </c>
    </row>
    <row r="3396" spans="1:11" x14ac:dyDescent="0.3">
      <c r="A3396">
        <v>1175</v>
      </c>
      <c r="B3396">
        <v>2</v>
      </c>
      <c r="C3396">
        <v>65</v>
      </c>
      <c r="D3396" t="str">
        <f>VLOOKUP(B3396, Products!$A$2:$C$100, 2, FALSE)</f>
        <v>Ritchey Timberwolf Frameset - 2016</v>
      </c>
      <c r="E3396">
        <v>1</v>
      </c>
      <c r="F3396">
        <v>346.99</v>
      </c>
      <c r="G3396">
        <v>0.2</v>
      </c>
      <c r="H3396">
        <v>69.39800000000001</v>
      </c>
      <c r="I3396">
        <f>order_items[[#This Row],[list_price]]-order_items[[#This Row],[Discounted_price]]</f>
        <v>277.59199999999998</v>
      </c>
      <c r="J3396">
        <f>VLOOKUP(B3396, Products!$A$2:$E$100, 3, FALSE)</f>
        <v>5</v>
      </c>
      <c r="K3396">
        <f>VLOOKUP(B3396, Products!$A$2:$F$100, 4, FALSE)</f>
        <v>6</v>
      </c>
    </row>
    <row r="3397" spans="1:11" x14ac:dyDescent="0.3">
      <c r="A3397">
        <v>1175</v>
      </c>
      <c r="B3397">
        <v>3</v>
      </c>
      <c r="C3397">
        <v>20</v>
      </c>
      <c r="D3397" t="str">
        <f>VLOOKUP(B3397, Products!$A$2:$C$100, 2, FALSE)</f>
        <v>Surly Wednesday Frameset - 2016</v>
      </c>
      <c r="E3397">
        <v>1</v>
      </c>
      <c r="F3397">
        <v>599.99</v>
      </c>
      <c r="G3397">
        <v>0.05</v>
      </c>
      <c r="H3397">
        <v>29.999500000000001</v>
      </c>
      <c r="I3397">
        <f>order_items[[#This Row],[list_price]]-order_items[[#This Row],[Discounted_price]]</f>
        <v>569.9905</v>
      </c>
      <c r="J3397">
        <f>VLOOKUP(B3397, Products!$A$2:$E$100, 3, FALSE)</f>
        <v>8</v>
      </c>
      <c r="K3397">
        <f>VLOOKUP(B3397, Products!$A$2:$F$100, 4, FALSE)</f>
        <v>6</v>
      </c>
    </row>
    <row r="3398" spans="1:11" x14ac:dyDescent="0.3">
      <c r="A3398">
        <v>1175</v>
      </c>
      <c r="B3398">
        <v>4</v>
      </c>
      <c r="C3398">
        <v>3</v>
      </c>
      <c r="D3398" t="str">
        <f>VLOOKUP(B3398, Products!$A$2:$C$100, 2, FALSE)</f>
        <v>Trek Fuel EX 8 29 - 2016</v>
      </c>
      <c r="E3398">
        <v>1</v>
      </c>
      <c r="F3398">
        <v>999.99</v>
      </c>
      <c r="G3398">
        <v>0.05</v>
      </c>
      <c r="H3398">
        <v>49.999500000000005</v>
      </c>
      <c r="I3398">
        <f>order_items[[#This Row],[list_price]]-order_items[[#This Row],[Discounted_price]]</f>
        <v>949.9905</v>
      </c>
      <c r="J3398">
        <f>VLOOKUP(B3398, Products!$A$2:$E$100, 3, FALSE)</f>
        <v>9</v>
      </c>
      <c r="K3398">
        <f>VLOOKUP(B3398, Products!$A$2:$F$100, 4, FALSE)</f>
        <v>6</v>
      </c>
    </row>
    <row r="3399" spans="1:11" x14ac:dyDescent="0.3">
      <c r="A3399">
        <v>1175</v>
      </c>
      <c r="B3399">
        <v>5</v>
      </c>
      <c r="C3399">
        <v>9</v>
      </c>
      <c r="D3399" t="str">
        <f>VLOOKUP(B3399, Products!$A$2:$C$100, 2, FALSE)</f>
        <v>Heller Shagamaw Frame - 2016</v>
      </c>
      <c r="E3399">
        <v>1</v>
      </c>
      <c r="F3399">
        <v>2999.99</v>
      </c>
      <c r="G3399">
        <v>0.05</v>
      </c>
      <c r="H3399">
        <v>149.99949999999998</v>
      </c>
      <c r="I3399">
        <f>order_items[[#This Row],[list_price]]-order_items[[#This Row],[Discounted_price]]</f>
        <v>2849.9904999999999</v>
      </c>
      <c r="J3399">
        <f>VLOOKUP(B3399, Products!$A$2:$E$100, 3, FALSE)</f>
        <v>3</v>
      </c>
      <c r="K3399">
        <f>VLOOKUP(B3399, Products!$A$2:$F$100, 4, FALSE)</f>
        <v>6</v>
      </c>
    </row>
    <row r="3400" spans="1:11" x14ac:dyDescent="0.3">
      <c r="A3400">
        <v>1176</v>
      </c>
      <c r="B3400">
        <v>1</v>
      </c>
      <c r="C3400">
        <v>87</v>
      </c>
      <c r="D3400" t="str">
        <f>VLOOKUP(B3400, Products!$A$2:$C$100, 2, FALSE)</f>
        <v>Trek 820 - 2016</v>
      </c>
      <c r="E3400">
        <v>1</v>
      </c>
      <c r="F3400">
        <v>189.99</v>
      </c>
      <c r="G3400">
        <v>0.1</v>
      </c>
      <c r="H3400">
        <v>18.999000000000002</v>
      </c>
      <c r="I3400">
        <f>order_items[[#This Row],[list_price]]-order_items[[#This Row],[Discounted_price]]</f>
        <v>170.99100000000001</v>
      </c>
      <c r="J3400">
        <f>VLOOKUP(B3400, Products!$A$2:$E$100, 3, FALSE)</f>
        <v>9</v>
      </c>
      <c r="K3400">
        <f>VLOOKUP(B3400, Products!$A$2:$F$100, 4, FALSE)</f>
        <v>6</v>
      </c>
    </row>
    <row r="3401" spans="1:11" x14ac:dyDescent="0.3">
      <c r="A3401">
        <v>1177</v>
      </c>
      <c r="B3401">
        <v>1</v>
      </c>
      <c r="C3401">
        <v>62</v>
      </c>
      <c r="D3401" t="str">
        <f>VLOOKUP(B3401, Products!$A$2:$C$100, 2, FALSE)</f>
        <v>Trek 820 - 2016</v>
      </c>
      <c r="E3401">
        <v>2</v>
      </c>
      <c r="F3401">
        <v>3499.99</v>
      </c>
      <c r="G3401">
        <v>7.0000000000000007E-2</v>
      </c>
      <c r="H3401">
        <v>244.99930000000001</v>
      </c>
      <c r="I3401">
        <f>order_items[[#This Row],[list_price]]-order_items[[#This Row],[Discounted_price]]</f>
        <v>3254.9906999999998</v>
      </c>
      <c r="J3401">
        <f>VLOOKUP(B3401, Products!$A$2:$E$100, 3, FALSE)</f>
        <v>9</v>
      </c>
      <c r="K3401">
        <f>VLOOKUP(B3401, Products!$A$2:$F$100, 4, FALSE)</f>
        <v>6</v>
      </c>
    </row>
    <row r="3402" spans="1:11" x14ac:dyDescent="0.3">
      <c r="A3402">
        <v>1177</v>
      </c>
      <c r="B3402">
        <v>2</v>
      </c>
      <c r="C3402">
        <v>74</v>
      </c>
      <c r="D3402" t="str">
        <f>VLOOKUP(B3402, Products!$A$2:$C$100, 2, FALSE)</f>
        <v>Ritchey Timberwolf Frameset - 2016</v>
      </c>
      <c r="E3402">
        <v>1</v>
      </c>
      <c r="F3402">
        <v>439.99</v>
      </c>
      <c r="G3402">
        <v>0.1</v>
      </c>
      <c r="H3402">
        <v>43.999000000000002</v>
      </c>
      <c r="I3402">
        <f>order_items[[#This Row],[list_price]]-order_items[[#This Row],[Discounted_price]]</f>
        <v>395.99099999999999</v>
      </c>
      <c r="J3402">
        <f>VLOOKUP(B3402, Products!$A$2:$E$100, 3, FALSE)</f>
        <v>5</v>
      </c>
      <c r="K3402">
        <f>VLOOKUP(B3402, Products!$A$2:$F$100, 4, FALSE)</f>
        <v>6</v>
      </c>
    </row>
    <row r="3403" spans="1:11" x14ac:dyDescent="0.3">
      <c r="A3403">
        <v>1178</v>
      </c>
      <c r="B3403">
        <v>1</v>
      </c>
      <c r="C3403">
        <v>46</v>
      </c>
      <c r="D3403" t="str">
        <f>VLOOKUP(B3403, Products!$A$2:$C$100, 2, FALSE)</f>
        <v>Trek 820 - 2016</v>
      </c>
      <c r="E3403">
        <v>1</v>
      </c>
      <c r="F3403">
        <v>1409.99</v>
      </c>
      <c r="G3403">
        <v>7.0000000000000007E-2</v>
      </c>
      <c r="H3403">
        <v>98.699300000000008</v>
      </c>
      <c r="I3403">
        <f>order_items[[#This Row],[list_price]]-order_items[[#This Row],[Discounted_price]]</f>
        <v>1311.2907</v>
      </c>
      <c r="J3403">
        <f>VLOOKUP(B3403, Products!$A$2:$E$100, 3, FALSE)</f>
        <v>9</v>
      </c>
      <c r="K3403">
        <f>VLOOKUP(B3403, Products!$A$2:$F$100, 4, FALSE)</f>
        <v>6</v>
      </c>
    </row>
    <row r="3404" spans="1:11" x14ac:dyDescent="0.3">
      <c r="A3404">
        <v>1178</v>
      </c>
      <c r="B3404">
        <v>2</v>
      </c>
      <c r="C3404">
        <v>77</v>
      </c>
      <c r="D3404" t="str">
        <f>VLOOKUP(B3404, Products!$A$2:$C$100, 2, FALSE)</f>
        <v>Ritchey Timberwolf Frameset - 2016</v>
      </c>
      <c r="E3404">
        <v>1</v>
      </c>
      <c r="F3404">
        <v>799.99</v>
      </c>
      <c r="G3404">
        <v>0.2</v>
      </c>
      <c r="H3404">
        <v>159.99800000000002</v>
      </c>
      <c r="I3404">
        <f>order_items[[#This Row],[list_price]]-order_items[[#This Row],[Discounted_price]]</f>
        <v>639.99199999999996</v>
      </c>
      <c r="J3404">
        <f>VLOOKUP(B3404, Products!$A$2:$E$100, 3, FALSE)</f>
        <v>5</v>
      </c>
      <c r="K3404">
        <f>VLOOKUP(B3404, Products!$A$2:$F$100, 4, FALSE)</f>
        <v>6</v>
      </c>
    </row>
    <row r="3405" spans="1:11" x14ac:dyDescent="0.3">
      <c r="A3405">
        <v>1178</v>
      </c>
      <c r="B3405">
        <v>3</v>
      </c>
      <c r="C3405">
        <v>108</v>
      </c>
      <c r="D3405" t="str">
        <f>VLOOKUP(B3405, Products!$A$2:$C$100, 2, FALSE)</f>
        <v>Surly Wednesday Frameset - 2016</v>
      </c>
      <c r="E3405">
        <v>1</v>
      </c>
      <c r="F3405">
        <v>449.99</v>
      </c>
      <c r="G3405">
        <v>0.05</v>
      </c>
      <c r="H3405">
        <v>22.499500000000001</v>
      </c>
      <c r="I3405">
        <f>order_items[[#This Row],[list_price]]-order_items[[#This Row],[Discounted_price]]</f>
        <v>427.4905</v>
      </c>
      <c r="J3405">
        <f>VLOOKUP(B3405, Products!$A$2:$E$100, 3, FALSE)</f>
        <v>8</v>
      </c>
      <c r="K3405">
        <f>VLOOKUP(B3405, Products!$A$2:$F$100, 4, FALSE)</f>
        <v>6</v>
      </c>
    </row>
    <row r="3406" spans="1:11" x14ac:dyDescent="0.3">
      <c r="A3406">
        <v>1178</v>
      </c>
      <c r="B3406">
        <v>4</v>
      </c>
      <c r="C3406">
        <v>13</v>
      </c>
      <c r="D3406" t="str">
        <f>VLOOKUP(B3406, Products!$A$2:$C$100, 2, FALSE)</f>
        <v>Trek Fuel EX 8 29 - 2016</v>
      </c>
      <c r="E3406">
        <v>2</v>
      </c>
      <c r="F3406">
        <v>269.99</v>
      </c>
      <c r="G3406">
        <v>0.05</v>
      </c>
      <c r="H3406">
        <v>13.499500000000001</v>
      </c>
      <c r="I3406">
        <f>order_items[[#This Row],[list_price]]-order_items[[#This Row],[Discounted_price]]</f>
        <v>256.4905</v>
      </c>
      <c r="J3406">
        <f>VLOOKUP(B3406, Products!$A$2:$E$100, 3, FALSE)</f>
        <v>9</v>
      </c>
      <c r="K3406">
        <f>VLOOKUP(B3406, Products!$A$2:$F$100, 4, FALSE)</f>
        <v>6</v>
      </c>
    </row>
    <row r="3407" spans="1:11" x14ac:dyDescent="0.3">
      <c r="A3407">
        <v>1179</v>
      </c>
      <c r="B3407">
        <v>1</v>
      </c>
      <c r="C3407">
        <v>93</v>
      </c>
      <c r="D3407" t="str">
        <f>VLOOKUP(B3407, Products!$A$2:$C$100, 2, FALSE)</f>
        <v>Trek 820 - 2016</v>
      </c>
      <c r="E3407">
        <v>2</v>
      </c>
      <c r="F3407">
        <v>209.99</v>
      </c>
      <c r="G3407">
        <v>0.05</v>
      </c>
      <c r="H3407">
        <v>10.499500000000001</v>
      </c>
      <c r="I3407">
        <f>order_items[[#This Row],[list_price]]-order_items[[#This Row],[Discounted_price]]</f>
        <v>199.4905</v>
      </c>
      <c r="J3407">
        <f>VLOOKUP(B3407, Products!$A$2:$E$100, 3, FALSE)</f>
        <v>9</v>
      </c>
      <c r="K3407">
        <f>VLOOKUP(B3407, Products!$A$2:$F$100, 4, FALSE)</f>
        <v>6</v>
      </c>
    </row>
    <row r="3408" spans="1:11" x14ac:dyDescent="0.3">
      <c r="A3408">
        <v>1179</v>
      </c>
      <c r="B3408">
        <v>2</v>
      </c>
      <c r="C3408">
        <v>88</v>
      </c>
      <c r="D3408" t="str">
        <f>VLOOKUP(B3408, Products!$A$2:$C$100, 2, FALSE)</f>
        <v>Ritchey Timberwolf Frameset - 2016</v>
      </c>
      <c r="E3408">
        <v>2</v>
      </c>
      <c r="F3408">
        <v>189.99</v>
      </c>
      <c r="G3408">
        <v>0.05</v>
      </c>
      <c r="H3408">
        <v>9.4995000000000012</v>
      </c>
      <c r="I3408">
        <f>order_items[[#This Row],[list_price]]-order_items[[#This Row],[Discounted_price]]</f>
        <v>180.4905</v>
      </c>
      <c r="J3408">
        <f>VLOOKUP(B3408, Products!$A$2:$E$100, 3, FALSE)</f>
        <v>5</v>
      </c>
      <c r="K3408">
        <f>VLOOKUP(B3408, Products!$A$2:$F$100, 4, FALSE)</f>
        <v>6</v>
      </c>
    </row>
    <row r="3409" spans="1:11" x14ac:dyDescent="0.3">
      <c r="A3409">
        <v>1179</v>
      </c>
      <c r="B3409">
        <v>3</v>
      </c>
      <c r="C3409">
        <v>33</v>
      </c>
      <c r="D3409" t="str">
        <f>VLOOKUP(B3409, Products!$A$2:$C$100, 2, FALSE)</f>
        <v>Surly Wednesday Frameset - 2016</v>
      </c>
      <c r="E3409">
        <v>2</v>
      </c>
      <c r="F3409">
        <v>469.99</v>
      </c>
      <c r="G3409">
        <v>0.2</v>
      </c>
      <c r="H3409">
        <v>93.998000000000005</v>
      </c>
      <c r="I3409">
        <f>order_items[[#This Row],[list_price]]-order_items[[#This Row],[Discounted_price]]</f>
        <v>375.99200000000002</v>
      </c>
      <c r="J3409">
        <f>VLOOKUP(B3409, Products!$A$2:$E$100, 3, FALSE)</f>
        <v>8</v>
      </c>
      <c r="K3409">
        <f>VLOOKUP(B3409, Products!$A$2:$F$100, 4, FALSE)</f>
        <v>6</v>
      </c>
    </row>
    <row r="3410" spans="1:11" x14ac:dyDescent="0.3">
      <c r="A3410">
        <v>1179</v>
      </c>
      <c r="B3410">
        <v>4</v>
      </c>
      <c r="C3410">
        <v>50</v>
      </c>
      <c r="D3410" t="str">
        <f>VLOOKUP(B3410, Products!$A$2:$C$100, 2, FALSE)</f>
        <v>Trek Fuel EX 8 29 - 2016</v>
      </c>
      <c r="E3410">
        <v>1</v>
      </c>
      <c r="F3410">
        <v>5999.99</v>
      </c>
      <c r="G3410">
        <v>7.0000000000000007E-2</v>
      </c>
      <c r="H3410">
        <v>419.99930000000001</v>
      </c>
      <c r="I3410">
        <f>order_items[[#This Row],[list_price]]-order_items[[#This Row],[Discounted_price]]</f>
        <v>5579.9906999999994</v>
      </c>
      <c r="J3410">
        <f>VLOOKUP(B3410, Products!$A$2:$E$100, 3, FALSE)</f>
        <v>9</v>
      </c>
      <c r="K3410">
        <f>VLOOKUP(B3410, Products!$A$2:$F$100, 4, FALSE)</f>
        <v>6</v>
      </c>
    </row>
    <row r="3411" spans="1:11" x14ac:dyDescent="0.3">
      <c r="A3411">
        <v>1180</v>
      </c>
      <c r="B3411">
        <v>1</v>
      </c>
      <c r="C3411">
        <v>66</v>
      </c>
      <c r="D3411" t="str">
        <f>VLOOKUP(B3411, Products!$A$2:$C$100, 2, FALSE)</f>
        <v>Trek 820 - 2016</v>
      </c>
      <c r="E3411">
        <v>2</v>
      </c>
      <c r="F3411">
        <v>250.99</v>
      </c>
      <c r="G3411">
        <v>7.0000000000000007E-2</v>
      </c>
      <c r="H3411">
        <v>17.569300000000002</v>
      </c>
      <c r="I3411">
        <f>order_items[[#This Row],[list_price]]-order_items[[#This Row],[Discounted_price]]</f>
        <v>233.42070000000001</v>
      </c>
      <c r="J3411">
        <f>VLOOKUP(B3411, Products!$A$2:$E$100, 3, FALSE)</f>
        <v>9</v>
      </c>
      <c r="K3411">
        <f>VLOOKUP(B3411, Products!$A$2:$F$100, 4, FALSE)</f>
        <v>6</v>
      </c>
    </row>
    <row r="3412" spans="1:11" x14ac:dyDescent="0.3">
      <c r="A3412">
        <v>1181</v>
      </c>
      <c r="B3412">
        <v>1</v>
      </c>
      <c r="C3412">
        <v>98</v>
      </c>
      <c r="D3412" t="str">
        <f>VLOOKUP(B3412, Products!$A$2:$C$100, 2, FALSE)</f>
        <v>Trek 820 - 2016</v>
      </c>
      <c r="E3412">
        <v>1</v>
      </c>
      <c r="F3412">
        <v>489.99</v>
      </c>
      <c r="G3412">
        <v>0.1</v>
      </c>
      <c r="H3412">
        <v>48.999000000000002</v>
      </c>
      <c r="I3412">
        <f>order_items[[#This Row],[list_price]]-order_items[[#This Row],[Discounted_price]]</f>
        <v>440.99099999999999</v>
      </c>
      <c r="J3412">
        <f>VLOOKUP(B3412, Products!$A$2:$E$100, 3, FALSE)</f>
        <v>9</v>
      </c>
      <c r="K3412">
        <f>VLOOKUP(B3412, Products!$A$2:$F$100, 4, FALSE)</f>
        <v>6</v>
      </c>
    </row>
    <row r="3413" spans="1:11" x14ac:dyDescent="0.3">
      <c r="A3413">
        <v>1182</v>
      </c>
      <c r="B3413">
        <v>1</v>
      </c>
      <c r="C3413">
        <v>35</v>
      </c>
      <c r="D3413" t="str">
        <f>VLOOKUP(B3413, Products!$A$2:$C$100, 2, FALSE)</f>
        <v>Trek 820 - 2016</v>
      </c>
      <c r="E3413">
        <v>1</v>
      </c>
      <c r="F3413">
        <v>832.99</v>
      </c>
      <c r="G3413">
        <v>0.1</v>
      </c>
      <c r="H3413">
        <v>83.299000000000007</v>
      </c>
      <c r="I3413">
        <f>order_items[[#This Row],[list_price]]-order_items[[#This Row],[Discounted_price]]</f>
        <v>749.69100000000003</v>
      </c>
      <c r="J3413">
        <f>VLOOKUP(B3413, Products!$A$2:$E$100, 3, FALSE)</f>
        <v>9</v>
      </c>
      <c r="K3413">
        <f>VLOOKUP(B3413, Products!$A$2:$F$100, 4, FALSE)</f>
        <v>6</v>
      </c>
    </row>
    <row r="3414" spans="1:11" x14ac:dyDescent="0.3">
      <c r="A3414">
        <v>1182</v>
      </c>
      <c r="B3414">
        <v>2</v>
      </c>
      <c r="C3414">
        <v>49</v>
      </c>
      <c r="D3414" t="str">
        <f>VLOOKUP(B3414, Products!$A$2:$C$100, 2, FALSE)</f>
        <v>Ritchey Timberwolf Frameset - 2016</v>
      </c>
      <c r="E3414">
        <v>2</v>
      </c>
      <c r="F3414">
        <v>3499.99</v>
      </c>
      <c r="G3414">
        <v>0.1</v>
      </c>
      <c r="H3414">
        <v>349.99900000000002</v>
      </c>
      <c r="I3414">
        <f>order_items[[#This Row],[list_price]]-order_items[[#This Row],[Discounted_price]]</f>
        <v>3149.991</v>
      </c>
      <c r="J3414">
        <f>VLOOKUP(B3414, Products!$A$2:$E$100, 3, FALSE)</f>
        <v>5</v>
      </c>
      <c r="K3414">
        <f>VLOOKUP(B3414, Products!$A$2:$F$100, 4, FALSE)</f>
        <v>6</v>
      </c>
    </row>
    <row r="3415" spans="1:11" x14ac:dyDescent="0.3">
      <c r="A3415">
        <v>1183</v>
      </c>
      <c r="B3415">
        <v>1</v>
      </c>
      <c r="C3415">
        <v>63</v>
      </c>
      <c r="D3415" t="str">
        <f>VLOOKUP(B3415, Products!$A$2:$C$100, 2, FALSE)</f>
        <v>Trek 820 - 2016</v>
      </c>
      <c r="E3415">
        <v>1</v>
      </c>
      <c r="F3415">
        <v>3499.99</v>
      </c>
      <c r="G3415">
        <v>0.2</v>
      </c>
      <c r="H3415">
        <v>699.99800000000005</v>
      </c>
      <c r="I3415">
        <f>order_items[[#This Row],[list_price]]-order_items[[#This Row],[Discounted_price]]</f>
        <v>2799.9919999999997</v>
      </c>
      <c r="J3415">
        <f>VLOOKUP(B3415, Products!$A$2:$E$100, 3, FALSE)</f>
        <v>9</v>
      </c>
      <c r="K3415">
        <f>VLOOKUP(B3415, Products!$A$2:$F$100, 4, FALSE)</f>
        <v>6</v>
      </c>
    </row>
    <row r="3416" spans="1:11" x14ac:dyDescent="0.3">
      <c r="A3416">
        <v>1183</v>
      </c>
      <c r="B3416">
        <v>2</v>
      </c>
      <c r="C3416">
        <v>80</v>
      </c>
      <c r="D3416" t="str">
        <f>VLOOKUP(B3416, Products!$A$2:$C$100, 2, FALSE)</f>
        <v>Ritchey Timberwolf Frameset - 2016</v>
      </c>
      <c r="E3416">
        <v>2</v>
      </c>
      <c r="F3416">
        <v>761.99</v>
      </c>
      <c r="G3416">
        <v>0.2</v>
      </c>
      <c r="H3416">
        <v>152.398</v>
      </c>
      <c r="I3416">
        <f>order_items[[#This Row],[list_price]]-order_items[[#This Row],[Discounted_price]]</f>
        <v>609.59199999999998</v>
      </c>
      <c r="J3416">
        <f>VLOOKUP(B3416, Products!$A$2:$E$100, 3, FALSE)</f>
        <v>5</v>
      </c>
      <c r="K3416">
        <f>VLOOKUP(B3416, Products!$A$2:$F$100, 4, FALSE)</f>
        <v>6</v>
      </c>
    </row>
    <row r="3417" spans="1:11" x14ac:dyDescent="0.3">
      <c r="A3417">
        <v>1183</v>
      </c>
      <c r="B3417">
        <v>3</v>
      </c>
      <c r="C3417">
        <v>6</v>
      </c>
      <c r="D3417" t="str">
        <f>VLOOKUP(B3417, Products!$A$2:$C$100, 2, FALSE)</f>
        <v>Surly Wednesday Frameset - 2016</v>
      </c>
      <c r="E3417">
        <v>2</v>
      </c>
      <c r="F3417">
        <v>469.99</v>
      </c>
      <c r="G3417">
        <v>0.05</v>
      </c>
      <c r="H3417">
        <v>23.499500000000001</v>
      </c>
      <c r="I3417">
        <f>order_items[[#This Row],[list_price]]-order_items[[#This Row],[Discounted_price]]</f>
        <v>446.4905</v>
      </c>
      <c r="J3417">
        <f>VLOOKUP(B3417, Products!$A$2:$E$100, 3, FALSE)</f>
        <v>8</v>
      </c>
      <c r="K3417">
        <f>VLOOKUP(B3417, Products!$A$2:$F$100, 4, FALSE)</f>
        <v>6</v>
      </c>
    </row>
    <row r="3418" spans="1:11" x14ac:dyDescent="0.3">
      <c r="A3418">
        <v>1184</v>
      </c>
      <c r="B3418">
        <v>1</v>
      </c>
      <c r="C3418">
        <v>16</v>
      </c>
      <c r="D3418" t="str">
        <f>VLOOKUP(B3418, Products!$A$2:$C$100, 2, FALSE)</f>
        <v>Trek 820 - 2016</v>
      </c>
      <c r="E3418">
        <v>2</v>
      </c>
      <c r="F3418">
        <v>599.99</v>
      </c>
      <c r="G3418">
        <v>0.05</v>
      </c>
      <c r="H3418">
        <v>29.999500000000001</v>
      </c>
      <c r="I3418">
        <f>order_items[[#This Row],[list_price]]-order_items[[#This Row],[Discounted_price]]</f>
        <v>569.9905</v>
      </c>
      <c r="J3418">
        <f>VLOOKUP(B3418, Products!$A$2:$E$100, 3, FALSE)</f>
        <v>9</v>
      </c>
      <c r="K3418">
        <f>VLOOKUP(B3418, Products!$A$2:$F$100, 4, FALSE)</f>
        <v>6</v>
      </c>
    </row>
    <row r="3419" spans="1:11" x14ac:dyDescent="0.3">
      <c r="A3419">
        <v>1184</v>
      </c>
      <c r="B3419">
        <v>2</v>
      </c>
      <c r="C3419">
        <v>71</v>
      </c>
      <c r="D3419" t="str">
        <f>VLOOKUP(B3419, Products!$A$2:$C$100, 2, FALSE)</f>
        <v>Ritchey Timberwolf Frameset - 2016</v>
      </c>
      <c r="E3419">
        <v>1</v>
      </c>
      <c r="F3419">
        <v>416.99</v>
      </c>
      <c r="G3419">
        <v>0.05</v>
      </c>
      <c r="H3419">
        <v>20.849500000000003</v>
      </c>
      <c r="I3419">
        <f>order_items[[#This Row],[list_price]]-order_items[[#This Row],[Discounted_price]]</f>
        <v>396.14050000000003</v>
      </c>
      <c r="J3419">
        <f>VLOOKUP(B3419, Products!$A$2:$E$100, 3, FALSE)</f>
        <v>5</v>
      </c>
      <c r="K3419">
        <f>VLOOKUP(B3419, Products!$A$2:$F$100, 4, FALSE)</f>
        <v>6</v>
      </c>
    </row>
    <row r="3420" spans="1:11" x14ac:dyDescent="0.3">
      <c r="A3420">
        <v>1185</v>
      </c>
      <c r="B3420">
        <v>1</v>
      </c>
      <c r="C3420">
        <v>19</v>
      </c>
      <c r="D3420" t="str">
        <f>VLOOKUP(B3420, Products!$A$2:$C$100, 2, FALSE)</f>
        <v>Trek 820 - 2016</v>
      </c>
      <c r="E3420">
        <v>2</v>
      </c>
      <c r="F3420">
        <v>449</v>
      </c>
      <c r="G3420">
        <v>7.0000000000000007E-2</v>
      </c>
      <c r="H3420">
        <v>31.430000000000003</v>
      </c>
      <c r="I3420">
        <f>order_items[[#This Row],[list_price]]-order_items[[#This Row],[Discounted_price]]</f>
        <v>417.57</v>
      </c>
      <c r="J3420">
        <f>VLOOKUP(B3420, Products!$A$2:$E$100, 3, FALSE)</f>
        <v>9</v>
      </c>
      <c r="K3420">
        <f>VLOOKUP(B3420, Products!$A$2:$F$100, 4, FALSE)</f>
        <v>6</v>
      </c>
    </row>
    <row r="3421" spans="1:11" x14ac:dyDescent="0.3">
      <c r="A3421">
        <v>1185</v>
      </c>
      <c r="B3421">
        <v>2</v>
      </c>
      <c r="C3421">
        <v>21</v>
      </c>
      <c r="D3421" t="str">
        <f>VLOOKUP(B3421, Products!$A$2:$C$100, 2, FALSE)</f>
        <v>Ritchey Timberwolf Frameset - 2016</v>
      </c>
      <c r="E3421">
        <v>1</v>
      </c>
      <c r="F3421">
        <v>269.99</v>
      </c>
      <c r="G3421">
        <v>7.0000000000000007E-2</v>
      </c>
      <c r="H3421">
        <v>18.899300000000004</v>
      </c>
      <c r="I3421">
        <f>order_items[[#This Row],[list_price]]-order_items[[#This Row],[Discounted_price]]</f>
        <v>251.0907</v>
      </c>
      <c r="J3421">
        <f>VLOOKUP(B3421, Products!$A$2:$E$100, 3, FALSE)</f>
        <v>5</v>
      </c>
      <c r="K3421">
        <f>VLOOKUP(B3421, Products!$A$2:$F$100, 4, FALSE)</f>
        <v>6</v>
      </c>
    </row>
    <row r="3422" spans="1:11" x14ac:dyDescent="0.3">
      <c r="A3422">
        <v>1185</v>
      </c>
      <c r="B3422">
        <v>3</v>
      </c>
      <c r="C3422">
        <v>63</v>
      </c>
      <c r="D3422" t="str">
        <f>VLOOKUP(B3422, Products!$A$2:$C$100, 2, FALSE)</f>
        <v>Surly Wednesday Frameset - 2016</v>
      </c>
      <c r="E3422">
        <v>2</v>
      </c>
      <c r="F3422">
        <v>3499.99</v>
      </c>
      <c r="G3422">
        <v>0.1</v>
      </c>
      <c r="H3422">
        <v>349.99900000000002</v>
      </c>
      <c r="I3422">
        <f>order_items[[#This Row],[list_price]]-order_items[[#This Row],[Discounted_price]]</f>
        <v>3149.991</v>
      </c>
      <c r="J3422">
        <f>VLOOKUP(B3422, Products!$A$2:$E$100, 3, FALSE)</f>
        <v>8</v>
      </c>
      <c r="K3422">
        <f>VLOOKUP(B3422, Products!$A$2:$F$100, 4, FALSE)</f>
        <v>6</v>
      </c>
    </row>
    <row r="3423" spans="1:11" x14ac:dyDescent="0.3">
      <c r="A3423">
        <v>1185</v>
      </c>
      <c r="B3423">
        <v>4</v>
      </c>
      <c r="C3423">
        <v>80</v>
      </c>
      <c r="D3423" t="str">
        <f>VLOOKUP(B3423, Products!$A$2:$C$100, 2, FALSE)</f>
        <v>Trek Fuel EX 8 29 - 2016</v>
      </c>
      <c r="E3423">
        <v>1</v>
      </c>
      <c r="F3423">
        <v>761.99</v>
      </c>
      <c r="G3423">
        <v>0.2</v>
      </c>
      <c r="H3423">
        <v>152.398</v>
      </c>
      <c r="I3423">
        <f>order_items[[#This Row],[list_price]]-order_items[[#This Row],[Discounted_price]]</f>
        <v>609.59199999999998</v>
      </c>
      <c r="J3423">
        <f>VLOOKUP(B3423, Products!$A$2:$E$100, 3, FALSE)</f>
        <v>9</v>
      </c>
      <c r="K3423">
        <f>VLOOKUP(B3423, Products!$A$2:$F$100, 4, FALSE)</f>
        <v>6</v>
      </c>
    </row>
    <row r="3424" spans="1:11" x14ac:dyDescent="0.3">
      <c r="A3424">
        <v>1186</v>
      </c>
      <c r="B3424">
        <v>1</v>
      </c>
      <c r="C3424">
        <v>48</v>
      </c>
      <c r="D3424" t="str">
        <f>VLOOKUP(B3424, Products!$A$2:$C$100, 2, FALSE)</f>
        <v>Trek 820 - 2016</v>
      </c>
      <c r="E3424">
        <v>2</v>
      </c>
      <c r="F3424">
        <v>1499.99</v>
      </c>
      <c r="G3424">
        <v>0.1</v>
      </c>
      <c r="H3424">
        <v>149.999</v>
      </c>
      <c r="I3424">
        <f>order_items[[#This Row],[list_price]]-order_items[[#This Row],[Discounted_price]]</f>
        <v>1349.991</v>
      </c>
      <c r="J3424">
        <f>VLOOKUP(B3424, Products!$A$2:$E$100, 3, FALSE)</f>
        <v>9</v>
      </c>
      <c r="K3424">
        <f>VLOOKUP(B3424, Products!$A$2:$F$100, 4, FALSE)</f>
        <v>6</v>
      </c>
    </row>
    <row r="3425" spans="1:11" x14ac:dyDescent="0.3">
      <c r="A3425">
        <v>1186</v>
      </c>
      <c r="B3425">
        <v>2</v>
      </c>
      <c r="C3425">
        <v>49</v>
      </c>
      <c r="D3425" t="str">
        <f>VLOOKUP(B3425, Products!$A$2:$C$100, 2, FALSE)</f>
        <v>Ritchey Timberwolf Frameset - 2016</v>
      </c>
      <c r="E3425">
        <v>1</v>
      </c>
      <c r="F3425">
        <v>3499.99</v>
      </c>
      <c r="G3425">
        <v>7.0000000000000007E-2</v>
      </c>
      <c r="H3425">
        <v>244.99930000000001</v>
      </c>
      <c r="I3425">
        <f>order_items[[#This Row],[list_price]]-order_items[[#This Row],[Discounted_price]]</f>
        <v>3254.9906999999998</v>
      </c>
      <c r="J3425">
        <f>VLOOKUP(B3425, Products!$A$2:$E$100, 3, FALSE)</f>
        <v>5</v>
      </c>
      <c r="K3425">
        <f>VLOOKUP(B3425, Products!$A$2:$F$100, 4, FALSE)</f>
        <v>6</v>
      </c>
    </row>
    <row r="3426" spans="1:11" x14ac:dyDescent="0.3">
      <c r="A3426">
        <v>1186</v>
      </c>
      <c r="B3426">
        <v>3</v>
      </c>
      <c r="C3426">
        <v>106</v>
      </c>
      <c r="D3426" t="str">
        <f>VLOOKUP(B3426, Products!$A$2:$C$100, 2, FALSE)</f>
        <v>Surly Wednesday Frameset - 2016</v>
      </c>
      <c r="E3426">
        <v>1</v>
      </c>
      <c r="F3426">
        <v>449.99</v>
      </c>
      <c r="G3426">
        <v>0.1</v>
      </c>
      <c r="H3426">
        <v>44.999000000000002</v>
      </c>
      <c r="I3426">
        <f>order_items[[#This Row],[list_price]]-order_items[[#This Row],[Discounted_price]]</f>
        <v>404.99099999999999</v>
      </c>
      <c r="J3426">
        <f>VLOOKUP(B3426, Products!$A$2:$E$100, 3, FALSE)</f>
        <v>8</v>
      </c>
      <c r="K3426">
        <f>VLOOKUP(B3426, Products!$A$2:$F$100, 4, FALSE)</f>
        <v>6</v>
      </c>
    </row>
    <row r="3427" spans="1:11" x14ac:dyDescent="0.3">
      <c r="A3427">
        <v>1186</v>
      </c>
      <c r="B3427">
        <v>4</v>
      </c>
      <c r="C3427">
        <v>27</v>
      </c>
      <c r="D3427" t="str">
        <f>VLOOKUP(B3427, Products!$A$2:$C$100, 2, FALSE)</f>
        <v>Trek Fuel EX 8 29 - 2016</v>
      </c>
      <c r="E3427">
        <v>1</v>
      </c>
      <c r="F3427">
        <v>999.99</v>
      </c>
      <c r="G3427">
        <v>0.2</v>
      </c>
      <c r="H3427">
        <v>199.99800000000002</v>
      </c>
      <c r="I3427">
        <f>order_items[[#This Row],[list_price]]-order_items[[#This Row],[Discounted_price]]</f>
        <v>799.99199999999996</v>
      </c>
      <c r="J3427">
        <f>VLOOKUP(B3427, Products!$A$2:$E$100, 3, FALSE)</f>
        <v>9</v>
      </c>
      <c r="K3427">
        <f>VLOOKUP(B3427, Products!$A$2:$F$100, 4, FALSE)</f>
        <v>6</v>
      </c>
    </row>
    <row r="3428" spans="1:11" x14ac:dyDescent="0.3">
      <c r="A3428">
        <v>1187</v>
      </c>
      <c r="B3428">
        <v>1</v>
      </c>
      <c r="C3428">
        <v>36</v>
      </c>
      <c r="D3428" t="str">
        <f>VLOOKUP(B3428, Products!$A$2:$C$100, 2, FALSE)</f>
        <v>Trek 820 - 2016</v>
      </c>
      <c r="E3428">
        <v>2</v>
      </c>
      <c r="F3428">
        <v>832.99</v>
      </c>
      <c r="G3428">
        <v>0.1</v>
      </c>
      <c r="H3428">
        <v>83.299000000000007</v>
      </c>
      <c r="I3428">
        <f>order_items[[#This Row],[list_price]]-order_items[[#This Row],[Discounted_price]]</f>
        <v>749.69100000000003</v>
      </c>
      <c r="J3428">
        <f>VLOOKUP(B3428, Products!$A$2:$E$100, 3, FALSE)</f>
        <v>9</v>
      </c>
      <c r="K3428">
        <f>VLOOKUP(B3428, Products!$A$2:$F$100, 4, FALSE)</f>
        <v>6</v>
      </c>
    </row>
    <row r="3429" spans="1:11" x14ac:dyDescent="0.3">
      <c r="A3429">
        <v>1187</v>
      </c>
      <c r="B3429">
        <v>2</v>
      </c>
      <c r="C3429">
        <v>79</v>
      </c>
      <c r="D3429" t="str">
        <f>VLOOKUP(B3429, Products!$A$2:$C$100, 2, FALSE)</f>
        <v>Ritchey Timberwolf Frameset - 2016</v>
      </c>
      <c r="E3429">
        <v>1</v>
      </c>
      <c r="F3429">
        <v>402.99</v>
      </c>
      <c r="G3429">
        <v>7.0000000000000007E-2</v>
      </c>
      <c r="H3429">
        <v>28.209300000000002</v>
      </c>
      <c r="I3429">
        <f>order_items[[#This Row],[list_price]]-order_items[[#This Row],[Discounted_price]]</f>
        <v>374.78070000000002</v>
      </c>
      <c r="J3429">
        <f>VLOOKUP(B3429, Products!$A$2:$E$100, 3, FALSE)</f>
        <v>5</v>
      </c>
      <c r="K3429">
        <f>VLOOKUP(B3429, Products!$A$2:$F$100, 4, FALSE)</f>
        <v>6</v>
      </c>
    </row>
    <row r="3430" spans="1:11" x14ac:dyDescent="0.3">
      <c r="A3430">
        <v>1187</v>
      </c>
      <c r="B3430">
        <v>3</v>
      </c>
      <c r="C3430">
        <v>4</v>
      </c>
      <c r="D3430" t="str">
        <f>VLOOKUP(B3430, Products!$A$2:$C$100, 2, FALSE)</f>
        <v>Surly Wednesday Frameset - 2016</v>
      </c>
      <c r="E3430">
        <v>1</v>
      </c>
      <c r="F3430">
        <v>2899.99</v>
      </c>
      <c r="G3430">
        <v>0.1</v>
      </c>
      <c r="H3430">
        <v>289.99899999999997</v>
      </c>
      <c r="I3430">
        <f>order_items[[#This Row],[list_price]]-order_items[[#This Row],[Discounted_price]]</f>
        <v>2609.991</v>
      </c>
      <c r="J3430">
        <f>VLOOKUP(B3430, Products!$A$2:$E$100, 3, FALSE)</f>
        <v>8</v>
      </c>
      <c r="K3430">
        <f>VLOOKUP(B3430, Products!$A$2:$F$100, 4, FALSE)</f>
        <v>6</v>
      </c>
    </row>
    <row r="3431" spans="1:11" x14ac:dyDescent="0.3">
      <c r="A3431">
        <v>1187</v>
      </c>
      <c r="B3431">
        <v>4</v>
      </c>
      <c r="C3431">
        <v>53</v>
      </c>
      <c r="D3431" t="str">
        <f>VLOOKUP(B3431, Products!$A$2:$C$100, 2, FALSE)</f>
        <v>Trek Fuel EX 8 29 - 2016</v>
      </c>
      <c r="E3431">
        <v>2</v>
      </c>
      <c r="F3431">
        <v>749.99</v>
      </c>
      <c r="G3431">
        <v>0.1</v>
      </c>
      <c r="H3431">
        <v>74.999000000000009</v>
      </c>
      <c r="I3431">
        <f>order_items[[#This Row],[list_price]]-order_items[[#This Row],[Discounted_price]]</f>
        <v>674.99099999999999</v>
      </c>
      <c r="J3431">
        <f>VLOOKUP(B3431, Products!$A$2:$E$100, 3, FALSE)</f>
        <v>9</v>
      </c>
      <c r="K3431">
        <f>VLOOKUP(B3431, Products!$A$2:$F$100, 4, FALSE)</f>
        <v>6</v>
      </c>
    </row>
    <row r="3432" spans="1:11" x14ac:dyDescent="0.3">
      <c r="A3432">
        <v>1188</v>
      </c>
      <c r="B3432">
        <v>1</v>
      </c>
      <c r="C3432">
        <v>66</v>
      </c>
      <c r="D3432" t="str">
        <f>VLOOKUP(B3432, Products!$A$2:$C$100, 2, FALSE)</f>
        <v>Trek 820 - 2016</v>
      </c>
      <c r="E3432">
        <v>2</v>
      </c>
      <c r="F3432">
        <v>250.99</v>
      </c>
      <c r="G3432">
        <v>0.1</v>
      </c>
      <c r="H3432">
        <v>25.099000000000004</v>
      </c>
      <c r="I3432">
        <f>order_items[[#This Row],[list_price]]-order_items[[#This Row],[Discounted_price]]</f>
        <v>225.89100000000002</v>
      </c>
      <c r="J3432">
        <f>VLOOKUP(B3432, Products!$A$2:$E$100, 3, FALSE)</f>
        <v>9</v>
      </c>
      <c r="K3432">
        <f>VLOOKUP(B3432, Products!$A$2:$F$100, 4, FALSE)</f>
        <v>6</v>
      </c>
    </row>
    <row r="3433" spans="1:11" x14ac:dyDescent="0.3">
      <c r="A3433">
        <v>1188</v>
      </c>
      <c r="B3433">
        <v>2</v>
      </c>
      <c r="C3433">
        <v>91</v>
      </c>
      <c r="D3433" t="str">
        <f>VLOOKUP(B3433, Products!$A$2:$C$100, 2, FALSE)</f>
        <v>Ritchey Timberwolf Frameset - 2016</v>
      </c>
      <c r="E3433">
        <v>2</v>
      </c>
      <c r="F3433">
        <v>349.99</v>
      </c>
      <c r="G3433">
        <v>0.2</v>
      </c>
      <c r="H3433">
        <v>69.998000000000005</v>
      </c>
      <c r="I3433">
        <f>order_items[[#This Row],[list_price]]-order_items[[#This Row],[Discounted_price]]</f>
        <v>279.99200000000002</v>
      </c>
      <c r="J3433">
        <f>VLOOKUP(B3433, Products!$A$2:$E$100, 3, FALSE)</f>
        <v>5</v>
      </c>
      <c r="K3433">
        <f>VLOOKUP(B3433, Products!$A$2:$F$100, 4, FALSE)</f>
        <v>6</v>
      </c>
    </row>
    <row r="3434" spans="1:11" x14ac:dyDescent="0.3">
      <c r="A3434">
        <v>1188</v>
      </c>
      <c r="B3434">
        <v>3</v>
      </c>
      <c r="C3434">
        <v>87</v>
      </c>
      <c r="D3434" t="str">
        <f>VLOOKUP(B3434, Products!$A$2:$C$100, 2, FALSE)</f>
        <v>Surly Wednesday Frameset - 2016</v>
      </c>
      <c r="E3434">
        <v>2</v>
      </c>
      <c r="F3434">
        <v>189.99</v>
      </c>
      <c r="G3434">
        <v>0.1</v>
      </c>
      <c r="H3434">
        <v>18.999000000000002</v>
      </c>
      <c r="I3434">
        <f>order_items[[#This Row],[list_price]]-order_items[[#This Row],[Discounted_price]]</f>
        <v>170.99100000000001</v>
      </c>
      <c r="J3434">
        <f>VLOOKUP(B3434, Products!$A$2:$E$100, 3, FALSE)</f>
        <v>8</v>
      </c>
      <c r="K3434">
        <f>VLOOKUP(B3434, Products!$A$2:$F$100, 4, FALSE)</f>
        <v>6</v>
      </c>
    </row>
    <row r="3435" spans="1:11" x14ac:dyDescent="0.3">
      <c r="A3435">
        <v>1189</v>
      </c>
      <c r="B3435">
        <v>1</v>
      </c>
      <c r="C3435">
        <v>55</v>
      </c>
      <c r="D3435" t="str">
        <f>VLOOKUP(B3435, Products!$A$2:$C$100, 2, FALSE)</f>
        <v>Trek 820 - 2016</v>
      </c>
      <c r="E3435">
        <v>1</v>
      </c>
      <c r="F3435">
        <v>2699.99</v>
      </c>
      <c r="G3435">
        <v>7.0000000000000007E-2</v>
      </c>
      <c r="H3435">
        <v>188.99930000000001</v>
      </c>
      <c r="I3435">
        <f>order_items[[#This Row],[list_price]]-order_items[[#This Row],[Discounted_price]]</f>
        <v>2510.9906999999998</v>
      </c>
      <c r="J3435">
        <f>VLOOKUP(B3435, Products!$A$2:$E$100, 3, FALSE)</f>
        <v>9</v>
      </c>
      <c r="K3435">
        <f>VLOOKUP(B3435, Products!$A$2:$F$100, 4, FALSE)</f>
        <v>6</v>
      </c>
    </row>
    <row r="3436" spans="1:11" x14ac:dyDescent="0.3">
      <c r="A3436">
        <v>1189</v>
      </c>
      <c r="B3436">
        <v>2</v>
      </c>
      <c r="C3436">
        <v>102</v>
      </c>
      <c r="D3436" t="str">
        <f>VLOOKUP(B3436, Products!$A$2:$C$100, 2, FALSE)</f>
        <v>Ritchey Timberwolf Frameset - 2016</v>
      </c>
      <c r="E3436">
        <v>2</v>
      </c>
      <c r="F3436">
        <v>489.99</v>
      </c>
      <c r="G3436">
        <v>0.1</v>
      </c>
      <c r="H3436">
        <v>48.999000000000002</v>
      </c>
      <c r="I3436">
        <f>order_items[[#This Row],[list_price]]-order_items[[#This Row],[Discounted_price]]</f>
        <v>440.99099999999999</v>
      </c>
      <c r="J3436">
        <f>VLOOKUP(B3436, Products!$A$2:$E$100, 3, FALSE)</f>
        <v>5</v>
      </c>
      <c r="K3436">
        <f>VLOOKUP(B3436, Products!$A$2:$F$100, 4, FALSE)</f>
        <v>6</v>
      </c>
    </row>
    <row r="3437" spans="1:11" x14ac:dyDescent="0.3">
      <c r="A3437">
        <v>1189</v>
      </c>
      <c r="B3437">
        <v>3</v>
      </c>
      <c r="C3437">
        <v>40</v>
      </c>
      <c r="D3437" t="str">
        <f>VLOOKUP(B3437, Products!$A$2:$C$100, 2, FALSE)</f>
        <v>Surly Wednesday Frameset - 2016</v>
      </c>
      <c r="E3437">
        <v>2</v>
      </c>
      <c r="F3437">
        <v>4999.99</v>
      </c>
      <c r="G3437">
        <v>0.1</v>
      </c>
      <c r="H3437">
        <v>499.99900000000002</v>
      </c>
      <c r="I3437">
        <f>order_items[[#This Row],[list_price]]-order_items[[#This Row],[Discounted_price]]</f>
        <v>4499.991</v>
      </c>
      <c r="J3437">
        <f>VLOOKUP(B3437, Products!$A$2:$E$100, 3, FALSE)</f>
        <v>8</v>
      </c>
      <c r="K3437">
        <f>VLOOKUP(B3437, Products!$A$2:$F$100, 4, FALSE)</f>
        <v>6</v>
      </c>
    </row>
    <row r="3438" spans="1:11" x14ac:dyDescent="0.3">
      <c r="A3438">
        <v>1190</v>
      </c>
      <c r="B3438">
        <v>1</v>
      </c>
      <c r="C3438">
        <v>71</v>
      </c>
      <c r="D3438" t="str">
        <f>VLOOKUP(B3438, Products!$A$2:$C$100, 2, FALSE)</f>
        <v>Trek 820 - 2016</v>
      </c>
      <c r="E3438">
        <v>1</v>
      </c>
      <c r="F3438">
        <v>416.99</v>
      </c>
      <c r="G3438">
        <v>7.0000000000000007E-2</v>
      </c>
      <c r="H3438">
        <v>29.189300000000003</v>
      </c>
      <c r="I3438">
        <f>order_items[[#This Row],[list_price]]-order_items[[#This Row],[Discounted_price]]</f>
        <v>387.80070000000001</v>
      </c>
      <c r="J3438">
        <f>VLOOKUP(B3438, Products!$A$2:$E$100, 3, FALSE)</f>
        <v>9</v>
      </c>
      <c r="K3438">
        <f>VLOOKUP(B3438, Products!$A$2:$F$100, 4, FALSE)</f>
        <v>6</v>
      </c>
    </row>
    <row r="3439" spans="1:11" x14ac:dyDescent="0.3">
      <c r="A3439">
        <v>1191</v>
      </c>
      <c r="B3439">
        <v>1</v>
      </c>
      <c r="C3439">
        <v>40</v>
      </c>
      <c r="D3439" t="str">
        <f>VLOOKUP(B3439, Products!$A$2:$C$100, 2, FALSE)</f>
        <v>Trek 820 - 2016</v>
      </c>
      <c r="E3439">
        <v>2</v>
      </c>
      <c r="F3439">
        <v>4999.99</v>
      </c>
      <c r="G3439">
        <v>0.1</v>
      </c>
      <c r="H3439">
        <v>499.99900000000002</v>
      </c>
      <c r="I3439">
        <f>order_items[[#This Row],[list_price]]-order_items[[#This Row],[Discounted_price]]</f>
        <v>4499.991</v>
      </c>
      <c r="J3439">
        <f>VLOOKUP(B3439, Products!$A$2:$E$100, 3, FALSE)</f>
        <v>9</v>
      </c>
      <c r="K3439">
        <f>VLOOKUP(B3439, Products!$A$2:$F$100, 4, FALSE)</f>
        <v>6</v>
      </c>
    </row>
    <row r="3440" spans="1:11" x14ac:dyDescent="0.3">
      <c r="A3440">
        <v>1191</v>
      </c>
      <c r="B3440">
        <v>2</v>
      </c>
      <c r="C3440">
        <v>89</v>
      </c>
      <c r="D3440" t="str">
        <f>VLOOKUP(B3440, Products!$A$2:$C$100, 2, FALSE)</f>
        <v>Ritchey Timberwolf Frameset - 2016</v>
      </c>
      <c r="E3440">
        <v>2</v>
      </c>
      <c r="F3440">
        <v>209.99</v>
      </c>
      <c r="G3440">
        <v>0.1</v>
      </c>
      <c r="H3440">
        <v>20.999000000000002</v>
      </c>
      <c r="I3440">
        <f>order_items[[#This Row],[list_price]]-order_items[[#This Row],[Discounted_price]]</f>
        <v>188.99100000000001</v>
      </c>
      <c r="J3440">
        <f>VLOOKUP(B3440, Products!$A$2:$E$100, 3, FALSE)</f>
        <v>5</v>
      </c>
      <c r="K3440">
        <f>VLOOKUP(B3440, Products!$A$2:$F$100, 4, FALSE)</f>
        <v>6</v>
      </c>
    </row>
    <row r="3441" spans="1:11" x14ac:dyDescent="0.3">
      <c r="A3441">
        <v>1191</v>
      </c>
      <c r="B3441">
        <v>3</v>
      </c>
      <c r="C3441">
        <v>100</v>
      </c>
      <c r="D3441" t="str">
        <f>VLOOKUP(B3441, Products!$A$2:$C$100, 2, FALSE)</f>
        <v>Surly Wednesday Frameset - 2016</v>
      </c>
      <c r="E3441">
        <v>1</v>
      </c>
      <c r="F3441">
        <v>489.99</v>
      </c>
      <c r="G3441">
        <v>7.0000000000000007E-2</v>
      </c>
      <c r="H3441">
        <v>34.299300000000002</v>
      </c>
      <c r="I3441">
        <f>order_items[[#This Row],[list_price]]-order_items[[#This Row],[Discounted_price]]</f>
        <v>455.69069999999999</v>
      </c>
      <c r="J3441">
        <f>VLOOKUP(B3441, Products!$A$2:$E$100, 3, FALSE)</f>
        <v>8</v>
      </c>
      <c r="K3441">
        <f>VLOOKUP(B3441, Products!$A$2:$F$100, 4, FALSE)</f>
        <v>6</v>
      </c>
    </row>
    <row r="3442" spans="1:11" x14ac:dyDescent="0.3">
      <c r="A3442">
        <v>1192</v>
      </c>
      <c r="B3442">
        <v>1</v>
      </c>
      <c r="C3442">
        <v>24</v>
      </c>
      <c r="D3442" t="str">
        <f>VLOOKUP(B3442, Products!$A$2:$C$100, 2, FALSE)</f>
        <v>Trek 820 - 2016</v>
      </c>
      <c r="E3442">
        <v>2</v>
      </c>
      <c r="F3442">
        <v>549.99</v>
      </c>
      <c r="G3442">
        <v>0.1</v>
      </c>
      <c r="H3442">
        <v>54.999000000000002</v>
      </c>
      <c r="I3442">
        <f>order_items[[#This Row],[list_price]]-order_items[[#This Row],[Discounted_price]]</f>
        <v>494.99099999999999</v>
      </c>
      <c r="J3442">
        <f>VLOOKUP(B3442, Products!$A$2:$E$100, 3, FALSE)</f>
        <v>9</v>
      </c>
      <c r="K3442">
        <f>VLOOKUP(B3442, Products!$A$2:$F$100, 4, FALSE)</f>
        <v>6</v>
      </c>
    </row>
    <row r="3443" spans="1:11" x14ac:dyDescent="0.3">
      <c r="A3443">
        <v>1192</v>
      </c>
      <c r="B3443">
        <v>2</v>
      </c>
      <c r="C3443">
        <v>88</v>
      </c>
      <c r="D3443" t="str">
        <f>VLOOKUP(B3443, Products!$A$2:$C$100, 2, FALSE)</f>
        <v>Ritchey Timberwolf Frameset - 2016</v>
      </c>
      <c r="E3443">
        <v>2</v>
      </c>
      <c r="F3443">
        <v>189.99</v>
      </c>
      <c r="G3443">
        <v>7.0000000000000007E-2</v>
      </c>
      <c r="H3443">
        <v>13.299300000000002</v>
      </c>
      <c r="I3443">
        <f>order_items[[#This Row],[list_price]]-order_items[[#This Row],[Discounted_price]]</f>
        <v>176.69069999999999</v>
      </c>
      <c r="J3443">
        <f>VLOOKUP(B3443, Products!$A$2:$E$100, 3, FALSE)</f>
        <v>5</v>
      </c>
      <c r="K3443">
        <f>VLOOKUP(B3443, Products!$A$2:$F$100, 4, FALSE)</f>
        <v>6</v>
      </c>
    </row>
    <row r="3444" spans="1:11" x14ac:dyDescent="0.3">
      <c r="A3444">
        <v>1192</v>
      </c>
      <c r="B3444">
        <v>3</v>
      </c>
      <c r="C3444">
        <v>37</v>
      </c>
      <c r="D3444" t="str">
        <f>VLOOKUP(B3444, Products!$A$2:$C$100, 2, FALSE)</f>
        <v>Surly Wednesday Frameset - 2016</v>
      </c>
      <c r="E3444">
        <v>2</v>
      </c>
      <c r="F3444">
        <v>379.99</v>
      </c>
      <c r="G3444">
        <v>0.2</v>
      </c>
      <c r="H3444">
        <v>75.998000000000005</v>
      </c>
      <c r="I3444">
        <f>order_items[[#This Row],[list_price]]-order_items[[#This Row],[Discounted_price]]</f>
        <v>303.99200000000002</v>
      </c>
      <c r="J3444">
        <f>VLOOKUP(B3444, Products!$A$2:$E$100, 3, FALSE)</f>
        <v>8</v>
      </c>
      <c r="K3444">
        <f>VLOOKUP(B3444, Products!$A$2:$F$100, 4, FALSE)</f>
        <v>6</v>
      </c>
    </row>
    <row r="3445" spans="1:11" x14ac:dyDescent="0.3">
      <c r="A3445">
        <v>1193</v>
      </c>
      <c r="B3445">
        <v>1</v>
      </c>
      <c r="C3445">
        <v>83</v>
      </c>
      <c r="D3445" t="str">
        <f>VLOOKUP(B3445, Products!$A$2:$C$100, 2, FALSE)</f>
        <v>Trek 820 - 2016</v>
      </c>
      <c r="E3445">
        <v>2</v>
      </c>
      <c r="F3445">
        <v>149.99</v>
      </c>
      <c r="G3445">
        <v>0.05</v>
      </c>
      <c r="H3445">
        <v>7.4995000000000012</v>
      </c>
      <c r="I3445">
        <f>order_items[[#This Row],[list_price]]-order_items[[#This Row],[Discounted_price]]</f>
        <v>142.4905</v>
      </c>
      <c r="J3445">
        <f>VLOOKUP(B3445, Products!$A$2:$E$100, 3, FALSE)</f>
        <v>9</v>
      </c>
      <c r="K3445">
        <f>VLOOKUP(B3445, Products!$A$2:$F$100, 4, FALSE)</f>
        <v>6</v>
      </c>
    </row>
    <row r="3446" spans="1:11" x14ac:dyDescent="0.3">
      <c r="A3446">
        <v>1193</v>
      </c>
      <c r="B3446">
        <v>2</v>
      </c>
      <c r="C3446">
        <v>27</v>
      </c>
      <c r="D3446" t="str">
        <f>VLOOKUP(B3446, Products!$A$2:$C$100, 2, FALSE)</f>
        <v>Ritchey Timberwolf Frameset - 2016</v>
      </c>
      <c r="E3446">
        <v>1</v>
      </c>
      <c r="F3446">
        <v>999.99</v>
      </c>
      <c r="G3446">
        <v>0.05</v>
      </c>
      <c r="H3446">
        <v>49.999500000000005</v>
      </c>
      <c r="I3446">
        <f>order_items[[#This Row],[list_price]]-order_items[[#This Row],[Discounted_price]]</f>
        <v>949.9905</v>
      </c>
      <c r="J3446">
        <f>VLOOKUP(B3446, Products!$A$2:$E$100, 3, FALSE)</f>
        <v>5</v>
      </c>
      <c r="K3446">
        <f>VLOOKUP(B3446, Products!$A$2:$F$100, 4, FALSE)</f>
        <v>6</v>
      </c>
    </row>
    <row r="3447" spans="1:11" x14ac:dyDescent="0.3">
      <c r="A3447">
        <v>1194</v>
      </c>
      <c r="B3447">
        <v>1</v>
      </c>
      <c r="C3447">
        <v>71</v>
      </c>
      <c r="D3447" t="str">
        <f>VLOOKUP(B3447, Products!$A$2:$C$100, 2, FALSE)</f>
        <v>Trek 820 - 2016</v>
      </c>
      <c r="E3447">
        <v>1</v>
      </c>
      <c r="F3447">
        <v>416.99</v>
      </c>
      <c r="G3447">
        <v>0.05</v>
      </c>
      <c r="H3447">
        <v>20.849500000000003</v>
      </c>
      <c r="I3447">
        <f>order_items[[#This Row],[list_price]]-order_items[[#This Row],[Discounted_price]]</f>
        <v>396.14050000000003</v>
      </c>
      <c r="J3447">
        <f>VLOOKUP(B3447, Products!$A$2:$E$100, 3, FALSE)</f>
        <v>9</v>
      </c>
      <c r="K3447">
        <f>VLOOKUP(B3447, Products!$A$2:$F$100, 4, FALSE)</f>
        <v>6</v>
      </c>
    </row>
    <row r="3448" spans="1:11" x14ac:dyDescent="0.3">
      <c r="A3448">
        <v>1194</v>
      </c>
      <c r="B3448">
        <v>2</v>
      </c>
      <c r="C3448">
        <v>7</v>
      </c>
      <c r="D3448" t="str">
        <f>VLOOKUP(B3448, Products!$A$2:$C$100, 2, FALSE)</f>
        <v>Ritchey Timberwolf Frameset - 2016</v>
      </c>
      <c r="E3448">
        <v>2</v>
      </c>
      <c r="F3448">
        <v>3999.99</v>
      </c>
      <c r="G3448">
        <v>7.0000000000000007E-2</v>
      </c>
      <c r="H3448">
        <v>279.99930000000001</v>
      </c>
      <c r="I3448">
        <f>order_items[[#This Row],[list_price]]-order_items[[#This Row],[Discounted_price]]</f>
        <v>3719.9906999999998</v>
      </c>
      <c r="J3448">
        <f>VLOOKUP(B3448, Products!$A$2:$E$100, 3, FALSE)</f>
        <v>5</v>
      </c>
      <c r="K3448">
        <f>VLOOKUP(B3448, Products!$A$2:$F$100, 4, FALSE)</f>
        <v>6</v>
      </c>
    </row>
    <row r="3449" spans="1:11" x14ac:dyDescent="0.3">
      <c r="A3449">
        <v>1194</v>
      </c>
      <c r="B3449">
        <v>3</v>
      </c>
      <c r="C3449">
        <v>105</v>
      </c>
      <c r="D3449" t="str">
        <f>VLOOKUP(B3449, Products!$A$2:$C$100, 2, FALSE)</f>
        <v>Surly Wednesday Frameset - 2016</v>
      </c>
      <c r="E3449">
        <v>2</v>
      </c>
      <c r="F3449">
        <v>533.99</v>
      </c>
      <c r="G3449">
        <v>0.1</v>
      </c>
      <c r="H3449">
        <v>53.399000000000001</v>
      </c>
      <c r="I3449">
        <f>order_items[[#This Row],[list_price]]-order_items[[#This Row],[Discounted_price]]</f>
        <v>480.59100000000001</v>
      </c>
      <c r="J3449">
        <f>VLOOKUP(B3449, Products!$A$2:$E$100, 3, FALSE)</f>
        <v>8</v>
      </c>
      <c r="K3449">
        <f>VLOOKUP(B3449, Products!$A$2:$F$100, 4, FALSE)</f>
        <v>6</v>
      </c>
    </row>
    <row r="3450" spans="1:11" x14ac:dyDescent="0.3">
      <c r="A3450">
        <v>1194</v>
      </c>
      <c r="B3450">
        <v>4</v>
      </c>
      <c r="C3450">
        <v>84</v>
      </c>
      <c r="D3450" t="str">
        <f>VLOOKUP(B3450, Products!$A$2:$C$100, 2, FALSE)</f>
        <v>Trek Fuel EX 8 29 - 2016</v>
      </c>
      <c r="E3450">
        <v>1</v>
      </c>
      <c r="F3450">
        <v>109.99</v>
      </c>
      <c r="G3450">
        <v>0.05</v>
      </c>
      <c r="H3450">
        <v>5.4995000000000003</v>
      </c>
      <c r="I3450">
        <f>order_items[[#This Row],[list_price]]-order_items[[#This Row],[Discounted_price]]</f>
        <v>104.4905</v>
      </c>
      <c r="J3450">
        <f>VLOOKUP(B3450, Products!$A$2:$E$100, 3, FALSE)</f>
        <v>9</v>
      </c>
      <c r="K3450">
        <f>VLOOKUP(B3450, Products!$A$2:$F$100, 4, FALSE)</f>
        <v>6</v>
      </c>
    </row>
    <row r="3451" spans="1:11" x14ac:dyDescent="0.3">
      <c r="A3451">
        <v>1195</v>
      </c>
      <c r="B3451">
        <v>1</v>
      </c>
      <c r="C3451">
        <v>52</v>
      </c>
      <c r="D3451" t="str">
        <f>VLOOKUP(B3451, Products!$A$2:$C$100, 2, FALSE)</f>
        <v>Trek 820 - 2016</v>
      </c>
      <c r="E3451">
        <v>1</v>
      </c>
      <c r="F3451">
        <v>875.99</v>
      </c>
      <c r="G3451">
        <v>7.0000000000000007E-2</v>
      </c>
      <c r="H3451">
        <v>61.319300000000005</v>
      </c>
      <c r="I3451">
        <f>order_items[[#This Row],[list_price]]-order_items[[#This Row],[Discounted_price]]</f>
        <v>814.67070000000001</v>
      </c>
      <c r="J3451">
        <f>VLOOKUP(B3451, Products!$A$2:$E$100, 3, FALSE)</f>
        <v>9</v>
      </c>
      <c r="K3451">
        <f>VLOOKUP(B3451, Products!$A$2:$F$100, 4, FALSE)</f>
        <v>6</v>
      </c>
    </row>
    <row r="3452" spans="1:11" x14ac:dyDescent="0.3">
      <c r="A3452">
        <v>1196</v>
      </c>
      <c r="B3452">
        <v>1</v>
      </c>
      <c r="C3452">
        <v>53</v>
      </c>
      <c r="D3452" t="str">
        <f>VLOOKUP(B3452, Products!$A$2:$C$100, 2, FALSE)</f>
        <v>Trek 820 - 2016</v>
      </c>
      <c r="E3452">
        <v>1</v>
      </c>
      <c r="F3452">
        <v>749.99</v>
      </c>
      <c r="G3452">
        <v>7.0000000000000007E-2</v>
      </c>
      <c r="H3452">
        <v>52.499300000000005</v>
      </c>
      <c r="I3452">
        <f>order_items[[#This Row],[list_price]]-order_items[[#This Row],[Discounted_price]]</f>
        <v>697.49070000000006</v>
      </c>
      <c r="J3452">
        <f>VLOOKUP(B3452, Products!$A$2:$E$100, 3, FALSE)</f>
        <v>9</v>
      </c>
      <c r="K3452">
        <f>VLOOKUP(B3452, Products!$A$2:$F$100, 4, FALSE)</f>
        <v>6</v>
      </c>
    </row>
    <row r="3453" spans="1:11" x14ac:dyDescent="0.3">
      <c r="A3453">
        <v>1197</v>
      </c>
      <c r="B3453">
        <v>1</v>
      </c>
      <c r="C3453">
        <v>13</v>
      </c>
      <c r="D3453" t="str">
        <f>VLOOKUP(B3453, Products!$A$2:$C$100, 2, FALSE)</f>
        <v>Trek 820 - 2016</v>
      </c>
      <c r="E3453">
        <v>1</v>
      </c>
      <c r="F3453">
        <v>269.99</v>
      </c>
      <c r="G3453">
        <v>7.0000000000000007E-2</v>
      </c>
      <c r="H3453">
        <v>18.899300000000004</v>
      </c>
      <c r="I3453">
        <f>order_items[[#This Row],[list_price]]-order_items[[#This Row],[Discounted_price]]</f>
        <v>251.0907</v>
      </c>
      <c r="J3453">
        <f>VLOOKUP(B3453, Products!$A$2:$E$100, 3, FALSE)</f>
        <v>9</v>
      </c>
      <c r="K3453">
        <f>VLOOKUP(B3453, Products!$A$2:$F$100, 4, FALSE)</f>
        <v>6</v>
      </c>
    </row>
    <row r="3454" spans="1:11" x14ac:dyDescent="0.3">
      <c r="A3454">
        <v>1197</v>
      </c>
      <c r="B3454">
        <v>2</v>
      </c>
      <c r="C3454">
        <v>108</v>
      </c>
      <c r="D3454" t="str">
        <f>VLOOKUP(B3454, Products!$A$2:$C$100, 2, FALSE)</f>
        <v>Ritchey Timberwolf Frameset - 2016</v>
      </c>
      <c r="E3454">
        <v>2</v>
      </c>
      <c r="F3454">
        <v>449.99</v>
      </c>
      <c r="G3454">
        <v>0.05</v>
      </c>
      <c r="H3454">
        <v>22.499500000000001</v>
      </c>
      <c r="I3454">
        <f>order_items[[#This Row],[list_price]]-order_items[[#This Row],[Discounted_price]]</f>
        <v>427.4905</v>
      </c>
      <c r="J3454">
        <f>VLOOKUP(B3454, Products!$A$2:$E$100, 3, FALSE)</f>
        <v>5</v>
      </c>
      <c r="K3454">
        <f>VLOOKUP(B3454, Products!$A$2:$F$100, 4, FALSE)</f>
        <v>6</v>
      </c>
    </row>
    <row r="3455" spans="1:11" x14ac:dyDescent="0.3">
      <c r="A3455">
        <v>1197</v>
      </c>
      <c r="B3455">
        <v>3</v>
      </c>
      <c r="C3455">
        <v>9</v>
      </c>
      <c r="D3455" t="str">
        <f>VLOOKUP(B3455, Products!$A$2:$C$100, 2, FALSE)</f>
        <v>Surly Wednesday Frameset - 2016</v>
      </c>
      <c r="E3455">
        <v>2</v>
      </c>
      <c r="F3455">
        <v>2999.99</v>
      </c>
      <c r="G3455">
        <v>0.05</v>
      </c>
      <c r="H3455">
        <v>149.99949999999998</v>
      </c>
      <c r="I3455">
        <f>order_items[[#This Row],[list_price]]-order_items[[#This Row],[Discounted_price]]</f>
        <v>2849.9904999999999</v>
      </c>
      <c r="J3455">
        <f>VLOOKUP(B3455, Products!$A$2:$E$100, 3, FALSE)</f>
        <v>8</v>
      </c>
      <c r="K3455">
        <f>VLOOKUP(B3455, Products!$A$2:$F$100, 4, FALSE)</f>
        <v>6</v>
      </c>
    </row>
    <row r="3456" spans="1:11" x14ac:dyDescent="0.3">
      <c r="A3456">
        <v>1197</v>
      </c>
      <c r="B3456">
        <v>4</v>
      </c>
      <c r="C3456">
        <v>106</v>
      </c>
      <c r="D3456" t="str">
        <f>VLOOKUP(B3456, Products!$A$2:$C$100, 2, FALSE)</f>
        <v>Trek Fuel EX 8 29 - 2016</v>
      </c>
      <c r="E3456">
        <v>2</v>
      </c>
      <c r="F3456">
        <v>449.99</v>
      </c>
      <c r="G3456">
        <v>0.2</v>
      </c>
      <c r="H3456">
        <v>89.998000000000005</v>
      </c>
      <c r="I3456">
        <f>order_items[[#This Row],[list_price]]-order_items[[#This Row],[Discounted_price]]</f>
        <v>359.99200000000002</v>
      </c>
      <c r="J3456">
        <f>VLOOKUP(B3456, Products!$A$2:$E$100, 3, FALSE)</f>
        <v>9</v>
      </c>
      <c r="K3456">
        <f>VLOOKUP(B3456, Products!$A$2:$F$100, 4, FALSE)</f>
        <v>6</v>
      </c>
    </row>
    <row r="3457" spans="1:11" x14ac:dyDescent="0.3">
      <c r="A3457">
        <v>1198</v>
      </c>
      <c r="B3457">
        <v>1</v>
      </c>
      <c r="C3457">
        <v>105</v>
      </c>
      <c r="D3457" t="str">
        <f>VLOOKUP(B3457, Products!$A$2:$C$100, 2, FALSE)</f>
        <v>Trek 820 - 2016</v>
      </c>
      <c r="E3457">
        <v>1</v>
      </c>
      <c r="F3457">
        <v>533.99</v>
      </c>
      <c r="G3457">
        <v>0.05</v>
      </c>
      <c r="H3457">
        <v>26.6995</v>
      </c>
      <c r="I3457">
        <f>order_items[[#This Row],[list_price]]-order_items[[#This Row],[Discounted_price]]</f>
        <v>507.29050000000001</v>
      </c>
      <c r="J3457">
        <f>VLOOKUP(B3457, Products!$A$2:$E$100, 3, FALSE)</f>
        <v>9</v>
      </c>
      <c r="K3457">
        <f>VLOOKUP(B3457, Products!$A$2:$F$100, 4, FALSE)</f>
        <v>6</v>
      </c>
    </row>
    <row r="3458" spans="1:11" x14ac:dyDescent="0.3">
      <c r="A3458">
        <v>1199</v>
      </c>
      <c r="B3458">
        <v>1</v>
      </c>
      <c r="C3458">
        <v>32</v>
      </c>
      <c r="D3458" t="str">
        <f>VLOOKUP(B3458, Products!$A$2:$C$100, 2, FALSE)</f>
        <v>Trek 820 - 2016</v>
      </c>
      <c r="E3458">
        <v>1</v>
      </c>
      <c r="F3458">
        <v>469.99</v>
      </c>
      <c r="G3458">
        <v>0.05</v>
      </c>
      <c r="H3458">
        <v>23.499500000000001</v>
      </c>
      <c r="I3458">
        <f>order_items[[#This Row],[list_price]]-order_items[[#This Row],[Discounted_price]]</f>
        <v>446.4905</v>
      </c>
      <c r="J3458">
        <f>VLOOKUP(B3458, Products!$A$2:$E$100, 3, FALSE)</f>
        <v>9</v>
      </c>
      <c r="K3458">
        <f>VLOOKUP(B3458, Products!$A$2:$F$100, 4, FALSE)</f>
        <v>6</v>
      </c>
    </row>
    <row r="3459" spans="1:11" x14ac:dyDescent="0.3">
      <c r="A3459">
        <v>1199</v>
      </c>
      <c r="B3459">
        <v>2</v>
      </c>
      <c r="C3459">
        <v>94</v>
      </c>
      <c r="D3459" t="str">
        <f>VLOOKUP(B3459, Products!$A$2:$C$100, 2, FALSE)</f>
        <v>Ritchey Timberwolf Frameset - 2016</v>
      </c>
      <c r="E3459">
        <v>2</v>
      </c>
      <c r="F3459">
        <v>249.99</v>
      </c>
      <c r="G3459">
        <v>7.0000000000000007E-2</v>
      </c>
      <c r="H3459">
        <v>17.499300000000002</v>
      </c>
      <c r="I3459">
        <f>order_items[[#This Row],[list_price]]-order_items[[#This Row],[Discounted_price]]</f>
        <v>232.4907</v>
      </c>
      <c r="J3459">
        <f>VLOOKUP(B3459, Products!$A$2:$E$100, 3, FALSE)</f>
        <v>5</v>
      </c>
      <c r="K3459">
        <f>VLOOKUP(B3459, Products!$A$2:$F$100, 4, FALSE)</f>
        <v>6</v>
      </c>
    </row>
    <row r="3460" spans="1:11" x14ac:dyDescent="0.3">
      <c r="A3460">
        <v>1199</v>
      </c>
      <c r="B3460">
        <v>3</v>
      </c>
      <c r="C3460">
        <v>109</v>
      </c>
      <c r="D3460" t="str">
        <f>VLOOKUP(B3460, Products!$A$2:$C$100, 2, FALSE)</f>
        <v>Surly Wednesday Frameset - 2016</v>
      </c>
      <c r="E3460">
        <v>2</v>
      </c>
      <c r="F3460">
        <v>416.99</v>
      </c>
      <c r="G3460">
        <v>0.1</v>
      </c>
      <c r="H3460">
        <v>41.699000000000005</v>
      </c>
      <c r="I3460">
        <f>order_items[[#This Row],[list_price]]-order_items[[#This Row],[Discounted_price]]</f>
        <v>375.291</v>
      </c>
      <c r="J3460">
        <f>VLOOKUP(B3460, Products!$A$2:$E$100, 3, FALSE)</f>
        <v>8</v>
      </c>
      <c r="K3460">
        <f>VLOOKUP(B3460, Products!$A$2:$F$100, 4, FALSE)</f>
        <v>6</v>
      </c>
    </row>
    <row r="3461" spans="1:11" x14ac:dyDescent="0.3">
      <c r="A3461">
        <v>1200</v>
      </c>
      <c r="B3461">
        <v>1</v>
      </c>
      <c r="C3461">
        <v>42</v>
      </c>
      <c r="D3461" t="str">
        <f>VLOOKUP(B3461, Products!$A$2:$C$100, 2, FALSE)</f>
        <v>Trek 820 - 2016</v>
      </c>
      <c r="E3461">
        <v>2</v>
      </c>
      <c r="F3461">
        <v>2299.9899999999998</v>
      </c>
      <c r="G3461">
        <v>0.2</v>
      </c>
      <c r="H3461">
        <v>459.99799999999999</v>
      </c>
      <c r="I3461">
        <f>order_items[[#This Row],[list_price]]-order_items[[#This Row],[Discounted_price]]</f>
        <v>1839.9919999999997</v>
      </c>
      <c r="J3461">
        <f>VLOOKUP(B3461, Products!$A$2:$E$100, 3, FALSE)</f>
        <v>9</v>
      </c>
      <c r="K3461">
        <f>VLOOKUP(B3461, Products!$A$2:$F$100, 4, FALSE)</f>
        <v>6</v>
      </c>
    </row>
    <row r="3462" spans="1:11" x14ac:dyDescent="0.3">
      <c r="A3462">
        <v>1201</v>
      </c>
      <c r="B3462">
        <v>1</v>
      </c>
      <c r="C3462">
        <v>95</v>
      </c>
      <c r="D3462" t="str">
        <f>VLOOKUP(B3462, Products!$A$2:$C$100, 2, FALSE)</f>
        <v>Trek 820 - 2016</v>
      </c>
      <c r="E3462">
        <v>1</v>
      </c>
      <c r="F3462">
        <v>299.99</v>
      </c>
      <c r="G3462">
        <v>7.0000000000000007E-2</v>
      </c>
      <c r="H3462">
        <v>20.999300000000002</v>
      </c>
      <c r="I3462">
        <f>order_items[[#This Row],[list_price]]-order_items[[#This Row],[Discounted_price]]</f>
        <v>278.9907</v>
      </c>
      <c r="J3462">
        <f>VLOOKUP(B3462, Products!$A$2:$E$100, 3, FALSE)</f>
        <v>9</v>
      </c>
      <c r="K3462">
        <f>VLOOKUP(B3462, Products!$A$2:$F$100, 4, FALSE)</f>
        <v>6</v>
      </c>
    </row>
    <row r="3463" spans="1:11" x14ac:dyDescent="0.3">
      <c r="A3463">
        <v>1201</v>
      </c>
      <c r="B3463">
        <v>2</v>
      </c>
      <c r="C3463">
        <v>13</v>
      </c>
      <c r="D3463" t="str">
        <f>VLOOKUP(B3463, Products!$A$2:$C$100, 2, FALSE)</f>
        <v>Ritchey Timberwolf Frameset - 2016</v>
      </c>
      <c r="E3463">
        <v>1</v>
      </c>
      <c r="F3463">
        <v>269.99</v>
      </c>
      <c r="G3463">
        <v>0.05</v>
      </c>
      <c r="H3463">
        <v>13.499500000000001</v>
      </c>
      <c r="I3463">
        <f>order_items[[#This Row],[list_price]]-order_items[[#This Row],[Discounted_price]]</f>
        <v>256.4905</v>
      </c>
      <c r="J3463">
        <f>VLOOKUP(B3463, Products!$A$2:$E$100, 3, FALSE)</f>
        <v>5</v>
      </c>
      <c r="K3463">
        <f>VLOOKUP(B3463, Products!$A$2:$F$100, 4, FALSE)</f>
        <v>6</v>
      </c>
    </row>
    <row r="3464" spans="1:11" x14ac:dyDescent="0.3">
      <c r="A3464">
        <v>1201</v>
      </c>
      <c r="B3464">
        <v>3</v>
      </c>
      <c r="C3464">
        <v>26</v>
      </c>
      <c r="D3464" t="str">
        <f>VLOOKUP(B3464, Products!$A$2:$C$100, 2, FALSE)</f>
        <v>Surly Wednesday Frameset - 2016</v>
      </c>
      <c r="E3464">
        <v>1</v>
      </c>
      <c r="F3464">
        <v>599.99</v>
      </c>
      <c r="G3464">
        <v>0.2</v>
      </c>
      <c r="H3464">
        <v>119.998</v>
      </c>
      <c r="I3464">
        <f>order_items[[#This Row],[list_price]]-order_items[[#This Row],[Discounted_price]]</f>
        <v>479.99200000000002</v>
      </c>
      <c r="J3464">
        <f>VLOOKUP(B3464, Products!$A$2:$E$100, 3, FALSE)</f>
        <v>8</v>
      </c>
      <c r="K3464">
        <f>VLOOKUP(B3464, Products!$A$2:$F$100, 4, FALSE)</f>
        <v>6</v>
      </c>
    </row>
    <row r="3465" spans="1:11" x14ac:dyDescent="0.3">
      <c r="A3465">
        <v>1201</v>
      </c>
      <c r="B3465">
        <v>4</v>
      </c>
      <c r="C3465">
        <v>17</v>
      </c>
      <c r="D3465" t="str">
        <f>VLOOKUP(B3465, Products!$A$2:$C$100, 2, FALSE)</f>
        <v>Trek Fuel EX 8 29 - 2016</v>
      </c>
      <c r="E3465">
        <v>2</v>
      </c>
      <c r="F3465">
        <v>429</v>
      </c>
      <c r="G3465">
        <v>0.05</v>
      </c>
      <c r="H3465">
        <v>21.450000000000003</v>
      </c>
      <c r="I3465">
        <f>order_items[[#This Row],[list_price]]-order_items[[#This Row],[Discounted_price]]</f>
        <v>407.55</v>
      </c>
      <c r="J3465">
        <f>VLOOKUP(B3465, Products!$A$2:$E$100, 3, FALSE)</f>
        <v>9</v>
      </c>
      <c r="K3465">
        <f>VLOOKUP(B3465, Products!$A$2:$F$100, 4, FALSE)</f>
        <v>6</v>
      </c>
    </row>
    <row r="3466" spans="1:11" x14ac:dyDescent="0.3">
      <c r="A3466">
        <v>1201</v>
      </c>
      <c r="B3466">
        <v>5</v>
      </c>
      <c r="C3466">
        <v>19</v>
      </c>
      <c r="D3466" t="str">
        <f>VLOOKUP(B3466, Products!$A$2:$C$100, 2, FALSE)</f>
        <v>Heller Shagamaw Frame - 2016</v>
      </c>
      <c r="E3466">
        <v>2</v>
      </c>
      <c r="F3466">
        <v>449</v>
      </c>
      <c r="G3466">
        <v>0.2</v>
      </c>
      <c r="H3466">
        <v>89.800000000000011</v>
      </c>
      <c r="I3466">
        <f>order_items[[#This Row],[list_price]]-order_items[[#This Row],[Discounted_price]]</f>
        <v>359.2</v>
      </c>
      <c r="J3466">
        <f>VLOOKUP(B3466, Products!$A$2:$E$100, 3, FALSE)</f>
        <v>3</v>
      </c>
      <c r="K3466">
        <f>VLOOKUP(B3466, Products!$A$2:$F$100, 4, FALSE)</f>
        <v>6</v>
      </c>
    </row>
    <row r="3467" spans="1:11" x14ac:dyDescent="0.3">
      <c r="A3467">
        <v>1202</v>
      </c>
      <c r="B3467">
        <v>1</v>
      </c>
      <c r="C3467">
        <v>84</v>
      </c>
      <c r="D3467" t="str">
        <f>VLOOKUP(B3467, Products!$A$2:$C$100, 2, FALSE)</f>
        <v>Trek 820 - 2016</v>
      </c>
      <c r="E3467">
        <v>2</v>
      </c>
      <c r="F3467">
        <v>109.99</v>
      </c>
      <c r="G3467">
        <v>0.05</v>
      </c>
      <c r="H3467">
        <v>5.4995000000000003</v>
      </c>
      <c r="I3467">
        <f>order_items[[#This Row],[list_price]]-order_items[[#This Row],[Discounted_price]]</f>
        <v>104.4905</v>
      </c>
      <c r="J3467">
        <f>VLOOKUP(B3467, Products!$A$2:$E$100, 3, FALSE)</f>
        <v>9</v>
      </c>
      <c r="K3467">
        <f>VLOOKUP(B3467, Products!$A$2:$F$100, 4, FALSE)</f>
        <v>6</v>
      </c>
    </row>
    <row r="3468" spans="1:11" x14ac:dyDescent="0.3">
      <c r="A3468">
        <v>1203</v>
      </c>
      <c r="B3468">
        <v>1</v>
      </c>
      <c r="C3468">
        <v>6</v>
      </c>
      <c r="D3468" t="str">
        <f>VLOOKUP(B3468, Products!$A$2:$C$100, 2, FALSE)</f>
        <v>Trek 820 - 2016</v>
      </c>
      <c r="E3468">
        <v>2</v>
      </c>
      <c r="F3468">
        <v>469.99</v>
      </c>
      <c r="G3468">
        <v>7.0000000000000007E-2</v>
      </c>
      <c r="H3468">
        <v>32.899300000000004</v>
      </c>
      <c r="I3468">
        <f>order_items[[#This Row],[list_price]]-order_items[[#This Row],[Discounted_price]]</f>
        <v>437.09070000000003</v>
      </c>
      <c r="J3468">
        <f>VLOOKUP(B3468, Products!$A$2:$E$100, 3, FALSE)</f>
        <v>9</v>
      </c>
      <c r="K3468">
        <f>VLOOKUP(B3468, Products!$A$2:$F$100, 4, FALSE)</f>
        <v>6</v>
      </c>
    </row>
    <row r="3469" spans="1:11" x14ac:dyDescent="0.3">
      <c r="A3469">
        <v>1203</v>
      </c>
      <c r="B3469">
        <v>2</v>
      </c>
      <c r="C3469">
        <v>55</v>
      </c>
      <c r="D3469" t="str">
        <f>VLOOKUP(B3469, Products!$A$2:$C$100, 2, FALSE)</f>
        <v>Ritchey Timberwolf Frameset - 2016</v>
      </c>
      <c r="E3469">
        <v>1</v>
      </c>
      <c r="F3469">
        <v>2699.99</v>
      </c>
      <c r="G3469">
        <v>0.05</v>
      </c>
      <c r="H3469">
        <v>134.99949999999998</v>
      </c>
      <c r="I3469">
        <f>order_items[[#This Row],[list_price]]-order_items[[#This Row],[Discounted_price]]</f>
        <v>2564.9904999999999</v>
      </c>
      <c r="J3469">
        <f>VLOOKUP(B3469, Products!$A$2:$E$100, 3, FALSE)</f>
        <v>5</v>
      </c>
      <c r="K3469">
        <f>VLOOKUP(B3469, Products!$A$2:$F$100, 4, FALSE)</f>
        <v>6</v>
      </c>
    </row>
    <row r="3470" spans="1:11" x14ac:dyDescent="0.3">
      <c r="A3470">
        <v>1204</v>
      </c>
      <c r="B3470">
        <v>1</v>
      </c>
      <c r="C3470">
        <v>37</v>
      </c>
      <c r="D3470" t="str">
        <f>VLOOKUP(B3470, Products!$A$2:$C$100, 2, FALSE)</f>
        <v>Trek 820 - 2016</v>
      </c>
      <c r="E3470">
        <v>2</v>
      </c>
      <c r="F3470">
        <v>379.99</v>
      </c>
      <c r="G3470">
        <v>7.0000000000000007E-2</v>
      </c>
      <c r="H3470">
        <v>26.599300000000003</v>
      </c>
      <c r="I3470">
        <f>order_items[[#This Row],[list_price]]-order_items[[#This Row],[Discounted_price]]</f>
        <v>353.39069999999998</v>
      </c>
      <c r="J3470">
        <f>VLOOKUP(B3470, Products!$A$2:$E$100, 3, FALSE)</f>
        <v>9</v>
      </c>
      <c r="K3470">
        <f>VLOOKUP(B3470, Products!$A$2:$F$100, 4, FALSE)</f>
        <v>6</v>
      </c>
    </row>
    <row r="3471" spans="1:11" x14ac:dyDescent="0.3">
      <c r="A3471">
        <v>1205</v>
      </c>
      <c r="B3471">
        <v>1</v>
      </c>
      <c r="C3471">
        <v>105</v>
      </c>
      <c r="D3471" t="str">
        <f>VLOOKUP(B3471, Products!$A$2:$C$100, 2, FALSE)</f>
        <v>Trek 820 - 2016</v>
      </c>
      <c r="E3471">
        <v>2</v>
      </c>
      <c r="F3471">
        <v>533.99</v>
      </c>
      <c r="G3471">
        <v>0.2</v>
      </c>
      <c r="H3471">
        <v>106.798</v>
      </c>
      <c r="I3471">
        <f>order_items[[#This Row],[list_price]]-order_items[[#This Row],[Discounted_price]]</f>
        <v>427.19200000000001</v>
      </c>
      <c r="J3471">
        <f>VLOOKUP(B3471, Products!$A$2:$E$100, 3, FALSE)</f>
        <v>9</v>
      </c>
      <c r="K3471">
        <f>VLOOKUP(B3471, Products!$A$2:$F$100, 4, FALSE)</f>
        <v>6</v>
      </c>
    </row>
    <row r="3472" spans="1:11" x14ac:dyDescent="0.3">
      <c r="A3472">
        <v>1205</v>
      </c>
      <c r="B3472">
        <v>2</v>
      </c>
      <c r="C3472">
        <v>46</v>
      </c>
      <c r="D3472" t="str">
        <f>VLOOKUP(B3472, Products!$A$2:$C$100, 2, FALSE)</f>
        <v>Ritchey Timberwolf Frameset - 2016</v>
      </c>
      <c r="E3472">
        <v>2</v>
      </c>
      <c r="F3472">
        <v>1409.99</v>
      </c>
      <c r="G3472">
        <v>0.2</v>
      </c>
      <c r="H3472">
        <v>281.99799999999999</v>
      </c>
      <c r="I3472">
        <f>order_items[[#This Row],[list_price]]-order_items[[#This Row],[Discounted_price]]</f>
        <v>1127.992</v>
      </c>
      <c r="J3472">
        <f>VLOOKUP(B3472, Products!$A$2:$E$100, 3, FALSE)</f>
        <v>5</v>
      </c>
      <c r="K3472">
        <f>VLOOKUP(B3472, Products!$A$2:$F$100, 4, FALSE)</f>
        <v>6</v>
      </c>
    </row>
    <row r="3473" spans="1:11" x14ac:dyDescent="0.3">
      <c r="A3473">
        <v>1205</v>
      </c>
      <c r="B3473">
        <v>3</v>
      </c>
      <c r="C3473">
        <v>71</v>
      </c>
      <c r="D3473" t="str">
        <f>VLOOKUP(B3473, Products!$A$2:$C$100, 2, FALSE)</f>
        <v>Surly Wednesday Frameset - 2016</v>
      </c>
      <c r="E3473">
        <v>1</v>
      </c>
      <c r="F3473">
        <v>416.99</v>
      </c>
      <c r="G3473">
        <v>0.05</v>
      </c>
      <c r="H3473">
        <v>20.849500000000003</v>
      </c>
      <c r="I3473">
        <f>order_items[[#This Row],[list_price]]-order_items[[#This Row],[Discounted_price]]</f>
        <v>396.14050000000003</v>
      </c>
      <c r="J3473">
        <f>VLOOKUP(B3473, Products!$A$2:$E$100, 3, FALSE)</f>
        <v>8</v>
      </c>
      <c r="K3473">
        <f>VLOOKUP(B3473, Products!$A$2:$F$100, 4, FALSE)</f>
        <v>6</v>
      </c>
    </row>
    <row r="3474" spans="1:11" x14ac:dyDescent="0.3">
      <c r="A3474">
        <v>1205</v>
      </c>
      <c r="B3474">
        <v>4</v>
      </c>
      <c r="C3474">
        <v>79</v>
      </c>
      <c r="D3474" t="str">
        <f>VLOOKUP(B3474, Products!$A$2:$C$100, 2, FALSE)</f>
        <v>Trek Fuel EX 8 29 - 2016</v>
      </c>
      <c r="E3474">
        <v>2</v>
      </c>
      <c r="F3474">
        <v>402.99</v>
      </c>
      <c r="G3474">
        <v>7.0000000000000007E-2</v>
      </c>
      <c r="H3474">
        <v>28.209300000000002</v>
      </c>
      <c r="I3474">
        <f>order_items[[#This Row],[list_price]]-order_items[[#This Row],[Discounted_price]]</f>
        <v>374.78070000000002</v>
      </c>
      <c r="J3474">
        <f>VLOOKUP(B3474, Products!$A$2:$E$100, 3, FALSE)</f>
        <v>9</v>
      </c>
      <c r="K3474">
        <f>VLOOKUP(B3474, Products!$A$2:$F$100, 4, FALSE)</f>
        <v>6</v>
      </c>
    </row>
    <row r="3475" spans="1:11" x14ac:dyDescent="0.3">
      <c r="A3475">
        <v>1205</v>
      </c>
      <c r="B3475">
        <v>5</v>
      </c>
      <c r="C3475">
        <v>92</v>
      </c>
      <c r="D3475" t="str">
        <f>VLOOKUP(B3475, Products!$A$2:$C$100, 2, FALSE)</f>
        <v>Heller Shagamaw Frame - 2016</v>
      </c>
      <c r="E3475">
        <v>1</v>
      </c>
      <c r="F3475">
        <v>209.99</v>
      </c>
      <c r="G3475">
        <v>0.1</v>
      </c>
      <c r="H3475">
        <v>20.999000000000002</v>
      </c>
      <c r="I3475">
        <f>order_items[[#This Row],[list_price]]-order_items[[#This Row],[Discounted_price]]</f>
        <v>188.99100000000001</v>
      </c>
      <c r="J3475">
        <f>VLOOKUP(B3475, Products!$A$2:$E$100, 3, FALSE)</f>
        <v>3</v>
      </c>
      <c r="K3475">
        <f>VLOOKUP(B3475, Products!$A$2:$F$100, 4, FALSE)</f>
        <v>6</v>
      </c>
    </row>
    <row r="3476" spans="1:11" x14ac:dyDescent="0.3">
      <c r="A3476">
        <v>1206</v>
      </c>
      <c r="B3476">
        <v>1</v>
      </c>
      <c r="C3476">
        <v>73</v>
      </c>
      <c r="D3476" t="str">
        <f>VLOOKUP(B3476, Products!$A$2:$C$100, 2, FALSE)</f>
        <v>Trek 820 - 2016</v>
      </c>
      <c r="E3476">
        <v>1</v>
      </c>
      <c r="F3476">
        <v>749.99</v>
      </c>
      <c r="G3476">
        <v>7.0000000000000007E-2</v>
      </c>
      <c r="H3476">
        <v>52.499300000000005</v>
      </c>
      <c r="I3476">
        <f>order_items[[#This Row],[list_price]]-order_items[[#This Row],[Discounted_price]]</f>
        <v>697.49070000000006</v>
      </c>
      <c r="J3476">
        <f>VLOOKUP(B3476, Products!$A$2:$E$100, 3, FALSE)</f>
        <v>9</v>
      </c>
      <c r="K3476">
        <f>VLOOKUP(B3476, Products!$A$2:$F$100, 4, FALSE)</f>
        <v>6</v>
      </c>
    </row>
    <row r="3477" spans="1:11" x14ac:dyDescent="0.3">
      <c r="A3477">
        <v>1206</v>
      </c>
      <c r="B3477">
        <v>2</v>
      </c>
      <c r="C3477">
        <v>29</v>
      </c>
      <c r="D3477" t="str">
        <f>VLOOKUP(B3477, Products!$A$2:$C$100, 2, FALSE)</f>
        <v>Ritchey Timberwolf Frameset - 2016</v>
      </c>
      <c r="E3477">
        <v>1</v>
      </c>
      <c r="F3477">
        <v>999.99</v>
      </c>
      <c r="G3477">
        <v>0.2</v>
      </c>
      <c r="H3477">
        <v>199.99800000000002</v>
      </c>
      <c r="I3477">
        <f>order_items[[#This Row],[list_price]]-order_items[[#This Row],[Discounted_price]]</f>
        <v>799.99199999999996</v>
      </c>
      <c r="J3477">
        <f>VLOOKUP(B3477, Products!$A$2:$E$100, 3, FALSE)</f>
        <v>5</v>
      </c>
      <c r="K3477">
        <f>VLOOKUP(B3477, Products!$A$2:$F$100, 4, FALSE)</f>
        <v>6</v>
      </c>
    </row>
    <row r="3478" spans="1:11" x14ac:dyDescent="0.3">
      <c r="A3478">
        <v>1207</v>
      </c>
      <c r="B3478">
        <v>1</v>
      </c>
      <c r="C3478">
        <v>104</v>
      </c>
      <c r="D3478" t="str">
        <f>VLOOKUP(B3478, Products!$A$2:$C$100, 2, FALSE)</f>
        <v>Trek 820 - 2016</v>
      </c>
      <c r="E3478">
        <v>1</v>
      </c>
      <c r="F3478">
        <v>481.99</v>
      </c>
      <c r="G3478">
        <v>0.05</v>
      </c>
      <c r="H3478">
        <v>24.099500000000003</v>
      </c>
      <c r="I3478">
        <f>order_items[[#This Row],[list_price]]-order_items[[#This Row],[Discounted_price]]</f>
        <v>457.89050000000003</v>
      </c>
      <c r="J3478">
        <f>VLOOKUP(B3478, Products!$A$2:$E$100, 3, FALSE)</f>
        <v>9</v>
      </c>
      <c r="K3478">
        <f>VLOOKUP(B3478, Products!$A$2:$F$100, 4, FALSE)</f>
        <v>6</v>
      </c>
    </row>
    <row r="3479" spans="1:11" x14ac:dyDescent="0.3">
      <c r="A3479">
        <v>1207</v>
      </c>
      <c r="B3479">
        <v>2</v>
      </c>
      <c r="C3479">
        <v>103</v>
      </c>
      <c r="D3479" t="str">
        <f>VLOOKUP(B3479, Products!$A$2:$C$100, 2, FALSE)</f>
        <v>Ritchey Timberwolf Frameset - 2016</v>
      </c>
      <c r="E3479">
        <v>1</v>
      </c>
      <c r="F3479">
        <v>551.99</v>
      </c>
      <c r="G3479">
        <v>0.1</v>
      </c>
      <c r="H3479">
        <v>55.199000000000005</v>
      </c>
      <c r="I3479">
        <f>order_items[[#This Row],[list_price]]-order_items[[#This Row],[Discounted_price]]</f>
        <v>496.791</v>
      </c>
      <c r="J3479">
        <f>VLOOKUP(B3479, Products!$A$2:$E$100, 3, FALSE)</f>
        <v>5</v>
      </c>
      <c r="K3479">
        <f>VLOOKUP(B3479, Products!$A$2:$F$100, 4, FALSE)</f>
        <v>6</v>
      </c>
    </row>
    <row r="3480" spans="1:11" x14ac:dyDescent="0.3">
      <c r="A3480">
        <v>1207</v>
      </c>
      <c r="B3480">
        <v>3</v>
      </c>
      <c r="C3480">
        <v>23</v>
      </c>
      <c r="D3480" t="str">
        <f>VLOOKUP(B3480, Products!$A$2:$C$100, 2, FALSE)</f>
        <v>Surly Wednesday Frameset - 2016</v>
      </c>
      <c r="E3480">
        <v>1</v>
      </c>
      <c r="F3480">
        <v>299.99</v>
      </c>
      <c r="G3480">
        <v>7.0000000000000007E-2</v>
      </c>
      <c r="H3480">
        <v>20.999300000000002</v>
      </c>
      <c r="I3480">
        <f>order_items[[#This Row],[list_price]]-order_items[[#This Row],[Discounted_price]]</f>
        <v>278.9907</v>
      </c>
      <c r="J3480">
        <f>VLOOKUP(B3480, Products!$A$2:$E$100, 3, FALSE)</f>
        <v>8</v>
      </c>
      <c r="K3480">
        <f>VLOOKUP(B3480, Products!$A$2:$F$100, 4, FALSE)</f>
        <v>6</v>
      </c>
    </row>
    <row r="3481" spans="1:11" x14ac:dyDescent="0.3">
      <c r="A3481">
        <v>1208</v>
      </c>
      <c r="B3481">
        <v>1</v>
      </c>
      <c r="C3481">
        <v>12</v>
      </c>
      <c r="D3481" t="str">
        <f>VLOOKUP(B3481, Products!$A$2:$C$100, 2, FALSE)</f>
        <v>Trek 820 - 2016</v>
      </c>
      <c r="E3481">
        <v>1</v>
      </c>
      <c r="F3481">
        <v>549.99</v>
      </c>
      <c r="G3481">
        <v>0.2</v>
      </c>
      <c r="H3481">
        <v>109.998</v>
      </c>
      <c r="I3481">
        <f>order_items[[#This Row],[list_price]]-order_items[[#This Row],[Discounted_price]]</f>
        <v>439.99200000000002</v>
      </c>
      <c r="J3481">
        <f>VLOOKUP(B3481, Products!$A$2:$E$100, 3, FALSE)</f>
        <v>9</v>
      </c>
      <c r="K3481">
        <f>VLOOKUP(B3481, Products!$A$2:$F$100, 4, FALSE)</f>
        <v>6</v>
      </c>
    </row>
    <row r="3482" spans="1:11" x14ac:dyDescent="0.3">
      <c r="A3482">
        <v>1208</v>
      </c>
      <c r="B3482">
        <v>2</v>
      </c>
      <c r="C3482">
        <v>65</v>
      </c>
      <c r="D3482" t="str">
        <f>VLOOKUP(B3482, Products!$A$2:$C$100, 2, FALSE)</f>
        <v>Ritchey Timberwolf Frameset - 2016</v>
      </c>
      <c r="E3482">
        <v>2</v>
      </c>
      <c r="F3482">
        <v>346.99</v>
      </c>
      <c r="G3482">
        <v>7.0000000000000007E-2</v>
      </c>
      <c r="H3482">
        <v>24.289300000000004</v>
      </c>
      <c r="I3482">
        <f>order_items[[#This Row],[list_price]]-order_items[[#This Row],[Discounted_price]]</f>
        <v>322.70069999999998</v>
      </c>
      <c r="J3482">
        <f>VLOOKUP(B3482, Products!$A$2:$E$100, 3, FALSE)</f>
        <v>5</v>
      </c>
      <c r="K3482">
        <f>VLOOKUP(B3482, Products!$A$2:$F$100, 4, FALSE)</f>
        <v>6</v>
      </c>
    </row>
    <row r="3483" spans="1:11" x14ac:dyDescent="0.3">
      <c r="A3483">
        <v>1208</v>
      </c>
      <c r="B3483">
        <v>3</v>
      </c>
      <c r="C3483">
        <v>86</v>
      </c>
      <c r="D3483" t="str">
        <f>VLOOKUP(B3483, Products!$A$2:$C$100, 2, FALSE)</f>
        <v>Surly Wednesday Frameset - 2016</v>
      </c>
      <c r="E3483">
        <v>2</v>
      </c>
      <c r="F3483">
        <v>149.99</v>
      </c>
      <c r="G3483">
        <v>0.2</v>
      </c>
      <c r="H3483">
        <v>29.998000000000005</v>
      </c>
      <c r="I3483">
        <f>order_items[[#This Row],[list_price]]-order_items[[#This Row],[Discounted_price]]</f>
        <v>119.992</v>
      </c>
      <c r="J3483">
        <f>VLOOKUP(B3483, Products!$A$2:$E$100, 3, FALSE)</f>
        <v>8</v>
      </c>
      <c r="K3483">
        <f>VLOOKUP(B3483, Products!$A$2:$F$100, 4, FALSE)</f>
        <v>6</v>
      </c>
    </row>
    <row r="3484" spans="1:11" x14ac:dyDescent="0.3">
      <c r="A3484">
        <v>1208</v>
      </c>
      <c r="B3484">
        <v>4</v>
      </c>
      <c r="C3484">
        <v>13</v>
      </c>
      <c r="D3484" t="str">
        <f>VLOOKUP(B3484, Products!$A$2:$C$100, 2, FALSE)</f>
        <v>Trek Fuel EX 8 29 - 2016</v>
      </c>
      <c r="E3484">
        <v>2</v>
      </c>
      <c r="F3484">
        <v>269.99</v>
      </c>
      <c r="G3484">
        <v>0.1</v>
      </c>
      <c r="H3484">
        <v>26.999000000000002</v>
      </c>
      <c r="I3484">
        <f>order_items[[#This Row],[list_price]]-order_items[[#This Row],[Discounted_price]]</f>
        <v>242.99100000000001</v>
      </c>
      <c r="J3484">
        <f>VLOOKUP(B3484, Products!$A$2:$E$100, 3, FALSE)</f>
        <v>9</v>
      </c>
      <c r="K3484">
        <f>VLOOKUP(B3484, Products!$A$2:$F$100, 4, FALSE)</f>
        <v>6</v>
      </c>
    </row>
    <row r="3485" spans="1:11" x14ac:dyDescent="0.3">
      <c r="A3485">
        <v>1208</v>
      </c>
      <c r="B3485">
        <v>5</v>
      </c>
      <c r="C3485">
        <v>87</v>
      </c>
      <c r="D3485" t="str">
        <f>VLOOKUP(B3485, Products!$A$2:$C$100, 2, FALSE)</f>
        <v>Heller Shagamaw Frame - 2016</v>
      </c>
      <c r="E3485">
        <v>1</v>
      </c>
      <c r="F3485">
        <v>189.99</v>
      </c>
      <c r="G3485">
        <v>7.0000000000000007E-2</v>
      </c>
      <c r="H3485">
        <v>13.299300000000002</v>
      </c>
      <c r="I3485">
        <f>order_items[[#This Row],[list_price]]-order_items[[#This Row],[Discounted_price]]</f>
        <v>176.69069999999999</v>
      </c>
      <c r="J3485">
        <f>VLOOKUP(B3485, Products!$A$2:$E$100, 3, FALSE)</f>
        <v>3</v>
      </c>
      <c r="K3485">
        <f>VLOOKUP(B3485, Products!$A$2:$F$100, 4, FALSE)</f>
        <v>6</v>
      </c>
    </row>
    <row r="3486" spans="1:11" x14ac:dyDescent="0.3">
      <c r="A3486">
        <v>1209</v>
      </c>
      <c r="B3486">
        <v>1</v>
      </c>
      <c r="C3486">
        <v>89</v>
      </c>
      <c r="D3486" t="str">
        <f>VLOOKUP(B3486, Products!$A$2:$C$100, 2, FALSE)</f>
        <v>Trek 820 - 2016</v>
      </c>
      <c r="E3486">
        <v>1</v>
      </c>
      <c r="F3486">
        <v>209.99</v>
      </c>
      <c r="G3486">
        <v>7.0000000000000007E-2</v>
      </c>
      <c r="H3486">
        <v>14.699300000000003</v>
      </c>
      <c r="I3486">
        <f>order_items[[#This Row],[list_price]]-order_items[[#This Row],[Discounted_price]]</f>
        <v>195.29070000000002</v>
      </c>
      <c r="J3486">
        <f>VLOOKUP(B3486, Products!$A$2:$E$100, 3, FALSE)</f>
        <v>9</v>
      </c>
      <c r="K3486">
        <f>VLOOKUP(B3486, Products!$A$2:$F$100, 4, FALSE)</f>
        <v>6</v>
      </c>
    </row>
    <row r="3487" spans="1:11" x14ac:dyDescent="0.3">
      <c r="A3487">
        <v>1209</v>
      </c>
      <c r="B3487">
        <v>2</v>
      </c>
      <c r="C3487">
        <v>97</v>
      </c>
      <c r="D3487" t="str">
        <f>VLOOKUP(B3487, Products!$A$2:$C$100, 2, FALSE)</f>
        <v>Ritchey Timberwolf Frameset - 2016</v>
      </c>
      <c r="E3487">
        <v>1</v>
      </c>
      <c r="F3487">
        <v>349.99</v>
      </c>
      <c r="G3487">
        <v>0.05</v>
      </c>
      <c r="H3487">
        <v>17.499500000000001</v>
      </c>
      <c r="I3487">
        <f>order_items[[#This Row],[list_price]]-order_items[[#This Row],[Discounted_price]]</f>
        <v>332.4905</v>
      </c>
      <c r="J3487">
        <f>VLOOKUP(B3487, Products!$A$2:$E$100, 3, FALSE)</f>
        <v>5</v>
      </c>
      <c r="K3487">
        <f>VLOOKUP(B3487, Products!$A$2:$F$100, 4, FALSE)</f>
        <v>6</v>
      </c>
    </row>
    <row r="3488" spans="1:11" x14ac:dyDescent="0.3">
      <c r="A3488">
        <v>1210</v>
      </c>
      <c r="B3488">
        <v>1</v>
      </c>
      <c r="C3488">
        <v>26</v>
      </c>
      <c r="D3488" t="str">
        <f>VLOOKUP(B3488, Products!$A$2:$C$100, 2, FALSE)</f>
        <v>Trek 820 - 2016</v>
      </c>
      <c r="E3488">
        <v>1</v>
      </c>
      <c r="F3488">
        <v>599.99</v>
      </c>
      <c r="G3488">
        <v>0.1</v>
      </c>
      <c r="H3488">
        <v>59.999000000000002</v>
      </c>
      <c r="I3488">
        <f>order_items[[#This Row],[list_price]]-order_items[[#This Row],[Discounted_price]]</f>
        <v>539.99099999999999</v>
      </c>
      <c r="J3488">
        <f>VLOOKUP(B3488, Products!$A$2:$E$100, 3, FALSE)</f>
        <v>9</v>
      </c>
      <c r="K3488">
        <f>VLOOKUP(B3488, Products!$A$2:$F$100, 4, FALSE)</f>
        <v>6</v>
      </c>
    </row>
    <row r="3489" spans="1:11" x14ac:dyDescent="0.3">
      <c r="A3489">
        <v>1210</v>
      </c>
      <c r="B3489">
        <v>2</v>
      </c>
      <c r="C3489">
        <v>6</v>
      </c>
      <c r="D3489" t="str">
        <f>VLOOKUP(B3489, Products!$A$2:$C$100, 2, FALSE)</f>
        <v>Ritchey Timberwolf Frameset - 2016</v>
      </c>
      <c r="E3489">
        <v>2</v>
      </c>
      <c r="F3489">
        <v>469.99</v>
      </c>
      <c r="G3489">
        <v>7.0000000000000007E-2</v>
      </c>
      <c r="H3489">
        <v>32.899300000000004</v>
      </c>
      <c r="I3489">
        <f>order_items[[#This Row],[list_price]]-order_items[[#This Row],[Discounted_price]]</f>
        <v>437.09070000000003</v>
      </c>
      <c r="J3489">
        <f>VLOOKUP(B3489, Products!$A$2:$E$100, 3, FALSE)</f>
        <v>5</v>
      </c>
      <c r="K3489">
        <f>VLOOKUP(B3489, Products!$A$2:$F$100, 4, FALSE)</f>
        <v>6</v>
      </c>
    </row>
    <row r="3490" spans="1:11" x14ac:dyDescent="0.3">
      <c r="A3490">
        <v>1210</v>
      </c>
      <c r="B3490">
        <v>3</v>
      </c>
      <c r="C3490">
        <v>78</v>
      </c>
      <c r="D3490" t="str">
        <f>VLOOKUP(B3490, Products!$A$2:$C$100, 2, FALSE)</f>
        <v>Surly Wednesday Frameset - 2016</v>
      </c>
      <c r="E3490">
        <v>2</v>
      </c>
      <c r="F3490">
        <v>647.99</v>
      </c>
      <c r="G3490">
        <v>0.05</v>
      </c>
      <c r="H3490">
        <v>32.399500000000003</v>
      </c>
      <c r="I3490">
        <f>order_items[[#This Row],[list_price]]-order_items[[#This Row],[Discounted_price]]</f>
        <v>615.59050000000002</v>
      </c>
      <c r="J3490">
        <f>VLOOKUP(B3490, Products!$A$2:$E$100, 3, FALSE)</f>
        <v>8</v>
      </c>
      <c r="K3490">
        <f>VLOOKUP(B3490, Products!$A$2:$F$100, 4, FALSE)</f>
        <v>6</v>
      </c>
    </row>
    <row r="3491" spans="1:11" x14ac:dyDescent="0.3">
      <c r="A3491">
        <v>1210</v>
      </c>
      <c r="B3491">
        <v>4</v>
      </c>
      <c r="C3491">
        <v>84</v>
      </c>
      <c r="D3491" t="str">
        <f>VLOOKUP(B3491, Products!$A$2:$C$100, 2, FALSE)</f>
        <v>Trek Fuel EX 8 29 - 2016</v>
      </c>
      <c r="E3491">
        <v>1</v>
      </c>
      <c r="F3491">
        <v>109.99</v>
      </c>
      <c r="G3491">
        <v>0.1</v>
      </c>
      <c r="H3491">
        <v>10.999000000000001</v>
      </c>
      <c r="I3491">
        <f>order_items[[#This Row],[list_price]]-order_items[[#This Row],[Discounted_price]]</f>
        <v>98.991</v>
      </c>
      <c r="J3491">
        <f>VLOOKUP(B3491, Products!$A$2:$E$100, 3, FALSE)</f>
        <v>9</v>
      </c>
      <c r="K3491">
        <f>VLOOKUP(B3491, Products!$A$2:$F$100, 4, FALSE)</f>
        <v>6</v>
      </c>
    </row>
    <row r="3492" spans="1:11" x14ac:dyDescent="0.3">
      <c r="A3492">
        <v>1210</v>
      </c>
      <c r="B3492">
        <v>5</v>
      </c>
      <c r="C3492">
        <v>35</v>
      </c>
      <c r="D3492" t="str">
        <f>VLOOKUP(B3492, Products!$A$2:$C$100, 2, FALSE)</f>
        <v>Heller Shagamaw Frame - 2016</v>
      </c>
      <c r="E3492">
        <v>2</v>
      </c>
      <c r="F3492">
        <v>832.99</v>
      </c>
      <c r="G3492">
        <v>0.05</v>
      </c>
      <c r="H3492">
        <v>41.649500000000003</v>
      </c>
      <c r="I3492">
        <f>order_items[[#This Row],[list_price]]-order_items[[#This Row],[Discounted_price]]</f>
        <v>791.34050000000002</v>
      </c>
      <c r="J3492">
        <f>VLOOKUP(B3492, Products!$A$2:$E$100, 3, FALSE)</f>
        <v>3</v>
      </c>
      <c r="K3492">
        <f>VLOOKUP(B3492, Products!$A$2:$F$100, 4, FALSE)</f>
        <v>6</v>
      </c>
    </row>
    <row r="3493" spans="1:11" x14ac:dyDescent="0.3">
      <c r="A3493">
        <v>1211</v>
      </c>
      <c r="B3493">
        <v>1</v>
      </c>
      <c r="C3493">
        <v>15</v>
      </c>
      <c r="D3493" t="str">
        <f>VLOOKUP(B3493, Products!$A$2:$C$100, 2, FALSE)</f>
        <v>Trek 820 - 2016</v>
      </c>
      <c r="E3493">
        <v>2</v>
      </c>
      <c r="F3493">
        <v>529.99</v>
      </c>
      <c r="G3493">
        <v>0.2</v>
      </c>
      <c r="H3493">
        <v>105.998</v>
      </c>
      <c r="I3493">
        <f>order_items[[#This Row],[list_price]]-order_items[[#This Row],[Discounted_price]]</f>
        <v>423.99200000000002</v>
      </c>
      <c r="J3493">
        <f>VLOOKUP(B3493, Products!$A$2:$E$100, 3, FALSE)</f>
        <v>9</v>
      </c>
      <c r="K3493">
        <f>VLOOKUP(B3493, Products!$A$2:$F$100, 4, FALSE)</f>
        <v>6</v>
      </c>
    </row>
    <row r="3494" spans="1:11" x14ac:dyDescent="0.3">
      <c r="A3494">
        <v>1211</v>
      </c>
      <c r="B3494">
        <v>2</v>
      </c>
      <c r="C3494">
        <v>59</v>
      </c>
      <c r="D3494" t="str">
        <f>VLOOKUP(B3494, Products!$A$2:$C$100, 2, FALSE)</f>
        <v>Ritchey Timberwolf Frameset - 2016</v>
      </c>
      <c r="E3494">
        <v>1</v>
      </c>
      <c r="F3494">
        <v>2599.9899999999998</v>
      </c>
      <c r="G3494">
        <v>0.05</v>
      </c>
      <c r="H3494">
        <v>129.99949999999998</v>
      </c>
      <c r="I3494">
        <f>order_items[[#This Row],[list_price]]-order_items[[#This Row],[Discounted_price]]</f>
        <v>2469.9904999999999</v>
      </c>
      <c r="J3494">
        <f>VLOOKUP(B3494, Products!$A$2:$E$100, 3, FALSE)</f>
        <v>5</v>
      </c>
      <c r="K3494">
        <f>VLOOKUP(B3494, Products!$A$2:$F$100, 4, FALSE)</f>
        <v>6</v>
      </c>
    </row>
    <row r="3495" spans="1:11" x14ac:dyDescent="0.3">
      <c r="A3495">
        <v>1211</v>
      </c>
      <c r="B3495">
        <v>3</v>
      </c>
      <c r="C3495">
        <v>92</v>
      </c>
      <c r="D3495" t="str">
        <f>VLOOKUP(B3495, Products!$A$2:$C$100, 2, FALSE)</f>
        <v>Surly Wednesday Frameset - 2016</v>
      </c>
      <c r="E3495">
        <v>1</v>
      </c>
      <c r="F3495">
        <v>209.99</v>
      </c>
      <c r="G3495">
        <v>0.2</v>
      </c>
      <c r="H3495">
        <v>41.998000000000005</v>
      </c>
      <c r="I3495">
        <f>order_items[[#This Row],[list_price]]-order_items[[#This Row],[Discounted_price]]</f>
        <v>167.99200000000002</v>
      </c>
      <c r="J3495">
        <f>VLOOKUP(B3495, Products!$A$2:$E$100, 3, FALSE)</f>
        <v>8</v>
      </c>
      <c r="K3495">
        <f>VLOOKUP(B3495, Products!$A$2:$F$100, 4, FALSE)</f>
        <v>6</v>
      </c>
    </row>
    <row r="3496" spans="1:11" x14ac:dyDescent="0.3">
      <c r="A3496">
        <v>1211</v>
      </c>
      <c r="B3496">
        <v>4</v>
      </c>
      <c r="C3496">
        <v>93</v>
      </c>
      <c r="D3496" t="str">
        <f>VLOOKUP(B3496, Products!$A$2:$C$100, 2, FALSE)</f>
        <v>Trek Fuel EX 8 29 - 2016</v>
      </c>
      <c r="E3496">
        <v>1</v>
      </c>
      <c r="F3496">
        <v>209.99</v>
      </c>
      <c r="G3496">
        <v>0.1</v>
      </c>
      <c r="H3496">
        <v>20.999000000000002</v>
      </c>
      <c r="I3496">
        <f>order_items[[#This Row],[list_price]]-order_items[[#This Row],[Discounted_price]]</f>
        <v>188.99100000000001</v>
      </c>
      <c r="J3496">
        <f>VLOOKUP(B3496, Products!$A$2:$E$100, 3, FALSE)</f>
        <v>9</v>
      </c>
      <c r="K3496">
        <f>VLOOKUP(B3496, Products!$A$2:$F$100, 4, FALSE)</f>
        <v>6</v>
      </c>
    </row>
    <row r="3497" spans="1:11" x14ac:dyDescent="0.3">
      <c r="A3497">
        <v>1211</v>
      </c>
      <c r="B3497">
        <v>5</v>
      </c>
      <c r="C3497">
        <v>108</v>
      </c>
      <c r="D3497" t="str">
        <f>VLOOKUP(B3497, Products!$A$2:$C$100, 2, FALSE)</f>
        <v>Heller Shagamaw Frame - 2016</v>
      </c>
      <c r="E3497">
        <v>2</v>
      </c>
      <c r="F3497">
        <v>449.99</v>
      </c>
      <c r="G3497">
        <v>0.2</v>
      </c>
      <c r="H3497">
        <v>89.998000000000005</v>
      </c>
      <c r="I3497">
        <f>order_items[[#This Row],[list_price]]-order_items[[#This Row],[Discounted_price]]</f>
        <v>359.99200000000002</v>
      </c>
      <c r="J3497">
        <f>VLOOKUP(B3497, Products!$A$2:$E$100, 3, FALSE)</f>
        <v>3</v>
      </c>
      <c r="K3497">
        <f>VLOOKUP(B3497, Products!$A$2:$F$100, 4, FALSE)</f>
        <v>6</v>
      </c>
    </row>
    <row r="3498" spans="1:11" x14ac:dyDescent="0.3">
      <c r="A3498">
        <v>1212</v>
      </c>
      <c r="B3498">
        <v>1</v>
      </c>
      <c r="C3498">
        <v>74</v>
      </c>
      <c r="D3498" t="str">
        <f>VLOOKUP(B3498, Products!$A$2:$C$100, 2, FALSE)</f>
        <v>Trek 820 - 2016</v>
      </c>
      <c r="E3498">
        <v>1</v>
      </c>
      <c r="F3498">
        <v>439.99</v>
      </c>
      <c r="G3498">
        <v>0.1</v>
      </c>
      <c r="H3498">
        <v>43.999000000000002</v>
      </c>
      <c r="I3498">
        <f>order_items[[#This Row],[list_price]]-order_items[[#This Row],[Discounted_price]]</f>
        <v>395.99099999999999</v>
      </c>
      <c r="J3498">
        <f>VLOOKUP(B3498, Products!$A$2:$E$100, 3, FALSE)</f>
        <v>9</v>
      </c>
      <c r="K3498">
        <f>VLOOKUP(B3498, Products!$A$2:$F$100, 4, FALSE)</f>
        <v>6</v>
      </c>
    </row>
    <row r="3499" spans="1:11" x14ac:dyDescent="0.3">
      <c r="A3499">
        <v>1212</v>
      </c>
      <c r="B3499">
        <v>2</v>
      </c>
      <c r="C3499">
        <v>37</v>
      </c>
      <c r="D3499" t="str">
        <f>VLOOKUP(B3499, Products!$A$2:$C$100, 2, FALSE)</f>
        <v>Ritchey Timberwolf Frameset - 2016</v>
      </c>
      <c r="E3499">
        <v>2</v>
      </c>
      <c r="F3499">
        <v>379.99</v>
      </c>
      <c r="G3499">
        <v>7.0000000000000007E-2</v>
      </c>
      <c r="H3499">
        <v>26.599300000000003</v>
      </c>
      <c r="I3499">
        <f>order_items[[#This Row],[list_price]]-order_items[[#This Row],[Discounted_price]]</f>
        <v>353.39069999999998</v>
      </c>
      <c r="J3499">
        <f>VLOOKUP(B3499, Products!$A$2:$E$100, 3, FALSE)</f>
        <v>5</v>
      </c>
      <c r="K3499">
        <f>VLOOKUP(B3499, Products!$A$2:$F$100, 4, FALSE)</f>
        <v>6</v>
      </c>
    </row>
    <row r="3500" spans="1:11" x14ac:dyDescent="0.3">
      <c r="A3500">
        <v>1212</v>
      </c>
      <c r="B3500">
        <v>3</v>
      </c>
      <c r="C3500">
        <v>39</v>
      </c>
      <c r="D3500" t="str">
        <f>VLOOKUP(B3500, Products!$A$2:$C$100, 2, FALSE)</f>
        <v>Surly Wednesday Frameset - 2016</v>
      </c>
      <c r="E3500">
        <v>2</v>
      </c>
      <c r="F3500">
        <v>1499.99</v>
      </c>
      <c r="G3500">
        <v>0.05</v>
      </c>
      <c r="H3500">
        <v>74.999499999999998</v>
      </c>
      <c r="I3500">
        <f>order_items[[#This Row],[list_price]]-order_items[[#This Row],[Discounted_price]]</f>
        <v>1424.9905000000001</v>
      </c>
      <c r="J3500">
        <f>VLOOKUP(B3500, Products!$A$2:$E$100, 3, FALSE)</f>
        <v>8</v>
      </c>
      <c r="K3500">
        <f>VLOOKUP(B3500, Products!$A$2:$F$100, 4, FALSE)</f>
        <v>6</v>
      </c>
    </row>
    <row r="3501" spans="1:11" x14ac:dyDescent="0.3">
      <c r="A3501">
        <v>1212</v>
      </c>
      <c r="B3501">
        <v>4</v>
      </c>
      <c r="C3501">
        <v>68</v>
      </c>
      <c r="D3501" t="str">
        <f>VLOOKUP(B3501, Products!$A$2:$C$100, 2, FALSE)</f>
        <v>Trek Fuel EX 8 29 - 2016</v>
      </c>
      <c r="E3501">
        <v>2</v>
      </c>
      <c r="F3501">
        <v>449.99</v>
      </c>
      <c r="G3501">
        <v>7.0000000000000007E-2</v>
      </c>
      <c r="H3501">
        <v>31.499300000000005</v>
      </c>
      <c r="I3501">
        <f>order_items[[#This Row],[list_price]]-order_items[[#This Row],[Discounted_price]]</f>
        <v>418.4907</v>
      </c>
      <c r="J3501">
        <f>VLOOKUP(B3501, Products!$A$2:$E$100, 3, FALSE)</f>
        <v>9</v>
      </c>
      <c r="K3501">
        <f>VLOOKUP(B3501, Products!$A$2:$F$100, 4, FALSE)</f>
        <v>6</v>
      </c>
    </row>
    <row r="3502" spans="1:11" x14ac:dyDescent="0.3">
      <c r="A3502">
        <v>1213</v>
      </c>
      <c r="B3502">
        <v>1</v>
      </c>
      <c r="C3502">
        <v>64</v>
      </c>
      <c r="D3502" t="str">
        <f>VLOOKUP(B3502, Products!$A$2:$C$100, 2, FALSE)</f>
        <v>Trek 820 - 2016</v>
      </c>
      <c r="E3502">
        <v>2</v>
      </c>
      <c r="F3502">
        <v>489.99</v>
      </c>
      <c r="G3502">
        <v>7.0000000000000007E-2</v>
      </c>
      <c r="H3502">
        <v>34.299300000000002</v>
      </c>
      <c r="I3502">
        <f>order_items[[#This Row],[list_price]]-order_items[[#This Row],[Discounted_price]]</f>
        <v>455.69069999999999</v>
      </c>
      <c r="J3502">
        <f>VLOOKUP(B3502, Products!$A$2:$E$100, 3, FALSE)</f>
        <v>9</v>
      </c>
      <c r="K3502">
        <f>VLOOKUP(B3502, Products!$A$2:$F$100, 4, FALSE)</f>
        <v>6</v>
      </c>
    </row>
    <row r="3503" spans="1:11" x14ac:dyDescent="0.3">
      <c r="A3503">
        <v>1213</v>
      </c>
      <c r="B3503">
        <v>2</v>
      </c>
      <c r="C3503">
        <v>78</v>
      </c>
      <c r="D3503" t="str">
        <f>VLOOKUP(B3503, Products!$A$2:$C$100, 2, FALSE)</f>
        <v>Ritchey Timberwolf Frameset - 2016</v>
      </c>
      <c r="E3503">
        <v>1</v>
      </c>
      <c r="F3503">
        <v>647.99</v>
      </c>
      <c r="G3503">
        <v>7.0000000000000007E-2</v>
      </c>
      <c r="H3503">
        <v>45.359300000000005</v>
      </c>
      <c r="I3503">
        <f>order_items[[#This Row],[list_price]]-order_items[[#This Row],[Discounted_price]]</f>
        <v>602.63070000000005</v>
      </c>
      <c r="J3503">
        <f>VLOOKUP(B3503, Products!$A$2:$E$100, 3, FALSE)</f>
        <v>5</v>
      </c>
      <c r="K3503">
        <f>VLOOKUP(B3503, Products!$A$2:$F$100, 4, FALSE)</f>
        <v>6</v>
      </c>
    </row>
    <row r="3504" spans="1:11" x14ac:dyDescent="0.3">
      <c r="A3504">
        <v>1213</v>
      </c>
      <c r="B3504">
        <v>3</v>
      </c>
      <c r="C3504">
        <v>102</v>
      </c>
      <c r="D3504" t="str">
        <f>VLOOKUP(B3504, Products!$A$2:$C$100, 2, FALSE)</f>
        <v>Surly Wednesday Frameset - 2016</v>
      </c>
      <c r="E3504">
        <v>2</v>
      </c>
      <c r="F3504">
        <v>489.99</v>
      </c>
      <c r="G3504">
        <v>0.1</v>
      </c>
      <c r="H3504">
        <v>48.999000000000002</v>
      </c>
      <c r="I3504">
        <f>order_items[[#This Row],[list_price]]-order_items[[#This Row],[Discounted_price]]</f>
        <v>440.99099999999999</v>
      </c>
      <c r="J3504">
        <f>VLOOKUP(B3504, Products!$A$2:$E$100, 3, FALSE)</f>
        <v>8</v>
      </c>
      <c r="K3504">
        <f>VLOOKUP(B3504, Products!$A$2:$F$100, 4, FALSE)</f>
        <v>6</v>
      </c>
    </row>
    <row r="3505" spans="1:11" x14ac:dyDescent="0.3">
      <c r="A3505">
        <v>1213</v>
      </c>
      <c r="B3505">
        <v>4</v>
      </c>
      <c r="C3505">
        <v>15</v>
      </c>
      <c r="D3505" t="str">
        <f>VLOOKUP(B3505, Products!$A$2:$C$100, 2, FALSE)</f>
        <v>Trek Fuel EX 8 29 - 2016</v>
      </c>
      <c r="E3505">
        <v>1</v>
      </c>
      <c r="F3505">
        <v>529.99</v>
      </c>
      <c r="G3505">
        <v>0.05</v>
      </c>
      <c r="H3505">
        <v>26.499500000000001</v>
      </c>
      <c r="I3505">
        <f>order_items[[#This Row],[list_price]]-order_items[[#This Row],[Discounted_price]]</f>
        <v>503.4905</v>
      </c>
      <c r="J3505">
        <f>VLOOKUP(B3505, Products!$A$2:$E$100, 3, FALSE)</f>
        <v>9</v>
      </c>
      <c r="K3505">
        <f>VLOOKUP(B3505, Products!$A$2:$F$100, 4, FALSE)</f>
        <v>6</v>
      </c>
    </row>
    <row r="3506" spans="1:11" x14ac:dyDescent="0.3">
      <c r="A3506">
        <v>1214</v>
      </c>
      <c r="B3506">
        <v>1</v>
      </c>
      <c r="C3506">
        <v>9</v>
      </c>
      <c r="D3506" t="str">
        <f>VLOOKUP(B3506, Products!$A$2:$C$100, 2, FALSE)</f>
        <v>Trek 820 - 2016</v>
      </c>
      <c r="E3506">
        <v>2</v>
      </c>
      <c r="F3506">
        <v>2999.99</v>
      </c>
      <c r="G3506">
        <v>0.05</v>
      </c>
      <c r="H3506">
        <v>149.99949999999998</v>
      </c>
      <c r="I3506">
        <f>order_items[[#This Row],[list_price]]-order_items[[#This Row],[Discounted_price]]</f>
        <v>2849.9904999999999</v>
      </c>
      <c r="J3506">
        <f>VLOOKUP(B3506, Products!$A$2:$E$100, 3, FALSE)</f>
        <v>9</v>
      </c>
      <c r="K3506">
        <f>VLOOKUP(B3506, Products!$A$2:$F$100, 4, FALSE)</f>
        <v>6</v>
      </c>
    </row>
    <row r="3507" spans="1:11" x14ac:dyDescent="0.3">
      <c r="A3507">
        <v>1214</v>
      </c>
      <c r="B3507">
        <v>2</v>
      </c>
      <c r="C3507">
        <v>7</v>
      </c>
      <c r="D3507" t="str">
        <f>VLOOKUP(B3507, Products!$A$2:$C$100, 2, FALSE)</f>
        <v>Ritchey Timberwolf Frameset - 2016</v>
      </c>
      <c r="E3507">
        <v>1</v>
      </c>
      <c r="F3507">
        <v>3999.99</v>
      </c>
      <c r="G3507">
        <v>0.2</v>
      </c>
      <c r="H3507">
        <v>799.99800000000005</v>
      </c>
      <c r="I3507">
        <f>order_items[[#This Row],[list_price]]-order_items[[#This Row],[Discounted_price]]</f>
        <v>3199.9919999999997</v>
      </c>
      <c r="J3507">
        <f>VLOOKUP(B3507, Products!$A$2:$E$100, 3, FALSE)</f>
        <v>5</v>
      </c>
      <c r="K3507">
        <f>VLOOKUP(B3507, Products!$A$2:$F$100, 4, FALSE)</f>
        <v>6</v>
      </c>
    </row>
    <row r="3508" spans="1:11" x14ac:dyDescent="0.3">
      <c r="A3508">
        <v>1214</v>
      </c>
      <c r="B3508">
        <v>3</v>
      </c>
      <c r="C3508">
        <v>22</v>
      </c>
      <c r="D3508" t="str">
        <f>VLOOKUP(B3508, Products!$A$2:$C$100, 2, FALSE)</f>
        <v>Surly Wednesday Frameset - 2016</v>
      </c>
      <c r="E3508">
        <v>1</v>
      </c>
      <c r="F3508">
        <v>269.99</v>
      </c>
      <c r="G3508">
        <v>0.05</v>
      </c>
      <c r="H3508">
        <v>13.499500000000001</v>
      </c>
      <c r="I3508">
        <f>order_items[[#This Row],[list_price]]-order_items[[#This Row],[Discounted_price]]</f>
        <v>256.4905</v>
      </c>
      <c r="J3508">
        <f>VLOOKUP(B3508, Products!$A$2:$E$100, 3, FALSE)</f>
        <v>8</v>
      </c>
      <c r="K3508">
        <f>VLOOKUP(B3508, Products!$A$2:$F$100, 4, FALSE)</f>
        <v>6</v>
      </c>
    </row>
    <row r="3509" spans="1:11" x14ac:dyDescent="0.3">
      <c r="A3509">
        <v>1214</v>
      </c>
      <c r="B3509">
        <v>4</v>
      </c>
      <c r="C3509">
        <v>77</v>
      </c>
      <c r="D3509" t="str">
        <f>VLOOKUP(B3509, Products!$A$2:$C$100, 2, FALSE)</f>
        <v>Trek Fuel EX 8 29 - 2016</v>
      </c>
      <c r="E3509">
        <v>2</v>
      </c>
      <c r="F3509">
        <v>799.99</v>
      </c>
      <c r="G3509">
        <v>0.1</v>
      </c>
      <c r="H3509">
        <v>79.999000000000009</v>
      </c>
      <c r="I3509">
        <f>order_items[[#This Row],[list_price]]-order_items[[#This Row],[Discounted_price]]</f>
        <v>719.99099999999999</v>
      </c>
      <c r="J3509">
        <f>VLOOKUP(B3509, Products!$A$2:$E$100, 3, FALSE)</f>
        <v>9</v>
      </c>
      <c r="K3509">
        <f>VLOOKUP(B3509, Products!$A$2:$F$100, 4, FALSE)</f>
        <v>6</v>
      </c>
    </row>
    <row r="3510" spans="1:11" x14ac:dyDescent="0.3">
      <c r="A3510">
        <v>1214</v>
      </c>
      <c r="B3510">
        <v>5</v>
      </c>
      <c r="C3510">
        <v>67</v>
      </c>
      <c r="D3510" t="str">
        <f>VLOOKUP(B3510, Products!$A$2:$C$100, 2, FALSE)</f>
        <v>Heller Shagamaw Frame - 2016</v>
      </c>
      <c r="E3510">
        <v>2</v>
      </c>
      <c r="F3510">
        <v>250.99</v>
      </c>
      <c r="G3510">
        <v>0.2</v>
      </c>
      <c r="H3510">
        <v>50.198000000000008</v>
      </c>
      <c r="I3510">
        <f>order_items[[#This Row],[list_price]]-order_items[[#This Row],[Discounted_price]]</f>
        <v>200.792</v>
      </c>
      <c r="J3510">
        <f>VLOOKUP(B3510, Products!$A$2:$E$100, 3, FALSE)</f>
        <v>3</v>
      </c>
      <c r="K3510">
        <f>VLOOKUP(B3510, Products!$A$2:$F$100, 4, FALSE)</f>
        <v>6</v>
      </c>
    </row>
    <row r="3511" spans="1:11" x14ac:dyDescent="0.3">
      <c r="A3511">
        <v>1215</v>
      </c>
      <c r="B3511">
        <v>1</v>
      </c>
      <c r="C3511">
        <v>73</v>
      </c>
      <c r="D3511" t="str">
        <f>VLOOKUP(B3511, Products!$A$2:$C$100, 2, FALSE)</f>
        <v>Trek 820 - 2016</v>
      </c>
      <c r="E3511">
        <v>2</v>
      </c>
      <c r="F3511">
        <v>749.99</v>
      </c>
      <c r="G3511">
        <v>0.1</v>
      </c>
      <c r="H3511">
        <v>74.999000000000009</v>
      </c>
      <c r="I3511">
        <f>order_items[[#This Row],[list_price]]-order_items[[#This Row],[Discounted_price]]</f>
        <v>674.99099999999999</v>
      </c>
      <c r="J3511">
        <f>VLOOKUP(B3511, Products!$A$2:$E$100, 3, FALSE)</f>
        <v>9</v>
      </c>
      <c r="K3511">
        <f>VLOOKUP(B3511, Products!$A$2:$F$100, 4, FALSE)</f>
        <v>6</v>
      </c>
    </row>
    <row r="3512" spans="1:11" x14ac:dyDescent="0.3">
      <c r="A3512">
        <v>1215</v>
      </c>
      <c r="B3512">
        <v>2</v>
      </c>
      <c r="C3512">
        <v>10</v>
      </c>
      <c r="D3512" t="str">
        <f>VLOOKUP(B3512, Products!$A$2:$C$100, 2, FALSE)</f>
        <v>Ritchey Timberwolf Frameset - 2016</v>
      </c>
      <c r="E3512">
        <v>2</v>
      </c>
      <c r="F3512">
        <v>1549</v>
      </c>
      <c r="G3512">
        <v>7.0000000000000007E-2</v>
      </c>
      <c r="H3512">
        <v>108.43</v>
      </c>
      <c r="I3512">
        <f>order_items[[#This Row],[list_price]]-order_items[[#This Row],[Discounted_price]]</f>
        <v>1440.57</v>
      </c>
      <c r="J3512">
        <f>VLOOKUP(B3512, Products!$A$2:$E$100, 3, FALSE)</f>
        <v>5</v>
      </c>
      <c r="K3512">
        <f>VLOOKUP(B3512, Products!$A$2:$F$100, 4, FALSE)</f>
        <v>6</v>
      </c>
    </row>
    <row r="3513" spans="1:11" x14ac:dyDescent="0.3">
      <c r="A3513">
        <v>1216</v>
      </c>
      <c r="B3513">
        <v>1</v>
      </c>
      <c r="C3513">
        <v>64</v>
      </c>
      <c r="D3513" t="str">
        <f>VLOOKUP(B3513, Products!$A$2:$C$100, 2, FALSE)</f>
        <v>Trek 820 - 2016</v>
      </c>
      <c r="E3513">
        <v>2</v>
      </c>
      <c r="F3513">
        <v>489.99</v>
      </c>
      <c r="G3513">
        <v>0.1</v>
      </c>
      <c r="H3513">
        <v>48.999000000000002</v>
      </c>
      <c r="I3513">
        <f>order_items[[#This Row],[list_price]]-order_items[[#This Row],[Discounted_price]]</f>
        <v>440.99099999999999</v>
      </c>
      <c r="J3513">
        <f>VLOOKUP(B3513, Products!$A$2:$E$100, 3, FALSE)</f>
        <v>9</v>
      </c>
      <c r="K3513">
        <f>VLOOKUP(B3513, Products!$A$2:$F$100, 4, FALSE)</f>
        <v>6</v>
      </c>
    </row>
    <row r="3514" spans="1:11" x14ac:dyDescent="0.3">
      <c r="A3514">
        <v>1216</v>
      </c>
      <c r="B3514">
        <v>2</v>
      </c>
      <c r="C3514">
        <v>54</v>
      </c>
      <c r="D3514" t="str">
        <f>VLOOKUP(B3514, Products!$A$2:$C$100, 2, FALSE)</f>
        <v>Ritchey Timberwolf Frameset - 2016</v>
      </c>
      <c r="E3514">
        <v>1</v>
      </c>
      <c r="F3514">
        <v>3199.99</v>
      </c>
      <c r="G3514">
        <v>0.05</v>
      </c>
      <c r="H3514">
        <v>159.99950000000001</v>
      </c>
      <c r="I3514">
        <f>order_items[[#This Row],[list_price]]-order_items[[#This Row],[Discounted_price]]</f>
        <v>3039.9904999999999</v>
      </c>
      <c r="J3514">
        <f>VLOOKUP(B3514, Products!$A$2:$E$100, 3, FALSE)</f>
        <v>5</v>
      </c>
      <c r="K3514">
        <f>VLOOKUP(B3514, Products!$A$2:$F$100, 4, FALSE)</f>
        <v>6</v>
      </c>
    </row>
    <row r="3515" spans="1:11" x14ac:dyDescent="0.3">
      <c r="A3515">
        <v>1216</v>
      </c>
      <c r="B3515">
        <v>3</v>
      </c>
      <c r="C3515">
        <v>19</v>
      </c>
      <c r="D3515" t="str">
        <f>VLOOKUP(B3515, Products!$A$2:$C$100, 2, FALSE)</f>
        <v>Surly Wednesday Frameset - 2016</v>
      </c>
      <c r="E3515">
        <v>1</v>
      </c>
      <c r="F3515">
        <v>449</v>
      </c>
      <c r="G3515">
        <v>0.2</v>
      </c>
      <c r="H3515">
        <v>89.800000000000011</v>
      </c>
      <c r="I3515">
        <f>order_items[[#This Row],[list_price]]-order_items[[#This Row],[Discounted_price]]</f>
        <v>359.2</v>
      </c>
      <c r="J3515">
        <f>VLOOKUP(B3515, Products!$A$2:$E$100, 3, FALSE)</f>
        <v>8</v>
      </c>
      <c r="K3515">
        <f>VLOOKUP(B3515, Products!$A$2:$F$100, 4, FALSE)</f>
        <v>6</v>
      </c>
    </row>
    <row r="3516" spans="1:11" x14ac:dyDescent="0.3">
      <c r="A3516">
        <v>1216</v>
      </c>
      <c r="B3516">
        <v>4</v>
      </c>
      <c r="C3516">
        <v>110</v>
      </c>
      <c r="D3516" t="str">
        <f>VLOOKUP(B3516, Products!$A$2:$C$100, 2, FALSE)</f>
        <v>Trek Fuel EX 8 29 - 2016</v>
      </c>
      <c r="E3516">
        <v>2</v>
      </c>
      <c r="F3516">
        <v>470.99</v>
      </c>
      <c r="G3516">
        <v>7.0000000000000007E-2</v>
      </c>
      <c r="H3516">
        <v>32.969300000000004</v>
      </c>
      <c r="I3516">
        <f>order_items[[#This Row],[list_price]]-order_items[[#This Row],[Discounted_price]]</f>
        <v>438.02070000000003</v>
      </c>
      <c r="J3516">
        <f>VLOOKUP(B3516, Products!$A$2:$E$100, 3, FALSE)</f>
        <v>9</v>
      </c>
      <c r="K3516">
        <f>VLOOKUP(B3516, Products!$A$2:$F$100, 4, FALSE)</f>
        <v>6</v>
      </c>
    </row>
    <row r="3517" spans="1:11" x14ac:dyDescent="0.3">
      <c r="A3517">
        <v>1216</v>
      </c>
      <c r="B3517">
        <v>5</v>
      </c>
      <c r="C3517">
        <v>43</v>
      </c>
      <c r="D3517" t="str">
        <f>VLOOKUP(B3517, Products!$A$2:$C$100, 2, FALSE)</f>
        <v>Heller Shagamaw Frame - 2016</v>
      </c>
      <c r="E3517">
        <v>1</v>
      </c>
      <c r="F3517">
        <v>5299.99</v>
      </c>
      <c r="G3517">
        <v>0.1</v>
      </c>
      <c r="H3517">
        <v>529.99900000000002</v>
      </c>
      <c r="I3517">
        <f>order_items[[#This Row],[list_price]]-order_items[[#This Row],[Discounted_price]]</f>
        <v>4769.991</v>
      </c>
      <c r="J3517">
        <f>VLOOKUP(B3517, Products!$A$2:$E$100, 3, FALSE)</f>
        <v>3</v>
      </c>
      <c r="K3517">
        <f>VLOOKUP(B3517, Products!$A$2:$F$100, 4, FALSE)</f>
        <v>6</v>
      </c>
    </row>
    <row r="3518" spans="1:11" x14ac:dyDescent="0.3">
      <c r="A3518">
        <v>1217</v>
      </c>
      <c r="B3518">
        <v>1</v>
      </c>
      <c r="C3518">
        <v>73</v>
      </c>
      <c r="D3518" t="str">
        <f>VLOOKUP(B3518, Products!$A$2:$C$100, 2, FALSE)</f>
        <v>Trek 820 - 2016</v>
      </c>
      <c r="E3518">
        <v>1</v>
      </c>
      <c r="F3518">
        <v>749.99</v>
      </c>
      <c r="G3518">
        <v>0.05</v>
      </c>
      <c r="H3518">
        <v>37.499500000000005</v>
      </c>
      <c r="I3518">
        <f>order_items[[#This Row],[list_price]]-order_items[[#This Row],[Discounted_price]]</f>
        <v>712.4905</v>
      </c>
      <c r="J3518">
        <f>VLOOKUP(B3518, Products!$A$2:$E$100, 3, FALSE)</f>
        <v>9</v>
      </c>
      <c r="K3518">
        <f>VLOOKUP(B3518, Products!$A$2:$F$100, 4, FALSE)</f>
        <v>6</v>
      </c>
    </row>
    <row r="3519" spans="1:11" x14ac:dyDescent="0.3">
      <c r="A3519">
        <v>1217</v>
      </c>
      <c r="B3519">
        <v>2</v>
      </c>
      <c r="C3519">
        <v>106</v>
      </c>
      <c r="D3519" t="str">
        <f>VLOOKUP(B3519, Products!$A$2:$C$100, 2, FALSE)</f>
        <v>Ritchey Timberwolf Frameset - 2016</v>
      </c>
      <c r="E3519">
        <v>2</v>
      </c>
      <c r="F3519">
        <v>449.99</v>
      </c>
      <c r="G3519">
        <v>0.05</v>
      </c>
      <c r="H3519">
        <v>22.499500000000001</v>
      </c>
      <c r="I3519">
        <f>order_items[[#This Row],[list_price]]-order_items[[#This Row],[Discounted_price]]</f>
        <v>427.4905</v>
      </c>
      <c r="J3519">
        <f>VLOOKUP(B3519, Products!$A$2:$E$100, 3, FALSE)</f>
        <v>5</v>
      </c>
      <c r="K3519">
        <f>VLOOKUP(B3519, Products!$A$2:$F$100, 4, FALSE)</f>
        <v>6</v>
      </c>
    </row>
    <row r="3520" spans="1:11" x14ac:dyDescent="0.3">
      <c r="A3520">
        <v>1218</v>
      </c>
      <c r="B3520">
        <v>1</v>
      </c>
      <c r="C3520">
        <v>32</v>
      </c>
      <c r="D3520" t="str">
        <f>VLOOKUP(B3520, Products!$A$2:$C$100, 2, FALSE)</f>
        <v>Trek 820 - 2016</v>
      </c>
      <c r="E3520">
        <v>1</v>
      </c>
      <c r="F3520">
        <v>469.99</v>
      </c>
      <c r="G3520">
        <v>7.0000000000000007E-2</v>
      </c>
      <c r="H3520">
        <v>32.899300000000004</v>
      </c>
      <c r="I3520">
        <f>order_items[[#This Row],[list_price]]-order_items[[#This Row],[Discounted_price]]</f>
        <v>437.09070000000003</v>
      </c>
      <c r="J3520">
        <f>VLOOKUP(B3520, Products!$A$2:$E$100, 3, FALSE)</f>
        <v>9</v>
      </c>
      <c r="K3520">
        <f>VLOOKUP(B3520, Products!$A$2:$F$100, 4, FALSE)</f>
        <v>6</v>
      </c>
    </row>
    <row r="3521" spans="1:11" x14ac:dyDescent="0.3">
      <c r="A3521">
        <v>1218</v>
      </c>
      <c r="B3521">
        <v>2</v>
      </c>
      <c r="C3521">
        <v>102</v>
      </c>
      <c r="D3521" t="str">
        <f>VLOOKUP(B3521, Products!$A$2:$C$100, 2, FALSE)</f>
        <v>Ritchey Timberwolf Frameset - 2016</v>
      </c>
      <c r="E3521">
        <v>2</v>
      </c>
      <c r="F3521">
        <v>489.99</v>
      </c>
      <c r="G3521">
        <v>0.05</v>
      </c>
      <c r="H3521">
        <v>24.499500000000001</v>
      </c>
      <c r="I3521">
        <f>order_items[[#This Row],[list_price]]-order_items[[#This Row],[Discounted_price]]</f>
        <v>465.4905</v>
      </c>
      <c r="J3521">
        <f>VLOOKUP(B3521, Products!$A$2:$E$100, 3, FALSE)</f>
        <v>5</v>
      </c>
      <c r="K3521">
        <f>VLOOKUP(B3521, Products!$A$2:$F$100, 4, FALSE)</f>
        <v>6</v>
      </c>
    </row>
    <row r="3522" spans="1:11" x14ac:dyDescent="0.3">
      <c r="A3522">
        <v>1219</v>
      </c>
      <c r="B3522">
        <v>1</v>
      </c>
      <c r="C3522">
        <v>17</v>
      </c>
      <c r="D3522" t="str">
        <f>VLOOKUP(B3522, Products!$A$2:$C$100, 2, FALSE)</f>
        <v>Trek 820 - 2016</v>
      </c>
      <c r="E3522">
        <v>2</v>
      </c>
      <c r="F3522">
        <v>429</v>
      </c>
      <c r="G3522">
        <v>7.0000000000000007E-2</v>
      </c>
      <c r="H3522">
        <v>30.03</v>
      </c>
      <c r="I3522">
        <f>order_items[[#This Row],[list_price]]-order_items[[#This Row],[Discounted_price]]</f>
        <v>398.97</v>
      </c>
      <c r="J3522">
        <f>VLOOKUP(B3522, Products!$A$2:$E$100, 3, FALSE)</f>
        <v>9</v>
      </c>
      <c r="K3522">
        <f>VLOOKUP(B3522, Products!$A$2:$F$100, 4, FALSE)</f>
        <v>6</v>
      </c>
    </row>
    <row r="3523" spans="1:11" x14ac:dyDescent="0.3">
      <c r="A3523">
        <v>1219</v>
      </c>
      <c r="B3523">
        <v>2</v>
      </c>
      <c r="C3523">
        <v>62</v>
      </c>
      <c r="D3523" t="str">
        <f>VLOOKUP(B3523, Products!$A$2:$C$100, 2, FALSE)</f>
        <v>Ritchey Timberwolf Frameset - 2016</v>
      </c>
      <c r="E3523">
        <v>2</v>
      </c>
      <c r="F3523">
        <v>3499.99</v>
      </c>
      <c r="G3523">
        <v>0.1</v>
      </c>
      <c r="H3523">
        <v>349.99900000000002</v>
      </c>
      <c r="I3523">
        <f>order_items[[#This Row],[list_price]]-order_items[[#This Row],[Discounted_price]]</f>
        <v>3149.991</v>
      </c>
      <c r="J3523">
        <f>VLOOKUP(B3523, Products!$A$2:$E$100, 3, FALSE)</f>
        <v>5</v>
      </c>
      <c r="K3523">
        <f>VLOOKUP(B3523, Products!$A$2:$F$100, 4, FALSE)</f>
        <v>6</v>
      </c>
    </row>
    <row r="3524" spans="1:11" x14ac:dyDescent="0.3">
      <c r="A3524">
        <v>1219</v>
      </c>
      <c r="B3524">
        <v>3</v>
      </c>
      <c r="C3524">
        <v>40</v>
      </c>
      <c r="D3524" t="str">
        <f>VLOOKUP(B3524, Products!$A$2:$C$100, 2, FALSE)</f>
        <v>Surly Wednesday Frameset - 2016</v>
      </c>
      <c r="E3524">
        <v>2</v>
      </c>
      <c r="F3524">
        <v>4999.99</v>
      </c>
      <c r="G3524">
        <v>0.2</v>
      </c>
      <c r="H3524">
        <v>999.99800000000005</v>
      </c>
      <c r="I3524">
        <f>order_items[[#This Row],[list_price]]-order_items[[#This Row],[Discounted_price]]</f>
        <v>3999.9919999999997</v>
      </c>
      <c r="J3524">
        <f>VLOOKUP(B3524, Products!$A$2:$E$100, 3, FALSE)</f>
        <v>8</v>
      </c>
      <c r="K3524">
        <f>VLOOKUP(B3524, Products!$A$2:$F$100, 4, FALSE)</f>
        <v>6</v>
      </c>
    </row>
    <row r="3525" spans="1:11" x14ac:dyDescent="0.3">
      <c r="A3525">
        <v>1220</v>
      </c>
      <c r="B3525">
        <v>1</v>
      </c>
      <c r="C3525">
        <v>47</v>
      </c>
      <c r="D3525" t="str">
        <f>VLOOKUP(B3525, Products!$A$2:$C$100, 2, FALSE)</f>
        <v>Trek 820 - 2016</v>
      </c>
      <c r="E3525">
        <v>2</v>
      </c>
      <c r="F3525">
        <v>5299.99</v>
      </c>
      <c r="G3525">
        <v>0.1</v>
      </c>
      <c r="H3525">
        <v>529.99900000000002</v>
      </c>
      <c r="I3525">
        <f>order_items[[#This Row],[list_price]]-order_items[[#This Row],[Discounted_price]]</f>
        <v>4769.991</v>
      </c>
      <c r="J3525">
        <f>VLOOKUP(B3525, Products!$A$2:$E$100, 3, FALSE)</f>
        <v>9</v>
      </c>
      <c r="K3525">
        <f>VLOOKUP(B3525, Products!$A$2:$F$100, 4, FALSE)</f>
        <v>6</v>
      </c>
    </row>
    <row r="3526" spans="1:11" x14ac:dyDescent="0.3">
      <c r="A3526">
        <v>1220</v>
      </c>
      <c r="B3526">
        <v>2</v>
      </c>
      <c r="C3526">
        <v>49</v>
      </c>
      <c r="D3526" t="str">
        <f>VLOOKUP(B3526, Products!$A$2:$C$100, 2, FALSE)</f>
        <v>Ritchey Timberwolf Frameset - 2016</v>
      </c>
      <c r="E3526">
        <v>1</v>
      </c>
      <c r="F3526">
        <v>3499.99</v>
      </c>
      <c r="G3526">
        <v>0.2</v>
      </c>
      <c r="H3526">
        <v>699.99800000000005</v>
      </c>
      <c r="I3526">
        <f>order_items[[#This Row],[list_price]]-order_items[[#This Row],[Discounted_price]]</f>
        <v>2799.9919999999997</v>
      </c>
      <c r="J3526">
        <f>VLOOKUP(B3526, Products!$A$2:$E$100, 3, FALSE)</f>
        <v>5</v>
      </c>
      <c r="K3526">
        <f>VLOOKUP(B3526, Products!$A$2:$F$100, 4, FALSE)</f>
        <v>6</v>
      </c>
    </row>
    <row r="3527" spans="1:11" x14ac:dyDescent="0.3">
      <c r="A3527">
        <v>1220</v>
      </c>
      <c r="B3527">
        <v>3</v>
      </c>
      <c r="C3527">
        <v>85</v>
      </c>
      <c r="D3527" t="str">
        <f>VLOOKUP(B3527, Products!$A$2:$C$100, 2, FALSE)</f>
        <v>Surly Wednesday Frameset - 2016</v>
      </c>
      <c r="E3527">
        <v>2</v>
      </c>
      <c r="F3527">
        <v>329.99</v>
      </c>
      <c r="G3527">
        <v>0.2</v>
      </c>
      <c r="H3527">
        <v>65.998000000000005</v>
      </c>
      <c r="I3527">
        <f>order_items[[#This Row],[list_price]]-order_items[[#This Row],[Discounted_price]]</f>
        <v>263.99200000000002</v>
      </c>
      <c r="J3527">
        <f>VLOOKUP(B3527, Products!$A$2:$E$100, 3, FALSE)</f>
        <v>8</v>
      </c>
      <c r="K3527">
        <f>VLOOKUP(B3527, Products!$A$2:$F$100, 4, FALSE)</f>
        <v>6</v>
      </c>
    </row>
    <row r="3528" spans="1:11" x14ac:dyDescent="0.3">
      <c r="A3528">
        <v>1221</v>
      </c>
      <c r="B3528">
        <v>1</v>
      </c>
      <c r="C3528">
        <v>100</v>
      </c>
      <c r="D3528" t="str">
        <f>VLOOKUP(B3528, Products!$A$2:$C$100, 2, FALSE)</f>
        <v>Trek 820 - 2016</v>
      </c>
      <c r="E3528">
        <v>1</v>
      </c>
      <c r="F3528">
        <v>489.99</v>
      </c>
      <c r="G3528">
        <v>0.05</v>
      </c>
      <c r="H3528">
        <v>24.499500000000001</v>
      </c>
      <c r="I3528">
        <f>order_items[[#This Row],[list_price]]-order_items[[#This Row],[Discounted_price]]</f>
        <v>465.4905</v>
      </c>
      <c r="J3528">
        <f>VLOOKUP(B3528, Products!$A$2:$E$100, 3, FALSE)</f>
        <v>9</v>
      </c>
      <c r="K3528">
        <f>VLOOKUP(B3528, Products!$A$2:$F$100, 4, FALSE)</f>
        <v>6</v>
      </c>
    </row>
    <row r="3529" spans="1:11" x14ac:dyDescent="0.3">
      <c r="A3529">
        <v>1221</v>
      </c>
      <c r="B3529">
        <v>2</v>
      </c>
      <c r="C3529">
        <v>81</v>
      </c>
      <c r="D3529" t="str">
        <f>VLOOKUP(B3529, Products!$A$2:$C$100, 2, FALSE)</f>
        <v>Ritchey Timberwolf Frameset - 2016</v>
      </c>
      <c r="E3529">
        <v>2</v>
      </c>
      <c r="F3529">
        <v>1099.99</v>
      </c>
      <c r="G3529">
        <v>0.05</v>
      </c>
      <c r="H3529">
        <v>54.999500000000005</v>
      </c>
      <c r="I3529">
        <f>order_items[[#This Row],[list_price]]-order_items[[#This Row],[Discounted_price]]</f>
        <v>1044.9905000000001</v>
      </c>
      <c r="J3529">
        <f>VLOOKUP(B3529, Products!$A$2:$E$100, 3, FALSE)</f>
        <v>5</v>
      </c>
      <c r="K3529">
        <f>VLOOKUP(B3529, Products!$A$2:$F$100, 4, FALSE)</f>
        <v>6</v>
      </c>
    </row>
    <row r="3530" spans="1:11" x14ac:dyDescent="0.3">
      <c r="A3530">
        <v>1221</v>
      </c>
      <c r="B3530">
        <v>3</v>
      </c>
      <c r="C3530">
        <v>42</v>
      </c>
      <c r="D3530" t="str">
        <f>VLOOKUP(B3530, Products!$A$2:$C$100, 2, FALSE)</f>
        <v>Surly Wednesday Frameset - 2016</v>
      </c>
      <c r="E3530">
        <v>2</v>
      </c>
      <c r="F3530">
        <v>2299.9899999999998</v>
      </c>
      <c r="G3530">
        <v>0.1</v>
      </c>
      <c r="H3530">
        <v>229.999</v>
      </c>
      <c r="I3530">
        <f>order_items[[#This Row],[list_price]]-order_items[[#This Row],[Discounted_price]]</f>
        <v>2069.991</v>
      </c>
      <c r="J3530">
        <f>VLOOKUP(B3530, Products!$A$2:$E$100, 3, FALSE)</f>
        <v>8</v>
      </c>
      <c r="K3530">
        <f>VLOOKUP(B3530, Products!$A$2:$F$100, 4, FALSE)</f>
        <v>6</v>
      </c>
    </row>
    <row r="3531" spans="1:11" x14ac:dyDescent="0.3">
      <c r="A3531">
        <v>1221</v>
      </c>
      <c r="B3531">
        <v>4</v>
      </c>
      <c r="C3531">
        <v>38</v>
      </c>
      <c r="D3531" t="str">
        <f>VLOOKUP(B3531, Products!$A$2:$C$100, 2, FALSE)</f>
        <v>Trek Fuel EX 8 29 - 2016</v>
      </c>
      <c r="E3531">
        <v>2</v>
      </c>
      <c r="F3531">
        <v>549.99</v>
      </c>
      <c r="G3531">
        <v>0.1</v>
      </c>
      <c r="H3531">
        <v>54.999000000000002</v>
      </c>
      <c r="I3531">
        <f>order_items[[#This Row],[list_price]]-order_items[[#This Row],[Discounted_price]]</f>
        <v>494.99099999999999</v>
      </c>
      <c r="J3531">
        <f>VLOOKUP(B3531, Products!$A$2:$E$100, 3, FALSE)</f>
        <v>9</v>
      </c>
      <c r="K3531">
        <f>VLOOKUP(B3531, Products!$A$2:$F$100, 4, FALSE)</f>
        <v>6</v>
      </c>
    </row>
    <row r="3532" spans="1:11" x14ac:dyDescent="0.3">
      <c r="A3532">
        <v>1221</v>
      </c>
      <c r="B3532">
        <v>5</v>
      </c>
      <c r="C3532">
        <v>97</v>
      </c>
      <c r="D3532" t="str">
        <f>VLOOKUP(B3532, Products!$A$2:$C$100, 2, FALSE)</f>
        <v>Heller Shagamaw Frame - 2016</v>
      </c>
      <c r="E3532">
        <v>2</v>
      </c>
      <c r="F3532">
        <v>349.99</v>
      </c>
      <c r="G3532">
        <v>7.0000000000000007E-2</v>
      </c>
      <c r="H3532">
        <v>24.499300000000002</v>
      </c>
      <c r="I3532">
        <f>order_items[[#This Row],[list_price]]-order_items[[#This Row],[Discounted_price]]</f>
        <v>325.4907</v>
      </c>
      <c r="J3532">
        <f>VLOOKUP(B3532, Products!$A$2:$E$100, 3, FALSE)</f>
        <v>3</v>
      </c>
      <c r="K3532">
        <f>VLOOKUP(B3532, Products!$A$2:$F$100, 4, FALSE)</f>
        <v>6</v>
      </c>
    </row>
    <row r="3533" spans="1:11" x14ac:dyDescent="0.3">
      <c r="A3533">
        <v>1222</v>
      </c>
      <c r="B3533">
        <v>1</v>
      </c>
      <c r="C3533">
        <v>97</v>
      </c>
      <c r="D3533" t="str">
        <f>VLOOKUP(B3533, Products!$A$2:$C$100, 2, FALSE)</f>
        <v>Trek 820 - 2016</v>
      </c>
      <c r="E3533">
        <v>1</v>
      </c>
      <c r="F3533">
        <v>349.99</v>
      </c>
      <c r="G3533">
        <v>0.2</v>
      </c>
      <c r="H3533">
        <v>69.998000000000005</v>
      </c>
      <c r="I3533">
        <f>order_items[[#This Row],[list_price]]-order_items[[#This Row],[Discounted_price]]</f>
        <v>279.99200000000002</v>
      </c>
      <c r="J3533">
        <f>VLOOKUP(B3533, Products!$A$2:$E$100, 3, FALSE)</f>
        <v>9</v>
      </c>
      <c r="K3533">
        <f>VLOOKUP(B3533, Products!$A$2:$F$100, 4, FALSE)</f>
        <v>6</v>
      </c>
    </row>
    <row r="3534" spans="1:11" x14ac:dyDescent="0.3">
      <c r="A3534">
        <v>1223</v>
      </c>
      <c r="B3534">
        <v>1</v>
      </c>
      <c r="C3534">
        <v>103</v>
      </c>
      <c r="D3534" t="str">
        <f>VLOOKUP(B3534, Products!$A$2:$C$100, 2, FALSE)</f>
        <v>Trek 820 - 2016</v>
      </c>
      <c r="E3534">
        <v>1</v>
      </c>
      <c r="F3534">
        <v>551.99</v>
      </c>
      <c r="G3534">
        <v>0.05</v>
      </c>
      <c r="H3534">
        <v>27.599500000000003</v>
      </c>
      <c r="I3534">
        <f>order_items[[#This Row],[list_price]]-order_items[[#This Row],[Discounted_price]]</f>
        <v>524.39049999999997</v>
      </c>
      <c r="J3534">
        <f>VLOOKUP(B3534, Products!$A$2:$E$100, 3, FALSE)</f>
        <v>9</v>
      </c>
      <c r="K3534">
        <f>VLOOKUP(B3534, Products!$A$2:$F$100, 4, FALSE)</f>
        <v>6</v>
      </c>
    </row>
    <row r="3535" spans="1:11" x14ac:dyDescent="0.3">
      <c r="A3535">
        <v>1224</v>
      </c>
      <c r="B3535">
        <v>1</v>
      </c>
      <c r="C3535">
        <v>62</v>
      </c>
      <c r="D3535" t="str">
        <f>VLOOKUP(B3535, Products!$A$2:$C$100, 2, FALSE)</f>
        <v>Trek 820 - 2016</v>
      </c>
      <c r="E3535">
        <v>1</v>
      </c>
      <c r="F3535">
        <v>3499.99</v>
      </c>
      <c r="G3535">
        <v>7.0000000000000007E-2</v>
      </c>
      <c r="H3535">
        <v>244.99930000000001</v>
      </c>
      <c r="I3535">
        <f>order_items[[#This Row],[list_price]]-order_items[[#This Row],[Discounted_price]]</f>
        <v>3254.9906999999998</v>
      </c>
      <c r="J3535">
        <f>VLOOKUP(B3535, Products!$A$2:$E$100, 3, FALSE)</f>
        <v>9</v>
      </c>
      <c r="K3535">
        <f>VLOOKUP(B3535, Products!$A$2:$F$100, 4, FALSE)</f>
        <v>6</v>
      </c>
    </row>
    <row r="3536" spans="1:11" x14ac:dyDescent="0.3">
      <c r="A3536">
        <v>1224</v>
      </c>
      <c r="B3536">
        <v>2</v>
      </c>
      <c r="C3536">
        <v>51</v>
      </c>
      <c r="D3536" t="str">
        <f>VLOOKUP(B3536, Products!$A$2:$C$100, 2, FALSE)</f>
        <v>Ritchey Timberwolf Frameset - 2016</v>
      </c>
      <c r="E3536">
        <v>1</v>
      </c>
      <c r="F3536">
        <v>6499.99</v>
      </c>
      <c r="G3536">
        <v>0.1</v>
      </c>
      <c r="H3536">
        <v>649.99900000000002</v>
      </c>
      <c r="I3536">
        <f>order_items[[#This Row],[list_price]]-order_items[[#This Row],[Discounted_price]]</f>
        <v>5849.991</v>
      </c>
      <c r="J3536">
        <f>VLOOKUP(B3536, Products!$A$2:$E$100, 3, FALSE)</f>
        <v>5</v>
      </c>
      <c r="K3536">
        <f>VLOOKUP(B3536, Products!$A$2:$F$100, 4, FALSE)</f>
        <v>6</v>
      </c>
    </row>
    <row r="3537" spans="1:11" x14ac:dyDescent="0.3">
      <c r="A3537">
        <v>1224</v>
      </c>
      <c r="B3537">
        <v>3</v>
      </c>
      <c r="C3537">
        <v>108</v>
      </c>
      <c r="D3537" t="str">
        <f>VLOOKUP(B3537, Products!$A$2:$C$100, 2, FALSE)</f>
        <v>Surly Wednesday Frameset - 2016</v>
      </c>
      <c r="E3537">
        <v>1</v>
      </c>
      <c r="F3537">
        <v>449.99</v>
      </c>
      <c r="G3537">
        <v>0.05</v>
      </c>
      <c r="H3537">
        <v>22.499500000000001</v>
      </c>
      <c r="I3537">
        <f>order_items[[#This Row],[list_price]]-order_items[[#This Row],[Discounted_price]]</f>
        <v>427.4905</v>
      </c>
      <c r="J3537">
        <f>VLOOKUP(B3537, Products!$A$2:$E$100, 3, FALSE)</f>
        <v>8</v>
      </c>
      <c r="K3537">
        <f>VLOOKUP(B3537, Products!$A$2:$F$100, 4, FALSE)</f>
        <v>6</v>
      </c>
    </row>
    <row r="3538" spans="1:11" x14ac:dyDescent="0.3">
      <c r="A3538">
        <v>1224</v>
      </c>
      <c r="B3538">
        <v>4</v>
      </c>
      <c r="C3538">
        <v>32</v>
      </c>
      <c r="D3538" t="str">
        <f>VLOOKUP(B3538, Products!$A$2:$C$100, 2, FALSE)</f>
        <v>Trek Fuel EX 8 29 - 2016</v>
      </c>
      <c r="E3538">
        <v>1</v>
      </c>
      <c r="F3538">
        <v>469.99</v>
      </c>
      <c r="G3538">
        <v>0.2</v>
      </c>
      <c r="H3538">
        <v>93.998000000000005</v>
      </c>
      <c r="I3538">
        <f>order_items[[#This Row],[list_price]]-order_items[[#This Row],[Discounted_price]]</f>
        <v>375.99200000000002</v>
      </c>
      <c r="J3538">
        <f>VLOOKUP(B3538, Products!$A$2:$E$100, 3, FALSE)</f>
        <v>9</v>
      </c>
      <c r="K3538">
        <f>VLOOKUP(B3538, Products!$A$2:$F$100, 4, FALSE)</f>
        <v>6</v>
      </c>
    </row>
    <row r="3539" spans="1:11" x14ac:dyDescent="0.3">
      <c r="A3539">
        <v>1225</v>
      </c>
      <c r="B3539">
        <v>1</v>
      </c>
      <c r="C3539">
        <v>81</v>
      </c>
      <c r="D3539" t="str">
        <f>VLOOKUP(B3539, Products!$A$2:$C$100, 2, FALSE)</f>
        <v>Trek 820 - 2016</v>
      </c>
      <c r="E3539">
        <v>1</v>
      </c>
      <c r="F3539">
        <v>1099.99</v>
      </c>
      <c r="G3539">
        <v>0.1</v>
      </c>
      <c r="H3539">
        <v>109.99900000000001</v>
      </c>
      <c r="I3539">
        <f>order_items[[#This Row],[list_price]]-order_items[[#This Row],[Discounted_price]]</f>
        <v>989.99099999999999</v>
      </c>
      <c r="J3539">
        <f>VLOOKUP(B3539, Products!$A$2:$E$100, 3, FALSE)</f>
        <v>9</v>
      </c>
      <c r="K3539">
        <f>VLOOKUP(B3539, Products!$A$2:$F$100, 4, FALSE)</f>
        <v>6</v>
      </c>
    </row>
    <row r="3540" spans="1:11" x14ac:dyDescent="0.3">
      <c r="A3540">
        <v>1225</v>
      </c>
      <c r="B3540">
        <v>2</v>
      </c>
      <c r="C3540">
        <v>59</v>
      </c>
      <c r="D3540" t="str">
        <f>VLOOKUP(B3540, Products!$A$2:$C$100, 2, FALSE)</f>
        <v>Ritchey Timberwolf Frameset - 2016</v>
      </c>
      <c r="E3540">
        <v>2</v>
      </c>
      <c r="F3540">
        <v>2599.9899999999998</v>
      </c>
      <c r="G3540">
        <v>0.1</v>
      </c>
      <c r="H3540">
        <v>259.99899999999997</v>
      </c>
      <c r="I3540">
        <f>order_items[[#This Row],[list_price]]-order_items[[#This Row],[Discounted_price]]</f>
        <v>2339.991</v>
      </c>
      <c r="J3540">
        <f>VLOOKUP(B3540, Products!$A$2:$E$100, 3, FALSE)</f>
        <v>5</v>
      </c>
      <c r="K3540">
        <f>VLOOKUP(B3540, Products!$A$2:$F$100, 4, FALSE)</f>
        <v>6</v>
      </c>
    </row>
    <row r="3541" spans="1:11" x14ac:dyDescent="0.3">
      <c r="A3541">
        <v>1225</v>
      </c>
      <c r="B3541">
        <v>3</v>
      </c>
      <c r="C3541">
        <v>6</v>
      </c>
      <c r="D3541" t="str">
        <f>VLOOKUP(B3541, Products!$A$2:$C$100, 2, FALSE)</f>
        <v>Surly Wednesday Frameset - 2016</v>
      </c>
      <c r="E3541">
        <v>2</v>
      </c>
      <c r="F3541">
        <v>469.99</v>
      </c>
      <c r="G3541">
        <v>0.1</v>
      </c>
      <c r="H3541">
        <v>46.999000000000002</v>
      </c>
      <c r="I3541">
        <f>order_items[[#This Row],[list_price]]-order_items[[#This Row],[Discounted_price]]</f>
        <v>422.99099999999999</v>
      </c>
      <c r="J3541">
        <f>VLOOKUP(B3541, Products!$A$2:$E$100, 3, FALSE)</f>
        <v>8</v>
      </c>
      <c r="K3541">
        <f>VLOOKUP(B3541, Products!$A$2:$F$100, 4, FALSE)</f>
        <v>6</v>
      </c>
    </row>
    <row r="3542" spans="1:11" x14ac:dyDescent="0.3">
      <c r="A3542">
        <v>1226</v>
      </c>
      <c r="B3542">
        <v>1</v>
      </c>
      <c r="C3542">
        <v>77</v>
      </c>
      <c r="D3542" t="str">
        <f>VLOOKUP(B3542, Products!$A$2:$C$100, 2, FALSE)</f>
        <v>Trek 820 - 2016</v>
      </c>
      <c r="E3542">
        <v>2</v>
      </c>
      <c r="F3542">
        <v>799.99</v>
      </c>
      <c r="G3542">
        <v>0.05</v>
      </c>
      <c r="H3542">
        <v>39.999500000000005</v>
      </c>
      <c r="I3542">
        <f>order_items[[#This Row],[list_price]]-order_items[[#This Row],[Discounted_price]]</f>
        <v>759.9905</v>
      </c>
      <c r="J3542">
        <f>VLOOKUP(B3542, Products!$A$2:$E$100, 3, FALSE)</f>
        <v>9</v>
      </c>
      <c r="K3542">
        <f>VLOOKUP(B3542, Products!$A$2:$F$100, 4, FALSE)</f>
        <v>6</v>
      </c>
    </row>
    <row r="3543" spans="1:11" x14ac:dyDescent="0.3">
      <c r="A3543">
        <v>1226</v>
      </c>
      <c r="B3543">
        <v>2</v>
      </c>
      <c r="C3543">
        <v>101</v>
      </c>
      <c r="D3543" t="str">
        <f>VLOOKUP(B3543, Products!$A$2:$C$100, 2, FALSE)</f>
        <v>Ritchey Timberwolf Frameset - 2016</v>
      </c>
      <c r="E3543">
        <v>1</v>
      </c>
      <c r="F3543">
        <v>339.99</v>
      </c>
      <c r="G3543">
        <v>0.2</v>
      </c>
      <c r="H3543">
        <v>67.998000000000005</v>
      </c>
      <c r="I3543">
        <f>order_items[[#This Row],[list_price]]-order_items[[#This Row],[Discounted_price]]</f>
        <v>271.99200000000002</v>
      </c>
      <c r="J3543">
        <f>VLOOKUP(B3543, Products!$A$2:$E$100, 3, FALSE)</f>
        <v>5</v>
      </c>
      <c r="K3543">
        <f>VLOOKUP(B3543, Products!$A$2:$F$100, 4, FALSE)</f>
        <v>6</v>
      </c>
    </row>
    <row r="3544" spans="1:11" x14ac:dyDescent="0.3">
      <c r="A3544">
        <v>1226</v>
      </c>
      <c r="B3544">
        <v>3</v>
      </c>
      <c r="C3544">
        <v>11</v>
      </c>
      <c r="D3544" t="str">
        <f>VLOOKUP(B3544, Products!$A$2:$C$100, 2, FALSE)</f>
        <v>Surly Wednesday Frameset - 2016</v>
      </c>
      <c r="E3544">
        <v>2</v>
      </c>
      <c r="F3544">
        <v>1680.99</v>
      </c>
      <c r="G3544">
        <v>7.0000000000000007E-2</v>
      </c>
      <c r="H3544">
        <v>117.66930000000001</v>
      </c>
      <c r="I3544">
        <f>order_items[[#This Row],[list_price]]-order_items[[#This Row],[Discounted_price]]</f>
        <v>1563.3207</v>
      </c>
      <c r="J3544">
        <f>VLOOKUP(B3544, Products!$A$2:$E$100, 3, FALSE)</f>
        <v>8</v>
      </c>
      <c r="K3544">
        <f>VLOOKUP(B3544, Products!$A$2:$F$100, 4, FALSE)</f>
        <v>6</v>
      </c>
    </row>
    <row r="3545" spans="1:11" x14ac:dyDescent="0.3">
      <c r="A3545">
        <v>1226</v>
      </c>
      <c r="B3545">
        <v>4</v>
      </c>
      <c r="C3545">
        <v>51</v>
      </c>
      <c r="D3545" t="str">
        <f>VLOOKUP(B3545, Products!$A$2:$C$100, 2, FALSE)</f>
        <v>Trek Fuel EX 8 29 - 2016</v>
      </c>
      <c r="E3545">
        <v>1</v>
      </c>
      <c r="F3545">
        <v>6499.99</v>
      </c>
      <c r="G3545">
        <v>7.0000000000000007E-2</v>
      </c>
      <c r="H3545">
        <v>454.99930000000001</v>
      </c>
      <c r="I3545">
        <f>order_items[[#This Row],[list_price]]-order_items[[#This Row],[Discounted_price]]</f>
        <v>6044.9906999999994</v>
      </c>
      <c r="J3545">
        <f>VLOOKUP(B3545, Products!$A$2:$E$100, 3, FALSE)</f>
        <v>9</v>
      </c>
      <c r="K3545">
        <f>VLOOKUP(B3545, Products!$A$2:$F$100, 4, FALSE)</f>
        <v>6</v>
      </c>
    </row>
    <row r="3546" spans="1:11" x14ac:dyDescent="0.3">
      <c r="A3546">
        <v>1226</v>
      </c>
      <c r="B3546">
        <v>5</v>
      </c>
      <c r="C3546">
        <v>42</v>
      </c>
      <c r="D3546" t="str">
        <f>VLOOKUP(B3546, Products!$A$2:$C$100, 2, FALSE)</f>
        <v>Heller Shagamaw Frame - 2016</v>
      </c>
      <c r="E3546">
        <v>1</v>
      </c>
      <c r="F3546">
        <v>2299.9899999999998</v>
      </c>
      <c r="G3546">
        <v>0.1</v>
      </c>
      <c r="H3546">
        <v>229.999</v>
      </c>
      <c r="I3546">
        <f>order_items[[#This Row],[list_price]]-order_items[[#This Row],[Discounted_price]]</f>
        <v>2069.991</v>
      </c>
      <c r="J3546">
        <f>VLOOKUP(B3546, Products!$A$2:$E$100, 3, FALSE)</f>
        <v>3</v>
      </c>
      <c r="K3546">
        <f>VLOOKUP(B3546, Products!$A$2:$F$100, 4, FALSE)</f>
        <v>6</v>
      </c>
    </row>
    <row r="3547" spans="1:11" x14ac:dyDescent="0.3">
      <c r="A3547">
        <v>1227</v>
      </c>
      <c r="B3547">
        <v>1</v>
      </c>
      <c r="C3547">
        <v>90</v>
      </c>
      <c r="D3547" t="str">
        <f>VLOOKUP(B3547, Products!$A$2:$C$100, 2, FALSE)</f>
        <v>Trek 820 - 2016</v>
      </c>
      <c r="E3547">
        <v>2</v>
      </c>
      <c r="F3547">
        <v>209.99</v>
      </c>
      <c r="G3547">
        <v>0.2</v>
      </c>
      <c r="H3547">
        <v>41.998000000000005</v>
      </c>
      <c r="I3547">
        <f>order_items[[#This Row],[list_price]]-order_items[[#This Row],[Discounted_price]]</f>
        <v>167.99200000000002</v>
      </c>
      <c r="J3547">
        <f>VLOOKUP(B3547, Products!$A$2:$E$100, 3, FALSE)</f>
        <v>9</v>
      </c>
      <c r="K3547">
        <f>VLOOKUP(B3547, Products!$A$2:$F$100, 4, FALSE)</f>
        <v>6</v>
      </c>
    </row>
    <row r="3548" spans="1:11" x14ac:dyDescent="0.3">
      <c r="A3548">
        <v>1227</v>
      </c>
      <c r="B3548">
        <v>2</v>
      </c>
      <c r="C3548">
        <v>44</v>
      </c>
      <c r="D3548" t="str">
        <f>VLOOKUP(B3548, Products!$A$2:$C$100, 2, FALSE)</f>
        <v>Ritchey Timberwolf Frameset - 2016</v>
      </c>
      <c r="E3548">
        <v>1</v>
      </c>
      <c r="F3548">
        <v>539.99</v>
      </c>
      <c r="G3548">
        <v>7.0000000000000007E-2</v>
      </c>
      <c r="H3548">
        <v>37.799300000000002</v>
      </c>
      <c r="I3548">
        <f>order_items[[#This Row],[list_price]]-order_items[[#This Row],[Discounted_price]]</f>
        <v>502.19069999999999</v>
      </c>
      <c r="J3548">
        <f>VLOOKUP(B3548, Products!$A$2:$E$100, 3, FALSE)</f>
        <v>5</v>
      </c>
      <c r="K3548">
        <f>VLOOKUP(B3548, Products!$A$2:$F$100, 4, FALSE)</f>
        <v>6</v>
      </c>
    </row>
    <row r="3549" spans="1:11" x14ac:dyDescent="0.3">
      <c r="A3549">
        <v>1227</v>
      </c>
      <c r="B3549">
        <v>3</v>
      </c>
      <c r="C3549">
        <v>26</v>
      </c>
      <c r="D3549" t="str">
        <f>VLOOKUP(B3549, Products!$A$2:$C$100, 2, FALSE)</f>
        <v>Surly Wednesday Frameset - 2016</v>
      </c>
      <c r="E3549">
        <v>1</v>
      </c>
      <c r="F3549">
        <v>599.99</v>
      </c>
      <c r="G3549">
        <v>0.05</v>
      </c>
      <c r="H3549">
        <v>29.999500000000001</v>
      </c>
      <c r="I3549">
        <f>order_items[[#This Row],[list_price]]-order_items[[#This Row],[Discounted_price]]</f>
        <v>569.9905</v>
      </c>
      <c r="J3549">
        <f>VLOOKUP(B3549, Products!$A$2:$E$100, 3, FALSE)</f>
        <v>8</v>
      </c>
      <c r="K3549">
        <f>VLOOKUP(B3549, Products!$A$2:$F$100, 4, FALSE)</f>
        <v>6</v>
      </c>
    </row>
    <row r="3550" spans="1:11" x14ac:dyDescent="0.3">
      <c r="A3550">
        <v>1227</v>
      </c>
      <c r="B3550">
        <v>4</v>
      </c>
      <c r="C3550">
        <v>8</v>
      </c>
      <c r="D3550" t="str">
        <f>VLOOKUP(B3550, Products!$A$2:$C$100, 2, FALSE)</f>
        <v>Trek Fuel EX 8 29 - 2016</v>
      </c>
      <c r="E3550">
        <v>1</v>
      </c>
      <c r="F3550">
        <v>1799.99</v>
      </c>
      <c r="G3550">
        <v>7.0000000000000007E-2</v>
      </c>
      <c r="H3550">
        <v>125.99930000000002</v>
      </c>
      <c r="I3550">
        <f>order_items[[#This Row],[list_price]]-order_items[[#This Row],[Discounted_price]]</f>
        <v>1673.9907000000001</v>
      </c>
      <c r="J3550">
        <f>VLOOKUP(B3550, Products!$A$2:$E$100, 3, FALSE)</f>
        <v>9</v>
      </c>
      <c r="K3550">
        <f>VLOOKUP(B3550, Products!$A$2:$F$100, 4, FALSE)</f>
        <v>6</v>
      </c>
    </row>
    <row r="3551" spans="1:11" x14ac:dyDescent="0.3">
      <c r="A3551">
        <v>1227</v>
      </c>
      <c r="B3551">
        <v>5</v>
      </c>
      <c r="C3551">
        <v>42</v>
      </c>
      <c r="D3551" t="str">
        <f>VLOOKUP(B3551, Products!$A$2:$C$100, 2, FALSE)</f>
        <v>Heller Shagamaw Frame - 2016</v>
      </c>
      <c r="E3551">
        <v>2</v>
      </c>
      <c r="F3551">
        <v>2299.9899999999998</v>
      </c>
      <c r="G3551">
        <v>0.2</v>
      </c>
      <c r="H3551">
        <v>459.99799999999999</v>
      </c>
      <c r="I3551">
        <f>order_items[[#This Row],[list_price]]-order_items[[#This Row],[Discounted_price]]</f>
        <v>1839.9919999999997</v>
      </c>
      <c r="J3551">
        <f>VLOOKUP(B3551, Products!$A$2:$E$100, 3, FALSE)</f>
        <v>3</v>
      </c>
      <c r="K3551">
        <f>VLOOKUP(B3551, Products!$A$2:$F$100, 4, FALSE)</f>
        <v>6</v>
      </c>
    </row>
    <row r="3552" spans="1:11" x14ac:dyDescent="0.3">
      <c r="A3552">
        <v>1228</v>
      </c>
      <c r="B3552">
        <v>1</v>
      </c>
      <c r="C3552">
        <v>92</v>
      </c>
      <c r="D3552" t="str">
        <f>VLOOKUP(B3552, Products!$A$2:$C$100, 2, FALSE)</f>
        <v>Trek 820 - 2016</v>
      </c>
      <c r="E3552">
        <v>1</v>
      </c>
      <c r="F3552">
        <v>209.99</v>
      </c>
      <c r="G3552">
        <v>0.2</v>
      </c>
      <c r="H3552">
        <v>41.998000000000005</v>
      </c>
      <c r="I3552">
        <f>order_items[[#This Row],[list_price]]-order_items[[#This Row],[Discounted_price]]</f>
        <v>167.99200000000002</v>
      </c>
      <c r="J3552">
        <f>VLOOKUP(B3552, Products!$A$2:$E$100, 3, FALSE)</f>
        <v>9</v>
      </c>
      <c r="K3552">
        <f>VLOOKUP(B3552, Products!$A$2:$F$100, 4, FALSE)</f>
        <v>6</v>
      </c>
    </row>
    <row r="3553" spans="1:11" x14ac:dyDescent="0.3">
      <c r="A3553">
        <v>1228</v>
      </c>
      <c r="B3553">
        <v>2</v>
      </c>
      <c r="C3553">
        <v>55</v>
      </c>
      <c r="D3553" t="str">
        <f>VLOOKUP(B3553, Products!$A$2:$C$100, 2, FALSE)</f>
        <v>Ritchey Timberwolf Frameset - 2016</v>
      </c>
      <c r="E3553">
        <v>2</v>
      </c>
      <c r="F3553">
        <v>2699.99</v>
      </c>
      <c r="G3553">
        <v>0.2</v>
      </c>
      <c r="H3553">
        <v>539.99799999999993</v>
      </c>
      <c r="I3553">
        <f>order_items[[#This Row],[list_price]]-order_items[[#This Row],[Discounted_price]]</f>
        <v>2159.9919999999997</v>
      </c>
      <c r="J3553">
        <f>VLOOKUP(B3553, Products!$A$2:$E$100, 3, FALSE)</f>
        <v>5</v>
      </c>
      <c r="K3553">
        <f>VLOOKUP(B3553, Products!$A$2:$F$100, 4, FALSE)</f>
        <v>6</v>
      </c>
    </row>
    <row r="3554" spans="1:11" x14ac:dyDescent="0.3">
      <c r="A3554">
        <v>1228</v>
      </c>
      <c r="B3554">
        <v>3</v>
      </c>
      <c r="C3554">
        <v>20</v>
      </c>
      <c r="D3554" t="str">
        <f>VLOOKUP(B3554, Products!$A$2:$C$100, 2, FALSE)</f>
        <v>Surly Wednesday Frameset - 2016</v>
      </c>
      <c r="E3554">
        <v>2</v>
      </c>
      <c r="F3554">
        <v>599.99</v>
      </c>
      <c r="G3554">
        <v>0.05</v>
      </c>
      <c r="H3554">
        <v>29.999500000000001</v>
      </c>
      <c r="I3554">
        <f>order_items[[#This Row],[list_price]]-order_items[[#This Row],[Discounted_price]]</f>
        <v>569.9905</v>
      </c>
      <c r="J3554">
        <f>VLOOKUP(B3554, Products!$A$2:$E$100, 3, FALSE)</f>
        <v>8</v>
      </c>
      <c r="K3554">
        <f>VLOOKUP(B3554, Products!$A$2:$F$100, 4, FALSE)</f>
        <v>6</v>
      </c>
    </row>
    <row r="3555" spans="1:11" x14ac:dyDescent="0.3">
      <c r="A3555">
        <v>1229</v>
      </c>
      <c r="B3555">
        <v>1</v>
      </c>
      <c r="C3555">
        <v>36</v>
      </c>
      <c r="D3555" t="str">
        <f>VLOOKUP(B3555, Products!$A$2:$C$100, 2, FALSE)</f>
        <v>Trek 820 - 2016</v>
      </c>
      <c r="E3555">
        <v>2</v>
      </c>
      <c r="F3555">
        <v>832.99</v>
      </c>
      <c r="G3555">
        <v>7.0000000000000007E-2</v>
      </c>
      <c r="H3555">
        <v>58.309300000000007</v>
      </c>
      <c r="I3555">
        <f>order_items[[#This Row],[list_price]]-order_items[[#This Row],[Discounted_price]]</f>
        <v>774.6807</v>
      </c>
      <c r="J3555">
        <f>VLOOKUP(B3555, Products!$A$2:$E$100, 3, FALSE)</f>
        <v>9</v>
      </c>
      <c r="K3555">
        <f>VLOOKUP(B3555, Products!$A$2:$F$100, 4, FALSE)</f>
        <v>6</v>
      </c>
    </row>
    <row r="3556" spans="1:11" x14ac:dyDescent="0.3">
      <c r="A3556">
        <v>1229</v>
      </c>
      <c r="B3556">
        <v>2</v>
      </c>
      <c r="C3556">
        <v>61</v>
      </c>
      <c r="D3556" t="str">
        <f>VLOOKUP(B3556, Products!$A$2:$C$100, 2, FALSE)</f>
        <v>Ritchey Timberwolf Frameset - 2016</v>
      </c>
      <c r="E3556">
        <v>2</v>
      </c>
      <c r="F3556">
        <v>4999.99</v>
      </c>
      <c r="G3556">
        <v>0.1</v>
      </c>
      <c r="H3556">
        <v>499.99900000000002</v>
      </c>
      <c r="I3556">
        <f>order_items[[#This Row],[list_price]]-order_items[[#This Row],[Discounted_price]]</f>
        <v>4499.991</v>
      </c>
      <c r="J3556">
        <f>VLOOKUP(B3556, Products!$A$2:$E$100, 3, FALSE)</f>
        <v>5</v>
      </c>
      <c r="K3556">
        <f>VLOOKUP(B3556, Products!$A$2:$F$100, 4, FALSE)</f>
        <v>6</v>
      </c>
    </row>
    <row r="3557" spans="1:11" x14ac:dyDescent="0.3">
      <c r="A3557">
        <v>1230</v>
      </c>
      <c r="B3557">
        <v>1</v>
      </c>
      <c r="C3557">
        <v>32</v>
      </c>
      <c r="D3557" t="str">
        <f>VLOOKUP(B3557, Products!$A$2:$C$100, 2, FALSE)</f>
        <v>Trek 820 - 2016</v>
      </c>
      <c r="E3557">
        <v>2</v>
      </c>
      <c r="F3557">
        <v>469.99</v>
      </c>
      <c r="G3557">
        <v>0.1</v>
      </c>
      <c r="H3557">
        <v>46.999000000000002</v>
      </c>
      <c r="I3557">
        <f>order_items[[#This Row],[list_price]]-order_items[[#This Row],[Discounted_price]]</f>
        <v>422.99099999999999</v>
      </c>
      <c r="J3557">
        <f>VLOOKUP(B3557, Products!$A$2:$E$100, 3, FALSE)</f>
        <v>9</v>
      </c>
      <c r="K3557">
        <f>VLOOKUP(B3557, Products!$A$2:$F$100, 4, FALSE)</f>
        <v>6</v>
      </c>
    </row>
    <row r="3558" spans="1:11" x14ac:dyDescent="0.3">
      <c r="A3558">
        <v>1230</v>
      </c>
      <c r="B3558">
        <v>2</v>
      </c>
      <c r="C3558">
        <v>38</v>
      </c>
      <c r="D3558" t="str">
        <f>VLOOKUP(B3558, Products!$A$2:$C$100, 2, FALSE)</f>
        <v>Ritchey Timberwolf Frameset - 2016</v>
      </c>
      <c r="E3558">
        <v>2</v>
      </c>
      <c r="F3558">
        <v>549.99</v>
      </c>
      <c r="G3558">
        <v>7.0000000000000007E-2</v>
      </c>
      <c r="H3558">
        <v>38.499300000000005</v>
      </c>
      <c r="I3558">
        <f>order_items[[#This Row],[list_price]]-order_items[[#This Row],[Discounted_price]]</f>
        <v>511.4907</v>
      </c>
      <c r="J3558">
        <f>VLOOKUP(B3558, Products!$A$2:$E$100, 3, FALSE)</f>
        <v>5</v>
      </c>
      <c r="K3558">
        <f>VLOOKUP(B3558, Products!$A$2:$F$100, 4, FALSE)</f>
        <v>6</v>
      </c>
    </row>
    <row r="3559" spans="1:11" x14ac:dyDescent="0.3">
      <c r="A3559">
        <v>1231</v>
      </c>
      <c r="B3559">
        <v>1</v>
      </c>
      <c r="C3559">
        <v>75</v>
      </c>
      <c r="D3559" t="str">
        <f>VLOOKUP(B3559, Products!$A$2:$C$100, 2, FALSE)</f>
        <v>Trek 820 - 2016</v>
      </c>
      <c r="E3559">
        <v>2</v>
      </c>
      <c r="F3559">
        <v>599.99</v>
      </c>
      <c r="G3559">
        <v>0.05</v>
      </c>
      <c r="H3559">
        <v>29.999500000000001</v>
      </c>
      <c r="I3559">
        <f>order_items[[#This Row],[list_price]]-order_items[[#This Row],[Discounted_price]]</f>
        <v>569.9905</v>
      </c>
      <c r="J3559">
        <f>VLOOKUP(B3559, Products!$A$2:$E$100, 3, FALSE)</f>
        <v>9</v>
      </c>
      <c r="K3559">
        <f>VLOOKUP(B3559, Products!$A$2:$F$100, 4, FALSE)</f>
        <v>6</v>
      </c>
    </row>
    <row r="3560" spans="1:11" x14ac:dyDescent="0.3">
      <c r="A3560">
        <v>1231</v>
      </c>
      <c r="B3560">
        <v>2</v>
      </c>
      <c r="C3560">
        <v>70</v>
      </c>
      <c r="D3560" t="str">
        <f>VLOOKUP(B3560, Products!$A$2:$C$100, 2, FALSE)</f>
        <v>Ritchey Timberwolf Frameset - 2016</v>
      </c>
      <c r="E3560">
        <v>1</v>
      </c>
      <c r="F3560">
        <v>659.99</v>
      </c>
      <c r="G3560">
        <v>7.0000000000000007E-2</v>
      </c>
      <c r="H3560">
        <v>46.199300000000008</v>
      </c>
      <c r="I3560">
        <f>order_items[[#This Row],[list_price]]-order_items[[#This Row],[Discounted_price]]</f>
        <v>613.79070000000002</v>
      </c>
      <c r="J3560">
        <f>VLOOKUP(B3560, Products!$A$2:$E$100, 3, FALSE)</f>
        <v>5</v>
      </c>
      <c r="K3560">
        <f>VLOOKUP(B3560, Products!$A$2:$F$100, 4, FALSE)</f>
        <v>6</v>
      </c>
    </row>
    <row r="3561" spans="1:11" x14ac:dyDescent="0.3">
      <c r="A3561">
        <v>1232</v>
      </c>
      <c r="B3561">
        <v>1</v>
      </c>
      <c r="C3561">
        <v>4</v>
      </c>
      <c r="D3561" t="str">
        <f>VLOOKUP(B3561, Products!$A$2:$C$100, 2, FALSE)</f>
        <v>Trek 820 - 2016</v>
      </c>
      <c r="E3561">
        <v>2</v>
      </c>
      <c r="F3561">
        <v>2899.99</v>
      </c>
      <c r="G3561">
        <v>7.0000000000000007E-2</v>
      </c>
      <c r="H3561">
        <v>202.99930000000001</v>
      </c>
      <c r="I3561">
        <f>order_items[[#This Row],[list_price]]-order_items[[#This Row],[Discounted_price]]</f>
        <v>2696.9906999999998</v>
      </c>
      <c r="J3561">
        <f>VLOOKUP(B3561, Products!$A$2:$E$100, 3, FALSE)</f>
        <v>9</v>
      </c>
      <c r="K3561">
        <f>VLOOKUP(B3561, Products!$A$2:$F$100, 4, FALSE)</f>
        <v>6</v>
      </c>
    </row>
    <row r="3562" spans="1:11" x14ac:dyDescent="0.3">
      <c r="A3562">
        <v>1232</v>
      </c>
      <c r="B3562">
        <v>2</v>
      </c>
      <c r="C3562">
        <v>110</v>
      </c>
      <c r="D3562" t="str">
        <f>VLOOKUP(B3562, Products!$A$2:$C$100, 2, FALSE)</f>
        <v>Ritchey Timberwolf Frameset - 2016</v>
      </c>
      <c r="E3562">
        <v>2</v>
      </c>
      <c r="F3562">
        <v>470.99</v>
      </c>
      <c r="G3562">
        <v>0.05</v>
      </c>
      <c r="H3562">
        <v>23.549500000000002</v>
      </c>
      <c r="I3562">
        <f>order_items[[#This Row],[list_price]]-order_items[[#This Row],[Discounted_price]]</f>
        <v>447.44049999999999</v>
      </c>
      <c r="J3562">
        <f>VLOOKUP(B3562, Products!$A$2:$E$100, 3, FALSE)</f>
        <v>5</v>
      </c>
      <c r="K3562">
        <f>VLOOKUP(B3562, Products!$A$2:$F$100, 4, FALSE)</f>
        <v>6</v>
      </c>
    </row>
    <row r="3563" spans="1:11" x14ac:dyDescent="0.3">
      <c r="A3563">
        <v>1232</v>
      </c>
      <c r="B3563">
        <v>3</v>
      </c>
      <c r="C3563">
        <v>6</v>
      </c>
      <c r="D3563" t="str">
        <f>VLOOKUP(B3563, Products!$A$2:$C$100, 2, FALSE)</f>
        <v>Surly Wednesday Frameset - 2016</v>
      </c>
      <c r="E3563">
        <v>2</v>
      </c>
      <c r="F3563">
        <v>469.99</v>
      </c>
      <c r="G3563">
        <v>0.2</v>
      </c>
      <c r="H3563">
        <v>93.998000000000005</v>
      </c>
      <c r="I3563">
        <f>order_items[[#This Row],[list_price]]-order_items[[#This Row],[Discounted_price]]</f>
        <v>375.99200000000002</v>
      </c>
      <c r="J3563">
        <f>VLOOKUP(B3563, Products!$A$2:$E$100, 3, FALSE)</f>
        <v>8</v>
      </c>
      <c r="K3563">
        <f>VLOOKUP(B3563, Products!$A$2:$F$100, 4, FALSE)</f>
        <v>6</v>
      </c>
    </row>
    <row r="3564" spans="1:11" x14ac:dyDescent="0.3">
      <c r="A3564">
        <v>1233</v>
      </c>
      <c r="B3564">
        <v>1</v>
      </c>
      <c r="C3564">
        <v>87</v>
      </c>
      <c r="D3564" t="str">
        <f>VLOOKUP(B3564, Products!$A$2:$C$100, 2, FALSE)</f>
        <v>Trek 820 - 2016</v>
      </c>
      <c r="E3564">
        <v>2</v>
      </c>
      <c r="F3564">
        <v>189.99</v>
      </c>
      <c r="G3564">
        <v>0.2</v>
      </c>
      <c r="H3564">
        <v>37.998000000000005</v>
      </c>
      <c r="I3564">
        <f>order_items[[#This Row],[list_price]]-order_items[[#This Row],[Discounted_price]]</f>
        <v>151.99200000000002</v>
      </c>
      <c r="J3564">
        <f>VLOOKUP(B3564, Products!$A$2:$E$100, 3, FALSE)</f>
        <v>9</v>
      </c>
      <c r="K3564">
        <f>VLOOKUP(B3564, Products!$A$2:$F$100, 4, FALSE)</f>
        <v>6</v>
      </c>
    </row>
    <row r="3565" spans="1:11" x14ac:dyDescent="0.3">
      <c r="A3565">
        <v>1233</v>
      </c>
      <c r="B3565">
        <v>2</v>
      </c>
      <c r="C3565">
        <v>61</v>
      </c>
      <c r="D3565" t="str">
        <f>VLOOKUP(B3565, Products!$A$2:$C$100, 2, FALSE)</f>
        <v>Ritchey Timberwolf Frameset - 2016</v>
      </c>
      <c r="E3565">
        <v>2</v>
      </c>
      <c r="F3565">
        <v>4999.99</v>
      </c>
      <c r="G3565">
        <v>0.1</v>
      </c>
      <c r="H3565">
        <v>499.99900000000002</v>
      </c>
      <c r="I3565">
        <f>order_items[[#This Row],[list_price]]-order_items[[#This Row],[Discounted_price]]</f>
        <v>4499.991</v>
      </c>
      <c r="J3565">
        <f>VLOOKUP(B3565, Products!$A$2:$E$100, 3, FALSE)</f>
        <v>5</v>
      </c>
      <c r="K3565">
        <f>VLOOKUP(B3565, Products!$A$2:$F$100, 4, FALSE)</f>
        <v>6</v>
      </c>
    </row>
    <row r="3566" spans="1:11" x14ac:dyDescent="0.3">
      <c r="A3566">
        <v>1233</v>
      </c>
      <c r="B3566">
        <v>3</v>
      </c>
      <c r="C3566">
        <v>55</v>
      </c>
      <c r="D3566" t="str">
        <f>VLOOKUP(B3566, Products!$A$2:$C$100, 2, FALSE)</f>
        <v>Surly Wednesday Frameset - 2016</v>
      </c>
      <c r="E3566">
        <v>1</v>
      </c>
      <c r="F3566">
        <v>2699.99</v>
      </c>
      <c r="G3566">
        <v>0.2</v>
      </c>
      <c r="H3566">
        <v>539.99799999999993</v>
      </c>
      <c r="I3566">
        <f>order_items[[#This Row],[list_price]]-order_items[[#This Row],[Discounted_price]]</f>
        <v>2159.9919999999997</v>
      </c>
      <c r="J3566">
        <f>VLOOKUP(B3566, Products!$A$2:$E$100, 3, FALSE)</f>
        <v>8</v>
      </c>
      <c r="K3566">
        <f>VLOOKUP(B3566, Products!$A$2:$F$100, 4, FALSE)</f>
        <v>6</v>
      </c>
    </row>
    <row r="3567" spans="1:11" x14ac:dyDescent="0.3">
      <c r="A3567">
        <v>1234</v>
      </c>
      <c r="B3567">
        <v>1</v>
      </c>
      <c r="C3567">
        <v>56</v>
      </c>
      <c r="D3567" t="str">
        <f>VLOOKUP(B3567, Products!$A$2:$C$100, 2, FALSE)</f>
        <v>Trek 820 - 2016</v>
      </c>
      <c r="E3567">
        <v>2</v>
      </c>
      <c r="F3567">
        <v>5499.99</v>
      </c>
      <c r="G3567">
        <v>7.0000000000000007E-2</v>
      </c>
      <c r="H3567">
        <v>384.99930000000001</v>
      </c>
      <c r="I3567">
        <f>order_items[[#This Row],[list_price]]-order_items[[#This Row],[Discounted_price]]</f>
        <v>5114.9906999999994</v>
      </c>
      <c r="J3567">
        <f>VLOOKUP(B3567, Products!$A$2:$E$100, 3, FALSE)</f>
        <v>9</v>
      </c>
      <c r="K3567">
        <f>VLOOKUP(B3567, Products!$A$2:$F$100, 4, FALSE)</f>
        <v>6</v>
      </c>
    </row>
    <row r="3568" spans="1:11" x14ac:dyDescent="0.3">
      <c r="A3568">
        <v>1234</v>
      </c>
      <c r="B3568">
        <v>2</v>
      </c>
      <c r="C3568">
        <v>71</v>
      </c>
      <c r="D3568" t="str">
        <f>VLOOKUP(B3568, Products!$A$2:$C$100, 2, FALSE)</f>
        <v>Ritchey Timberwolf Frameset - 2016</v>
      </c>
      <c r="E3568">
        <v>2</v>
      </c>
      <c r="F3568">
        <v>416.99</v>
      </c>
      <c r="G3568">
        <v>7.0000000000000007E-2</v>
      </c>
      <c r="H3568">
        <v>29.189300000000003</v>
      </c>
      <c r="I3568">
        <f>order_items[[#This Row],[list_price]]-order_items[[#This Row],[Discounted_price]]</f>
        <v>387.80070000000001</v>
      </c>
      <c r="J3568">
        <f>VLOOKUP(B3568, Products!$A$2:$E$100, 3, FALSE)</f>
        <v>5</v>
      </c>
      <c r="K3568">
        <f>VLOOKUP(B3568, Products!$A$2:$F$100, 4, FALSE)</f>
        <v>6</v>
      </c>
    </row>
    <row r="3569" spans="1:11" x14ac:dyDescent="0.3">
      <c r="A3569">
        <v>1235</v>
      </c>
      <c r="B3569">
        <v>1</v>
      </c>
      <c r="C3569">
        <v>7</v>
      </c>
      <c r="D3569" t="str">
        <f>VLOOKUP(B3569, Products!$A$2:$C$100, 2, FALSE)</f>
        <v>Trek 820 - 2016</v>
      </c>
      <c r="E3569">
        <v>1</v>
      </c>
      <c r="F3569">
        <v>3999.99</v>
      </c>
      <c r="G3569">
        <v>0.1</v>
      </c>
      <c r="H3569">
        <v>399.99900000000002</v>
      </c>
      <c r="I3569">
        <f>order_items[[#This Row],[list_price]]-order_items[[#This Row],[Discounted_price]]</f>
        <v>3599.991</v>
      </c>
      <c r="J3569">
        <f>VLOOKUP(B3569, Products!$A$2:$E$100, 3, FALSE)</f>
        <v>9</v>
      </c>
      <c r="K3569">
        <f>VLOOKUP(B3569, Products!$A$2:$F$100, 4, FALSE)</f>
        <v>6</v>
      </c>
    </row>
    <row r="3570" spans="1:11" x14ac:dyDescent="0.3">
      <c r="A3570">
        <v>1236</v>
      </c>
      <c r="B3570">
        <v>1</v>
      </c>
      <c r="C3570">
        <v>60</v>
      </c>
      <c r="D3570" t="str">
        <f>VLOOKUP(B3570, Products!$A$2:$C$100, 2, FALSE)</f>
        <v>Trek 820 - 2016</v>
      </c>
      <c r="E3570">
        <v>1</v>
      </c>
      <c r="F3570">
        <v>1559.99</v>
      </c>
      <c r="G3570">
        <v>7.0000000000000007E-2</v>
      </c>
      <c r="H3570">
        <v>109.19930000000001</v>
      </c>
      <c r="I3570">
        <f>order_items[[#This Row],[list_price]]-order_items[[#This Row],[Discounted_price]]</f>
        <v>1450.7907</v>
      </c>
      <c r="J3570">
        <f>VLOOKUP(B3570, Products!$A$2:$E$100, 3, FALSE)</f>
        <v>9</v>
      </c>
      <c r="K3570">
        <f>VLOOKUP(B3570, Products!$A$2:$F$100, 4, FALSE)</f>
        <v>6</v>
      </c>
    </row>
    <row r="3571" spans="1:11" x14ac:dyDescent="0.3">
      <c r="A3571">
        <v>1236</v>
      </c>
      <c r="B3571">
        <v>2</v>
      </c>
      <c r="C3571">
        <v>32</v>
      </c>
      <c r="D3571" t="str">
        <f>VLOOKUP(B3571, Products!$A$2:$C$100, 2, FALSE)</f>
        <v>Ritchey Timberwolf Frameset - 2016</v>
      </c>
      <c r="E3571">
        <v>2</v>
      </c>
      <c r="F3571">
        <v>469.99</v>
      </c>
      <c r="G3571">
        <v>0.05</v>
      </c>
      <c r="H3571">
        <v>23.499500000000001</v>
      </c>
      <c r="I3571">
        <f>order_items[[#This Row],[list_price]]-order_items[[#This Row],[Discounted_price]]</f>
        <v>446.4905</v>
      </c>
      <c r="J3571">
        <f>VLOOKUP(B3571, Products!$A$2:$E$100, 3, FALSE)</f>
        <v>5</v>
      </c>
      <c r="K3571">
        <f>VLOOKUP(B3571, Products!$A$2:$F$100, 4, FALSE)</f>
        <v>6</v>
      </c>
    </row>
    <row r="3572" spans="1:11" x14ac:dyDescent="0.3">
      <c r="A3572">
        <v>1236</v>
      </c>
      <c r="B3572">
        <v>3</v>
      </c>
      <c r="C3572">
        <v>91</v>
      </c>
      <c r="D3572" t="str">
        <f>VLOOKUP(B3572, Products!$A$2:$C$100, 2, FALSE)</f>
        <v>Surly Wednesday Frameset - 2016</v>
      </c>
      <c r="E3572">
        <v>1</v>
      </c>
      <c r="F3572">
        <v>349.99</v>
      </c>
      <c r="G3572">
        <v>0.1</v>
      </c>
      <c r="H3572">
        <v>34.999000000000002</v>
      </c>
      <c r="I3572">
        <f>order_items[[#This Row],[list_price]]-order_items[[#This Row],[Discounted_price]]</f>
        <v>314.99099999999999</v>
      </c>
      <c r="J3572">
        <f>VLOOKUP(B3572, Products!$A$2:$E$100, 3, FALSE)</f>
        <v>8</v>
      </c>
      <c r="K3572">
        <f>VLOOKUP(B3572, Products!$A$2:$F$100, 4, FALSE)</f>
        <v>6</v>
      </c>
    </row>
    <row r="3573" spans="1:11" x14ac:dyDescent="0.3">
      <c r="A3573">
        <v>1237</v>
      </c>
      <c r="B3573">
        <v>1</v>
      </c>
      <c r="C3573">
        <v>23</v>
      </c>
      <c r="D3573" t="str">
        <f>VLOOKUP(B3573, Products!$A$2:$C$100, 2, FALSE)</f>
        <v>Trek 820 - 2016</v>
      </c>
      <c r="E3573">
        <v>1</v>
      </c>
      <c r="F3573">
        <v>299.99</v>
      </c>
      <c r="G3573">
        <v>0.1</v>
      </c>
      <c r="H3573">
        <v>29.999000000000002</v>
      </c>
      <c r="I3573">
        <f>order_items[[#This Row],[list_price]]-order_items[[#This Row],[Discounted_price]]</f>
        <v>269.99099999999999</v>
      </c>
      <c r="J3573">
        <f>VLOOKUP(B3573, Products!$A$2:$E$100, 3, FALSE)</f>
        <v>9</v>
      </c>
      <c r="K3573">
        <f>VLOOKUP(B3573, Products!$A$2:$F$100, 4, FALSE)</f>
        <v>6</v>
      </c>
    </row>
    <row r="3574" spans="1:11" x14ac:dyDescent="0.3">
      <c r="A3574">
        <v>1237</v>
      </c>
      <c r="B3574">
        <v>2</v>
      </c>
      <c r="C3574">
        <v>87</v>
      </c>
      <c r="D3574" t="str">
        <f>VLOOKUP(B3574, Products!$A$2:$C$100, 2, FALSE)</f>
        <v>Ritchey Timberwolf Frameset - 2016</v>
      </c>
      <c r="E3574">
        <v>2</v>
      </c>
      <c r="F3574">
        <v>189.99</v>
      </c>
      <c r="G3574">
        <v>0.1</v>
      </c>
      <c r="H3574">
        <v>18.999000000000002</v>
      </c>
      <c r="I3574">
        <f>order_items[[#This Row],[list_price]]-order_items[[#This Row],[Discounted_price]]</f>
        <v>170.99100000000001</v>
      </c>
      <c r="J3574">
        <f>VLOOKUP(B3574, Products!$A$2:$E$100, 3, FALSE)</f>
        <v>5</v>
      </c>
      <c r="K3574">
        <f>VLOOKUP(B3574, Products!$A$2:$F$100, 4, FALSE)</f>
        <v>6</v>
      </c>
    </row>
    <row r="3575" spans="1:11" x14ac:dyDescent="0.3">
      <c r="A3575">
        <v>1237</v>
      </c>
      <c r="B3575">
        <v>3</v>
      </c>
      <c r="C3575">
        <v>95</v>
      </c>
      <c r="D3575" t="str">
        <f>VLOOKUP(B3575, Products!$A$2:$C$100, 2, FALSE)</f>
        <v>Surly Wednesday Frameset - 2016</v>
      </c>
      <c r="E3575">
        <v>2</v>
      </c>
      <c r="F3575">
        <v>299.99</v>
      </c>
      <c r="G3575">
        <v>0.2</v>
      </c>
      <c r="H3575">
        <v>59.998000000000005</v>
      </c>
      <c r="I3575">
        <f>order_items[[#This Row],[list_price]]-order_items[[#This Row],[Discounted_price]]</f>
        <v>239.99200000000002</v>
      </c>
      <c r="J3575">
        <f>VLOOKUP(B3575, Products!$A$2:$E$100, 3, FALSE)</f>
        <v>8</v>
      </c>
      <c r="K3575">
        <f>VLOOKUP(B3575, Products!$A$2:$F$100, 4, FALSE)</f>
        <v>6</v>
      </c>
    </row>
    <row r="3576" spans="1:11" x14ac:dyDescent="0.3">
      <c r="A3576">
        <v>1237</v>
      </c>
      <c r="B3576">
        <v>4</v>
      </c>
      <c r="C3576">
        <v>55</v>
      </c>
      <c r="D3576" t="str">
        <f>VLOOKUP(B3576, Products!$A$2:$C$100, 2, FALSE)</f>
        <v>Trek Fuel EX 8 29 - 2016</v>
      </c>
      <c r="E3576">
        <v>2</v>
      </c>
      <c r="F3576">
        <v>2699.99</v>
      </c>
      <c r="G3576">
        <v>7.0000000000000007E-2</v>
      </c>
      <c r="H3576">
        <v>188.99930000000001</v>
      </c>
      <c r="I3576">
        <f>order_items[[#This Row],[list_price]]-order_items[[#This Row],[Discounted_price]]</f>
        <v>2510.9906999999998</v>
      </c>
      <c r="J3576">
        <f>VLOOKUP(B3576, Products!$A$2:$E$100, 3, FALSE)</f>
        <v>9</v>
      </c>
      <c r="K3576">
        <f>VLOOKUP(B3576, Products!$A$2:$F$100, 4, FALSE)</f>
        <v>6</v>
      </c>
    </row>
    <row r="3577" spans="1:11" x14ac:dyDescent="0.3">
      <c r="A3577">
        <v>1237</v>
      </c>
      <c r="B3577">
        <v>5</v>
      </c>
      <c r="C3577">
        <v>25</v>
      </c>
      <c r="D3577" t="str">
        <f>VLOOKUP(B3577, Products!$A$2:$C$100, 2, FALSE)</f>
        <v>Heller Shagamaw Frame - 2016</v>
      </c>
      <c r="E3577">
        <v>1</v>
      </c>
      <c r="F3577">
        <v>499.99</v>
      </c>
      <c r="G3577">
        <v>7.0000000000000007E-2</v>
      </c>
      <c r="H3577">
        <v>34.999300000000005</v>
      </c>
      <c r="I3577">
        <f>order_items[[#This Row],[list_price]]-order_items[[#This Row],[Discounted_price]]</f>
        <v>464.9907</v>
      </c>
      <c r="J3577">
        <f>VLOOKUP(B3577, Products!$A$2:$E$100, 3, FALSE)</f>
        <v>3</v>
      </c>
      <c r="K3577">
        <f>VLOOKUP(B3577, Products!$A$2:$F$100, 4, FALSE)</f>
        <v>6</v>
      </c>
    </row>
    <row r="3578" spans="1:11" x14ac:dyDescent="0.3">
      <c r="A3578">
        <v>1238</v>
      </c>
      <c r="B3578">
        <v>1</v>
      </c>
      <c r="C3578">
        <v>40</v>
      </c>
      <c r="D3578" t="str">
        <f>VLOOKUP(B3578, Products!$A$2:$C$100, 2, FALSE)</f>
        <v>Trek 820 - 2016</v>
      </c>
      <c r="E3578">
        <v>1</v>
      </c>
      <c r="F3578">
        <v>4999.99</v>
      </c>
      <c r="G3578">
        <v>0.1</v>
      </c>
      <c r="H3578">
        <v>499.99900000000002</v>
      </c>
      <c r="I3578">
        <f>order_items[[#This Row],[list_price]]-order_items[[#This Row],[Discounted_price]]</f>
        <v>4499.991</v>
      </c>
      <c r="J3578">
        <f>VLOOKUP(B3578, Products!$A$2:$E$100, 3, FALSE)</f>
        <v>9</v>
      </c>
      <c r="K3578">
        <f>VLOOKUP(B3578, Products!$A$2:$F$100, 4, FALSE)</f>
        <v>6</v>
      </c>
    </row>
    <row r="3579" spans="1:11" x14ac:dyDescent="0.3">
      <c r="A3579">
        <v>1238</v>
      </c>
      <c r="B3579">
        <v>2</v>
      </c>
      <c r="C3579">
        <v>14</v>
      </c>
      <c r="D3579" t="str">
        <f>VLOOKUP(B3579, Products!$A$2:$C$100, 2, FALSE)</f>
        <v>Ritchey Timberwolf Frameset - 2016</v>
      </c>
      <c r="E3579">
        <v>1</v>
      </c>
      <c r="F3579">
        <v>269.99</v>
      </c>
      <c r="G3579">
        <v>0.1</v>
      </c>
      <c r="H3579">
        <v>26.999000000000002</v>
      </c>
      <c r="I3579">
        <f>order_items[[#This Row],[list_price]]-order_items[[#This Row],[Discounted_price]]</f>
        <v>242.99100000000001</v>
      </c>
      <c r="J3579">
        <f>VLOOKUP(B3579, Products!$A$2:$E$100, 3, FALSE)</f>
        <v>5</v>
      </c>
      <c r="K3579">
        <f>VLOOKUP(B3579, Products!$A$2:$F$100, 4, FALSE)</f>
        <v>6</v>
      </c>
    </row>
    <row r="3580" spans="1:11" x14ac:dyDescent="0.3">
      <c r="A3580">
        <v>1238</v>
      </c>
      <c r="B3580">
        <v>3</v>
      </c>
      <c r="C3580">
        <v>99</v>
      </c>
      <c r="D3580" t="str">
        <f>VLOOKUP(B3580, Products!$A$2:$C$100, 2, FALSE)</f>
        <v>Surly Wednesday Frameset - 2016</v>
      </c>
      <c r="E3580">
        <v>2</v>
      </c>
      <c r="F3580">
        <v>299.99</v>
      </c>
      <c r="G3580">
        <v>0.2</v>
      </c>
      <c r="H3580">
        <v>59.998000000000005</v>
      </c>
      <c r="I3580">
        <f>order_items[[#This Row],[list_price]]-order_items[[#This Row],[Discounted_price]]</f>
        <v>239.99200000000002</v>
      </c>
      <c r="J3580">
        <f>VLOOKUP(B3580, Products!$A$2:$E$100, 3, FALSE)</f>
        <v>8</v>
      </c>
      <c r="K3580">
        <f>VLOOKUP(B3580, Products!$A$2:$F$100, 4, FALSE)</f>
        <v>6</v>
      </c>
    </row>
    <row r="3581" spans="1:11" x14ac:dyDescent="0.3">
      <c r="A3581">
        <v>1238</v>
      </c>
      <c r="B3581">
        <v>4</v>
      </c>
      <c r="C3581">
        <v>101</v>
      </c>
      <c r="D3581" t="str">
        <f>VLOOKUP(B3581, Products!$A$2:$C$100, 2, FALSE)</f>
        <v>Trek Fuel EX 8 29 - 2016</v>
      </c>
      <c r="E3581">
        <v>1</v>
      </c>
      <c r="F3581">
        <v>339.99</v>
      </c>
      <c r="G3581">
        <v>0.1</v>
      </c>
      <c r="H3581">
        <v>33.999000000000002</v>
      </c>
      <c r="I3581">
        <f>order_items[[#This Row],[list_price]]-order_items[[#This Row],[Discounted_price]]</f>
        <v>305.99099999999999</v>
      </c>
      <c r="J3581">
        <f>VLOOKUP(B3581, Products!$A$2:$E$100, 3, FALSE)</f>
        <v>9</v>
      </c>
      <c r="K3581">
        <f>VLOOKUP(B3581, Products!$A$2:$F$100, 4, FALSE)</f>
        <v>6</v>
      </c>
    </row>
    <row r="3582" spans="1:11" x14ac:dyDescent="0.3">
      <c r="A3582">
        <v>1239</v>
      </c>
      <c r="B3582">
        <v>1</v>
      </c>
      <c r="C3582">
        <v>15</v>
      </c>
      <c r="D3582" t="str">
        <f>VLOOKUP(B3582, Products!$A$2:$C$100, 2, FALSE)</f>
        <v>Trek 820 - 2016</v>
      </c>
      <c r="E3582">
        <v>2</v>
      </c>
      <c r="F3582">
        <v>529.99</v>
      </c>
      <c r="G3582">
        <v>0.2</v>
      </c>
      <c r="H3582">
        <v>105.998</v>
      </c>
      <c r="I3582">
        <f>order_items[[#This Row],[list_price]]-order_items[[#This Row],[Discounted_price]]</f>
        <v>423.99200000000002</v>
      </c>
      <c r="J3582">
        <f>VLOOKUP(B3582, Products!$A$2:$E$100, 3, FALSE)</f>
        <v>9</v>
      </c>
      <c r="K3582">
        <f>VLOOKUP(B3582, Products!$A$2:$F$100, 4, FALSE)</f>
        <v>6</v>
      </c>
    </row>
    <row r="3583" spans="1:11" x14ac:dyDescent="0.3">
      <c r="A3583">
        <v>1239</v>
      </c>
      <c r="B3583">
        <v>2</v>
      </c>
      <c r="C3583">
        <v>91</v>
      </c>
      <c r="D3583" t="str">
        <f>VLOOKUP(B3583, Products!$A$2:$C$100, 2, FALSE)</f>
        <v>Ritchey Timberwolf Frameset - 2016</v>
      </c>
      <c r="E3583">
        <v>1</v>
      </c>
      <c r="F3583">
        <v>349.99</v>
      </c>
      <c r="G3583">
        <v>0.1</v>
      </c>
      <c r="H3583">
        <v>34.999000000000002</v>
      </c>
      <c r="I3583">
        <f>order_items[[#This Row],[list_price]]-order_items[[#This Row],[Discounted_price]]</f>
        <v>314.99099999999999</v>
      </c>
      <c r="J3583">
        <f>VLOOKUP(B3583, Products!$A$2:$E$100, 3, FALSE)</f>
        <v>5</v>
      </c>
      <c r="K3583">
        <f>VLOOKUP(B3583, Products!$A$2:$F$100, 4, FALSE)</f>
        <v>6</v>
      </c>
    </row>
    <row r="3584" spans="1:11" x14ac:dyDescent="0.3">
      <c r="A3584">
        <v>1239</v>
      </c>
      <c r="B3584">
        <v>3</v>
      </c>
      <c r="C3584">
        <v>34</v>
      </c>
      <c r="D3584" t="str">
        <f>VLOOKUP(B3584, Products!$A$2:$C$100, 2, FALSE)</f>
        <v>Surly Wednesday Frameset - 2016</v>
      </c>
      <c r="E3584">
        <v>2</v>
      </c>
      <c r="F3584">
        <v>469.99</v>
      </c>
      <c r="G3584">
        <v>0.1</v>
      </c>
      <c r="H3584">
        <v>46.999000000000002</v>
      </c>
      <c r="I3584">
        <f>order_items[[#This Row],[list_price]]-order_items[[#This Row],[Discounted_price]]</f>
        <v>422.99099999999999</v>
      </c>
      <c r="J3584">
        <f>VLOOKUP(B3584, Products!$A$2:$E$100, 3, FALSE)</f>
        <v>8</v>
      </c>
      <c r="K3584">
        <f>VLOOKUP(B3584, Products!$A$2:$F$100, 4, FALSE)</f>
        <v>6</v>
      </c>
    </row>
    <row r="3585" spans="1:11" x14ac:dyDescent="0.3">
      <c r="A3585">
        <v>1239</v>
      </c>
      <c r="B3585">
        <v>4</v>
      </c>
      <c r="C3585">
        <v>36</v>
      </c>
      <c r="D3585" t="str">
        <f>VLOOKUP(B3585, Products!$A$2:$C$100, 2, FALSE)</f>
        <v>Trek Fuel EX 8 29 - 2016</v>
      </c>
      <c r="E3585">
        <v>1</v>
      </c>
      <c r="F3585">
        <v>832.99</v>
      </c>
      <c r="G3585">
        <v>0.05</v>
      </c>
      <c r="H3585">
        <v>41.649500000000003</v>
      </c>
      <c r="I3585">
        <f>order_items[[#This Row],[list_price]]-order_items[[#This Row],[Discounted_price]]</f>
        <v>791.34050000000002</v>
      </c>
      <c r="J3585">
        <f>VLOOKUP(B3585, Products!$A$2:$E$100, 3, FALSE)</f>
        <v>9</v>
      </c>
      <c r="K3585">
        <f>VLOOKUP(B3585, Products!$A$2:$F$100, 4, FALSE)</f>
        <v>6</v>
      </c>
    </row>
    <row r="3586" spans="1:11" x14ac:dyDescent="0.3">
      <c r="A3586">
        <v>1240</v>
      </c>
      <c r="B3586">
        <v>1</v>
      </c>
      <c r="C3586">
        <v>107</v>
      </c>
      <c r="D3586" t="str">
        <f>VLOOKUP(B3586, Products!$A$2:$C$100, 2, FALSE)</f>
        <v>Trek 820 - 2016</v>
      </c>
      <c r="E3586">
        <v>2</v>
      </c>
      <c r="F3586">
        <v>416.99</v>
      </c>
      <c r="G3586">
        <v>0.1</v>
      </c>
      <c r="H3586">
        <v>41.699000000000005</v>
      </c>
      <c r="I3586">
        <f>order_items[[#This Row],[list_price]]-order_items[[#This Row],[Discounted_price]]</f>
        <v>375.291</v>
      </c>
      <c r="J3586">
        <f>VLOOKUP(B3586, Products!$A$2:$E$100, 3, FALSE)</f>
        <v>9</v>
      </c>
      <c r="K3586">
        <f>VLOOKUP(B3586, Products!$A$2:$F$100, 4, FALSE)</f>
        <v>6</v>
      </c>
    </row>
    <row r="3587" spans="1:11" x14ac:dyDescent="0.3">
      <c r="A3587">
        <v>1240</v>
      </c>
      <c r="B3587">
        <v>2</v>
      </c>
      <c r="C3587">
        <v>23</v>
      </c>
      <c r="D3587" t="str">
        <f>VLOOKUP(B3587, Products!$A$2:$C$100, 2, FALSE)</f>
        <v>Ritchey Timberwolf Frameset - 2016</v>
      </c>
      <c r="E3587">
        <v>2</v>
      </c>
      <c r="F3587">
        <v>299.99</v>
      </c>
      <c r="G3587">
        <v>0.05</v>
      </c>
      <c r="H3587">
        <v>14.999500000000001</v>
      </c>
      <c r="I3587">
        <f>order_items[[#This Row],[list_price]]-order_items[[#This Row],[Discounted_price]]</f>
        <v>284.9905</v>
      </c>
      <c r="J3587">
        <f>VLOOKUP(B3587, Products!$A$2:$E$100, 3, FALSE)</f>
        <v>5</v>
      </c>
      <c r="K3587">
        <f>VLOOKUP(B3587, Products!$A$2:$F$100, 4, FALSE)</f>
        <v>6</v>
      </c>
    </row>
    <row r="3588" spans="1:11" x14ac:dyDescent="0.3">
      <c r="A3588">
        <v>1240</v>
      </c>
      <c r="B3588">
        <v>3</v>
      </c>
      <c r="C3588">
        <v>15</v>
      </c>
      <c r="D3588" t="str">
        <f>VLOOKUP(B3588, Products!$A$2:$C$100, 2, FALSE)</f>
        <v>Surly Wednesday Frameset - 2016</v>
      </c>
      <c r="E3588">
        <v>2</v>
      </c>
      <c r="F3588">
        <v>529.99</v>
      </c>
      <c r="G3588">
        <v>0.2</v>
      </c>
      <c r="H3588">
        <v>105.998</v>
      </c>
      <c r="I3588">
        <f>order_items[[#This Row],[list_price]]-order_items[[#This Row],[Discounted_price]]</f>
        <v>423.99200000000002</v>
      </c>
      <c r="J3588">
        <f>VLOOKUP(B3588, Products!$A$2:$E$100, 3, FALSE)</f>
        <v>8</v>
      </c>
      <c r="K3588">
        <f>VLOOKUP(B3588, Products!$A$2:$F$100, 4, FALSE)</f>
        <v>6</v>
      </c>
    </row>
    <row r="3589" spans="1:11" x14ac:dyDescent="0.3">
      <c r="A3589">
        <v>1240</v>
      </c>
      <c r="B3589">
        <v>4</v>
      </c>
      <c r="C3589">
        <v>77</v>
      </c>
      <c r="D3589" t="str">
        <f>VLOOKUP(B3589, Products!$A$2:$C$100, 2, FALSE)</f>
        <v>Trek Fuel EX 8 29 - 2016</v>
      </c>
      <c r="E3589">
        <v>2</v>
      </c>
      <c r="F3589">
        <v>799.99</v>
      </c>
      <c r="G3589">
        <v>0.05</v>
      </c>
      <c r="H3589">
        <v>39.999500000000005</v>
      </c>
      <c r="I3589">
        <f>order_items[[#This Row],[list_price]]-order_items[[#This Row],[Discounted_price]]</f>
        <v>759.9905</v>
      </c>
      <c r="J3589">
        <f>VLOOKUP(B3589, Products!$A$2:$E$100, 3, FALSE)</f>
        <v>9</v>
      </c>
      <c r="K3589">
        <f>VLOOKUP(B3589, Products!$A$2:$F$100, 4, FALSE)</f>
        <v>6</v>
      </c>
    </row>
    <row r="3590" spans="1:11" x14ac:dyDescent="0.3">
      <c r="A3590">
        <v>1240</v>
      </c>
      <c r="B3590">
        <v>5</v>
      </c>
      <c r="C3590">
        <v>57</v>
      </c>
      <c r="D3590" t="str">
        <f>VLOOKUP(B3590, Products!$A$2:$C$100, 2, FALSE)</f>
        <v>Heller Shagamaw Frame - 2016</v>
      </c>
      <c r="E3590">
        <v>1</v>
      </c>
      <c r="F3590">
        <v>1999.99</v>
      </c>
      <c r="G3590">
        <v>0.05</v>
      </c>
      <c r="H3590">
        <v>99.999500000000012</v>
      </c>
      <c r="I3590">
        <f>order_items[[#This Row],[list_price]]-order_items[[#This Row],[Discounted_price]]</f>
        <v>1899.9904999999999</v>
      </c>
      <c r="J3590">
        <f>VLOOKUP(B3590, Products!$A$2:$E$100, 3, FALSE)</f>
        <v>3</v>
      </c>
      <c r="K3590">
        <f>VLOOKUP(B3590, Products!$A$2:$F$100, 4, FALSE)</f>
        <v>6</v>
      </c>
    </row>
    <row r="3591" spans="1:11" x14ac:dyDescent="0.3">
      <c r="A3591">
        <v>1241</v>
      </c>
      <c r="B3591">
        <v>1</v>
      </c>
      <c r="C3591">
        <v>74</v>
      </c>
      <c r="D3591" t="str">
        <f>VLOOKUP(B3591, Products!$A$2:$C$100, 2, FALSE)</f>
        <v>Trek 820 - 2016</v>
      </c>
      <c r="E3591">
        <v>1</v>
      </c>
      <c r="F3591">
        <v>439.99</v>
      </c>
      <c r="G3591">
        <v>0.05</v>
      </c>
      <c r="H3591">
        <v>21.999500000000001</v>
      </c>
      <c r="I3591">
        <f>order_items[[#This Row],[list_price]]-order_items[[#This Row],[Discounted_price]]</f>
        <v>417.9905</v>
      </c>
      <c r="J3591">
        <f>VLOOKUP(B3591, Products!$A$2:$E$100, 3, FALSE)</f>
        <v>9</v>
      </c>
      <c r="K3591">
        <f>VLOOKUP(B3591, Products!$A$2:$F$100, 4, FALSE)</f>
        <v>6</v>
      </c>
    </row>
    <row r="3592" spans="1:11" x14ac:dyDescent="0.3">
      <c r="A3592">
        <v>1241</v>
      </c>
      <c r="B3592">
        <v>2</v>
      </c>
      <c r="C3592">
        <v>71</v>
      </c>
      <c r="D3592" t="str">
        <f>VLOOKUP(B3592, Products!$A$2:$C$100, 2, FALSE)</f>
        <v>Ritchey Timberwolf Frameset - 2016</v>
      </c>
      <c r="E3592">
        <v>2</v>
      </c>
      <c r="F3592">
        <v>416.99</v>
      </c>
      <c r="G3592">
        <v>0.05</v>
      </c>
      <c r="H3592">
        <v>20.849500000000003</v>
      </c>
      <c r="I3592">
        <f>order_items[[#This Row],[list_price]]-order_items[[#This Row],[Discounted_price]]</f>
        <v>396.14050000000003</v>
      </c>
      <c r="J3592">
        <f>VLOOKUP(B3592, Products!$A$2:$E$100, 3, FALSE)</f>
        <v>5</v>
      </c>
      <c r="K3592">
        <f>VLOOKUP(B3592, Products!$A$2:$F$100, 4, FALSE)</f>
        <v>6</v>
      </c>
    </row>
    <row r="3593" spans="1:11" x14ac:dyDescent="0.3">
      <c r="A3593">
        <v>1242</v>
      </c>
      <c r="B3593">
        <v>1</v>
      </c>
      <c r="C3593">
        <v>94</v>
      </c>
      <c r="D3593" t="str">
        <f>VLOOKUP(B3593, Products!$A$2:$C$100, 2, FALSE)</f>
        <v>Trek 820 - 2016</v>
      </c>
      <c r="E3593">
        <v>1</v>
      </c>
      <c r="F3593">
        <v>249.99</v>
      </c>
      <c r="G3593">
        <v>0.05</v>
      </c>
      <c r="H3593">
        <v>12.499500000000001</v>
      </c>
      <c r="I3593">
        <f>order_items[[#This Row],[list_price]]-order_items[[#This Row],[Discounted_price]]</f>
        <v>237.4905</v>
      </c>
      <c r="J3593">
        <f>VLOOKUP(B3593, Products!$A$2:$E$100, 3, FALSE)</f>
        <v>9</v>
      </c>
      <c r="K3593">
        <f>VLOOKUP(B3593, Products!$A$2:$F$100, 4, FALSE)</f>
        <v>6</v>
      </c>
    </row>
    <row r="3594" spans="1:11" x14ac:dyDescent="0.3">
      <c r="A3594">
        <v>1242</v>
      </c>
      <c r="B3594">
        <v>2</v>
      </c>
      <c r="C3594">
        <v>27</v>
      </c>
      <c r="D3594" t="str">
        <f>VLOOKUP(B3594, Products!$A$2:$C$100, 2, FALSE)</f>
        <v>Ritchey Timberwolf Frameset - 2016</v>
      </c>
      <c r="E3594">
        <v>1</v>
      </c>
      <c r="F3594">
        <v>999.99</v>
      </c>
      <c r="G3594">
        <v>7.0000000000000007E-2</v>
      </c>
      <c r="H3594">
        <v>69.999300000000005</v>
      </c>
      <c r="I3594">
        <f>order_items[[#This Row],[list_price]]-order_items[[#This Row],[Discounted_price]]</f>
        <v>929.99070000000006</v>
      </c>
      <c r="J3594">
        <f>VLOOKUP(B3594, Products!$A$2:$E$100, 3, FALSE)</f>
        <v>5</v>
      </c>
      <c r="K3594">
        <f>VLOOKUP(B3594, Products!$A$2:$F$100, 4, FALSE)</f>
        <v>6</v>
      </c>
    </row>
    <row r="3595" spans="1:11" x14ac:dyDescent="0.3">
      <c r="A3595">
        <v>1242</v>
      </c>
      <c r="B3595">
        <v>3</v>
      </c>
      <c r="C3595">
        <v>10</v>
      </c>
      <c r="D3595" t="str">
        <f>VLOOKUP(B3595, Products!$A$2:$C$100, 2, FALSE)</f>
        <v>Surly Wednesday Frameset - 2016</v>
      </c>
      <c r="E3595">
        <v>1</v>
      </c>
      <c r="F3595">
        <v>1549</v>
      </c>
      <c r="G3595">
        <v>7.0000000000000007E-2</v>
      </c>
      <c r="H3595">
        <v>108.43</v>
      </c>
      <c r="I3595">
        <f>order_items[[#This Row],[list_price]]-order_items[[#This Row],[Discounted_price]]</f>
        <v>1440.57</v>
      </c>
      <c r="J3595">
        <f>VLOOKUP(B3595, Products!$A$2:$E$100, 3, FALSE)</f>
        <v>8</v>
      </c>
      <c r="K3595">
        <f>VLOOKUP(B3595, Products!$A$2:$F$100, 4, FALSE)</f>
        <v>6</v>
      </c>
    </row>
    <row r="3596" spans="1:11" x14ac:dyDescent="0.3">
      <c r="A3596">
        <v>1242</v>
      </c>
      <c r="B3596">
        <v>4</v>
      </c>
      <c r="C3596">
        <v>70</v>
      </c>
      <c r="D3596" t="str">
        <f>VLOOKUP(B3596, Products!$A$2:$C$100, 2, FALSE)</f>
        <v>Trek Fuel EX 8 29 - 2016</v>
      </c>
      <c r="E3596">
        <v>1</v>
      </c>
      <c r="F3596">
        <v>659.99</v>
      </c>
      <c r="G3596">
        <v>0.2</v>
      </c>
      <c r="H3596">
        <v>131.99800000000002</v>
      </c>
      <c r="I3596">
        <f>order_items[[#This Row],[list_price]]-order_items[[#This Row],[Discounted_price]]</f>
        <v>527.99199999999996</v>
      </c>
      <c r="J3596">
        <f>VLOOKUP(B3596, Products!$A$2:$E$100, 3, FALSE)</f>
        <v>9</v>
      </c>
      <c r="K3596">
        <f>VLOOKUP(B3596, Products!$A$2:$F$100, 4, FALSE)</f>
        <v>6</v>
      </c>
    </row>
    <row r="3597" spans="1:11" x14ac:dyDescent="0.3">
      <c r="A3597">
        <v>1243</v>
      </c>
      <c r="B3597">
        <v>1</v>
      </c>
      <c r="C3597">
        <v>44</v>
      </c>
      <c r="D3597" t="str">
        <f>VLOOKUP(B3597, Products!$A$2:$C$100, 2, FALSE)</f>
        <v>Trek 820 - 2016</v>
      </c>
      <c r="E3597">
        <v>1</v>
      </c>
      <c r="F3597">
        <v>539.99</v>
      </c>
      <c r="G3597">
        <v>7.0000000000000007E-2</v>
      </c>
      <c r="H3597">
        <v>37.799300000000002</v>
      </c>
      <c r="I3597">
        <f>order_items[[#This Row],[list_price]]-order_items[[#This Row],[Discounted_price]]</f>
        <v>502.19069999999999</v>
      </c>
      <c r="J3597">
        <f>VLOOKUP(B3597, Products!$A$2:$E$100, 3, FALSE)</f>
        <v>9</v>
      </c>
      <c r="K3597">
        <f>VLOOKUP(B3597, Products!$A$2:$F$100, 4, FALSE)</f>
        <v>6</v>
      </c>
    </row>
    <row r="3598" spans="1:11" x14ac:dyDescent="0.3">
      <c r="A3598">
        <v>1244</v>
      </c>
      <c r="B3598">
        <v>1</v>
      </c>
      <c r="C3598">
        <v>45</v>
      </c>
      <c r="D3598" t="str">
        <f>VLOOKUP(B3598, Products!$A$2:$C$100, 2, FALSE)</f>
        <v>Trek 820 - 2016</v>
      </c>
      <c r="E3598">
        <v>1</v>
      </c>
      <c r="F3598">
        <v>869.99</v>
      </c>
      <c r="G3598">
        <v>0.2</v>
      </c>
      <c r="H3598">
        <v>173.99800000000002</v>
      </c>
      <c r="I3598">
        <f>order_items[[#This Row],[list_price]]-order_items[[#This Row],[Discounted_price]]</f>
        <v>695.99199999999996</v>
      </c>
      <c r="J3598">
        <f>VLOOKUP(B3598, Products!$A$2:$E$100, 3, FALSE)</f>
        <v>9</v>
      </c>
      <c r="K3598">
        <f>VLOOKUP(B3598, Products!$A$2:$F$100, 4, FALSE)</f>
        <v>6</v>
      </c>
    </row>
    <row r="3599" spans="1:11" x14ac:dyDescent="0.3">
      <c r="A3599">
        <v>1244</v>
      </c>
      <c r="B3599">
        <v>2</v>
      </c>
      <c r="C3599">
        <v>38</v>
      </c>
      <c r="D3599" t="str">
        <f>VLOOKUP(B3599, Products!$A$2:$C$100, 2, FALSE)</f>
        <v>Ritchey Timberwolf Frameset - 2016</v>
      </c>
      <c r="E3599">
        <v>2</v>
      </c>
      <c r="F3599">
        <v>549.99</v>
      </c>
      <c r="G3599">
        <v>7.0000000000000007E-2</v>
      </c>
      <c r="H3599">
        <v>38.499300000000005</v>
      </c>
      <c r="I3599">
        <f>order_items[[#This Row],[list_price]]-order_items[[#This Row],[Discounted_price]]</f>
        <v>511.4907</v>
      </c>
      <c r="J3599">
        <f>VLOOKUP(B3599, Products!$A$2:$E$100, 3, FALSE)</f>
        <v>5</v>
      </c>
      <c r="K3599">
        <f>VLOOKUP(B3599, Products!$A$2:$F$100, 4, FALSE)</f>
        <v>6</v>
      </c>
    </row>
    <row r="3600" spans="1:11" x14ac:dyDescent="0.3">
      <c r="A3600">
        <v>1244</v>
      </c>
      <c r="B3600">
        <v>3</v>
      </c>
      <c r="C3600">
        <v>33</v>
      </c>
      <c r="D3600" t="str">
        <f>VLOOKUP(B3600, Products!$A$2:$C$100, 2, FALSE)</f>
        <v>Surly Wednesday Frameset - 2016</v>
      </c>
      <c r="E3600">
        <v>1</v>
      </c>
      <c r="F3600">
        <v>469.99</v>
      </c>
      <c r="G3600">
        <v>7.0000000000000007E-2</v>
      </c>
      <c r="H3600">
        <v>32.899300000000004</v>
      </c>
      <c r="I3600">
        <f>order_items[[#This Row],[list_price]]-order_items[[#This Row],[Discounted_price]]</f>
        <v>437.09070000000003</v>
      </c>
      <c r="J3600">
        <f>VLOOKUP(B3600, Products!$A$2:$E$100, 3, FALSE)</f>
        <v>8</v>
      </c>
      <c r="K3600">
        <f>VLOOKUP(B3600, Products!$A$2:$F$100, 4, FALSE)</f>
        <v>6</v>
      </c>
    </row>
    <row r="3601" spans="1:11" x14ac:dyDescent="0.3">
      <c r="A3601">
        <v>1244</v>
      </c>
      <c r="B3601">
        <v>4</v>
      </c>
      <c r="C3601">
        <v>37</v>
      </c>
      <c r="D3601" t="str">
        <f>VLOOKUP(B3601, Products!$A$2:$C$100, 2, FALSE)</f>
        <v>Trek Fuel EX 8 29 - 2016</v>
      </c>
      <c r="E3601">
        <v>2</v>
      </c>
      <c r="F3601">
        <v>379.99</v>
      </c>
      <c r="G3601">
        <v>0.1</v>
      </c>
      <c r="H3601">
        <v>37.999000000000002</v>
      </c>
      <c r="I3601">
        <f>order_items[[#This Row],[list_price]]-order_items[[#This Row],[Discounted_price]]</f>
        <v>341.99099999999999</v>
      </c>
      <c r="J3601">
        <f>VLOOKUP(B3601, Products!$A$2:$E$100, 3, FALSE)</f>
        <v>9</v>
      </c>
      <c r="K3601">
        <f>VLOOKUP(B3601, Products!$A$2:$F$100, 4, FALSE)</f>
        <v>6</v>
      </c>
    </row>
    <row r="3602" spans="1:11" x14ac:dyDescent="0.3">
      <c r="A3602">
        <v>1245</v>
      </c>
      <c r="B3602">
        <v>1</v>
      </c>
      <c r="C3602">
        <v>13</v>
      </c>
      <c r="D3602" t="str">
        <f>VLOOKUP(B3602, Products!$A$2:$C$100, 2, FALSE)</f>
        <v>Trek 820 - 2016</v>
      </c>
      <c r="E3602">
        <v>1</v>
      </c>
      <c r="F3602">
        <v>269.99</v>
      </c>
      <c r="G3602">
        <v>0.1</v>
      </c>
      <c r="H3602">
        <v>26.999000000000002</v>
      </c>
      <c r="I3602">
        <f>order_items[[#This Row],[list_price]]-order_items[[#This Row],[Discounted_price]]</f>
        <v>242.99100000000001</v>
      </c>
      <c r="J3602">
        <f>VLOOKUP(B3602, Products!$A$2:$E$100, 3, FALSE)</f>
        <v>9</v>
      </c>
      <c r="K3602">
        <f>VLOOKUP(B3602, Products!$A$2:$F$100, 4, FALSE)</f>
        <v>6</v>
      </c>
    </row>
    <row r="3603" spans="1:11" x14ac:dyDescent="0.3">
      <c r="A3603">
        <v>1246</v>
      </c>
      <c r="B3603">
        <v>1</v>
      </c>
      <c r="C3603">
        <v>78</v>
      </c>
      <c r="D3603" t="str">
        <f>VLOOKUP(B3603, Products!$A$2:$C$100, 2, FALSE)</f>
        <v>Trek 820 - 2016</v>
      </c>
      <c r="E3603">
        <v>2</v>
      </c>
      <c r="F3603">
        <v>647.99</v>
      </c>
      <c r="G3603">
        <v>0.2</v>
      </c>
      <c r="H3603">
        <v>129.59800000000001</v>
      </c>
      <c r="I3603">
        <f>order_items[[#This Row],[list_price]]-order_items[[#This Row],[Discounted_price]]</f>
        <v>518.39200000000005</v>
      </c>
      <c r="J3603">
        <f>VLOOKUP(B3603, Products!$A$2:$E$100, 3, FALSE)</f>
        <v>9</v>
      </c>
      <c r="K3603">
        <f>VLOOKUP(B3603, Products!$A$2:$F$100, 4, FALSE)</f>
        <v>6</v>
      </c>
    </row>
    <row r="3604" spans="1:11" x14ac:dyDescent="0.3">
      <c r="A3604">
        <v>1246</v>
      </c>
      <c r="B3604">
        <v>2</v>
      </c>
      <c r="C3604">
        <v>46</v>
      </c>
      <c r="D3604" t="str">
        <f>VLOOKUP(B3604, Products!$A$2:$C$100, 2, FALSE)</f>
        <v>Ritchey Timberwolf Frameset - 2016</v>
      </c>
      <c r="E3604">
        <v>1</v>
      </c>
      <c r="F3604">
        <v>1409.99</v>
      </c>
      <c r="G3604">
        <v>0.05</v>
      </c>
      <c r="H3604">
        <v>70.499499999999998</v>
      </c>
      <c r="I3604">
        <f>order_items[[#This Row],[list_price]]-order_items[[#This Row],[Discounted_price]]</f>
        <v>1339.4905000000001</v>
      </c>
      <c r="J3604">
        <f>VLOOKUP(B3604, Products!$A$2:$E$100, 3, FALSE)</f>
        <v>5</v>
      </c>
      <c r="K3604">
        <f>VLOOKUP(B3604, Products!$A$2:$F$100, 4, FALSE)</f>
        <v>6</v>
      </c>
    </row>
    <row r="3605" spans="1:11" x14ac:dyDescent="0.3">
      <c r="A3605">
        <v>1246</v>
      </c>
      <c r="B3605">
        <v>3</v>
      </c>
      <c r="C3605">
        <v>45</v>
      </c>
      <c r="D3605" t="str">
        <f>VLOOKUP(B3605, Products!$A$2:$C$100, 2, FALSE)</f>
        <v>Surly Wednesday Frameset - 2016</v>
      </c>
      <c r="E3605">
        <v>2</v>
      </c>
      <c r="F3605">
        <v>869.99</v>
      </c>
      <c r="G3605">
        <v>7.0000000000000007E-2</v>
      </c>
      <c r="H3605">
        <v>60.899300000000004</v>
      </c>
      <c r="I3605">
        <f>order_items[[#This Row],[list_price]]-order_items[[#This Row],[Discounted_price]]</f>
        <v>809.09069999999997</v>
      </c>
      <c r="J3605">
        <f>VLOOKUP(B3605, Products!$A$2:$E$100, 3, FALSE)</f>
        <v>8</v>
      </c>
      <c r="K3605">
        <f>VLOOKUP(B3605, Products!$A$2:$F$100, 4, FALSE)</f>
        <v>6</v>
      </c>
    </row>
    <row r="3606" spans="1:11" x14ac:dyDescent="0.3">
      <c r="A3606">
        <v>1247</v>
      </c>
      <c r="B3606">
        <v>1</v>
      </c>
      <c r="C3606">
        <v>15</v>
      </c>
      <c r="D3606" t="str">
        <f>VLOOKUP(B3606, Products!$A$2:$C$100, 2, FALSE)</f>
        <v>Trek 820 - 2016</v>
      </c>
      <c r="E3606">
        <v>2</v>
      </c>
      <c r="F3606">
        <v>529.99</v>
      </c>
      <c r="G3606">
        <v>0.1</v>
      </c>
      <c r="H3606">
        <v>52.999000000000002</v>
      </c>
      <c r="I3606">
        <f>order_items[[#This Row],[list_price]]-order_items[[#This Row],[Discounted_price]]</f>
        <v>476.99099999999999</v>
      </c>
      <c r="J3606">
        <f>VLOOKUP(B3606, Products!$A$2:$E$100, 3, FALSE)</f>
        <v>9</v>
      </c>
      <c r="K3606">
        <f>VLOOKUP(B3606, Products!$A$2:$F$100, 4, FALSE)</f>
        <v>6</v>
      </c>
    </row>
    <row r="3607" spans="1:11" x14ac:dyDescent="0.3">
      <c r="A3607">
        <v>1247</v>
      </c>
      <c r="B3607">
        <v>2</v>
      </c>
      <c r="C3607">
        <v>28</v>
      </c>
      <c r="D3607" t="str">
        <f>VLOOKUP(B3607, Products!$A$2:$C$100, 2, FALSE)</f>
        <v>Ritchey Timberwolf Frameset - 2016</v>
      </c>
      <c r="E3607">
        <v>2</v>
      </c>
      <c r="F3607">
        <v>2499.9899999999998</v>
      </c>
      <c r="G3607">
        <v>0.1</v>
      </c>
      <c r="H3607">
        <v>249.999</v>
      </c>
      <c r="I3607">
        <f>order_items[[#This Row],[list_price]]-order_items[[#This Row],[Discounted_price]]</f>
        <v>2249.991</v>
      </c>
      <c r="J3607">
        <f>VLOOKUP(B3607, Products!$A$2:$E$100, 3, FALSE)</f>
        <v>5</v>
      </c>
      <c r="K3607">
        <f>VLOOKUP(B3607, Products!$A$2:$F$100, 4, FALSE)</f>
        <v>6</v>
      </c>
    </row>
    <row r="3608" spans="1:11" x14ac:dyDescent="0.3">
      <c r="A3608">
        <v>1247</v>
      </c>
      <c r="B3608">
        <v>3</v>
      </c>
      <c r="C3608">
        <v>26</v>
      </c>
      <c r="D3608" t="str">
        <f>VLOOKUP(B3608, Products!$A$2:$C$100, 2, FALSE)</f>
        <v>Surly Wednesday Frameset - 2016</v>
      </c>
      <c r="E3608">
        <v>1</v>
      </c>
      <c r="F3608">
        <v>599.99</v>
      </c>
      <c r="G3608">
        <v>0.05</v>
      </c>
      <c r="H3608">
        <v>29.999500000000001</v>
      </c>
      <c r="I3608">
        <f>order_items[[#This Row],[list_price]]-order_items[[#This Row],[Discounted_price]]</f>
        <v>569.9905</v>
      </c>
      <c r="J3608">
        <f>VLOOKUP(B3608, Products!$A$2:$E$100, 3, FALSE)</f>
        <v>8</v>
      </c>
      <c r="K3608">
        <f>VLOOKUP(B3608, Products!$A$2:$F$100, 4, FALSE)</f>
        <v>6</v>
      </c>
    </row>
    <row r="3609" spans="1:11" x14ac:dyDescent="0.3">
      <c r="A3609">
        <v>1248</v>
      </c>
      <c r="B3609">
        <v>1</v>
      </c>
      <c r="C3609">
        <v>94</v>
      </c>
      <c r="D3609" t="str">
        <f>VLOOKUP(B3609, Products!$A$2:$C$100, 2, FALSE)</f>
        <v>Trek 820 - 2016</v>
      </c>
      <c r="E3609">
        <v>2</v>
      </c>
      <c r="F3609">
        <v>249.99</v>
      </c>
      <c r="G3609">
        <v>0.05</v>
      </c>
      <c r="H3609">
        <v>12.499500000000001</v>
      </c>
      <c r="I3609">
        <f>order_items[[#This Row],[list_price]]-order_items[[#This Row],[Discounted_price]]</f>
        <v>237.4905</v>
      </c>
      <c r="J3609">
        <f>VLOOKUP(B3609, Products!$A$2:$E$100, 3, FALSE)</f>
        <v>9</v>
      </c>
      <c r="K3609">
        <f>VLOOKUP(B3609, Products!$A$2:$F$100, 4, FALSE)</f>
        <v>6</v>
      </c>
    </row>
    <row r="3610" spans="1:11" x14ac:dyDescent="0.3">
      <c r="A3610">
        <v>1248</v>
      </c>
      <c r="B3610">
        <v>2</v>
      </c>
      <c r="C3610">
        <v>33</v>
      </c>
      <c r="D3610" t="str">
        <f>VLOOKUP(B3610, Products!$A$2:$C$100, 2, FALSE)</f>
        <v>Ritchey Timberwolf Frameset - 2016</v>
      </c>
      <c r="E3610">
        <v>2</v>
      </c>
      <c r="F3610">
        <v>469.99</v>
      </c>
      <c r="G3610">
        <v>0.1</v>
      </c>
      <c r="H3610">
        <v>46.999000000000002</v>
      </c>
      <c r="I3610">
        <f>order_items[[#This Row],[list_price]]-order_items[[#This Row],[Discounted_price]]</f>
        <v>422.99099999999999</v>
      </c>
      <c r="J3610">
        <f>VLOOKUP(B3610, Products!$A$2:$E$100, 3, FALSE)</f>
        <v>5</v>
      </c>
      <c r="K3610">
        <f>VLOOKUP(B3610, Products!$A$2:$F$100, 4, FALSE)</f>
        <v>6</v>
      </c>
    </row>
    <row r="3611" spans="1:11" x14ac:dyDescent="0.3">
      <c r="A3611">
        <v>1248</v>
      </c>
      <c r="B3611">
        <v>3</v>
      </c>
      <c r="C3611">
        <v>92</v>
      </c>
      <c r="D3611" t="str">
        <f>VLOOKUP(B3611, Products!$A$2:$C$100, 2, FALSE)</f>
        <v>Surly Wednesday Frameset - 2016</v>
      </c>
      <c r="E3611">
        <v>1</v>
      </c>
      <c r="F3611">
        <v>209.99</v>
      </c>
      <c r="G3611">
        <v>0.1</v>
      </c>
      <c r="H3611">
        <v>20.999000000000002</v>
      </c>
      <c r="I3611">
        <f>order_items[[#This Row],[list_price]]-order_items[[#This Row],[Discounted_price]]</f>
        <v>188.99100000000001</v>
      </c>
      <c r="J3611">
        <f>VLOOKUP(B3611, Products!$A$2:$E$100, 3, FALSE)</f>
        <v>8</v>
      </c>
      <c r="K3611">
        <f>VLOOKUP(B3611, Products!$A$2:$F$100, 4, FALSE)</f>
        <v>6</v>
      </c>
    </row>
    <row r="3612" spans="1:11" x14ac:dyDescent="0.3">
      <c r="A3612">
        <v>1248</v>
      </c>
      <c r="B3612">
        <v>4</v>
      </c>
      <c r="C3612">
        <v>12</v>
      </c>
      <c r="D3612" t="str">
        <f>VLOOKUP(B3612, Products!$A$2:$C$100, 2, FALSE)</f>
        <v>Trek Fuel EX 8 29 - 2016</v>
      </c>
      <c r="E3612">
        <v>1</v>
      </c>
      <c r="F3612">
        <v>549.99</v>
      </c>
      <c r="G3612">
        <v>0.05</v>
      </c>
      <c r="H3612">
        <v>27.499500000000001</v>
      </c>
      <c r="I3612">
        <f>order_items[[#This Row],[list_price]]-order_items[[#This Row],[Discounted_price]]</f>
        <v>522.4905</v>
      </c>
      <c r="J3612">
        <f>VLOOKUP(B3612, Products!$A$2:$E$100, 3, FALSE)</f>
        <v>9</v>
      </c>
      <c r="K3612">
        <f>VLOOKUP(B3612, Products!$A$2:$F$100, 4, FALSE)</f>
        <v>6</v>
      </c>
    </row>
    <row r="3613" spans="1:11" x14ac:dyDescent="0.3">
      <c r="A3613">
        <v>1249</v>
      </c>
      <c r="B3613">
        <v>1</v>
      </c>
      <c r="C3613">
        <v>62</v>
      </c>
      <c r="D3613" t="str">
        <f>VLOOKUP(B3613, Products!$A$2:$C$100, 2, FALSE)</f>
        <v>Trek 820 - 2016</v>
      </c>
      <c r="E3613">
        <v>1</v>
      </c>
      <c r="F3613">
        <v>3499.99</v>
      </c>
      <c r="G3613">
        <v>0.05</v>
      </c>
      <c r="H3613">
        <v>174.99950000000001</v>
      </c>
      <c r="I3613">
        <f>order_items[[#This Row],[list_price]]-order_items[[#This Row],[Discounted_price]]</f>
        <v>3324.9904999999999</v>
      </c>
      <c r="J3613">
        <f>VLOOKUP(B3613, Products!$A$2:$E$100, 3, FALSE)</f>
        <v>9</v>
      </c>
      <c r="K3613">
        <f>VLOOKUP(B3613, Products!$A$2:$F$100, 4, FALSE)</f>
        <v>6</v>
      </c>
    </row>
    <row r="3614" spans="1:11" x14ac:dyDescent="0.3">
      <c r="A3614">
        <v>1249</v>
      </c>
      <c r="B3614">
        <v>2</v>
      </c>
      <c r="C3614">
        <v>104</v>
      </c>
      <c r="D3614" t="str">
        <f>VLOOKUP(B3614, Products!$A$2:$C$100, 2, FALSE)</f>
        <v>Ritchey Timberwolf Frameset - 2016</v>
      </c>
      <c r="E3614">
        <v>1</v>
      </c>
      <c r="F3614">
        <v>481.99</v>
      </c>
      <c r="G3614">
        <v>0.05</v>
      </c>
      <c r="H3614">
        <v>24.099500000000003</v>
      </c>
      <c r="I3614">
        <f>order_items[[#This Row],[list_price]]-order_items[[#This Row],[Discounted_price]]</f>
        <v>457.89050000000003</v>
      </c>
      <c r="J3614">
        <f>VLOOKUP(B3614, Products!$A$2:$E$100, 3, FALSE)</f>
        <v>5</v>
      </c>
      <c r="K3614">
        <f>VLOOKUP(B3614, Products!$A$2:$F$100, 4, FALSE)</f>
        <v>6</v>
      </c>
    </row>
    <row r="3615" spans="1:11" x14ac:dyDescent="0.3">
      <c r="A3615">
        <v>1249</v>
      </c>
      <c r="B3615">
        <v>3</v>
      </c>
      <c r="C3615">
        <v>61</v>
      </c>
      <c r="D3615" t="str">
        <f>VLOOKUP(B3615, Products!$A$2:$C$100, 2, FALSE)</f>
        <v>Surly Wednesday Frameset - 2016</v>
      </c>
      <c r="E3615">
        <v>1</v>
      </c>
      <c r="F3615">
        <v>4999.99</v>
      </c>
      <c r="G3615">
        <v>0.2</v>
      </c>
      <c r="H3615">
        <v>999.99800000000005</v>
      </c>
      <c r="I3615">
        <f>order_items[[#This Row],[list_price]]-order_items[[#This Row],[Discounted_price]]</f>
        <v>3999.9919999999997</v>
      </c>
      <c r="J3615">
        <f>VLOOKUP(B3615, Products!$A$2:$E$100, 3, FALSE)</f>
        <v>8</v>
      </c>
      <c r="K3615">
        <f>VLOOKUP(B3615, Products!$A$2:$F$100, 4, FALSE)</f>
        <v>6</v>
      </c>
    </row>
    <row r="3616" spans="1:11" x14ac:dyDescent="0.3">
      <c r="A3616">
        <v>1250</v>
      </c>
      <c r="B3616">
        <v>1</v>
      </c>
      <c r="C3616">
        <v>78</v>
      </c>
      <c r="D3616" t="str">
        <f>VLOOKUP(B3616, Products!$A$2:$C$100, 2, FALSE)</f>
        <v>Trek 820 - 2016</v>
      </c>
      <c r="E3616">
        <v>2</v>
      </c>
      <c r="F3616">
        <v>647.99</v>
      </c>
      <c r="G3616">
        <v>0.05</v>
      </c>
      <c r="H3616">
        <v>32.399500000000003</v>
      </c>
      <c r="I3616">
        <f>order_items[[#This Row],[list_price]]-order_items[[#This Row],[Discounted_price]]</f>
        <v>615.59050000000002</v>
      </c>
      <c r="J3616">
        <f>VLOOKUP(B3616, Products!$A$2:$E$100, 3, FALSE)</f>
        <v>9</v>
      </c>
      <c r="K3616">
        <f>VLOOKUP(B3616, Products!$A$2:$F$100, 4, FALSE)</f>
        <v>6</v>
      </c>
    </row>
    <row r="3617" spans="1:11" x14ac:dyDescent="0.3">
      <c r="A3617">
        <v>1250</v>
      </c>
      <c r="B3617">
        <v>2</v>
      </c>
      <c r="C3617">
        <v>66</v>
      </c>
      <c r="D3617" t="str">
        <f>VLOOKUP(B3617, Products!$A$2:$C$100, 2, FALSE)</f>
        <v>Ritchey Timberwolf Frameset - 2016</v>
      </c>
      <c r="E3617">
        <v>2</v>
      </c>
      <c r="F3617">
        <v>250.99</v>
      </c>
      <c r="G3617">
        <v>0.1</v>
      </c>
      <c r="H3617">
        <v>25.099000000000004</v>
      </c>
      <c r="I3617">
        <f>order_items[[#This Row],[list_price]]-order_items[[#This Row],[Discounted_price]]</f>
        <v>225.89100000000002</v>
      </c>
      <c r="J3617">
        <f>VLOOKUP(B3617, Products!$A$2:$E$100, 3, FALSE)</f>
        <v>5</v>
      </c>
      <c r="K3617">
        <f>VLOOKUP(B3617, Products!$A$2:$F$100, 4, FALSE)</f>
        <v>6</v>
      </c>
    </row>
    <row r="3618" spans="1:11" x14ac:dyDescent="0.3">
      <c r="A3618">
        <v>1250</v>
      </c>
      <c r="B3618">
        <v>3</v>
      </c>
      <c r="C3618">
        <v>20</v>
      </c>
      <c r="D3618" t="str">
        <f>VLOOKUP(B3618, Products!$A$2:$C$100, 2, FALSE)</f>
        <v>Surly Wednesday Frameset - 2016</v>
      </c>
      <c r="E3618">
        <v>2</v>
      </c>
      <c r="F3618">
        <v>599.99</v>
      </c>
      <c r="G3618">
        <v>0.05</v>
      </c>
      <c r="H3618">
        <v>29.999500000000001</v>
      </c>
      <c r="I3618">
        <f>order_items[[#This Row],[list_price]]-order_items[[#This Row],[Discounted_price]]</f>
        <v>569.9905</v>
      </c>
      <c r="J3618">
        <f>VLOOKUP(B3618, Products!$A$2:$E$100, 3, FALSE)</f>
        <v>8</v>
      </c>
      <c r="K3618">
        <f>VLOOKUP(B3618, Products!$A$2:$F$100, 4, FALSE)</f>
        <v>6</v>
      </c>
    </row>
    <row r="3619" spans="1:11" x14ac:dyDescent="0.3">
      <c r="A3619">
        <v>1250</v>
      </c>
      <c r="B3619">
        <v>4</v>
      </c>
      <c r="C3619">
        <v>6</v>
      </c>
      <c r="D3619" t="str">
        <f>VLOOKUP(B3619, Products!$A$2:$C$100, 2, FALSE)</f>
        <v>Trek Fuel EX 8 29 - 2016</v>
      </c>
      <c r="E3619">
        <v>2</v>
      </c>
      <c r="F3619">
        <v>469.99</v>
      </c>
      <c r="G3619">
        <v>0.1</v>
      </c>
      <c r="H3619">
        <v>46.999000000000002</v>
      </c>
      <c r="I3619">
        <f>order_items[[#This Row],[list_price]]-order_items[[#This Row],[Discounted_price]]</f>
        <v>422.99099999999999</v>
      </c>
      <c r="J3619">
        <f>VLOOKUP(B3619, Products!$A$2:$E$100, 3, FALSE)</f>
        <v>9</v>
      </c>
      <c r="K3619">
        <f>VLOOKUP(B3619, Products!$A$2:$F$100, 4, FALSE)</f>
        <v>6</v>
      </c>
    </row>
    <row r="3620" spans="1:11" x14ac:dyDescent="0.3">
      <c r="A3620">
        <v>1251</v>
      </c>
      <c r="B3620">
        <v>1</v>
      </c>
      <c r="C3620">
        <v>40</v>
      </c>
      <c r="D3620" t="str">
        <f>VLOOKUP(B3620, Products!$A$2:$C$100, 2, FALSE)</f>
        <v>Trek 820 - 2016</v>
      </c>
      <c r="E3620">
        <v>2</v>
      </c>
      <c r="F3620">
        <v>4999.99</v>
      </c>
      <c r="G3620">
        <v>0.1</v>
      </c>
      <c r="H3620">
        <v>499.99900000000002</v>
      </c>
      <c r="I3620">
        <f>order_items[[#This Row],[list_price]]-order_items[[#This Row],[Discounted_price]]</f>
        <v>4499.991</v>
      </c>
      <c r="J3620">
        <f>VLOOKUP(B3620, Products!$A$2:$E$100, 3, FALSE)</f>
        <v>9</v>
      </c>
      <c r="K3620">
        <f>VLOOKUP(B3620, Products!$A$2:$F$100, 4, FALSE)</f>
        <v>6</v>
      </c>
    </row>
    <row r="3621" spans="1:11" x14ac:dyDescent="0.3">
      <c r="A3621">
        <v>1251</v>
      </c>
      <c r="B3621">
        <v>2</v>
      </c>
      <c r="C3621">
        <v>56</v>
      </c>
      <c r="D3621" t="str">
        <f>VLOOKUP(B3621, Products!$A$2:$C$100, 2, FALSE)</f>
        <v>Ritchey Timberwolf Frameset - 2016</v>
      </c>
      <c r="E3621">
        <v>1</v>
      </c>
      <c r="F3621">
        <v>5499.99</v>
      </c>
      <c r="G3621">
        <v>7.0000000000000007E-2</v>
      </c>
      <c r="H3621">
        <v>384.99930000000001</v>
      </c>
      <c r="I3621">
        <f>order_items[[#This Row],[list_price]]-order_items[[#This Row],[Discounted_price]]</f>
        <v>5114.9906999999994</v>
      </c>
      <c r="J3621">
        <f>VLOOKUP(B3621, Products!$A$2:$E$100, 3, FALSE)</f>
        <v>5</v>
      </c>
      <c r="K3621">
        <f>VLOOKUP(B3621, Products!$A$2:$F$100, 4, FALSE)</f>
        <v>6</v>
      </c>
    </row>
    <row r="3622" spans="1:11" x14ac:dyDescent="0.3">
      <c r="A3622">
        <v>1251</v>
      </c>
      <c r="B3622">
        <v>3</v>
      </c>
      <c r="C3622">
        <v>7</v>
      </c>
      <c r="D3622" t="str">
        <f>VLOOKUP(B3622, Products!$A$2:$C$100, 2, FALSE)</f>
        <v>Surly Wednesday Frameset - 2016</v>
      </c>
      <c r="E3622">
        <v>1</v>
      </c>
      <c r="F3622">
        <v>3999.99</v>
      </c>
      <c r="G3622">
        <v>7.0000000000000007E-2</v>
      </c>
      <c r="H3622">
        <v>279.99930000000001</v>
      </c>
      <c r="I3622">
        <f>order_items[[#This Row],[list_price]]-order_items[[#This Row],[Discounted_price]]</f>
        <v>3719.9906999999998</v>
      </c>
      <c r="J3622">
        <f>VLOOKUP(B3622, Products!$A$2:$E$100, 3, FALSE)</f>
        <v>8</v>
      </c>
      <c r="K3622">
        <f>VLOOKUP(B3622, Products!$A$2:$F$100, 4, FALSE)</f>
        <v>6</v>
      </c>
    </row>
    <row r="3623" spans="1:11" x14ac:dyDescent="0.3">
      <c r="A3623">
        <v>1252</v>
      </c>
      <c r="B3623">
        <v>1</v>
      </c>
      <c r="C3623">
        <v>79</v>
      </c>
      <c r="D3623" t="str">
        <f>VLOOKUP(B3623, Products!$A$2:$C$100, 2, FALSE)</f>
        <v>Trek 820 - 2016</v>
      </c>
      <c r="E3623">
        <v>1</v>
      </c>
      <c r="F3623">
        <v>402.99</v>
      </c>
      <c r="G3623">
        <v>0.2</v>
      </c>
      <c r="H3623">
        <v>80.598000000000013</v>
      </c>
      <c r="I3623">
        <f>order_items[[#This Row],[list_price]]-order_items[[#This Row],[Discounted_price]]</f>
        <v>322.392</v>
      </c>
      <c r="J3623">
        <f>VLOOKUP(B3623, Products!$A$2:$E$100, 3, FALSE)</f>
        <v>9</v>
      </c>
      <c r="K3623">
        <f>VLOOKUP(B3623, Products!$A$2:$F$100, 4, FALSE)</f>
        <v>6</v>
      </c>
    </row>
    <row r="3624" spans="1:11" x14ac:dyDescent="0.3">
      <c r="A3624">
        <v>1252</v>
      </c>
      <c r="B3624">
        <v>2</v>
      </c>
      <c r="C3624">
        <v>84</v>
      </c>
      <c r="D3624" t="str">
        <f>VLOOKUP(B3624, Products!$A$2:$C$100, 2, FALSE)</f>
        <v>Ritchey Timberwolf Frameset - 2016</v>
      </c>
      <c r="E3624">
        <v>1</v>
      </c>
      <c r="F3624">
        <v>109.99</v>
      </c>
      <c r="G3624">
        <v>0.2</v>
      </c>
      <c r="H3624">
        <v>21.998000000000001</v>
      </c>
      <c r="I3624">
        <f>order_items[[#This Row],[list_price]]-order_items[[#This Row],[Discounted_price]]</f>
        <v>87.99199999999999</v>
      </c>
      <c r="J3624">
        <f>VLOOKUP(B3624, Products!$A$2:$E$100, 3, FALSE)</f>
        <v>5</v>
      </c>
      <c r="K3624">
        <f>VLOOKUP(B3624, Products!$A$2:$F$100, 4, FALSE)</f>
        <v>6</v>
      </c>
    </row>
    <row r="3625" spans="1:11" x14ac:dyDescent="0.3">
      <c r="A3625">
        <v>1252</v>
      </c>
      <c r="B3625">
        <v>3</v>
      </c>
      <c r="C3625">
        <v>57</v>
      </c>
      <c r="D3625" t="str">
        <f>VLOOKUP(B3625, Products!$A$2:$C$100, 2, FALSE)</f>
        <v>Surly Wednesday Frameset - 2016</v>
      </c>
      <c r="E3625">
        <v>2</v>
      </c>
      <c r="F3625">
        <v>1999.99</v>
      </c>
      <c r="G3625">
        <v>0.05</v>
      </c>
      <c r="H3625">
        <v>99.999500000000012</v>
      </c>
      <c r="I3625">
        <f>order_items[[#This Row],[list_price]]-order_items[[#This Row],[Discounted_price]]</f>
        <v>1899.9904999999999</v>
      </c>
      <c r="J3625">
        <f>VLOOKUP(B3625, Products!$A$2:$E$100, 3, FALSE)</f>
        <v>8</v>
      </c>
      <c r="K3625">
        <f>VLOOKUP(B3625, Products!$A$2:$F$100, 4, FALSE)</f>
        <v>6</v>
      </c>
    </row>
    <row r="3626" spans="1:11" x14ac:dyDescent="0.3">
      <c r="A3626">
        <v>1253</v>
      </c>
      <c r="B3626">
        <v>1</v>
      </c>
      <c r="C3626">
        <v>25</v>
      </c>
      <c r="D3626" t="str">
        <f>VLOOKUP(B3626, Products!$A$2:$C$100, 2, FALSE)</f>
        <v>Trek 820 - 2016</v>
      </c>
      <c r="E3626">
        <v>2</v>
      </c>
      <c r="F3626">
        <v>499.99</v>
      </c>
      <c r="G3626">
        <v>0.1</v>
      </c>
      <c r="H3626">
        <v>49.999000000000002</v>
      </c>
      <c r="I3626">
        <f>order_items[[#This Row],[list_price]]-order_items[[#This Row],[Discounted_price]]</f>
        <v>449.99099999999999</v>
      </c>
      <c r="J3626">
        <f>VLOOKUP(B3626, Products!$A$2:$E$100, 3, FALSE)</f>
        <v>9</v>
      </c>
      <c r="K3626">
        <f>VLOOKUP(B3626, Products!$A$2:$F$100, 4, FALSE)</f>
        <v>6</v>
      </c>
    </row>
    <row r="3627" spans="1:11" x14ac:dyDescent="0.3">
      <c r="A3627">
        <v>1253</v>
      </c>
      <c r="B3627">
        <v>2</v>
      </c>
      <c r="C3627">
        <v>21</v>
      </c>
      <c r="D3627" t="str">
        <f>VLOOKUP(B3627, Products!$A$2:$C$100, 2, FALSE)</f>
        <v>Ritchey Timberwolf Frameset - 2016</v>
      </c>
      <c r="E3627">
        <v>1</v>
      </c>
      <c r="F3627">
        <v>269.99</v>
      </c>
      <c r="G3627">
        <v>7.0000000000000007E-2</v>
      </c>
      <c r="H3627">
        <v>18.899300000000004</v>
      </c>
      <c r="I3627">
        <f>order_items[[#This Row],[list_price]]-order_items[[#This Row],[Discounted_price]]</f>
        <v>251.0907</v>
      </c>
      <c r="J3627">
        <f>VLOOKUP(B3627, Products!$A$2:$E$100, 3, FALSE)</f>
        <v>5</v>
      </c>
      <c r="K3627">
        <f>VLOOKUP(B3627, Products!$A$2:$F$100, 4, FALSE)</f>
        <v>6</v>
      </c>
    </row>
    <row r="3628" spans="1:11" x14ac:dyDescent="0.3">
      <c r="A3628">
        <v>1253</v>
      </c>
      <c r="B3628">
        <v>3</v>
      </c>
      <c r="C3628">
        <v>88</v>
      </c>
      <c r="D3628" t="str">
        <f>VLOOKUP(B3628, Products!$A$2:$C$100, 2, FALSE)</f>
        <v>Surly Wednesday Frameset - 2016</v>
      </c>
      <c r="E3628">
        <v>1</v>
      </c>
      <c r="F3628">
        <v>189.99</v>
      </c>
      <c r="G3628">
        <v>0.2</v>
      </c>
      <c r="H3628">
        <v>37.998000000000005</v>
      </c>
      <c r="I3628">
        <f>order_items[[#This Row],[list_price]]-order_items[[#This Row],[Discounted_price]]</f>
        <v>151.99200000000002</v>
      </c>
      <c r="J3628">
        <f>VLOOKUP(B3628, Products!$A$2:$E$100, 3, FALSE)</f>
        <v>8</v>
      </c>
      <c r="K3628">
        <f>VLOOKUP(B3628, Products!$A$2:$F$100, 4, FALSE)</f>
        <v>6</v>
      </c>
    </row>
    <row r="3629" spans="1:11" x14ac:dyDescent="0.3">
      <c r="A3629">
        <v>1254</v>
      </c>
      <c r="B3629">
        <v>1</v>
      </c>
      <c r="C3629">
        <v>80</v>
      </c>
      <c r="D3629" t="str">
        <f>VLOOKUP(B3629, Products!$A$2:$C$100, 2, FALSE)</f>
        <v>Trek 820 - 2016</v>
      </c>
      <c r="E3629">
        <v>1</v>
      </c>
      <c r="F3629">
        <v>761.99</v>
      </c>
      <c r="G3629">
        <v>0.2</v>
      </c>
      <c r="H3629">
        <v>152.398</v>
      </c>
      <c r="I3629">
        <f>order_items[[#This Row],[list_price]]-order_items[[#This Row],[Discounted_price]]</f>
        <v>609.59199999999998</v>
      </c>
      <c r="J3629">
        <f>VLOOKUP(B3629, Products!$A$2:$E$100, 3, FALSE)</f>
        <v>9</v>
      </c>
      <c r="K3629">
        <f>VLOOKUP(B3629, Products!$A$2:$F$100, 4, FALSE)</f>
        <v>6</v>
      </c>
    </row>
    <row r="3630" spans="1:11" x14ac:dyDescent="0.3">
      <c r="A3630">
        <v>1254</v>
      </c>
      <c r="B3630">
        <v>2</v>
      </c>
      <c r="C3630">
        <v>91</v>
      </c>
      <c r="D3630" t="str">
        <f>VLOOKUP(B3630, Products!$A$2:$C$100, 2, FALSE)</f>
        <v>Ritchey Timberwolf Frameset - 2016</v>
      </c>
      <c r="E3630">
        <v>1</v>
      </c>
      <c r="F3630">
        <v>349.99</v>
      </c>
      <c r="G3630">
        <v>0.2</v>
      </c>
      <c r="H3630">
        <v>69.998000000000005</v>
      </c>
      <c r="I3630">
        <f>order_items[[#This Row],[list_price]]-order_items[[#This Row],[Discounted_price]]</f>
        <v>279.99200000000002</v>
      </c>
      <c r="J3630">
        <f>VLOOKUP(B3630, Products!$A$2:$E$100, 3, FALSE)</f>
        <v>5</v>
      </c>
      <c r="K3630">
        <f>VLOOKUP(B3630, Products!$A$2:$F$100, 4, FALSE)</f>
        <v>6</v>
      </c>
    </row>
    <row r="3631" spans="1:11" x14ac:dyDescent="0.3">
      <c r="A3631">
        <v>1255</v>
      </c>
      <c r="B3631">
        <v>1</v>
      </c>
      <c r="C3631">
        <v>43</v>
      </c>
      <c r="D3631" t="str">
        <f>VLOOKUP(B3631, Products!$A$2:$C$100, 2, FALSE)</f>
        <v>Trek 820 - 2016</v>
      </c>
      <c r="E3631">
        <v>2</v>
      </c>
      <c r="F3631">
        <v>5299.99</v>
      </c>
      <c r="G3631">
        <v>0.2</v>
      </c>
      <c r="H3631">
        <v>1059.998</v>
      </c>
      <c r="I3631">
        <f>order_items[[#This Row],[list_price]]-order_items[[#This Row],[Discounted_price]]</f>
        <v>4239.9920000000002</v>
      </c>
      <c r="J3631">
        <f>VLOOKUP(B3631, Products!$A$2:$E$100, 3, FALSE)</f>
        <v>9</v>
      </c>
      <c r="K3631">
        <f>VLOOKUP(B3631, Products!$A$2:$F$100, 4, FALSE)</f>
        <v>6</v>
      </c>
    </row>
    <row r="3632" spans="1:11" x14ac:dyDescent="0.3">
      <c r="A3632">
        <v>1255</v>
      </c>
      <c r="B3632">
        <v>2</v>
      </c>
      <c r="C3632">
        <v>53</v>
      </c>
      <c r="D3632" t="str">
        <f>VLOOKUP(B3632, Products!$A$2:$C$100, 2, FALSE)</f>
        <v>Ritchey Timberwolf Frameset - 2016</v>
      </c>
      <c r="E3632">
        <v>1</v>
      </c>
      <c r="F3632">
        <v>749.99</v>
      </c>
      <c r="G3632">
        <v>0.05</v>
      </c>
      <c r="H3632">
        <v>37.499500000000005</v>
      </c>
      <c r="I3632">
        <f>order_items[[#This Row],[list_price]]-order_items[[#This Row],[Discounted_price]]</f>
        <v>712.4905</v>
      </c>
      <c r="J3632">
        <f>VLOOKUP(B3632, Products!$A$2:$E$100, 3, FALSE)</f>
        <v>5</v>
      </c>
      <c r="K3632">
        <f>VLOOKUP(B3632, Products!$A$2:$F$100, 4, FALSE)</f>
        <v>6</v>
      </c>
    </row>
    <row r="3633" spans="1:11" x14ac:dyDescent="0.3">
      <c r="A3633">
        <v>1255</v>
      </c>
      <c r="B3633">
        <v>3</v>
      </c>
      <c r="C3633">
        <v>14</v>
      </c>
      <c r="D3633" t="str">
        <f>VLOOKUP(B3633, Products!$A$2:$C$100, 2, FALSE)</f>
        <v>Surly Wednesday Frameset - 2016</v>
      </c>
      <c r="E3633">
        <v>2</v>
      </c>
      <c r="F3633">
        <v>269.99</v>
      </c>
      <c r="G3633">
        <v>0.2</v>
      </c>
      <c r="H3633">
        <v>53.998000000000005</v>
      </c>
      <c r="I3633">
        <f>order_items[[#This Row],[list_price]]-order_items[[#This Row],[Discounted_price]]</f>
        <v>215.99200000000002</v>
      </c>
      <c r="J3633">
        <f>VLOOKUP(B3633, Products!$A$2:$E$100, 3, FALSE)</f>
        <v>8</v>
      </c>
      <c r="K3633">
        <f>VLOOKUP(B3633, Products!$A$2:$F$100, 4, FALSE)</f>
        <v>6</v>
      </c>
    </row>
    <row r="3634" spans="1:11" x14ac:dyDescent="0.3">
      <c r="A3634">
        <v>1255</v>
      </c>
      <c r="B3634">
        <v>4</v>
      </c>
      <c r="C3634">
        <v>26</v>
      </c>
      <c r="D3634" t="str">
        <f>VLOOKUP(B3634, Products!$A$2:$C$100, 2, FALSE)</f>
        <v>Trek Fuel EX 8 29 - 2016</v>
      </c>
      <c r="E3634">
        <v>2</v>
      </c>
      <c r="F3634">
        <v>599.99</v>
      </c>
      <c r="G3634">
        <v>0.05</v>
      </c>
      <c r="H3634">
        <v>29.999500000000001</v>
      </c>
      <c r="I3634">
        <f>order_items[[#This Row],[list_price]]-order_items[[#This Row],[Discounted_price]]</f>
        <v>569.9905</v>
      </c>
      <c r="J3634">
        <f>VLOOKUP(B3634, Products!$A$2:$E$100, 3, FALSE)</f>
        <v>9</v>
      </c>
      <c r="K3634">
        <f>VLOOKUP(B3634, Products!$A$2:$F$100, 4, FALSE)</f>
        <v>6</v>
      </c>
    </row>
    <row r="3635" spans="1:11" x14ac:dyDescent="0.3">
      <c r="A3635">
        <v>1255</v>
      </c>
      <c r="B3635">
        <v>5</v>
      </c>
      <c r="C3635">
        <v>82</v>
      </c>
      <c r="D3635" t="str">
        <f>VLOOKUP(B3635, Products!$A$2:$C$100, 2, FALSE)</f>
        <v>Heller Shagamaw Frame - 2016</v>
      </c>
      <c r="E3635">
        <v>1</v>
      </c>
      <c r="F3635">
        <v>659.99</v>
      </c>
      <c r="G3635">
        <v>0.05</v>
      </c>
      <c r="H3635">
        <v>32.999500000000005</v>
      </c>
      <c r="I3635">
        <f>order_items[[#This Row],[list_price]]-order_items[[#This Row],[Discounted_price]]</f>
        <v>626.9905</v>
      </c>
      <c r="J3635">
        <f>VLOOKUP(B3635, Products!$A$2:$E$100, 3, FALSE)</f>
        <v>3</v>
      </c>
      <c r="K3635">
        <f>VLOOKUP(B3635, Products!$A$2:$F$100, 4, FALSE)</f>
        <v>6</v>
      </c>
    </row>
    <row r="3636" spans="1:11" x14ac:dyDescent="0.3">
      <c r="A3636">
        <v>1256</v>
      </c>
      <c r="B3636">
        <v>1</v>
      </c>
      <c r="C3636">
        <v>44</v>
      </c>
      <c r="D3636" t="str">
        <f>VLOOKUP(B3636, Products!$A$2:$C$100, 2, FALSE)</f>
        <v>Trek 820 - 2016</v>
      </c>
      <c r="E3636">
        <v>2</v>
      </c>
      <c r="F3636">
        <v>539.99</v>
      </c>
      <c r="G3636">
        <v>0.2</v>
      </c>
      <c r="H3636">
        <v>107.998</v>
      </c>
      <c r="I3636">
        <f>order_items[[#This Row],[list_price]]-order_items[[#This Row],[Discounted_price]]</f>
        <v>431.99200000000002</v>
      </c>
      <c r="J3636">
        <f>VLOOKUP(B3636, Products!$A$2:$E$100, 3, FALSE)</f>
        <v>9</v>
      </c>
      <c r="K3636">
        <f>VLOOKUP(B3636, Products!$A$2:$F$100, 4, FALSE)</f>
        <v>6</v>
      </c>
    </row>
    <row r="3637" spans="1:11" x14ac:dyDescent="0.3">
      <c r="A3637">
        <v>1256</v>
      </c>
      <c r="B3637">
        <v>2</v>
      </c>
      <c r="C3637">
        <v>100</v>
      </c>
      <c r="D3637" t="str">
        <f>VLOOKUP(B3637, Products!$A$2:$C$100, 2, FALSE)</f>
        <v>Ritchey Timberwolf Frameset - 2016</v>
      </c>
      <c r="E3637">
        <v>1</v>
      </c>
      <c r="F3637">
        <v>489.99</v>
      </c>
      <c r="G3637">
        <v>0.1</v>
      </c>
      <c r="H3637">
        <v>48.999000000000002</v>
      </c>
      <c r="I3637">
        <f>order_items[[#This Row],[list_price]]-order_items[[#This Row],[Discounted_price]]</f>
        <v>440.99099999999999</v>
      </c>
      <c r="J3637">
        <f>VLOOKUP(B3637, Products!$A$2:$E$100, 3, FALSE)</f>
        <v>5</v>
      </c>
      <c r="K3637">
        <f>VLOOKUP(B3637, Products!$A$2:$F$100, 4, FALSE)</f>
        <v>6</v>
      </c>
    </row>
    <row r="3638" spans="1:11" x14ac:dyDescent="0.3">
      <c r="A3638">
        <v>1257</v>
      </c>
      <c r="B3638">
        <v>1</v>
      </c>
      <c r="C3638">
        <v>30</v>
      </c>
      <c r="D3638" t="str">
        <f>VLOOKUP(B3638, Products!$A$2:$C$100, 2, FALSE)</f>
        <v>Trek 820 - 2016</v>
      </c>
      <c r="E3638">
        <v>2</v>
      </c>
      <c r="F3638">
        <v>999.99</v>
      </c>
      <c r="G3638">
        <v>0.05</v>
      </c>
      <c r="H3638">
        <v>49.999500000000005</v>
      </c>
      <c r="I3638">
        <f>order_items[[#This Row],[list_price]]-order_items[[#This Row],[Discounted_price]]</f>
        <v>949.9905</v>
      </c>
      <c r="J3638">
        <f>VLOOKUP(B3638, Products!$A$2:$E$100, 3, FALSE)</f>
        <v>9</v>
      </c>
      <c r="K3638">
        <f>VLOOKUP(B3638, Products!$A$2:$F$100, 4, FALSE)</f>
        <v>6</v>
      </c>
    </row>
    <row r="3639" spans="1:11" x14ac:dyDescent="0.3">
      <c r="A3639">
        <v>1257</v>
      </c>
      <c r="B3639">
        <v>2</v>
      </c>
      <c r="C3639">
        <v>61</v>
      </c>
      <c r="D3639" t="str">
        <f>VLOOKUP(B3639, Products!$A$2:$C$100, 2, FALSE)</f>
        <v>Ritchey Timberwolf Frameset - 2016</v>
      </c>
      <c r="E3639">
        <v>1</v>
      </c>
      <c r="F3639">
        <v>4999.99</v>
      </c>
      <c r="G3639">
        <v>0.05</v>
      </c>
      <c r="H3639">
        <v>249.99950000000001</v>
      </c>
      <c r="I3639">
        <f>order_items[[#This Row],[list_price]]-order_items[[#This Row],[Discounted_price]]</f>
        <v>4749.9904999999999</v>
      </c>
      <c r="J3639">
        <f>VLOOKUP(B3639, Products!$A$2:$E$100, 3, FALSE)</f>
        <v>5</v>
      </c>
      <c r="K3639">
        <f>VLOOKUP(B3639, Products!$A$2:$F$100, 4, FALSE)</f>
        <v>6</v>
      </c>
    </row>
    <row r="3640" spans="1:11" x14ac:dyDescent="0.3">
      <c r="A3640">
        <v>1257</v>
      </c>
      <c r="B3640">
        <v>3</v>
      </c>
      <c r="C3640">
        <v>17</v>
      </c>
      <c r="D3640" t="str">
        <f>VLOOKUP(B3640, Products!$A$2:$C$100, 2, FALSE)</f>
        <v>Surly Wednesday Frameset - 2016</v>
      </c>
      <c r="E3640">
        <v>2</v>
      </c>
      <c r="F3640">
        <v>429</v>
      </c>
      <c r="G3640">
        <v>0.1</v>
      </c>
      <c r="H3640">
        <v>42.900000000000006</v>
      </c>
      <c r="I3640">
        <f>order_items[[#This Row],[list_price]]-order_items[[#This Row],[Discounted_price]]</f>
        <v>386.1</v>
      </c>
      <c r="J3640">
        <f>VLOOKUP(B3640, Products!$A$2:$E$100, 3, FALSE)</f>
        <v>8</v>
      </c>
      <c r="K3640">
        <f>VLOOKUP(B3640, Products!$A$2:$F$100, 4, FALSE)</f>
        <v>6</v>
      </c>
    </row>
    <row r="3641" spans="1:11" x14ac:dyDescent="0.3">
      <c r="A3641">
        <v>1257</v>
      </c>
      <c r="B3641">
        <v>4</v>
      </c>
      <c r="C3641">
        <v>41</v>
      </c>
      <c r="D3641" t="str">
        <f>VLOOKUP(B3641, Products!$A$2:$C$100, 2, FALSE)</f>
        <v>Trek Fuel EX 8 29 - 2016</v>
      </c>
      <c r="E3641">
        <v>1</v>
      </c>
      <c r="F3641">
        <v>1469.99</v>
      </c>
      <c r="G3641">
        <v>0.05</v>
      </c>
      <c r="H3641">
        <v>73.499499999999998</v>
      </c>
      <c r="I3641">
        <f>order_items[[#This Row],[list_price]]-order_items[[#This Row],[Discounted_price]]</f>
        <v>1396.4905000000001</v>
      </c>
      <c r="J3641">
        <f>VLOOKUP(B3641, Products!$A$2:$E$100, 3, FALSE)</f>
        <v>9</v>
      </c>
      <c r="K3641">
        <f>VLOOKUP(B3641, Products!$A$2:$F$100, 4, FALSE)</f>
        <v>6</v>
      </c>
    </row>
    <row r="3642" spans="1:11" x14ac:dyDescent="0.3">
      <c r="A3642">
        <v>1257</v>
      </c>
      <c r="B3642">
        <v>5</v>
      </c>
      <c r="C3642">
        <v>4</v>
      </c>
      <c r="D3642" t="str">
        <f>VLOOKUP(B3642, Products!$A$2:$C$100, 2, FALSE)</f>
        <v>Heller Shagamaw Frame - 2016</v>
      </c>
      <c r="E3642">
        <v>1</v>
      </c>
      <c r="F3642">
        <v>2899.99</v>
      </c>
      <c r="G3642">
        <v>0.1</v>
      </c>
      <c r="H3642">
        <v>289.99899999999997</v>
      </c>
      <c r="I3642">
        <f>order_items[[#This Row],[list_price]]-order_items[[#This Row],[Discounted_price]]</f>
        <v>2609.991</v>
      </c>
      <c r="J3642">
        <f>VLOOKUP(B3642, Products!$A$2:$E$100, 3, FALSE)</f>
        <v>3</v>
      </c>
      <c r="K3642">
        <f>VLOOKUP(B3642, Products!$A$2:$F$100, 4, FALSE)</f>
        <v>6</v>
      </c>
    </row>
    <row r="3643" spans="1:11" x14ac:dyDescent="0.3">
      <c r="A3643">
        <v>1258</v>
      </c>
      <c r="B3643">
        <v>1</v>
      </c>
      <c r="C3643">
        <v>94</v>
      </c>
      <c r="D3643" t="str">
        <f>VLOOKUP(B3643, Products!$A$2:$C$100, 2, FALSE)</f>
        <v>Trek 820 - 2016</v>
      </c>
      <c r="E3643">
        <v>2</v>
      </c>
      <c r="F3643">
        <v>249.99</v>
      </c>
      <c r="G3643">
        <v>0.1</v>
      </c>
      <c r="H3643">
        <v>24.999000000000002</v>
      </c>
      <c r="I3643">
        <f>order_items[[#This Row],[list_price]]-order_items[[#This Row],[Discounted_price]]</f>
        <v>224.99100000000001</v>
      </c>
      <c r="J3643">
        <f>VLOOKUP(B3643, Products!$A$2:$E$100, 3, FALSE)</f>
        <v>9</v>
      </c>
      <c r="K3643">
        <f>VLOOKUP(B3643, Products!$A$2:$F$100, 4, FALSE)</f>
        <v>6</v>
      </c>
    </row>
    <row r="3644" spans="1:11" x14ac:dyDescent="0.3">
      <c r="A3644">
        <v>1258</v>
      </c>
      <c r="B3644">
        <v>2</v>
      </c>
      <c r="C3644">
        <v>99</v>
      </c>
      <c r="D3644" t="str">
        <f>VLOOKUP(B3644, Products!$A$2:$C$100, 2, FALSE)</f>
        <v>Ritchey Timberwolf Frameset - 2016</v>
      </c>
      <c r="E3644">
        <v>2</v>
      </c>
      <c r="F3644">
        <v>299.99</v>
      </c>
      <c r="G3644">
        <v>0.05</v>
      </c>
      <c r="H3644">
        <v>14.999500000000001</v>
      </c>
      <c r="I3644">
        <f>order_items[[#This Row],[list_price]]-order_items[[#This Row],[Discounted_price]]</f>
        <v>284.9905</v>
      </c>
      <c r="J3644">
        <f>VLOOKUP(B3644, Products!$A$2:$E$100, 3, FALSE)</f>
        <v>5</v>
      </c>
      <c r="K3644">
        <f>VLOOKUP(B3644, Products!$A$2:$F$100, 4, FALSE)</f>
        <v>6</v>
      </c>
    </row>
    <row r="3645" spans="1:11" x14ac:dyDescent="0.3">
      <c r="A3645">
        <v>1259</v>
      </c>
      <c r="B3645">
        <v>1</v>
      </c>
      <c r="C3645">
        <v>60</v>
      </c>
      <c r="D3645" t="str">
        <f>VLOOKUP(B3645, Products!$A$2:$C$100, 2, FALSE)</f>
        <v>Trek 820 - 2016</v>
      </c>
      <c r="E3645">
        <v>1</v>
      </c>
      <c r="F3645">
        <v>1559.99</v>
      </c>
      <c r="G3645">
        <v>0.1</v>
      </c>
      <c r="H3645">
        <v>155.99900000000002</v>
      </c>
      <c r="I3645">
        <f>order_items[[#This Row],[list_price]]-order_items[[#This Row],[Discounted_price]]</f>
        <v>1403.991</v>
      </c>
      <c r="J3645">
        <f>VLOOKUP(B3645, Products!$A$2:$E$100, 3, FALSE)</f>
        <v>9</v>
      </c>
      <c r="K3645">
        <f>VLOOKUP(B3645, Products!$A$2:$F$100, 4, FALSE)</f>
        <v>6</v>
      </c>
    </row>
    <row r="3646" spans="1:11" x14ac:dyDescent="0.3">
      <c r="A3646">
        <v>1259</v>
      </c>
      <c r="B3646">
        <v>2</v>
      </c>
      <c r="C3646">
        <v>19</v>
      </c>
      <c r="D3646" t="str">
        <f>VLOOKUP(B3646, Products!$A$2:$C$100, 2, FALSE)</f>
        <v>Ritchey Timberwolf Frameset - 2016</v>
      </c>
      <c r="E3646">
        <v>1</v>
      </c>
      <c r="F3646">
        <v>449</v>
      </c>
      <c r="G3646">
        <v>0.2</v>
      </c>
      <c r="H3646">
        <v>89.800000000000011</v>
      </c>
      <c r="I3646">
        <f>order_items[[#This Row],[list_price]]-order_items[[#This Row],[Discounted_price]]</f>
        <v>359.2</v>
      </c>
      <c r="J3646">
        <f>VLOOKUP(B3646, Products!$A$2:$E$100, 3, FALSE)</f>
        <v>5</v>
      </c>
      <c r="K3646">
        <f>VLOOKUP(B3646, Products!$A$2:$F$100, 4, FALSE)</f>
        <v>6</v>
      </c>
    </row>
    <row r="3647" spans="1:11" x14ac:dyDescent="0.3">
      <c r="A3647">
        <v>1260</v>
      </c>
      <c r="B3647">
        <v>1</v>
      </c>
      <c r="C3647">
        <v>8</v>
      </c>
      <c r="D3647" t="str">
        <f>VLOOKUP(B3647, Products!$A$2:$C$100, 2, FALSE)</f>
        <v>Trek 820 - 2016</v>
      </c>
      <c r="E3647">
        <v>1</v>
      </c>
      <c r="F3647">
        <v>1799.99</v>
      </c>
      <c r="G3647">
        <v>0.1</v>
      </c>
      <c r="H3647">
        <v>179.99900000000002</v>
      </c>
      <c r="I3647">
        <f>order_items[[#This Row],[list_price]]-order_items[[#This Row],[Discounted_price]]</f>
        <v>1619.991</v>
      </c>
      <c r="J3647">
        <f>VLOOKUP(B3647, Products!$A$2:$E$100, 3, FALSE)</f>
        <v>9</v>
      </c>
      <c r="K3647">
        <f>VLOOKUP(B3647, Products!$A$2:$F$100, 4, FALSE)</f>
        <v>6</v>
      </c>
    </row>
    <row r="3648" spans="1:11" x14ac:dyDescent="0.3">
      <c r="A3648">
        <v>1260</v>
      </c>
      <c r="B3648">
        <v>2</v>
      </c>
      <c r="C3648">
        <v>66</v>
      </c>
      <c r="D3648" t="str">
        <f>VLOOKUP(B3648, Products!$A$2:$C$100, 2, FALSE)</f>
        <v>Ritchey Timberwolf Frameset - 2016</v>
      </c>
      <c r="E3648">
        <v>1</v>
      </c>
      <c r="F3648">
        <v>250.99</v>
      </c>
      <c r="G3648">
        <v>0.1</v>
      </c>
      <c r="H3648">
        <v>25.099000000000004</v>
      </c>
      <c r="I3648">
        <f>order_items[[#This Row],[list_price]]-order_items[[#This Row],[Discounted_price]]</f>
        <v>225.89100000000002</v>
      </c>
      <c r="J3648">
        <f>VLOOKUP(B3648, Products!$A$2:$E$100, 3, FALSE)</f>
        <v>5</v>
      </c>
      <c r="K3648">
        <f>VLOOKUP(B3648, Products!$A$2:$F$100, 4, FALSE)</f>
        <v>6</v>
      </c>
    </row>
    <row r="3649" spans="1:11" x14ac:dyDescent="0.3">
      <c r="A3649">
        <v>1261</v>
      </c>
      <c r="B3649">
        <v>1</v>
      </c>
      <c r="C3649">
        <v>73</v>
      </c>
      <c r="D3649" t="str">
        <f>VLOOKUP(B3649, Products!$A$2:$C$100, 2, FALSE)</f>
        <v>Trek 820 - 2016</v>
      </c>
      <c r="E3649">
        <v>1</v>
      </c>
      <c r="F3649">
        <v>749.99</v>
      </c>
      <c r="G3649">
        <v>0.2</v>
      </c>
      <c r="H3649">
        <v>149.99800000000002</v>
      </c>
      <c r="I3649">
        <f>order_items[[#This Row],[list_price]]-order_items[[#This Row],[Discounted_price]]</f>
        <v>599.99199999999996</v>
      </c>
      <c r="J3649">
        <f>VLOOKUP(B3649, Products!$A$2:$E$100, 3, FALSE)</f>
        <v>9</v>
      </c>
      <c r="K3649">
        <f>VLOOKUP(B3649, Products!$A$2:$F$100, 4, FALSE)</f>
        <v>6</v>
      </c>
    </row>
    <row r="3650" spans="1:11" x14ac:dyDescent="0.3">
      <c r="A3650">
        <v>1261</v>
      </c>
      <c r="B3650">
        <v>2</v>
      </c>
      <c r="C3650">
        <v>88</v>
      </c>
      <c r="D3650" t="str">
        <f>VLOOKUP(B3650, Products!$A$2:$C$100, 2, FALSE)</f>
        <v>Ritchey Timberwolf Frameset - 2016</v>
      </c>
      <c r="E3650">
        <v>2</v>
      </c>
      <c r="F3650">
        <v>189.99</v>
      </c>
      <c r="G3650">
        <v>0.2</v>
      </c>
      <c r="H3650">
        <v>37.998000000000005</v>
      </c>
      <c r="I3650">
        <f>order_items[[#This Row],[list_price]]-order_items[[#This Row],[Discounted_price]]</f>
        <v>151.99200000000002</v>
      </c>
      <c r="J3650">
        <f>VLOOKUP(B3650, Products!$A$2:$E$100, 3, FALSE)</f>
        <v>5</v>
      </c>
      <c r="K3650">
        <f>VLOOKUP(B3650, Products!$A$2:$F$100, 4, FALSE)</f>
        <v>6</v>
      </c>
    </row>
    <row r="3651" spans="1:11" x14ac:dyDescent="0.3">
      <c r="A3651">
        <v>1261</v>
      </c>
      <c r="B3651">
        <v>3</v>
      </c>
      <c r="C3651">
        <v>100</v>
      </c>
      <c r="D3651" t="str">
        <f>VLOOKUP(B3651, Products!$A$2:$C$100, 2, FALSE)</f>
        <v>Surly Wednesday Frameset - 2016</v>
      </c>
      <c r="E3651">
        <v>1</v>
      </c>
      <c r="F3651">
        <v>489.99</v>
      </c>
      <c r="G3651">
        <v>0.05</v>
      </c>
      <c r="H3651">
        <v>24.499500000000001</v>
      </c>
      <c r="I3651">
        <f>order_items[[#This Row],[list_price]]-order_items[[#This Row],[Discounted_price]]</f>
        <v>465.4905</v>
      </c>
      <c r="J3651">
        <f>VLOOKUP(B3651, Products!$A$2:$E$100, 3, FALSE)</f>
        <v>8</v>
      </c>
      <c r="K3651">
        <f>VLOOKUP(B3651, Products!$A$2:$F$100, 4, FALSE)</f>
        <v>6</v>
      </c>
    </row>
    <row r="3652" spans="1:11" x14ac:dyDescent="0.3">
      <c r="A3652">
        <v>1261</v>
      </c>
      <c r="B3652">
        <v>4</v>
      </c>
      <c r="C3652">
        <v>42</v>
      </c>
      <c r="D3652" t="str">
        <f>VLOOKUP(B3652, Products!$A$2:$C$100, 2, FALSE)</f>
        <v>Trek Fuel EX 8 29 - 2016</v>
      </c>
      <c r="E3652">
        <v>1</v>
      </c>
      <c r="F3652">
        <v>2299.9899999999998</v>
      </c>
      <c r="G3652">
        <v>0.1</v>
      </c>
      <c r="H3652">
        <v>229.999</v>
      </c>
      <c r="I3652">
        <f>order_items[[#This Row],[list_price]]-order_items[[#This Row],[Discounted_price]]</f>
        <v>2069.991</v>
      </c>
      <c r="J3652">
        <f>VLOOKUP(B3652, Products!$A$2:$E$100, 3, FALSE)</f>
        <v>9</v>
      </c>
      <c r="K3652">
        <f>VLOOKUP(B3652, Products!$A$2:$F$100, 4, FALSE)</f>
        <v>6</v>
      </c>
    </row>
    <row r="3653" spans="1:11" x14ac:dyDescent="0.3">
      <c r="A3653">
        <v>1262</v>
      </c>
      <c r="B3653">
        <v>1</v>
      </c>
      <c r="C3653">
        <v>37</v>
      </c>
      <c r="D3653" t="str">
        <f>VLOOKUP(B3653, Products!$A$2:$C$100, 2, FALSE)</f>
        <v>Trek 820 - 2016</v>
      </c>
      <c r="E3653">
        <v>1</v>
      </c>
      <c r="F3653">
        <v>379.99</v>
      </c>
      <c r="G3653">
        <v>7.0000000000000007E-2</v>
      </c>
      <c r="H3653">
        <v>26.599300000000003</v>
      </c>
      <c r="I3653">
        <f>order_items[[#This Row],[list_price]]-order_items[[#This Row],[Discounted_price]]</f>
        <v>353.39069999999998</v>
      </c>
      <c r="J3653">
        <f>VLOOKUP(B3653, Products!$A$2:$E$100, 3, FALSE)</f>
        <v>9</v>
      </c>
      <c r="K3653">
        <f>VLOOKUP(B3653, Products!$A$2:$F$100, 4, FALSE)</f>
        <v>6</v>
      </c>
    </row>
    <row r="3654" spans="1:11" x14ac:dyDescent="0.3">
      <c r="A3654">
        <v>1262</v>
      </c>
      <c r="B3654">
        <v>2</v>
      </c>
      <c r="C3654">
        <v>52</v>
      </c>
      <c r="D3654" t="str">
        <f>VLOOKUP(B3654, Products!$A$2:$C$100, 2, FALSE)</f>
        <v>Ritchey Timberwolf Frameset - 2016</v>
      </c>
      <c r="E3654">
        <v>1</v>
      </c>
      <c r="F3654">
        <v>875.99</v>
      </c>
      <c r="G3654">
        <v>0.05</v>
      </c>
      <c r="H3654">
        <v>43.799500000000002</v>
      </c>
      <c r="I3654">
        <f>order_items[[#This Row],[list_price]]-order_items[[#This Row],[Discounted_price]]</f>
        <v>832.19050000000004</v>
      </c>
      <c r="J3654">
        <f>VLOOKUP(B3654, Products!$A$2:$E$100, 3, FALSE)</f>
        <v>5</v>
      </c>
      <c r="K3654">
        <f>VLOOKUP(B3654, Products!$A$2:$F$100, 4, FALSE)</f>
        <v>6</v>
      </c>
    </row>
    <row r="3655" spans="1:11" x14ac:dyDescent="0.3">
      <c r="A3655">
        <v>1262</v>
      </c>
      <c r="B3655">
        <v>3</v>
      </c>
      <c r="C3655">
        <v>43</v>
      </c>
      <c r="D3655" t="str">
        <f>VLOOKUP(B3655, Products!$A$2:$C$100, 2, FALSE)</f>
        <v>Surly Wednesday Frameset - 2016</v>
      </c>
      <c r="E3655">
        <v>2</v>
      </c>
      <c r="F3655">
        <v>5299.99</v>
      </c>
      <c r="G3655">
        <v>7.0000000000000007E-2</v>
      </c>
      <c r="H3655">
        <v>370.99930000000001</v>
      </c>
      <c r="I3655">
        <f>order_items[[#This Row],[list_price]]-order_items[[#This Row],[Discounted_price]]</f>
        <v>4928.9906999999994</v>
      </c>
      <c r="J3655">
        <f>VLOOKUP(B3655, Products!$A$2:$E$100, 3, FALSE)</f>
        <v>8</v>
      </c>
      <c r="K3655">
        <f>VLOOKUP(B3655, Products!$A$2:$F$100, 4, FALSE)</f>
        <v>6</v>
      </c>
    </row>
    <row r="3656" spans="1:11" x14ac:dyDescent="0.3">
      <c r="A3656">
        <v>1262</v>
      </c>
      <c r="B3656">
        <v>4</v>
      </c>
      <c r="C3656">
        <v>77</v>
      </c>
      <c r="D3656" t="str">
        <f>VLOOKUP(B3656, Products!$A$2:$C$100, 2, FALSE)</f>
        <v>Trek Fuel EX 8 29 - 2016</v>
      </c>
      <c r="E3656">
        <v>1</v>
      </c>
      <c r="F3656">
        <v>799.99</v>
      </c>
      <c r="G3656">
        <v>7.0000000000000007E-2</v>
      </c>
      <c r="H3656">
        <v>55.999300000000005</v>
      </c>
      <c r="I3656">
        <f>order_items[[#This Row],[list_price]]-order_items[[#This Row],[Discounted_price]]</f>
        <v>743.99070000000006</v>
      </c>
      <c r="J3656">
        <f>VLOOKUP(B3656, Products!$A$2:$E$100, 3, FALSE)</f>
        <v>9</v>
      </c>
      <c r="K3656">
        <f>VLOOKUP(B3656, Products!$A$2:$F$100, 4, FALSE)</f>
        <v>6</v>
      </c>
    </row>
    <row r="3657" spans="1:11" x14ac:dyDescent="0.3">
      <c r="A3657">
        <v>1263</v>
      </c>
      <c r="B3657">
        <v>1</v>
      </c>
      <c r="C3657">
        <v>45</v>
      </c>
      <c r="D3657" t="str">
        <f>VLOOKUP(B3657, Products!$A$2:$C$100, 2, FALSE)</f>
        <v>Trek 820 - 2016</v>
      </c>
      <c r="E3657">
        <v>1</v>
      </c>
      <c r="F3657">
        <v>869.99</v>
      </c>
      <c r="G3657">
        <v>0.2</v>
      </c>
      <c r="H3657">
        <v>173.99800000000002</v>
      </c>
      <c r="I3657">
        <f>order_items[[#This Row],[list_price]]-order_items[[#This Row],[Discounted_price]]</f>
        <v>695.99199999999996</v>
      </c>
      <c r="J3657">
        <f>VLOOKUP(B3657, Products!$A$2:$E$100, 3, FALSE)</f>
        <v>9</v>
      </c>
      <c r="K3657">
        <f>VLOOKUP(B3657, Products!$A$2:$F$100, 4, FALSE)</f>
        <v>6</v>
      </c>
    </row>
    <row r="3658" spans="1:11" x14ac:dyDescent="0.3">
      <c r="A3658">
        <v>1263</v>
      </c>
      <c r="B3658">
        <v>2</v>
      </c>
      <c r="C3658">
        <v>62</v>
      </c>
      <c r="D3658" t="str">
        <f>VLOOKUP(B3658, Products!$A$2:$C$100, 2, FALSE)</f>
        <v>Ritchey Timberwolf Frameset - 2016</v>
      </c>
      <c r="E3658">
        <v>1</v>
      </c>
      <c r="F3658">
        <v>3499.99</v>
      </c>
      <c r="G3658">
        <v>0.05</v>
      </c>
      <c r="H3658">
        <v>174.99950000000001</v>
      </c>
      <c r="I3658">
        <f>order_items[[#This Row],[list_price]]-order_items[[#This Row],[Discounted_price]]</f>
        <v>3324.9904999999999</v>
      </c>
      <c r="J3658">
        <f>VLOOKUP(B3658, Products!$A$2:$E$100, 3, FALSE)</f>
        <v>5</v>
      </c>
      <c r="K3658">
        <f>VLOOKUP(B3658, Products!$A$2:$F$100, 4, FALSE)</f>
        <v>6</v>
      </c>
    </row>
    <row r="3659" spans="1:11" x14ac:dyDescent="0.3">
      <c r="A3659">
        <v>1263</v>
      </c>
      <c r="B3659">
        <v>3</v>
      </c>
      <c r="C3659">
        <v>19</v>
      </c>
      <c r="D3659" t="str">
        <f>VLOOKUP(B3659, Products!$A$2:$C$100, 2, FALSE)</f>
        <v>Surly Wednesday Frameset - 2016</v>
      </c>
      <c r="E3659">
        <v>2</v>
      </c>
      <c r="F3659">
        <v>449</v>
      </c>
      <c r="G3659">
        <v>0.1</v>
      </c>
      <c r="H3659">
        <v>44.900000000000006</v>
      </c>
      <c r="I3659">
        <f>order_items[[#This Row],[list_price]]-order_items[[#This Row],[Discounted_price]]</f>
        <v>404.1</v>
      </c>
      <c r="J3659">
        <f>VLOOKUP(B3659, Products!$A$2:$E$100, 3, FALSE)</f>
        <v>8</v>
      </c>
      <c r="K3659">
        <f>VLOOKUP(B3659, Products!$A$2:$F$100, 4, FALSE)</f>
        <v>6</v>
      </c>
    </row>
    <row r="3660" spans="1:11" x14ac:dyDescent="0.3">
      <c r="A3660">
        <v>1264</v>
      </c>
      <c r="B3660">
        <v>1</v>
      </c>
      <c r="C3660">
        <v>101</v>
      </c>
      <c r="D3660" t="str">
        <f>VLOOKUP(B3660, Products!$A$2:$C$100, 2, FALSE)</f>
        <v>Trek 820 - 2016</v>
      </c>
      <c r="E3660">
        <v>1</v>
      </c>
      <c r="F3660">
        <v>339.99</v>
      </c>
      <c r="G3660">
        <v>7.0000000000000007E-2</v>
      </c>
      <c r="H3660">
        <v>23.799300000000002</v>
      </c>
      <c r="I3660">
        <f>order_items[[#This Row],[list_price]]-order_items[[#This Row],[Discounted_price]]</f>
        <v>316.19069999999999</v>
      </c>
      <c r="J3660">
        <f>VLOOKUP(B3660, Products!$A$2:$E$100, 3, FALSE)</f>
        <v>9</v>
      </c>
      <c r="K3660">
        <f>VLOOKUP(B3660, Products!$A$2:$F$100, 4, FALSE)</f>
        <v>6</v>
      </c>
    </row>
    <row r="3661" spans="1:11" x14ac:dyDescent="0.3">
      <c r="A3661">
        <v>1264</v>
      </c>
      <c r="B3661">
        <v>2</v>
      </c>
      <c r="C3661">
        <v>77</v>
      </c>
      <c r="D3661" t="str">
        <f>VLOOKUP(B3661, Products!$A$2:$C$100, 2, FALSE)</f>
        <v>Ritchey Timberwolf Frameset - 2016</v>
      </c>
      <c r="E3661">
        <v>2</v>
      </c>
      <c r="F3661">
        <v>799.99</v>
      </c>
      <c r="G3661">
        <v>7.0000000000000007E-2</v>
      </c>
      <c r="H3661">
        <v>55.999300000000005</v>
      </c>
      <c r="I3661">
        <f>order_items[[#This Row],[list_price]]-order_items[[#This Row],[Discounted_price]]</f>
        <v>743.99070000000006</v>
      </c>
      <c r="J3661">
        <f>VLOOKUP(B3661, Products!$A$2:$E$100, 3, FALSE)</f>
        <v>5</v>
      </c>
      <c r="K3661">
        <f>VLOOKUP(B3661, Products!$A$2:$F$100, 4, FALSE)</f>
        <v>6</v>
      </c>
    </row>
    <row r="3662" spans="1:11" x14ac:dyDescent="0.3">
      <c r="A3662">
        <v>1264</v>
      </c>
      <c r="B3662">
        <v>3</v>
      </c>
      <c r="C3662">
        <v>29</v>
      </c>
      <c r="D3662" t="str">
        <f>VLOOKUP(B3662, Products!$A$2:$C$100, 2, FALSE)</f>
        <v>Surly Wednesday Frameset - 2016</v>
      </c>
      <c r="E3662">
        <v>2</v>
      </c>
      <c r="F3662">
        <v>999.99</v>
      </c>
      <c r="G3662">
        <v>0.2</v>
      </c>
      <c r="H3662">
        <v>199.99800000000002</v>
      </c>
      <c r="I3662">
        <f>order_items[[#This Row],[list_price]]-order_items[[#This Row],[Discounted_price]]</f>
        <v>799.99199999999996</v>
      </c>
      <c r="J3662">
        <f>VLOOKUP(B3662, Products!$A$2:$E$100, 3, FALSE)</f>
        <v>8</v>
      </c>
      <c r="K3662">
        <f>VLOOKUP(B3662, Products!$A$2:$F$100, 4, FALSE)</f>
        <v>6</v>
      </c>
    </row>
    <row r="3663" spans="1:11" x14ac:dyDescent="0.3">
      <c r="A3663">
        <v>1264</v>
      </c>
      <c r="B3663">
        <v>4</v>
      </c>
      <c r="C3663">
        <v>52</v>
      </c>
      <c r="D3663" t="str">
        <f>VLOOKUP(B3663, Products!$A$2:$C$100, 2, FALSE)</f>
        <v>Trek Fuel EX 8 29 - 2016</v>
      </c>
      <c r="E3663">
        <v>1</v>
      </c>
      <c r="F3663">
        <v>875.99</v>
      </c>
      <c r="G3663">
        <v>0.05</v>
      </c>
      <c r="H3663">
        <v>43.799500000000002</v>
      </c>
      <c r="I3663">
        <f>order_items[[#This Row],[list_price]]-order_items[[#This Row],[Discounted_price]]</f>
        <v>832.19050000000004</v>
      </c>
      <c r="J3663">
        <f>VLOOKUP(B3663, Products!$A$2:$E$100, 3, FALSE)</f>
        <v>9</v>
      </c>
      <c r="K3663">
        <f>VLOOKUP(B3663, Products!$A$2:$F$100, 4, FALSE)</f>
        <v>6</v>
      </c>
    </row>
    <row r="3664" spans="1:11" x14ac:dyDescent="0.3">
      <c r="A3664">
        <v>1265</v>
      </c>
      <c r="B3664">
        <v>1</v>
      </c>
      <c r="C3664">
        <v>41</v>
      </c>
      <c r="D3664" t="str">
        <f>VLOOKUP(B3664, Products!$A$2:$C$100, 2, FALSE)</f>
        <v>Trek 820 - 2016</v>
      </c>
      <c r="E3664">
        <v>2</v>
      </c>
      <c r="F3664">
        <v>1469.99</v>
      </c>
      <c r="G3664">
        <v>0.1</v>
      </c>
      <c r="H3664">
        <v>146.999</v>
      </c>
      <c r="I3664">
        <f>order_items[[#This Row],[list_price]]-order_items[[#This Row],[Discounted_price]]</f>
        <v>1322.991</v>
      </c>
      <c r="J3664">
        <f>VLOOKUP(B3664, Products!$A$2:$E$100, 3, FALSE)</f>
        <v>9</v>
      </c>
      <c r="K3664">
        <f>VLOOKUP(B3664, Products!$A$2:$F$100, 4, FALSE)</f>
        <v>6</v>
      </c>
    </row>
    <row r="3665" spans="1:11" x14ac:dyDescent="0.3">
      <c r="A3665">
        <v>1265</v>
      </c>
      <c r="B3665">
        <v>2</v>
      </c>
      <c r="C3665">
        <v>72</v>
      </c>
      <c r="D3665" t="str">
        <f>VLOOKUP(B3665, Products!$A$2:$C$100, 2, FALSE)</f>
        <v>Ritchey Timberwolf Frameset - 2016</v>
      </c>
      <c r="E3665">
        <v>2</v>
      </c>
      <c r="F3665">
        <v>619.99</v>
      </c>
      <c r="G3665">
        <v>7.0000000000000007E-2</v>
      </c>
      <c r="H3665">
        <v>43.399300000000004</v>
      </c>
      <c r="I3665">
        <f>order_items[[#This Row],[list_price]]-order_items[[#This Row],[Discounted_price]]</f>
        <v>576.59069999999997</v>
      </c>
      <c r="J3665">
        <f>VLOOKUP(B3665, Products!$A$2:$E$100, 3, FALSE)</f>
        <v>5</v>
      </c>
      <c r="K3665">
        <f>VLOOKUP(B3665, Products!$A$2:$F$100, 4, FALSE)</f>
        <v>6</v>
      </c>
    </row>
    <row r="3666" spans="1:11" x14ac:dyDescent="0.3">
      <c r="A3666">
        <v>1266</v>
      </c>
      <c r="B3666">
        <v>1</v>
      </c>
      <c r="C3666">
        <v>90</v>
      </c>
      <c r="D3666" t="str">
        <f>VLOOKUP(B3666, Products!$A$2:$C$100, 2, FALSE)</f>
        <v>Trek 820 - 2016</v>
      </c>
      <c r="E3666">
        <v>1</v>
      </c>
      <c r="F3666">
        <v>209.99</v>
      </c>
      <c r="G3666">
        <v>0.2</v>
      </c>
      <c r="H3666">
        <v>41.998000000000005</v>
      </c>
      <c r="I3666">
        <f>order_items[[#This Row],[list_price]]-order_items[[#This Row],[Discounted_price]]</f>
        <v>167.99200000000002</v>
      </c>
      <c r="J3666">
        <f>VLOOKUP(B3666, Products!$A$2:$E$100, 3, FALSE)</f>
        <v>9</v>
      </c>
      <c r="K3666">
        <f>VLOOKUP(B3666, Products!$A$2:$F$100, 4, FALSE)</f>
        <v>6</v>
      </c>
    </row>
    <row r="3667" spans="1:11" x14ac:dyDescent="0.3">
      <c r="A3667">
        <v>1266</v>
      </c>
      <c r="B3667">
        <v>2</v>
      </c>
      <c r="C3667">
        <v>48</v>
      </c>
      <c r="D3667" t="str">
        <f>VLOOKUP(B3667, Products!$A$2:$C$100, 2, FALSE)</f>
        <v>Ritchey Timberwolf Frameset - 2016</v>
      </c>
      <c r="E3667">
        <v>1</v>
      </c>
      <c r="F3667">
        <v>1499.99</v>
      </c>
      <c r="G3667">
        <v>0.2</v>
      </c>
      <c r="H3667">
        <v>299.99799999999999</v>
      </c>
      <c r="I3667">
        <f>order_items[[#This Row],[list_price]]-order_items[[#This Row],[Discounted_price]]</f>
        <v>1199.992</v>
      </c>
      <c r="J3667">
        <f>VLOOKUP(B3667, Products!$A$2:$E$100, 3, FALSE)</f>
        <v>5</v>
      </c>
      <c r="K3667">
        <f>VLOOKUP(B3667, Products!$A$2:$F$100, 4, FALSE)</f>
        <v>6</v>
      </c>
    </row>
    <row r="3668" spans="1:11" x14ac:dyDescent="0.3">
      <c r="A3668">
        <v>1267</v>
      </c>
      <c r="B3668">
        <v>1</v>
      </c>
      <c r="C3668">
        <v>45</v>
      </c>
      <c r="D3668" t="str">
        <f>VLOOKUP(B3668, Products!$A$2:$C$100, 2, FALSE)</f>
        <v>Trek 820 - 2016</v>
      </c>
      <c r="E3668">
        <v>1</v>
      </c>
      <c r="F3668">
        <v>869.99</v>
      </c>
      <c r="G3668">
        <v>0.1</v>
      </c>
      <c r="H3668">
        <v>86.999000000000009</v>
      </c>
      <c r="I3668">
        <f>order_items[[#This Row],[list_price]]-order_items[[#This Row],[Discounted_price]]</f>
        <v>782.99099999999999</v>
      </c>
      <c r="J3668">
        <f>VLOOKUP(B3668, Products!$A$2:$E$100, 3, FALSE)</f>
        <v>9</v>
      </c>
      <c r="K3668">
        <f>VLOOKUP(B3668, Products!$A$2:$F$100, 4, FALSE)</f>
        <v>6</v>
      </c>
    </row>
    <row r="3669" spans="1:11" x14ac:dyDescent="0.3">
      <c r="A3669">
        <v>1267</v>
      </c>
      <c r="B3669">
        <v>2</v>
      </c>
      <c r="C3669">
        <v>27</v>
      </c>
      <c r="D3669" t="str">
        <f>VLOOKUP(B3669, Products!$A$2:$C$100, 2, FALSE)</f>
        <v>Ritchey Timberwolf Frameset - 2016</v>
      </c>
      <c r="E3669">
        <v>1</v>
      </c>
      <c r="F3669">
        <v>999.99</v>
      </c>
      <c r="G3669">
        <v>7.0000000000000007E-2</v>
      </c>
      <c r="H3669">
        <v>69.999300000000005</v>
      </c>
      <c r="I3669">
        <f>order_items[[#This Row],[list_price]]-order_items[[#This Row],[Discounted_price]]</f>
        <v>929.99070000000006</v>
      </c>
      <c r="J3669">
        <f>VLOOKUP(B3669, Products!$A$2:$E$100, 3, FALSE)</f>
        <v>5</v>
      </c>
      <c r="K3669">
        <f>VLOOKUP(B3669, Products!$A$2:$F$100, 4, FALSE)</f>
        <v>6</v>
      </c>
    </row>
    <row r="3670" spans="1:11" x14ac:dyDescent="0.3">
      <c r="A3670">
        <v>1267</v>
      </c>
      <c r="B3670">
        <v>3</v>
      </c>
      <c r="C3670">
        <v>108</v>
      </c>
      <c r="D3670" t="str">
        <f>VLOOKUP(B3670, Products!$A$2:$C$100, 2, FALSE)</f>
        <v>Surly Wednesday Frameset - 2016</v>
      </c>
      <c r="E3670">
        <v>1</v>
      </c>
      <c r="F3670">
        <v>449.99</v>
      </c>
      <c r="G3670">
        <v>0.2</v>
      </c>
      <c r="H3670">
        <v>89.998000000000005</v>
      </c>
      <c r="I3670">
        <f>order_items[[#This Row],[list_price]]-order_items[[#This Row],[Discounted_price]]</f>
        <v>359.99200000000002</v>
      </c>
      <c r="J3670">
        <f>VLOOKUP(B3670, Products!$A$2:$E$100, 3, FALSE)</f>
        <v>8</v>
      </c>
      <c r="K3670">
        <f>VLOOKUP(B3670, Products!$A$2:$F$100, 4, FALSE)</f>
        <v>6</v>
      </c>
    </row>
    <row r="3671" spans="1:11" x14ac:dyDescent="0.3">
      <c r="A3671">
        <v>1267</v>
      </c>
      <c r="B3671">
        <v>4</v>
      </c>
      <c r="C3671">
        <v>95</v>
      </c>
      <c r="D3671" t="str">
        <f>VLOOKUP(B3671, Products!$A$2:$C$100, 2, FALSE)</f>
        <v>Trek Fuel EX 8 29 - 2016</v>
      </c>
      <c r="E3671">
        <v>1</v>
      </c>
      <c r="F3671">
        <v>299.99</v>
      </c>
      <c r="G3671">
        <v>0.05</v>
      </c>
      <c r="H3671">
        <v>14.999500000000001</v>
      </c>
      <c r="I3671">
        <f>order_items[[#This Row],[list_price]]-order_items[[#This Row],[Discounted_price]]</f>
        <v>284.9905</v>
      </c>
      <c r="J3671">
        <f>VLOOKUP(B3671, Products!$A$2:$E$100, 3, FALSE)</f>
        <v>9</v>
      </c>
      <c r="K3671">
        <f>VLOOKUP(B3671, Products!$A$2:$F$100, 4, FALSE)</f>
        <v>6</v>
      </c>
    </row>
    <row r="3672" spans="1:11" x14ac:dyDescent="0.3">
      <c r="A3672">
        <v>1268</v>
      </c>
      <c r="B3672">
        <v>1</v>
      </c>
      <c r="C3672">
        <v>68</v>
      </c>
      <c r="D3672" t="str">
        <f>VLOOKUP(B3672, Products!$A$2:$C$100, 2, FALSE)</f>
        <v>Trek 820 - 2016</v>
      </c>
      <c r="E3672">
        <v>2</v>
      </c>
      <c r="F3672">
        <v>449.99</v>
      </c>
      <c r="G3672">
        <v>7.0000000000000007E-2</v>
      </c>
      <c r="H3672">
        <v>31.499300000000005</v>
      </c>
      <c r="I3672">
        <f>order_items[[#This Row],[list_price]]-order_items[[#This Row],[Discounted_price]]</f>
        <v>418.4907</v>
      </c>
      <c r="J3672">
        <f>VLOOKUP(B3672, Products!$A$2:$E$100, 3, FALSE)</f>
        <v>9</v>
      </c>
      <c r="K3672">
        <f>VLOOKUP(B3672, Products!$A$2:$F$100, 4, FALSE)</f>
        <v>6</v>
      </c>
    </row>
    <row r="3673" spans="1:11" x14ac:dyDescent="0.3">
      <c r="A3673">
        <v>1268</v>
      </c>
      <c r="B3673">
        <v>2</v>
      </c>
      <c r="C3673">
        <v>87</v>
      </c>
      <c r="D3673" t="str">
        <f>VLOOKUP(B3673, Products!$A$2:$C$100, 2, FALSE)</f>
        <v>Ritchey Timberwolf Frameset - 2016</v>
      </c>
      <c r="E3673">
        <v>2</v>
      </c>
      <c r="F3673">
        <v>189.99</v>
      </c>
      <c r="G3673">
        <v>7.0000000000000007E-2</v>
      </c>
      <c r="H3673">
        <v>13.299300000000002</v>
      </c>
      <c r="I3673">
        <f>order_items[[#This Row],[list_price]]-order_items[[#This Row],[Discounted_price]]</f>
        <v>176.69069999999999</v>
      </c>
      <c r="J3673">
        <f>VLOOKUP(B3673, Products!$A$2:$E$100, 3, FALSE)</f>
        <v>5</v>
      </c>
      <c r="K3673">
        <f>VLOOKUP(B3673, Products!$A$2:$F$100, 4, FALSE)</f>
        <v>6</v>
      </c>
    </row>
    <row r="3674" spans="1:11" x14ac:dyDescent="0.3">
      <c r="A3674">
        <v>1268</v>
      </c>
      <c r="B3674">
        <v>3</v>
      </c>
      <c r="C3674">
        <v>59</v>
      </c>
      <c r="D3674" t="str">
        <f>VLOOKUP(B3674, Products!$A$2:$C$100, 2, FALSE)</f>
        <v>Surly Wednesday Frameset - 2016</v>
      </c>
      <c r="E3674">
        <v>2</v>
      </c>
      <c r="F3674">
        <v>2599.9899999999998</v>
      </c>
      <c r="G3674">
        <v>0.2</v>
      </c>
      <c r="H3674">
        <v>519.99799999999993</v>
      </c>
      <c r="I3674">
        <f>order_items[[#This Row],[list_price]]-order_items[[#This Row],[Discounted_price]]</f>
        <v>2079.9919999999997</v>
      </c>
      <c r="J3674">
        <f>VLOOKUP(B3674, Products!$A$2:$E$100, 3, FALSE)</f>
        <v>8</v>
      </c>
      <c r="K3674">
        <f>VLOOKUP(B3674, Products!$A$2:$F$100, 4, FALSE)</f>
        <v>6</v>
      </c>
    </row>
    <row r="3675" spans="1:11" x14ac:dyDescent="0.3">
      <c r="A3675">
        <v>1268</v>
      </c>
      <c r="B3675">
        <v>4</v>
      </c>
      <c r="C3675">
        <v>100</v>
      </c>
      <c r="D3675" t="str">
        <f>VLOOKUP(B3675, Products!$A$2:$C$100, 2, FALSE)</f>
        <v>Trek Fuel EX 8 29 - 2016</v>
      </c>
      <c r="E3675">
        <v>1</v>
      </c>
      <c r="F3675">
        <v>489.99</v>
      </c>
      <c r="G3675">
        <v>7.0000000000000007E-2</v>
      </c>
      <c r="H3675">
        <v>34.299300000000002</v>
      </c>
      <c r="I3675">
        <f>order_items[[#This Row],[list_price]]-order_items[[#This Row],[Discounted_price]]</f>
        <v>455.69069999999999</v>
      </c>
      <c r="J3675">
        <f>VLOOKUP(B3675, Products!$A$2:$E$100, 3, FALSE)</f>
        <v>9</v>
      </c>
      <c r="K3675">
        <f>VLOOKUP(B3675, Products!$A$2:$F$100, 4, FALSE)</f>
        <v>6</v>
      </c>
    </row>
    <row r="3676" spans="1:11" x14ac:dyDescent="0.3">
      <c r="A3676">
        <v>1269</v>
      </c>
      <c r="B3676">
        <v>1</v>
      </c>
      <c r="C3676">
        <v>4</v>
      </c>
      <c r="D3676" t="str">
        <f>VLOOKUP(B3676, Products!$A$2:$C$100, 2, FALSE)</f>
        <v>Trek 820 - 2016</v>
      </c>
      <c r="E3676">
        <v>2</v>
      </c>
      <c r="F3676">
        <v>2899.99</v>
      </c>
      <c r="G3676">
        <v>0.2</v>
      </c>
      <c r="H3676">
        <v>579.99799999999993</v>
      </c>
      <c r="I3676">
        <f>order_items[[#This Row],[list_price]]-order_items[[#This Row],[Discounted_price]]</f>
        <v>2319.9919999999997</v>
      </c>
      <c r="J3676">
        <f>VLOOKUP(B3676, Products!$A$2:$E$100, 3, FALSE)</f>
        <v>9</v>
      </c>
      <c r="K3676">
        <f>VLOOKUP(B3676, Products!$A$2:$F$100, 4, FALSE)</f>
        <v>6</v>
      </c>
    </row>
    <row r="3677" spans="1:11" x14ac:dyDescent="0.3">
      <c r="A3677">
        <v>1269</v>
      </c>
      <c r="B3677">
        <v>2</v>
      </c>
      <c r="C3677">
        <v>7</v>
      </c>
      <c r="D3677" t="str">
        <f>VLOOKUP(B3677, Products!$A$2:$C$100, 2, FALSE)</f>
        <v>Ritchey Timberwolf Frameset - 2016</v>
      </c>
      <c r="E3677">
        <v>1</v>
      </c>
      <c r="F3677">
        <v>3999.99</v>
      </c>
      <c r="G3677">
        <v>0.2</v>
      </c>
      <c r="H3677">
        <v>799.99800000000005</v>
      </c>
      <c r="I3677">
        <f>order_items[[#This Row],[list_price]]-order_items[[#This Row],[Discounted_price]]</f>
        <v>3199.9919999999997</v>
      </c>
      <c r="J3677">
        <f>VLOOKUP(B3677, Products!$A$2:$E$100, 3, FALSE)</f>
        <v>5</v>
      </c>
      <c r="K3677">
        <f>VLOOKUP(B3677, Products!$A$2:$F$100, 4, FALSE)</f>
        <v>6</v>
      </c>
    </row>
    <row r="3678" spans="1:11" x14ac:dyDescent="0.3">
      <c r="A3678">
        <v>1269</v>
      </c>
      <c r="B3678">
        <v>3</v>
      </c>
      <c r="C3678">
        <v>111</v>
      </c>
      <c r="D3678" t="str">
        <f>VLOOKUP(B3678, Products!$A$2:$C$100, 2, FALSE)</f>
        <v>Surly Wednesday Frameset - 2016</v>
      </c>
      <c r="E3678">
        <v>1</v>
      </c>
      <c r="F3678">
        <v>470.99</v>
      </c>
      <c r="G3678">
        <v>0.1</v>
      </c>
      <c r="H3678">
        <v>47.099000000000004</v>
      </c>
      <c r="I3678">
        <f>order_items[[#This Row],[list_price]]-order_items[[#This Row],[Discounted_price]]</f>
        <v>423.89100000000002</v>
      </c>
      <c r="J3678">
        <f>VLOOKUP(B3678, Products!$A$2:$E$100, 3, FALSE)</f>
        <v>8</v>
      </c>
      <c r="K3678">
        <f>VLOOKUP(B3678, Products!$A$2:$F$100, 4, FALSE)</f>
        <v>6</v>
      </c>
    </row>
    <row r="3679" spans="1:11" x14ac:dyDescent="0.3">
      <c r="A3679">
        <v>1270</v>
      </c>
      <c r="B3679">
        <v>1</v>
      </c>
      <c r="C3679">
        <v>54</v>
      </c>
      <c r="D3679" t="str">
        <f>VLOOKUP(B3679, Products!$A$2:$C$100, 2, FALSE)</f>
        <v>Trek 820 - 2016</v>
      </c>
      <c r="E3679">
        <v>1</v>
      </c>
      <c r="F3679">
        <v>3199.99</v>
      </c>
      <c r="G3679">
        <v>0.2</v>
      </c>
      <c r="H3679">
        <v>639.99800000000005</v>
      </c>
      <c r="I3679">
        <f>order_items[[#This Row],[list_price]]-order_items[[#This Row],[Discounted_price]]</f>
        <v>2559.9919999999997</v>
      </c>
      <c r="J3679">
        <f>VLOOKUP(B3679, Products!$A$2:$E$100, 3, FALSE)</f>
        <v>9</v>
      </c>
      <c r="K3679">
        <f>VLOOKUP(B3679, Products!$A$2:$F$100, 4, FALSE)</f>
        <v>6</v>
      </c>
    </row>
    <row r="3680" spans="1:11" x14ac:dyDescent="0.3">
      <c r="A3680">
        <v>1271</v>
      </c>
      <c r="B3680">
        <v>1</v>
      </c>
      <c r="C3680">
        <v>25</v>
      </c>
      <c r="D3680" t="str">
        <f>VLOOKUP(B3680, Products!$A$2:$C$100, 2, FALSE)</f>
        <v>Trek 820 - 2016</v>
      </c>
      <c r="E3680">
        <v>2</v>
      </c>
      <c r="F3680">
        <v>499.99</v>
      </c>
      <c r="G3680">
        <v>0.1</v>
      </c>
      <c r="H3680">
        <v>49.999000000000002</v>
      </c>
      <c r="I3680">
        <f>order_items[[#This Row],[list_price]]-order_items[[#This Row],[Discounted_price]]</f>
        <v>449.99099999999999</v>
      </c>
      <c r="J3680">
        <f>VLOOKUP(B3680, Products!$A$2:$E$100, 3, FALSE)</f>
        <v>9</v>
      </c>
      <c r="K3680">
        <f>VLOOKUP(B3680, Products!$A$2:$F$100, 4, FALSE)</f>
        <v>6</v>
      </c>
    </row>
    <row r="3681" spans="1:11" x14ac:dyDescent="0.3">
      <c r="A3681">
        <v>1271</v>
      </c>
      <c r="B3681">
        <v>2</v>
      </c>
      <c r="C3681">
        <v>50</v>
      </c>
      <c r="D3681" t="str">
        <f>VLOOKUP(B3681, Products!$A$2:$C$100, 2, FALSE)</f>
        <v>Ritchey Timberwolf Frameset - 2016</v>
      </c>
      <c r="E3681">
        <v>2</v>
      </c>
      <c r="F3681">
        <v>5999.99</v>
      </c>
      <c r="G3681">
        <v>7.0000000000000007E-2</v>
      </c>
      <c r="H3681">
        <v>419.99930000000001</v>
      </c>
      <c r="I3681">
        <f>order_items[[#This Row],[list_price]]-order_items[[#This Row],[Discounted_price]]</f>
        <v>5579.9906999999994</v>
      </c>
      <c r="J3681">
        <f>VLOOKUP(B3681, Products!$A$2:$E$100, 3, FALSE)</f>
        <v>5</v>
      </c>
      <c r="K3681">
        <f>VLOOKUP(B3681, Products!$A$2:$F$100, 4, FALSE)</f>
        <v>6</v>
      </c>
    </row>
    <row r="3682" spans="1:11" x14ac:dyDescent="0.3">
      <c r="A3682">
        <v>1271</v>
      </c>
      <c r="B3682">
        <v>3</v>
      </c>
      <c r="C3682">
        <v>87</v>
      </c>
      <c r="D3682" t="str">
        <f>VLOOKUP(B3682, Products!$A$2:$C$100, 2, FALSE)</f>
        <v>Surly Wednesday Frameset - 2016</v>
      </c>
      <c r="E3682">
        <v>2</v>
      </c>
      <c r="F3682">
        <v>189.99</v>
      </c>
      <c r="G3682">
        <v>7.0000000000000007E-2</v>
      </c>
      <c r="H3682">
        <v>13.299300000000002</v>
      </c>
      <c r="I3682">
        <f>order_items[[#This Row],[list_price]]-order_items[[#This Row],[Discounted_price]]</f>
        <v>176.69069999999999</v>
      </c>
      <c r="J3682">
        <f>VLOOKUP(B3682, Products!$A$2:$E$100, 3, FALSE)</f>
        <v>8</v>
      </c>
      <c r="K3682">
        <f>VLOOKUP(B3682, Products!$A$2:$F$100, 4, FALSE)</f>
        <v>6</v>
      </c>
    </row>
    <row r="3683" spans="1:11" x14ac:dyDescent="0.3">
      <c r="A3683">
        <v>1271</v>
      </c>
      <c r="B3683">
        <v>4</v>
      </c>
      <c r="C3683">
        <v>32</v>
      </c>
      <c r="D3683" t="str">
        <f>VLOOKUP(B3683, Products!$A$2:$C$100, 2, FALSE)</f>
        <v>Trek Fuel EX 8 29 - 2016</v>
      </c>
      <c r="E3683">
        <v>2</v>
      </c>
      <c r="F3683">
        <v>469.99</v>
      </c>
      <c r="G3683">
        <v>7.0000000000000007E-2</v>
      </c>
      <c r="H3683">
        <v>32.899300000000004</v>
      </c>
      <c r="I3683">
        <f>order_items[[#This Row],[list_price]]-order_items[[#This Row],[Discounted_price]]</f>
        <v>437.09070000000003</v>
      </c>
      <c r="J3683">
        <f>VLOOKUP(B3683, Products!$A$2:$E$100, 3, FALSE)</f>
        <v>9</v>
      </c>
      <c r="K3683">
        <f>VLOOKUP(B3683, Products!$A$2:$F$100, 4, FALSE)</f>
        <v>6</v>
      </c>
    </row>
    <row r="3684" spans="1:11" x14ac:dyDescent="0.3">
      <c r="A3684">
        <v>1272</v>
      </c>
      <c r="B3684">
        <v>1</v>
      </c>
      <c r="C3684">
        <v>16</v>
      </c>
      <c r="D3684" t="str">
        <f>VLOOKUP(B3684, Products!$A$2:$C$100, 2, FALSE)</f>
        <v>Trek 820 - 2016</v>
      </c>
      <c r="E3684">
        <v>2</v>
      </c>
      <c r="F3684">
        <v>599.99</v>
      </c>
      <c r="G3684">
        <v>0.2</v>
      </c>
      <c r="H3684">
        <v>119.998</v>
      </c>
      <c r="I3684">
        <f>order_items[[#This Row],[list_price]]-order_items[[#This Row],[Discounted_price]]</f>
        <v>479.99200000000002</v>
      </c>
      <c r="J3684">
        <f>VLOOKUP(B3684, Products!$A$2:$E$100, 3, FALSE)</f>
        <v>9</v>
      </c>
      <c r="K3684">
        <f>VLOOKUP(B3684, Products!$A$2:$F$100, 4, FALSE)</f>
        <v>6</v>
      </c>
    </row>
    <row r="3685" spans="1:11" x14ac:dyDescent="0.3">
      <c r="A3685">
        <v>1272</v>
      </c>
      <c r="B3685">
        <v>2</v>
      </c>
      <c r="C3685">
        <v>71</v>
      </c>
      <c r="D3685" t="str">
        <f>VLOOKUP(B3685, Products!$A$2:$C$100, 2, FALSE)</f>
        <v>Ritchey Timberwolf Frameset - 2016</v>
      </c>
      <c r="E3685">
        <v>2</v>
      </c>
      <c r="F3685">
        <v>416.99</v>
      </c>
      <c r="G3685">
        <v>0.1</v>
      </c>
      <c r="H3685">
        <v>41.699000000000005</v>
      </c>
      <c r="I3685">
        <f>order_items[[#This Row],[list_price]]-order_items[[#This Row],[Discounted_price]]</f>
        <v>375.291</v>
      </c>
      <c r="J3685">
        <f>VLOOKUP(B3685, Products!$A$2:$E$100, 3, FALSE)</f>
        <v>5</v>
      </c>
      <c r="K3685">
        <f>VLOOKUP(B3685, Products!$A$2:$F$100, 4, FALSE)</f>
        <v>6</v>
      </c>
    </row>
    <row r="3686" spans="1:11" x14ac:dyDescent="0.3">
      <c r="A3686">
        <v>1272</v>
      </c>
      <c r="B3686">
        <v>3</v>
      </c>
      <c r="C3686">
        <v>86</v>
      </c>
      <c r="D3686" t="str">
        <f>VLOOKUP(B3686, Products!$A$2:$C$100, 2, FALSE)</f>
        <v>Surly Wednesday Frameset - 2016</v>
      </c>
      <c r="E3686">
        <v>1</v>
      </c>
      <c r="F3686">
        <v>149.99</v>
      </c>
      <c r="G3686">
        <v>7.0000000000000007E-2</v>
      </c>
      <c r="H3686">
        <v>10.499300000000002</v>
      </c>
      <c r="I3686">
        <f>order_items[[#This Row],[list_price]]-order_items[[#This Row],[Discounted_price]]</f>
        <v>139.4907</v>
      </c>
      <c r="J3686">
        <f>VLOOKUP(B3686, Products!$A$2:$E$100, 3, FALSE)</f>
        <v>8</v>
      </c>
      <c r="K3686">
        <f>VLOOKUP(B3686, Products!$A$2:$F$100, 4, FALSE)</f>
        <v>6</v>
      </c>
    </row>
    <row r="3687" spans="1:11" x14ac:dyDescent="0.3">
      <c r="A3687">
        <v>1273</v>
      </c>
      <c r="B3687">
        <v>1</v>
      </c>
      <c r="C3687">
        <v>95</v>
      </c>
      <c r="D3687" t="str">
        <f>VLOOKUP(B3687, Products!$A$2:$C$100, 2, FALSE)</f>
        <v>Trek 820 - 2016</v>
      </c>
      <c r="E3687">
        <v>2</v>
      </c>
      <c r="F3687">
        <v>299.99</v>
      </c>
      <c r="G3687">
        <v>7.0000000000000007E-2</v>
      </c>
      <c r="H3687">
        <v>20.999300000000002</v>
      </c>
      <c r="I3687">
        <f>order_items[[#This Row],[list_price]]-order_items[[#This Row],[Discounted_price]]</f>
        <v>278.9907</v>
      </c>
      <c r="J3687">
        <f>VLOOKUP(B3687, Products!$A$2:$E$100, 3, FALSE)</f>
        <v>9</v>
      </c>
      <c r="K3687">
        <f>VLOOKUP(B3687, Products!$A$2:$F$100, 4, FALSE)</f>
        <v>6</v>
      </c>
    </row>
    <row r="3688" spans="1:11" x14ac:dyDescent="0.3">
      <c r="A3688">
        <v>1273</v>
      </c>
      <c r="B3688">
        <v>2</v>
      </c>
      <c r="C3688">
        <v>20</v>
      </c>
      <c r="D3688" t="str">
        <f>VLOOKUP(B3688, Products!$A$2:$C$100, 2, FALSE)</f>
        <v>Ritchey Timberwolf Frameset - 2016</v>
      </c>
      <c r="E3688">
        <v>1</v>
      </c>
      <c r="F3688">
        <v>599.99</v>
      </c>
      <c r="G3688">
        <v>7.0000000000000007E-2</v>
      </c>
      <c r="H3688">
        <v>41.999300000000005</v>
      </c>
      <c r="I3688">
        <f>order_items[[#This Row],[list_price]]-order_items[[#This Row],[Discounted_price]]</f>
        <v>557.99070000000006</v>
      </c>
      <c r="J3688">
        <f>VLOOKUP(B3688, Products!$A$2:$E$100, 3, FALSE)</f>
        <v>5</v>
      </c>
      <c r="K3688">
        <f>VLOOKUP(B3688, Products!$A$2:$F$100, 4, FALSE)</f>
        <v>6</v>
      </c>
    </row>
    <row r="3689" spans="1:11" x14ac:dyDescent="0.3">
      <c r="A3689">
        <v>1273</v>
      </c>
      <c r="B3689">
        <v>3</v>
      </c>
      <c r="C3689">
        <v>58</v>
      </c>
      <c r="D3689" t="str">
        <f>VLOOKUP(B3689, Products!$A$2:$C$100, 2, FALSE)</f>
        <v>Surly Wednesday Frameset - 2016</v>
      </c>
      <c r="E3689">
        <v>1</v>
      </c>
      <c r="F3689">
        <v>4999.99</v>
      </c>
      <c r="G3689">
        <v>0.2</v>
      </c>
      <c r="H3689">
        <v>999.99800000000005</v>
      </c>
      <c r="I3689">
        <f>order_items[[#This Row],[list_price]]-order_items[[#This Row],[Discounted_price]]</f>
        <v>3999.9919999999997</v>
      </c>
      <c r="J3689">
        <f>VLOOKUP(B3689, Products!$A$2:$E$100, 3, FALSE)</f>
        <v>8</v>
      </c>
      <c r="K3689">
        <f>VLOOKUP(B3689, Products!$A$2:$F$100, 4, FALSE)</f>
        <v>6</v>
      </c>
    </row>
    <row r="3690" spans="1:11" x14ac:dyDescent="0.3">
      <c r="A3690">
        <v>1274</v>
      </c>
      <c r="B3690">
        <v>1</v>
      </c>
      <c r="C3690">
        <v>81</v>
      </c>
      <c r="D3690" t="str">
        <f>VLOOKUP(B3690, Products!$A$2:$C$100, 2, FALSE)</f>
        <v>Trek 820 - 2016</v>
      </c>
      <c r="E3690">
        <v>1</v>
      </c>
      <c r="F3690">
        <v>1099.99</v>
      </c>
      <c r="G3690">
        <v>0.1</v>
      </c>
      <c r="H3690">
        <v>109.99900000000001</v>
      </c>
      <c r="I3690">
        <f>order_items[[#This Row],[list_price]]-order_items[[#This Row],[Discounted_price]]</f>
        <v>989.99099999999999</v>
      </c>
      <c r="J3690">
        <f>VLOOKUP(B3690, Products!$A$2:$E$100, 3, FALSE)</f>
        <v>9</v>
      </c>
      <c r="K3690">
        <f>VLOOKUP(B3690, Products!$A$2:$F$100, 4, FALSE)</f>
        <v>6</v>
      </c>
    </row>
    <row r="3691" spans="1:11" x14ac:dyDescent="0.3">
      <c r="A3691">
        <v>1275</v>
      </c>
      <c r="B3691">
        <v>1</v>
      </c>
      <c r="C3691">
        <v>58</v>
      </c>
      <c r="D3691" t="str">
        <f>VLOOKUP(B3691, Products!$A$2:$C$100, 2, FALSE)</f>
        <v>Trek 820 - 2016</v>
      </c>
      <c r="E3691">
        <v>1</v>
      </c>
      <c r="F3691">
        <v>4999.99</v>
      </c>
      <c r="G3691">
        <v>7.0000000000000007E-2</v>
      </c>
      <c r="H3691">
        <v>349.99930000000001</v>
      </c>
      <c r="I3691">
        <f>order_items[[#This Row],[list_price]]-order_items[[#This Row],[Discounted_price]]</f>
        <v>4649.9906999999994</v>
      </c>
      <c r="J3691">
        <f>VLOOKUP(B3691, Products!$A$2:$E$100, 3, FALSE)</f>
        <v>9</v>
      </c>
      <c r="K3691">
        <f>VLOOKUP(B3691, Products!$A$2:$F$100, 4, FALSE)</f>
        <v>6</v>
      </c>
    </row>
    <row r="3692" spans="1:11" x14ac:dyDescent="0.3">
      <c r="A3692">
        <v>1275</v>
      </c>
      <c r="B3692">
        <v>2</v>
      </c>
      <c r="C3692">
        <v>30</v>
      </c>
      <c r="D3692" t="str">
        <f>VLOOKUP(B3692, Products!$A$2:$C$100, 2, FALSE)</f>
        <v>Ritchey Timberwolf Frameset - 2016</v>
      </c>
      <c r="E3692">
        <v>1</v>
      </c>
      <c r="F3692">
        <v>999.99</v>
      </c>
      <c r="G3692">
        <v>0.1</v>
      </c>
      <c r="H3692">
        <v>99.999000000000009</v>
      </c>
      <c r="I3692">
        <f>order_items[[#This Row],[list_price]]-order_items[[#This Row],[Discounted_price]]</f>
        <v>899.99099999999999</v>
      </c>
      <c r="J3692">
        <f>VLOOKUP(B3692, Products!$A$2:$E$100, 3, FALSE)</f>
        <v>5</v>
      </c>
      <c r="K3692">
        <f>VLOOKUP(B3692, Products!$A$2:$F$100, 4, FALSE)</f>
        <v>6</v>
      </c>
    </row>
    <row r="3693" spans="1:11" x14ac:dyDescent="0.3">
      <c r="A3693">
        <v>1276</v>
      </c>
      <c r="B3693">
        <v>1</v>
      </c>
      <c r="C3693">
        <v>18</v>
      </c>
      <c r="D3693" t="str">
        <f>VLOOKUP(B3693, Products!$A$2:$C$100, 2, FALSE)</f>
        <v>Trek 820 - 2016</v>
      </c>
      <c r="E3693">
        <v>2</v>
      </c>
      <c r="F3693">
        <v>449</v>
      </c>
      <c r="G3693">
        <v>0.2</v>
      </c>
      <c r="H3693">
        <v>89.800000000000011</v>
      </c>
      <c r="I3693">
        <f>order_items[[#This Row],[list_price]]-order_items[[#This Row],[Discounted_price]]</f>
        <v>359.2</v>
      </c>
      <c r="J3693">
        <f>VLOOKUP(B3693, Products!$A$2:$E$100, 3, FALSE)</f>
        <v>9</v>
      </c>
      <c r="K3693">
        <f>VLOOKUP(B3693, Products!$A$2:$F$100, 4, FALSE)</f>
        <v>6</v>
      </c>
    </row>
    <row r="3694" spans="1:11" x14ac:dyDescent="0.3">
      <c r="A3694">
        <v>1276</v>
      </c>
      <c r="B3694">
        <v>2</v>
      </c>
      <c r="C3694">
        <v>58</v>
      </c>
      <c r="D3694" t="str">
        <f>VLOOKUP(B3694, Products!$A$2:$C$100, 2, FALSE)</f>
        <v>Ritchey Timberwolf Frameset - 2016</v>
      </c>
      <c r="E3694">
        <v>1</v>
      </c>
      <c r="F3694">
        <v>4999.99</v>
      </c>
      <c r="G3694">
        <v>0.2</v>
      </c>
      <c r="H3694">
        <v>999.99800000000005</v>
      </c>
      <c r="I3694">
        <f>order_items[[#This Row],[list_price]]-order_items[[#This Row],[Discounted_price]]</f>
        <v>3999.9919999999997</v>
      </c>
      <c r="J3694">
        <f>VLOOKUP(B3694, Products!$A$2:$E$100, 3, FALSE)</f>
        <v>5</v>
      </c>
      <c r="K3694">
        <f>VLOOKUP(B3694, Products!$A$2:$F$100, 4, FALSE)</f>
        <v>6</v>
      </c>
    </row>
    <row r="3695" spans="1:11" x14ac:dyDescent="0.3">
      <c r="A3695">
        <v>1276</v>
      </c>
      <c r="B3695">
        <v>3</v>
      </c>
      <c r="C3695">
        <v>42</v>
      </c>
      <c r="D3695" t="str">
        <f>VLOOKUP(B3695, Products!$A$2:$C$100, 2, FALSE)</f>
        <v>Surly Wednesday Frameset - 2016</v>
      </c>
      <c r="E3695">
        <v>1</v>
      </c>
      <c r="F3695">
        <v>2299.9899999999998</v>
      </c>
      <c r="G3695">
        <v>0.05</v>
      </c>
      <c r="H3695">
        <v>114.9995</v>
      </c>
      <c r="I3695">
        <f>order_items[[#This Row],[list_price]]-order_items[[#This Row],[Discounted_price]]</f>
        <v>2184.9904999999999</v>
      </c>
      <c r="J3695">
        <f>VLOOKUP(B3695, Products!$A$2:$E$100, 3, FALSE)</f>
        <v>8</v>
      </c>
      <c r="K3695">
        <f>VLOOKUP(B3695, Products!$A$2:$F$100, 4, FALSE)</f>
        <v>6</v>
      </c>
    </row>
    <row r="3696" spans="1:11" x14ac:dyDescent="0.3">
      <c r="A3696">
        <v>1276</v>
      </c>
      <c r="B3696">
        <v>4</v>
      </c>
      <c r="C3696">
        <v>24</v>
      </c>
      <c r="D3696" t="str">
        <f>VLOOKUP(B3696, Products!$A$2:$C$100, 2, FALSE)</f>
        <v>Trek Fuel EX 8 29 - 2016</v>
      </c>
      <c r="E3696">
        <v>2</v>
      </c>
      <c r="F3696">
        <v>549.99</v>
      </c>
      <c r="G3696">
        <v>0.2</v>
      </c>
      <c r="H3696">
        <v>109.998</v>
      </c>
      <c r="I3696">
        <f>order_items[[#This Row],[list_price]]-order_items[[#This Row],[Discounted_price]]</f>
        <v>439.99200000000002</v>
      </c>
      <c r="J3696">
        <f>VLOOKUP(B3696, Products!$A$2:$E$100, 3, FALSE)</f>
        <v>9</v>
      </c>
      <c r="K3696">
        <f>VLOOKUP(B3696, Products!$A$2:$F$100, 4, FALSE)</f>
        <v>6</v>
      </c>
    </row>
    <row r="3697" spans="1:11" x14ac:dyDescent="0.3">
      <c r="A3697">
        <v>1276</v>
      </c>
      <c r="B3697">
        <v>5</v>
      </c>
      <c r="C3697">
        <v>78</v>
      </c>
      <c r="D3697" t="str">
        <f>VLOOKUP(B3697, Products!$A$2:$C$100, 2, FALSE)</f>
        <v>Heller Shagamaw Frame - 2016</v>
      </c>
      <c r="E3697">
        <v>2</v>
      </c>
      <c r="F3697">
        <v>647.99</v>
      </c>
      <c r="G3697">
        <v>0.2</v>
      </c>
      <c r="H3697">
        <v>129.59800000000001</v>
      </c>
      <c r="I3697">
        <f>order_items[[#This Row],[list_price]]-order_items[[#This Row],[Discounted_price]]</f>
        <v>518.39200000000005</v>
      </c>
      <c r="J3697">
        <f>VLOOKUP(B3697, Products!$A$2:$E$100, 3, FALSE)</f>
        <v>3</v>
      </c>
      <c r="K3697">
        <f>VLOOKUP(B3697, Products!$A$2:$F$100, 4, FALSE)</f>
        <v>6</v>
      </c>
    </row>
    <row r="3698" spans="1:11" x14ac:dyDescent="0.3">
      <c r="A3698">
        <v>1277</v>
      </c>
      <c r="B3698">
        <v>1</v>
      </c>
      <c r="C3698">
        <v>56</v>
      </c>
      <c r="D3698" t="str">
        <f>VLOOKUP(B3698, Products!$A$2:$C$100, 2, FALSE)</f>
        <v>Trek 820 - 2016</v>
      </c>
      <c r="E3698">
        <v>2</v>
      </c>
      <c r="F3698">
        <v>5499.99</v>
      </c>
      <c r="G3698">
        <v>0.2</v>
      </c>
      <c r="H3698">
        <v>1099.998</v>
      </c>
      <c r="I3698">
        <f>order_items[[#This Row],[list_price]]-order_items[[#This Row],[Discounted_price]]</f>
        <v>4399.9920000000002</v>
      </c>
      <c r="J3698">
        <f>VLOOKUP(B3698, Products!$A$2:$E$100, 3, FALSE)</f>
        <v>9</v>
      </c>
      <c r="K3698">
        <f>VLOOKUP(B3698, Products!$A$2:$F$100, 4, FALSE)</f>
        <v>6</v>
      </c>
    </row>
    <row r="3699" spans="1:11" x14ac:dyDescent="0.3">
      <c r="A3699">
        <v>1277</v>
      </c>
      <c r="B3699">
        <v>2</v>
      </c>
      <c r="C3699">
        <v>93</v>
      </c>
      <c r="D3699" t="str">
        <f>VLOOKUP(B3699, Products!$A$2:$C$100, 2, FALSE)</f>
        <v>Ritchey Timberwolf Frameset - 2016</v>
      </c>
      <c r="E3699">
        <v>2</v>
      </c>
      <c r="F3699">
        <v>209.99</v>
      </c>
      <c r="G3699">
        <v>0.05</v>
      </c>
      <c r="H3699">
        <v>10.499500000000001</v>
      </c>
      <c r="I3699">
        <f>order_items[[#This Row],[list_price]]-order_items[[#This Row],[Discounted_price]]</f>
        <v>199.4905</v>
      </c>
      <c r="J3699">
        <f>VLOOKUP(B3699, Products!$A$2:$E$100, 3, FALSE)</f>
        <v>5</v>
      </c>
      <c r="K3699">
        <f>VLOOKUP(B3699, Products!$A$2:$F$100, 4, FALSE)</f>
        <v>6</v>
      </c>
    </row>
    <row r="3700" spans="1:11" x14ac:dyDescent="0.3">
      <c r="A3700">
        <v>1277</v>
      </c>
      <c r="B3700">
        <v>3</v>
      </c>
      <c r="C3700">
        <v>9</v>
      </c>
      <c r="D3700" t="str">
        <f>VLOOKUP(B3700, Products!$A$2:$C$100, 2, FALSE)</f>
        <v>Surly Wednesday Frameset - 2016</v>
      </c>
      <c r="E3700">
        <v>2</v>
      </c>
      <c r="F3700">
        <v>2999.99</v>
      </c>
      <c r="G3700">
        <v>0.1</v>
      </c>
      <c r="H3700">
        <v>299.99899999999997</v>
      </c>
      <c r="I3700">
        <f>order_items[[#This Row],[list_price]]-order_items[[#This Row],[Discounted_price]]</f>
        <v>2699.991</v>
      </c>
      <c r="J3700">
        <f>VLOOKUP(B3700, Products!$A$2:$E$100, 3, FALSE)</f>
        <v>8</v>
      </c>
      <c r="K3700">
        <f>VLOOKUP(B3700, Products!$A$2:$F$100, 4, FALSE)</f>
        <v>6</v>
      </c>
    </row>
    <row r="3701" spans="1:11" x14ac:dyDescent="0.3">
      <c r="A3701">
        <v>1277</v>
      </c>
      <c r="B3701">
        <v>4</v>
      </c>
      <c r="C3701">
        <v>4</v>
      </c>
      <c r="D3701" t="str">
        <f>VLOOKUP(B3701, Products!$A$2:$C$100, 2, FALSE)</f>
        <v>Trek Fuel EX 8 29 - 2016</v>
      </c>
      <c r="E3701">
        <v>1</v>
      </c>
      <c r="F3701">
        <v>2899.99</v>
      </c>
      <c r="G3701">
        <v>0.1</v>
      </c>
      <c r="H3701">
        <v>289.99899999999997</v>
      </c>
      <c r="I3701">
        <f>order_items[[#This Row],[list_price]]-order_items[[#This Row],[Discounted_price]]</f>
        <v>2609.991</v>
      </c>
      <c r="J3701">
        <f>VLOOKUP(B3701, Products!$A$2:$E$100, 3, FALSE)</f>
        <v>9</v>
      </c>
      <c r="K3701">
        <f>VLOOKUP(B3701, Products!$A$2:$F$100, 4, FALSE)</f>
        <v>6</v>
      </c>
    </row>
    <row r="3702" spans="1:11" x14ac:dyDescent="0.3">
      <c r="A3702">
        <v>1277</v>
      </c>
      <c r="B3702">
        <v>5</v>
      </c>
      <c r="C3702">
        <v>11</v>
      </c>
      <c r="D3702" t="str">
        <f>VLOOKUP(B3702, Products!$A$2:$C$100, 2, FALSE)</f>
        <v>Heller Shagamaw Frame - 2016</v>
      </c>
      <c r="E3702">
        <v>1</v>
      </c>
      <c r="F3702">
        <v>1680.99</v>
      </c>
      <c r="G3702">
        <v>0.2</v>
      </c>
      <c r="H3702">
        <v>336.19800000000004</v>
      </c>
      <c r="I3702">
        <f>order_items[[#This Row],[list_price]]-order_items[[#This Row],[Discounted_price]]</f>
        <v>1344.7919999999999</v>
      </c>
      <c r="J3702">
        <f>VLOOKUP(B3702, Products!$A$2:$E$100, 3, FALSE)</f>
        <v>3</v>
      </c>
      <c r="K3702">
        <f>VLOOKUP(B3702, Products!$A$2:$F$100, 4, FALSE)</f>
        <v>6</v>
      </c>
    </row>
    <row r="3703" spans="1:11" x14ac:dyDescent="0.3">
      <c r="A3703">
        <v>1278</v>
      </c>
      <c r="B3703">
        <v>1</v>
      </c>
      <c r="C3703">
        <v>103</v>
      </c>
      <c r="D3703" t="str">
        <f>VLOOKUP(B3703, Products!$A$2:$C$100, 2, FALSE)</f>
        <v>Trek 820 - 2016</v>
      </c>
      <c r="E3703">
        <v>2</v>
      </c>
      <c r="F3703">
        <v>551.99</v>
      </c>
      <c r="G3703">
        <v>0.1</v>
      </c>
      <c r="H3703">
        <v>55.199000000000005</v>
      </c>
      <c r="I3703">
        <f>order_items[[#This Row],[list_price]]-order_items[[#This Row],[Discounted_price]]</f>
        <v>496.791</v>
      </c>
      <c r="J3703">
        <f>VLOOKUP(B3703, Products!$A$2:$E$100, 3, FALSE)</f>
        <v>9</v>
      </c>
      <c r="K3703">
        <f>VLOOKUP(B3703, Products!$A$2:$F$100, 4, FALSE)</f>
        <v>6</v>
      </c>
    </row>
    <row r="3704" spans="1:11" x14ac:dyDescent="0.3">
      <c r="A3704">
        <v>1278</v>
      </c>
      <c r="B3704">
        <v>2</v>
      </c>
      <c r="C3704">
        <v>32</v>
      </c>
      <c r="D3704" t="str">
        <f>VLOOKUP(B3704, Products!$A$2:$C$100, 2, FALSE)</f>
        <v>Ritchey Timberwolf Frameset - 2016</v>
      </c>
      <c r="E3704">
        <v>1</v>
      </c>
      <c r="F3704">
        <v>469.99</v>
      </c>
      <c r="G3704">
        <v>0.1</v>
      </c>
      <c r="H3704">
        <v>46.999000000000002</v>
      </c>
      <c r="I3704">
        <f>order_items[[#This Row],[list_price]]-order_items[[#This Row],[Discounted_price]]</f>
        <v>422.99099999999999</v>
      </c>
      <c r="J3704">
        <f>VLOOKUP(B3704, Products!$A$2:$E$100, 3, FALSE)</f>
        <v>5</v>
      </c>
      <c r="K3704">
        <f>VLOOKUP(B3704, Products!$A$2:$F$100, 4, FALSE)</f>
        <v>6</v>
      </c>
    </row>
    <row r="3705" spans="1:11" x14ac:dyDescent="0.3">
      <c r="A3705">
        <v>1279</v>
      </c>
      <c r="B3705">
        <v>1</v>
      </c>
      <c r="C3705">
        <v>9</v>
      </c>
      <c r="D3705" t="str">
        <f>VLOOKUP(B3705, Products!$A$2:$C$100, 2, FALSE)</f>
        <v>Trek 820 - 2016</v>
      </c>
      <c r="E3705">
        <v>2</v>
      </c>
      <c r="F3705">
        <v>2999.99</v>
      </c>
      <c r="G3705">
        <v>0.05</v>
      </c>
      <c r="H3705">
        <v>149.99949999999998</v>
      </c>
      <c r="I3705">
        <f>order_items[[#This Row],[list_price]]-order_items[[#This Row],[Discounted_price]]</f>
        <v>2849.9904999999999</v>
      </c>
      <c r="J3705">
        <f>VLOOKUP(B3705, Products!$A$2:$E$100, 3, FALSE)</f>
        <v>9</v>
      </c>
      <c r="K3705">
        <f>VLOOKUP(B3705, Products!$A$2:$F$100, 4, FALSE)</f>
        <v>6</v>
      </c>
    </row>
    <row r="3706" spans="1:11" x14ac:dyDescent="0.3">
      <c r="A3706">
        <v>1280</v>
      </c>
      <c r="B3706">
        <v>1</v>
      </c>
      <c r="C3706">
        <v>72</v>
      </c>
      <c r="D3706" t="str">
        <f>VLOOKUP(B3706, Products!$A$2:$C$100, 2, FALSE)</f>
        <v>Trek 820 - 2016</v>
      </c>
      <c r="E3706">
        <v>2</v>
      </c>
      <c r="F3706">
        <v>619.99</v>
      </c>
      <c r="G3706">
        <v>7.0000000000000007E-2</v>
      </c>
      <c r="H3706">
        <v>43.399300000000004</v>
      </c>
      <c r="I3706">
        <f>order_items[[#This Row],[list_price]]-order_items[[#This Row],[Discounted_price]]</f>
        <v>576.59069999999997</v>
      </c>
      <c r="J3706">
        <f>VLOOKUP(B3706, Products!$A$2:$E$100, 3, FALSE)</f>
        <v>9</v>
      </c>
      <c r="K3706">
        <f>VLOOKUP(B3706, Products!$A$2:$F$100, 4, FALSE)</f>
        <v>6</v>
      </c>
    </row>
    <row r="3707" spans="1:11" x14ac:dyDescent="0.3">
      <c r="A3707">
        <v>1280</v>
      </c>
      <c r="B3707">
        <v>2</v>
      </c>
      <c r="C3707">
        <v>74</v>
      </c>
      <c r="D3707" t="str">
        <f>VLOOKUP(B3707, Products!$A$2:$C$100, 2, FALSE)</f>
        <v>Ritchey Timberwolf Frameset - 2016</v>
      </c>
      <c r="E3707">
        <v>1</v>
      </c>
      <c r="F3707">
        <v>439.99</v>
      </c>
      <c r="G3707">
        <v>0.05</v>
      </c>
      <c r="H3707">
        <v>21.999500000000001</v>
      </c>
      <c r="I3707">
        <f>order_items[[#This Row],[list_price]]-order_items[[#This Row],[Discounted_price]]</f>
        <v>417.9905</v>
      </c>
      <c r="J3707">
        <f>VLOOKUP(B3707, Products!$A$2:$E$100, 3, FALSE)</f>
        <v>5</v>
      </c>
      <c r="K3707">
        <f>VLOOKUP(B3707, Products!$A$2:$F$100, 4, FALSE)</f>
        <v>6</v>
      </c>
    </row>
    <row r="3708" spans="1:11" x14ac:dyDescent="0.3">
      <c r="A3708">
        <v>1280</v>
      </c>
      <c r="B3708">
        <v>3</v>
      </c>
      <c r="C3708">
        <v>52</v>
      </c>
      <c r="D3708" t="str">
        <f>VLOOKUP(B3708, Products!$A$2:$C$100, 2, FALSE)</f>
        <v>Surly Wednesday Frameset - 2016</v>
      </c>
      <c r="E3708">
        <v>1</v>
      </c>
      <c r="F3708">
        <v>875.99</v>
      </c>
      <c r="G3708">
        <v>7.0000000000000007E-2</v>
      </c>
      <c r="H3708">
        <v>61.319300000000005</v>
      </c>
      <c r="I3708">
        <f>order_items[[#This Row],[list_price]]-order_items[[#This Row],[Discounted_price]]</f>
        <v>814.67070000000001</v>
      </c>
      <c r="J3708">
        <f>VLOOKUP(B3708, Products!$A$2:$E$100, 3, FALSE)</f>
        <v>8</v>
      </c>
      <c r="K3708">
        <f>VLOOKUP(B3708, Products!$A$2:$F$100, 4, FALSE)</f>
        <v>6</v>
      </c>
    </row>
    <row r="3709" spans="1:11" x14ac:dyDescent="0.3">
      <c r="A3709">
        <v>1280</v>
      </c>
      <c r="B3709">
        <v>4</v>
      </c>
      <c r="C3709">
        <v>63</v>
      </c>
      <c r="D3709" t="str">
        <f>VLOOKUP(B3709, Products!$A$2:$C$100, 2, FALSE)</f>
        <v>Trek Fuel EX 8 29 - 2016</v>
      </c>
      <c r="E3709">
        <v>1</v>
      </c>
      <c r="F3709">
        <v>3499.99</v>
      </c>
      <c r="G3709">
        <v>0.2</v>
      </c>
      <c r="H3709">
        <v>699.99800000000005</v>
      </c>
      <c r="I3709">
        <f>order_items[[#This Row],[list_price]]-order_items[[#This Row],[Discounted_price]]</f>
        <v>2799.9919999999997</v>
      </c>
      <c r="J3709">
        <f>VLOOKUP(B3709, Products!$A$2:$E$100, 3, FALSE)</f>
        <v>9</v>
      </c>
      <c r="K3709">
        <f>VLOOKUP(B3709, Products!$A$2:$F$100, 4, FALSE)</f>
        <v>6</v>
      </c>
    </row>
    <row r="3710" spans="1:11" x14ac:dyDescent="0.3">
      <c r="A3710">
        <v>1281</v>
      </c>
      <c r="B3710">
        <v>1</v>
      </c>
      <c r="C3710">
        <v>36</v>
      </c>
      <c r="D3710" t="str">
        <f>VLOOKUP(B3710, Products!$A$2:$C$100, 2, FALSE)</f>
        <v>Trek 820 - 2016</v>
      </c>
      <c r="E3710">
        <v>1</v>
      </c>
      <c r="F3710">
        <v>832.99</v>
      </c>
      <c r="G3710">
        <v>0.05</v>
      </c>
      <c r="H3710">
        <v>41.649500000000003</v>
      </c>
      <c r="I3710">
        <f>order_items[[#This Row],[list_price]]-order_items[[#This Row],[Discounted_price]]</f>
        <v>791.34050000000002</v>
      </c>
      <c r="J3710">
        <f>VLOOKUP(B3710, Products!$A$2:$E$100, 3, FALSE)</f>
        <v>9</v>
      </c>
      <c r="K3710">
        <f>VLOOKUP(B3710, Products!$A$2:$F$100, 4, FALSE)</f>
        <v>6</v>
      </c>
    </row>
    <row r="3711" spans="1:11" x14ac:dyDescent="0.3">
      <c r="A3711">
        <v>1281</v>
      </c>
      <c r="B3711">
        <v>2</v>
      </c>
      <c r="C3711">
        <v>49</v>
      </c>
      <c r="D3711" t="str">
        <f>VLOOKUP(B3711, Products!$A$2:$C$100, 2, FALSE)</f>
        <v>Ritchey Timberwolf Frameset - 2016</v>
      </c>
      <c r="E3711">
        <v>2</v>
      </c>
      <c r="F3711">
        <v>3499.99</v>
      </c>
      <c r="G3711">
        <v>0.05</v>
      </c>
      <c r="H3711">
        <v>174.99950000000001</v>
      </c>
      <c r="I3711">
        <f>order_items[[#This Row],[list_price]]-order_items[[#This Row],[Discounted_price]]</f>
        <v>3324.9904999999999</v>
      </c>
      <c r="J3711">
        <f>VLOOKUP(B3711, Products!$A$2:$E$100, 3, FALSE)</f>
        <v>5</v>
      </c>
      <c r="K3711">
        <f>VLOOKUP(B3711, Products!$A$2:$F$100, 4, FALSE)</f>
        <v>6</v>
      </c>
    </row>
    <row r="3712" spans="1:11" x14ac:dyDescent="0.3">
      <c r="A3712">
        <v>1281</v>
      </c>
      <c r="B3712">
        <v>3</v>
      </c>
      <c r="C3712">
        <v>75</v>
      </c>
      <c r="D3712" t="str">
        <f>VLOOKUP(B3712, Products!$A$2:$C$100, 2, FALSE)</f>
        <v>Surly Wednesday Frameset - 2016</v>
      </c>
      <c r="E3712">
        <v>1</v>
      </c>
      <c r="F3712">
        <v>599.99</v>
      </c>
      <c r="G3712">
        <v>0.05</v>
      </c>
      <c r="H3712">
        <v>29.999500000000001</v>
      </c>
      <c r="I3712">
        <f>order_items[[#This Row],[list_price]]-order_items[[#This Row],[Discounted_price]]</f>
        <v>569.9905</v>
      </c>
      <c r="J3712">
        <f>VLOOKUP(B3712, Products!$A$2:$E$100, 3, FALSE)</f>
        <v>8</v>
      </c>
      <c r="K3712">
        <f>VLOOKUP(B3712, Products!$A$2:$F$100, 4, FALSE)</f>
        <v>6</v>
      </c>
    </row>
    <row r="3713" spans="1:11" x14ac:dyDescent="0.3">
      <c r="A3713">
        <v>1282</v>
      </c>
      <c r="B3713">
        <v>1</v>
      </c>
      <c r="C3713">
        <v>111</v>
      </c>
      <c r="D3713" t="str">
        <f>VLOOKUP(B3713, Products!$A$2:$C$100, 2, FALSE)</f>
        <v>Trek 820 - 2016</v>
      </c>
      <c r="E3713">
        <v>1</v>
      </c>
      <c r="F3713">
        <v>470.99</v>
      </c>
      <c r="G3713">
        <v>0.05</v>
      </c>
      <c r="H3713">
        <v>23.549500000000002</v>
      </c>
      <c r="I3713">
        <f>order_items[[#This Row],[list_price]]-order_items[[#This Row],[Discounted_price]]</f>
        <v>447.44049999999999</v>
      </c>
      <c r="J3713">
        <f>VLOOKUP(B3713, Products!$A$2:$E$100, 3, FALSE)</f>
        <v>9</v>
      </c>
      <c r="K3713">
        <f>VLOOKUP(B3713, Products!$A$2:$F$100, 4, FALSE)</f>
        <v>6</v>
      </c>
    </row>
    <row r="3714" spans="1:11" x14ac:dyDescent="0.3">
      <c r="A3714">
        <v>1282</v>
      </c>
      <c r="B3714">
        <v>2</v>
      </c>
      <c r="C3714">
        <v>50</v>
      </c>
      <c r="D3714" t="str">
        <f>VLOOKUP(B3714, Products!$A$2:$C$100, 2, FALSE)</f>
        <v>Ritchey Timberwolf Frameset - 2016</v>
      </c>
      <c r="E3714">
        <v>2</v>
      </c>
      <c r="F3714">
        <v>5999.99</v>
      </c>
      <c r="G3714">
        <v>0.2</v>
      </c>
      <c r="H3714">
        <v>1199.998</v>
      </c>
      <c r="I3714">
        <f>order_items[[#This Row],[list_price]]-order_items[[#This Row],[Discounted_price]]</f>
        <v>4799.9920000000002</v>
      </c>
      <c r="J3714">
        <f>VLOOKUP(B3714, Products!$A$2:$E$100, 3, FALSE)</f>
        <v>5</v>
      </c>
      <c r="K3714">
        <f>VLOOKUP(B3714, Products!$A$2:$F$100, 4, FALSE)</f>
        <v>6</v>
      </c>
    </row>
    <row r="3715" spans="1:11" x14ac:dyDescent="0.3">
      <c r="A3715">
        <v>1283</v>
      </c>
      <c r="B3715">
        <v>1</v>
      </c>
      <c r="C3715">
        <v>61</v>
      </c>
      <c r="D3715" t="str">
        <f>VLOOKUP(B3715, Products!$A$2:$C$100, 2, FALSE)</f>
        <v>Trek 820 - 2016</v>
      </c>
      <c r="E3715">
        <v>2</v>
      </c>
      <c r="F3715">
        <v>4999.99</v>
      </c>
      <c r="G3715">
        <v>0.05</v>
      </c>
      <c r="H3715">
        <v>249.99950000000001</v>
      </c>
      <c r="I3715">
        <f>order_items[[#This Row],[list_price]]-order_items[[#This Row],[Discounted_price]]</f>
        <v>4749.9904999999999</v>
      </c>
      <c r="J3715">
        <f>VLOOKUP(B3715, Products!$A$2:$E$100, 3, FALSE)</f>
        <v>9</v>
      </c>
      <c r="K3715">
        <f>VLOOKUP(B3715, Products!$A$2:$F$100, 4, FALSE)</f>
        <v>6</v>
      </c>
    </row>
    <row r="3716" spans="1:11" x14ac:dyDescent="0.3">
      <c r="A3716">
        <v>1283</v>
      </c>
      <c r="B3716">
        <v>2</v>
      </c>
      <c r="C3716">
        <v>81</v>
      </c>
      <c r="D3716" t="str">
        <f>VLOOKUP(B3716, Products!$A$2:$C$100, 2, FALSE)</f>
        <v>Ritchey Timberwolf Frameset - 2016</v>
      </c>
      <c r="E3716">
        <v>1</v>
      </c>
      <c r="F3716">
        <v>1099.99</v>
      </c>
      <c r="G3716">
        <v>0.2</v>
      </c>
      <c r="H3716">
        <v>219.99800000000002</v>
      </c>
      <c r="I3716">
        <f>order_items[[#This Row],[list_price]]-order_items[[#This Row],[Discounted_price]]</f>
        <v>879.99199999999996</v>
      </c>
      <c r="J3716">
        <f>VLOOKUP(B3716, Products!$A$2:$E$100, 3, FALSE)</f>
        <v>5</v>
      </c>
      <c r="K3716">
        <f>VLOOKUP(B3716, Products!$A$2:$F$100, 4, FALSE)</f>
        <v>6</v>
      </c>
    </row>
    <row r="3717" spans="1:11" x14ac:dyDescent="0.3">
      <c r="A3717">
        <v>1283</v>
      </c>
      <c r="B3717">
        <v>3</v>
      </c>
      <c r="C3717">
        <v>7</v>
      </c>
      <c r="D3717" t="str">
        <f>VLOOKUP(B3717, Products!$A$2:$C$100, 2, FALSE)</f>
        <v>Surly Wednesday Frameset - 2016</v>
      </c>
      <c r="E3717">
        <v>1</v>
      </c>
      <c r="F3717">
        <v>3999.99</v>
      </c>
      <c r="G3717">
        <v>0.1</v>
      </c>
      <c r="H3717">
        <v>399.99900000000002</v>
      </c>
      <c r="I3717">
        <f>order_items[[#This Row],[list_price]]-order_items[[#This Row],[Discounted_price]]</f>
        <v>3599.991</v>
      </c>
      <c r="J3717">
        <f>VLOOKUP(B3717, Products!$A$2:$E$100, 3, FALSE)</f>
        <v>8</v>
      </c>
      <c r="K3717">
        <f>VLOOKUP(B3717, Products!$A$2:$F$100, 4, FALSE)</f>
        <v>6</v>
      </c>
    </row>
    <row r="3718" spans="1:11" x14ac:dyDescent="0.3">
      <c r="A3718">
        <v>1283</v>
      </c>
      <c r="B3718">
        <v>4</v>
      </c>
      <c r="C3718">
        <v>32</v>
      </c>
      <c r="D3718" t="str">
        <f>VLOOKUP(B3718, Products!$A$2:$C$100, 2, FALSE)</f>
        <v>Trek Fuel EX 8 29 - 2016</v>
      </c>
      <c r="E3718">
        <v>1</v>
      </c>
      <c r="F3718">
        <v>469.99</v>
      </c>
      <c r="G3718">
        <v>0.1</v>
      </c>
      <c r="H3718">
        <v>46.999000000000002</v>
      </c>
      <c r="I3718">
        <f>order_items[[#This Row],[list_price]]-order_items[[#This Row],[Discounted_price]]</f>
        <v>422.99099999999999</v>
      </c>
      <c r="J3718">
        <f>VLOOKUP(B3718, Products!$A$2:$E$100, 3, FALSE)</f>
        <v>9</v>
      </c>
      <c r="K3718">
        <f>VLOOKUP(B3718, Products!$A$2:$F$100, 4, FALSE)</f>
        <v>6</v>
      </c>
    </row>
    <row r="3719" spans="1:11" x14ac:dyDescent="0.3">
      <c r="A3719">
        <v>1283</v>
      </c>
      <c r="B3719">
        <v>5</v>
      </c>
      <c r="C3719">
        <v>11</v>
      </c>
      <c r="D3719" t="str">
        <f>VLOOKUP(B3719, Products!$A$2:$C$100, 2, FALSE)</f>
        <v>Heller Shagamaw Frame - 2016</v>
      </c>
      <c r="E3719">
        <v>1</v>
      </c>
      <c r="F3719">
        <v>1680.99</v>
      </c>
      <c r="G3719">
        <v>0.2</v>
      </c>
      <c r="H3719">
        <v>336.19800000000004</v>
      </c>
      <c r="I3719">
        <f>order_items[[#This Row],[list_price]]-order_items[[#This Row],[Discounted_price]]</f>
        <v>1344.7919999999999</v>
      </c>
      <c r="J3719">
        <f>VLOOKUP(B3719, Products!$A$2:$E$100, 3, FALSE)</f>
        <v>3</v>
      </c>
      <c r="K3719">
        <f>VLOOKUP(B3719, Products!$A$2:$F$100, 4, FALSE)</f>
        <v>6</v>
      </c>
    </row>
    <row r="3720" spans="1:11" x14ac:dyDescent="0.3">
      <c r="A3720">
        <v>1284</v>
      </c>
      <c r="B3720">
        <v>1</v>
      </c>
      <c r="C3720">
        <v>101</v>
      </c>
      <c r="D3720" t="str">
        <f>VLOOKUP(B3720, Products!$A$2:$C$100, 2, FALSE)</f>
        <v>Trek 820 - 2016</v>
      </c>
      <c r="E3720">
        <v>1</v>
      </c>
      <c r="F3720">
        <v>339.99</v>
      </c>
      <c r="G3720">
        <v>7.0000000000000007E-2</v>
      </c>
      <c r="H3720">
        <v>23.799300000000002</v>
      </c>
      <c r="I3720">
        <f>order_items[[#This Row],[list_price]]-order_items[[#This Row],[Discounted_price]]</f>
        <v>316.19069999999999</v>
      </c>
      <c r="J3720">
        <f>VLOOKUP(B3720, Products!$A$2:$E$100, 3, FALSE)</f>
        <v>9</v>
      </c>
      <c r="K3720">
        <f>VLOOKUP(B3720, Products!$A$2:$F$100, 4, FALSE)</f>
        <v>6</v>
      </c>
    </row>
    <row r="3721" spans="1:11" x14ac:dyDescent="0.3">
      <c r="A3721">
        <v>1284</v>
      </c>
      <c r="B3721">
        <v>2</v>
      </c>
      <c r="C3721">
        <v>8</v>
      </c>
      <c r="D3721" t="str">
        <f>VLOOKUP(B3721, Products!$A$2:$C$100, 2, FALSE)</f>
        <v>Ritchey Timberwolf Frameset - 2016</v>
      </c>
      <c r="E3721">
        <v>1</v>
      </c>
      <c r="F3721">
        <v>1799.99</v>
      </c>
      <c r="G3721">
        <v>0.05</v>
      </c>
      <c r="H3721">
        <v>89.999500000000012</v>
      </c>
      <c r="I3721">
        <f>order_items[[#This Row],[list_price]]-order_items[[#This Row],[Discounted_price]]</f>
        <v>1709.9904999999999</v>
      </c>
      <c r="J3721">
        <f>VLOOKUP(B3721, Products!$A$2:$E$100, 3, FALSE)</f>
        <v>5</v>
      </c>
      <c r="K3721">
        <f>VLOOKUP(B3721, Products!$A$2:$F$100, 4, FALSE)</f>
        <v>6</v>
      </c>
    </row>
    <row r="3722" spans="1:11" x14ac:dyDescent="0.3">
      <c r="A3722">
        <v>1284</v>
      </c>
      <c r="B3722">
        <v>3</v>
      </c>
      <c r="C3722">
        <v>4</v>
      </c>
      <c r="D3722" t="str">
        <f>VLOOKUP(B3722, Products!$A$2:$C$100, 2, FALSE)</f>
        <v>Surly Wednesday Frameset - 2016</v>
      </c>
      <c r="E3722">
        <v>2</v>
      </c>
      <c r="F3722">
        <v>2899.99</v>
      </c>
      <c r="G3722">
        <v>0.05</v>
      </c>
      <c r="H3722">
        <v>144.99949999999998</v>
      </c>
      <c r="I3722">
        <f>order_items[[#This Row],[list_price]]-order_items[[#This Row],[Discounted_price]]</f>
        <v>2754.9904999999999</v>
      </c>
      <c r="J3722">
        <f>VLOOKUP(B3722, Products!$A$2:$E$100, 3, FALSE)</f>
        <v>8</v>
      </c>
      <c r="K3722">
        <f>VLOOKUP(B3722, Products!$A$2:$F$100, 4, FALSE)</f>
        <v>6</v>
      </c>
    </row>
    <row r="3723" spans="1:11" x14ac:dyDescent="0.3">
      <c r="A3723">
        <v>1285</v>
      </c>
      <c r="B3723">
        <v>1</v>
      </c>
      <c r="C3723">
        <v>78</v>
      </c>
      <c r="D3723" t="str">
        <f>VLOOKUP(B3723, Products!$A$2:$C$100, 2, FALSE)</f>
        <v>Trek 820 - 2016</v>
      </c>
      <c r="E3723">
        <v>2</v>
      </c>
      <c r="F3723">
        <v>647.99</v>
      </c>
      <c r="G3723">
        <v>7.0000000000000007E-2</v>
      </c>
      <c r="H3723">
        <v>45.359300000000005</v>
      </c>
      <c r="I3723">
        <f>order_items[[#This Row],[list_price]]-order_items[[#This Row],[Discounted_price]]</f>
        <v>602.63070000000005</v>
      </c>
      <c r="J3723">
        <f>VLOOKUP(B3723, Products!$A$2:$E$100, 3, FALSE)</f>
        <v>9</v>
      </c>
      <c r="K3723">
        <f>VLOOKUP(B3723, Products!$A$2:$F$100, 4, FALSE)</f>
        <v>6</v>
      </c>
    </row>
    <row r="3724" spans="1:11" x14ac:dyDescent="0.3">
      <c r="A3724">
        <v>1285</v>
      </c>
      <c r="B3724">
        <v>2</v>
      </c>
      <c r="C3724">
        <v>93</v>
      </c>
      <c r="D3724" t="str">
        <f>VLOOKUP(B3724, Products!$A$2:$C$100, 2, FALSE)</f>
        <v>Ritchey Timberwolf Frameset - 2016</v>
      </c>
      <c r="E3724">
        <v>1</v>
      </c>
      <c r="F3724">
        <v>209.99</v>
      </c>
      <c r="G3724">
        <v>0.1</v>
      </c>
      <c r="H3724">
        <v>20.999000000000002</v>
      </c>
      <c r="I3724">
        <f>order_items[[#This Row],[list_price]]-order_items[[#This Row],[Discounted_price]]</f>
        <v>188.99100000000001</v>
      </c>
      <c r="J3724">
        <f>VLOOKUP(B3724, Products!$A$2:$E$100, 3, FALSE)</f>
        <v>5</v>
      </c>
      <c r="K3724">
        <f>VLOOKUP(B3724, Products!$A$2:$F$100, 4, FALSE)</f>
        <v>6</v>
      </c>
    </row>
    <row r="3725" spans="1:11" x14ac:dyDescent="0.3">
      <c r="A3725">
        <v>1285</v>
      </c>
      <c r="B3725">
        <v>3</v>
      </c>
      <c r="C3725">
        <v>69</v>
      </c>
      <c r="D3725" t="str">
        <f>VLOOKUP(B3725, Products!$A$2:$C$100, 2, FALSE)</f>
        <v>Surly Wednesday Frameset - 2016</v>
      </c>
      <c r="E3725">
        <v>2</v>
      </c>
      <c r="F3725">
        <v>416.99</v>
      </c>
      <c r="G3725">
        <v>0.2</v>
      </c>
      <c r="H3725">
        <v>83.39800000000001</v>
      </c>
      <c r="I3725">
        <f>order_items[[#This Row],[list_price]]-order_items[[#This Row],[Discounted_price]]</f>
        <v>333.59199999999998</v>
      </c>
      <c r="J3725">
        <f>VLOOKUP(B3725, Products!$A$2:$E$100, 3, FALSE)</f>
        <v>8</v>
      </c>
      <c r="K3725">
        <f>VLOOKUP(B3725, Products!$A$2:$F$100, 4, FALSE)</f>
        <v>6</v>
      </c>
    </row>
    <row r="3726" spans="1:11" x14ac:dyDescent="0.3">
      <c r="A3726">
        <v>1285</v>
      </c>
      <c r="B3726">
        <v>4</v>
      </c>
      <c r="C3726">
        <v>6</v>
      </c>
      <c r="D3726" t="str">
        <f>VLOOKUP(B3726, Products!$A$2:$C$100, 2, FALSE)</f>
        <v>Trek Fuel EX 8 29 - 2016</v>
      </c>
      <c r="E3726">
        <v>1</v>
      </c>
      <c r="F3726">
        <v>469.99</v>
      </c>
      <c r="G3726">
        <v>0.1</v>
      </c>
      <c r="H3726">
        <v>46.999000000000002</v>
      </c>
      <c r="I3726">
        <f>order_items[[#This Row],[list_price]]-order_items[[#This Row],[Discounted_price]]</f>
        <v>422.99099999999999</v>
      </c>
      <c r="J3726">
        <f>VLOOKUP(B3726, Products!$A$2:$E$100, 3, FALSE)</f>
        <v>9</v>
      </c>
      <c r="K3726">
        <f>VLOOKUP(B3726, Products!$A$2:$F$100, 4, FALSE)</f>
        <v>6</v>
      </c>
    </row>
    <row r="3727" spans="1:11" x14ac:dyDescent="0.3">
      <c r="A3727">
        <v>1286</v>
      </c>
      <c r="B3727">
        <v>1</v>
      </c>
      <c r="C3727">
        <v>109</v>
      </c>
      <c r="D3727" t="str">
        <f>VLOOKUP(B3727, Products!$A$2:$C$100, 2, FALSE)</f>
        <v>Trek 820 - 2016</v>
      </c>
      <c r="E3727">
        <v>2</v>
      </c>
      <c r="F3727">
        <v>416.99</v>
      </c>
      <c r="G3727">
        <v>0.2</v>
      </c>
      <c r="H3727">
        <v>83.39800000000001</v>
      </c>
      <c r="I3727">
        <f>order_items[[#This Row],[list_price]]-order_items[[#This Row],[Discounted_price]]</f>
        <v>333.59199999999998</v>
      </c>
      <c r="J3727">
        <f>VLOOKUP(B3727, Products!$A$2:$E$100, 3, FALSE)</f>
        <v>9</v>
      </c>
      <c r="K3727">
        <f>VLOOKUP(B3727, Products!$A$2:$F$100, 4, FALSE)</f>
        <v>6</v>
      </c>
    </row>
    <row r="3728" spans="1:11" x14ac:dyDescent="0.3">
      <c r="A3728">
        <v>1286</v>
      </c>
      <c r="B3728">
        <v>2</v>
      </c>
      <c r="C3728">
        <v>81</v>
      </c>
      <c r="D3728" t="str">
        <f>VLOOKUP(B3728, Products!$A$2:$C$100, 2, FALSE)</f>
        <v>Ritchey Timberwolf Frameset - 2016</v>
      </c>
      <c r="E3728">
        <v>2</v>
      </c>
      <c r="F3728">
        <v>1099.99</v>
      </c>
      <c r="G3728">
        <v>7.0000000000000007E-2</v>
      </c>
      <c r="H3728">
        <v>76.999300000000005</v>
      </c>
      <c r="I3728">
        <f>order_items[[#This Row],[list_price]]-order_items[[#This Row],[Discounted_price]]</f>
        <v>1022.9907000000001</v>
      </c>
      <c r="J3728">
        <f>VLOOKUP(B3728, Products!$A$2:$E$100, 3, FALSE)</f>
        <v>5</v>
      </c>
      <c r="K3728">
        <f>VLOOKUP(B3728, Products!$A$2:$F$100, 4, FALSE)</f>
        <v>6</v>
      </c>
    </row>
    <row r="3729" spans="1:11" x14ac:dyDescent="0.3">
      <c r="A3729">
        <v>1286</v>
      </c>
      <c r="B3729">
        <v>3</v>
      </c>
      <c r="C3729">
        <v>87</v>
      </c>
      <c r="D3729" t="str">
        <f>VLOOKUP(B3729, Products!$A$2:$C$100, 2, FALSE)</f>
        <v>Surly Wednesday Frameset - 2016</v>
      </c>
      <c r="E3729">
        <v>1</v>
      </c>
      <c r="F3729">
        <v>189.99</v>
      </c>
      <c r="G3729">
        <v>7.0000000000000007E-2</v>
      </c>
      <c r="H3729">
        <v>13.299300000000002</v>
      </c>
      <c r="I3729">
        <f>order_items[[#This Row],[list_price]]-order_items[[#This Row],[Discounted_price]]</f>
        <v>176.69069999999999</v>
      </c>
      <c r="J3729">
        <f>VLOOKUP(B3729, Products!$A$2:$E$100, 3, FALSE)</f>
        <v>8</v>
      </c>
      <c r="K3729">
        <f>VLOOKUP(B3729, Products!$A$2:$F$100, 4, FALSE)</f>
        <v>6</v>
      </c>
    </row>
    <row r="3730" spans="1:11" x14ac:dyDescent="0.3">
      <c r="A3730">
        <v>1287</v>
      </c>
      <c r="B3730">
        <v>1</v>
      </c>
      <c r="C3730">
        <v>27</v>
      </c>
      <c r="D3730" t="str">
        <f>VLOOKUP(B3730, Products!$A$2:$C$100, 2, FALSE)</f>
        <v>Trek 820 - 2016</v>
      </c>
      <c r="E3730">
        <v>2</v>
      </c>
      <c r="F3730">
        <v>999.99</v>
      </c>
      <c r="G3730">
        <v>0.2</v>
      </c>
      <c r="H3730">
        <v>199.99800000000002</v>
      </c>
      <c r="I3730">
        <f>order_items[[#This Row],[list_price]]-order_items[[#This Row],[Discounted_price]]</f>
        <v>799.99199999999996</v>
      </c>
      <c r="J3730">
        <f>VLOOKUP(B3730, Products!$A$2:$E$100, 3, FALSE)</f>
        <v>9</v>
      </c>
      <c r="K3730">
        <f>VLOOKUP(B3730, Products!$A$2:$F$100, 4, FALSE)</f>
        <v>6</v>
      </c>
    </row>
    <row r="3731" spans="1:11" x14ac:dyDescent="0.3">
      <c r="A3731">
        <v>1287</v>
      </c>
      <c r="B3731">
        <v>2</v>
      </c>
      <c r="C3731">
        <v>62</v>
      </c>
      <c r="D3731" t="str">
        <f>VLOOKUP(B3731, Products!$A$2:$C$100, 2, FALSE)</f>
        <v>Ritchey Timberwolf Frameset - 2016</v>
      </c>
      <c r="E3731">
        <v>2</v>
      </c>
      <c r="F3731">
        <v>3499.99</v>
      </c>
      <c r="G3731">
        <v>0.1</v>
      </c>
      <c r="H3731">
        <v>349.99900000000002</v>
      </c>
      <c r="I3731">
        <f>order_items[[#This Row],[list_price]]-order_items[[#This Row],[Discounted_price]]</f>
        <v>3149.991</v>
      </c>
      <c r="J3731">
        <f>VLOOKUP(B3731, Products!$A$2:$E$100, 3, FALSE)</f>
        <v>5</v>
      </c>
      <c r="K3731">
        <f>VLOOKUP(B3731, Products!$A$2:$F$100, 4, FALSE)</f>
        <v>6</v>
      </c>
    </row>
    <row r="3732" spans="1:11" x14ac:dyDescent="0.3">
      <c r="A3732">
        <v>1287</v>
      </c>
      <c r="B3732">
        <v>3</v>
      </c>
      <c r="C3732">
        <v>103</v>
      </c>
      <c r="D3732" t="str">
        <f>VLOOKUP(B3732, Products!$A$2:$C$100, 2, FALSE)</f>
        <v>Surly Wednesday Frameset - 2016</v>
      </c>
      <c r="E3732">
        <v>1</v>
      </c>
      <c r="F3732">
        <v>551.99</v>
      </c>
      <c r="G3732">
        <v>0.1</v>
      </c>
      <c r="H3732">
        <v>55.199000000000005</v>
      </c>
      <c r="I3732">
        <f>order_items[[#This Row],[list_price]]-order_items[[#This Row],[Discounted_price]]</f>
        <v>496.791</v>
      </c>
      <c r="J3732">
        <f>VLOOKUP(B3732, Products!$A$2:$E$100, 3, FALSE)</f>
        <v>8</v>
      </c>
      <c r="K3732">
        <f>VLOOKUP(B3732, Products!$A$2:$F$100, 4, FALSE)</f>
        <v>6</v>
      </c>
    </row>
    <row r="3733" spans="1:11" x14ac:dyDescent="0.3">
      <c r="A3733">
        <v>1287</v>
      </c>
      <c r="B3733">
        <v>4</v>
      </c>
      <c r="C3733">
        <v>100</v>
      </c>
      <c r="D3733" t="str">
        <f>VLOOKUP(B3733, Products!$A$2:$C$100, 2, FALSE)</f>
        <v>Trek Fuel EX 8 29 - 2016</v>
      </c>
      <c r="E3733">
        <v>2</v>
      </c>
      <c r="F3733">
        <v>489.99</v>
      </c>
      <c r="G3733">
        <v>0.05</v>
      </c>
      <c r="H3733">
        <v>24.499500000000001</v>
      </c>
      <c r="I3733">
        <f>order_items[[#This Row],[list_price]]-order_items[[#This Row],[Discounted_price]]</f>
        <v>465.4905</v>
      </c>
      <c r="J3733">
        <f>VLOOKUP(B3733, Products!$A$2:$E$100, 3, FALSE)</f>
        <v>9</v>
      </c>
      <c r="K3733">
        <f>VLOOKUP(B3733, Products!$A$2:$F$100, 4, FALSE)</f>
        <v>6</v>
      </c>
    </row>
    <row r="3734" spans="1:11" x14ac:dyDescent="0.3">
      <c r="A3734">
        <v>1288</v>
      </c>
      <c r="B3734">
        <v>1</v>
      </c>
      <c r="C3734">
        <v>73</v>
      </c>
      <c r="D3734" t="str">
        <f>VLOOKUP(B3734, Products!$A$2:$C$100, 2, FALSE)</f>
        <v>Trek 820 - 2016</v>
      </c>
      <c r="E3734">
        <v>1</v>
      </c>
      <c r="F3734">
        <v>749.99</v>
      </c>
      <c r="G3734">
        <v>0.2</v>
      </c>
      <c r="H3734">
        <v>149.99800000000002</v>
      </c>
      <c r="I3734">
        <f>order_items[[#This Row],[list_price]]-order_items[[#This Row],[Discounted_price]]</f>
        <v>599.99199999999996</v>
      </c>
      <c r="J3734">
        <f>VLOOKUP(B3734, Products!$A$2:$E$100, 3, FALSE)</f>
        <v>9</v>
      </c>
      <c r="K3734">
        <f>VLOOKUP(B3734, Products!$A$2:$F$100, 4, FALSE)</f>
        <v>6</v>
      </c>
    </row>
    <row r="3735" spans="1:11" x14ac:dyDescent="0.3">
      <c r="A3735">
        <v>1288</v>
      </c>
      <c r="B3735">
        <v>2</v>
      </c>
      <c r="C3735">
        <v>64</v>
      </c>
      <c r="D3735" t="str">
        <f>VLOOKUP(B3735, Products!$A$2:$C$100, 2, FALSE)</f>
        <v>Ritchey Timberwolf Frameset - 2016</v>
      </c>
      <c r="E3735">
        <v>2</v>
      </c>
      <c r="F3735">
        <v>489.99</v>
      </c>
      <c r="G3735">
        <v>0.2</v>
      </c>
      <c r="H3735">
        <v>97.998000000000005</v>
      </c>
      <c r="I3735">
        <f>order_items[[#This Row],[list_price]]-order_items[[#This Row],[Discounted_price]]</f>
        <v>391.99200000000002</v>
      </c>
      <c r="J3735">
        <f>VLOOKUP(B3735, Products!$A$2:$E$100, 3, FALSE)</f>
        <v>5</v>
      </c>
      <c r="K3735">
        <f>VLOOKUP(B3735, Products!$A$2:$F$100, 4, FALSE)</f>
        <v>6</v>
      </c>
    </row>
    <row r="3736" spans="1:11" x14ac:dyDescent="0.3">
      <c r="A3736">
        <v>1288</v>
      </c>
      <c r="B3736">
        <v>3</v>
      </c>
      <c r="C3736">
        <v>62</v>
      </c>
      <c r="D3736" t="str">
        <f>VLOOKUP(B3736, Products!$A$2:$C$100, 2, FALSE)</f>
        <v>Surly Wednesday Frameset - 2016</v>
      </c>
      <c r="E3736">
        <v>2</v>
      </c>
      <c r="F3736">
        <v>3499.99</v>
      </c>
      <c r="G3736">
        <v>0.1</v>
      </c>
      <c r="H3736">
        <v>349.99900000000002</v>
      </c>
      <c r="I3736">
        <f>order_items[[#This Row],[list_price]]-order_items[[#This Row],[Discounted_price]]</f>
        <v>3149.991</v>
      </c>
      <c r="J3736">
        <f>VLOOKUP(B3736, Products!$A$2:$E$100, 3, FALSE)</f>
        <v>8</v>
      </c>
      <c r="K3736">
        <f>VLOOKUP(B3736, Products!$A$2:$F$100, 4, FALSE)</f>
        <v>6</v>
      </c>
    </row>
    <row r="3737" spans="1:11" x14ac:dyDescent="0.3">
      <c r="A3737">
        <v>1288</v>
      </c>
      <c r="B3737">
        <v>4</v>
      </c>
      <c r="C3737">
        <v>17</v>
      </c>
      <c r="D3737" t="str">
        <f>VLOOKUP(B3737, Products!$A$2:$C$100, 2, FALSE)</f>
        <v>Trek Fuel EX 8 29 - 2016</v>
      </c>
      <c r="E3737">
        <v>2</v>
      </c>
      <c r="F3737">
        <v>429</v>
      </c>
      <c r="G3737">
        <v>7.0000000000000007E-2</v>
      </c>
      <c r="H3737">
        <v>30.03</v>
      </c>
      <c r="I3737">
        <f>order_items[[#This Row],[list_price]]-order_items[[#This Row],[Discounted_price]]</f>
        <v>398.97</v>
      </c>
      <c r="J3737">
        <f>VLOOKUP(B3737, Products!$A$2:$E$100, 3, FALSE)</f>
        <v>9</v>
      </c>
      <c r="K3737">
        <f>VLOOKUP(B3737, Products!$A$2:$F$100, 4, FALSE)</f>
        <v>6</v>
      </c>
    </row>
    <row r="3738" spans="1:11" x14ac:dyDescent="0.3">
      <c r="A3738">
        <v>1289</v>
      </c>
      <c r="B3738">
        <v>1</v>
      </c>
      <c r="C3738">
        <v>89</v>
      </c>
      <c r="D3738" t="str">
        <f>VLOOKUP(B3738, Products!$A$2:$C$100, 2, FALSE)</f>
        <v>Trek 820 - 2016</v>
      </c>
      <c r="E3738">
        <v>1</v>
      </c>
      <c r="F3738">
        <v>209.99</v>
      </c>
      <c r="G3738">
        <v>0.05</v>
      </c>
      <c r="H3738">
        <v>10.499500000000001</v>
      </c>
      <c r="I3738">
        <f>order_items[[#This Row],[list_price]]-order_items[[#This Row],[Discounted_price]]</f>
        <v>199.4905</v>
      </c>
      <c r="J3738">
        <f>VLOOKUP(B3738, Products!$A$2:$E$100, 3, FALSE)</f>
        <v>9</v>
      </c>
      <c r="K3738">
        <f>VLOOKUP(B3738, Products!$A$2:$F$100, 4, FALSE)</f>
        <v>6</v>
      </c>
    </row>
    <row r="3739" spans="1:11" x14ac:dyDescent="0.3">
      <c r="A3739">
        <v>1289</v>
      </c>
      <c r="B3739">
        <v>2</v>
      </c>
      <c r="C3739">
        <v>3</v>
      </c>
      <c r="D3739" t="str">
        <f>VLOOKUP(B3739, Products!$A$2:$C$100, 2, FALSE)</f>
        <v>Ritchey Timberwolf Frameset - 2016</v>
      </c>
      <c r="E3739">
        <v>1</v>
      </c>
      <c r="F3739">
        <v>999.99</v>
      </c>
      <c r="G3739">
        <v>0.1</v>
      </c>
      <c r="H3739">
        <v>99.999000000000009</v>
      </c>
      <c r="I3739">
        <f>order_items[[#This Row],[list_price]]-order_items[[#This Row],[Discounted_price]]</f>
        <v>899.99099999999999</v>
      </c>
      <c r="J3739">
        <f>VLOOKUP(B3739, Products!$A$2:$E$100, 3, FALSE)</f>
        <v>5</v>
      </c>
      <c r="K3739">
        <f>VLOOKUP(B3739, Products!$A$2:$F$100, 4, FALSE)</f>
        <v>6</v>
      </c>
    </row>
    <row r="3740" spans="1:11" x14ac:dyDescent="0.3">
      <c r="A3740">
        <v>1290</v>
      </c>
      <c r="B3740">
        <v>1</v>
      </c>
      <c r="C3740">
        <v>75</v>
      </c>
      <c r="D3740" t="str">
        <f>VLOOKUP(B3740, Products!$A$2:$C$100, 2, FALSE)</f>
        <v>Trek 820 - 2016</v>
      </c>
      <c r="E3740">
        <v>2</v>
      </c>
      <c r="F3740">
        <v>599.99</v>
      </c>
      <c r="G3740">
        <v>0.05</v>
      </c>
      <c r="H3740">
        <v>29.999500000000001</v>
      </c>
      <c r="I3740">
        <f>order_items[[#This Row],[list_price]]-order_items[[#This Row],[Discounted_price]]</f>
        <v>569.9905</v>
      </c>
      <c r="J3740">
        <f>VLOOKUP(B3740, Products!$A$2:$E$100, 3, FALSE)</f>
        <v>9</v>
      </c>
      <c r="K3740">
        <f>VLOOKUP(B3740, Products!$A$2:$F$100, 4, FALSE)</f>
        <v>6</v>
      </c>
    </row>
    <row r="3741" spans="1:11" x14ac:dyDescent="0.3">
      <c r="A3741">
        <v>1290</v>
      </c>
      <c r="B3741">
        <v>2</v>
      </c>
      <c r="C3741">
        <v>36</v>
      </c>
      <c r="D3741" t="str">
        <f>VLOOKUP(B3741, Products!$A$2:$C$100, 2, FALSE)</f>
        <v>Ritchey Timberwolf Frameset - 2016</v>
      </c>
      <c r="E3741">
        <v>1</v>
      </c>
      <c r="F3741">
        <v>832.99</v>
      </c>
      <c r="G3741">
        <v>0.05</v>
      </c>
      <c r="H3741">
        <v>41.649500000000003</v>
      </c>
      <c r="I3741">
        <f>order_items[[#This Row],[list_price]]-order_items[[#This Row],[Discounted_price]]</f>
        <v>791.34050000000002</v>
      </c>
      <c r="J3741">
        <f>VLOOKUP(B3741, Products!$A$2:$E$100, 3, FALSE)</f>
        <v>5</v>
      </c>
      <c r="K3741">
        <f>VLOOKUP(B3741, Products!$A$2:$F$100, 4, FALSE)</f>
        <v>6</v>
      </c>
    </row>
    <row r="3742" spans="1:11" x14ac:dyDescent="0.3">
      <c r="A3742">
        <v>1290</v>
      </c>
      <c r="B3742">
        <v>3</v>
      </c>
      <c r="C3742">
        <v>92</v>
      </c>
      <c r="D3742" t="str">
        <f>VLOOKUP(B3742, Products!$A$2:$C$100, 2, FALSE)</f>
        <v>Surly Wednesday Frameset - 2016</v>
      </c>
      <c r="E3742">
        <v>2</v>
      </c>
      <c r="F3742">
        <v>209.99</v>
      </c>
      <c r="G3742">
        <v>0.1</v>
      </c>
      <c r="H3742">
        <v>20.999000000000002</v>
      </c>
      <c r="I3742">
        <f>order_items[[#This Row],[list_price]]-order_items[[#This Row],[Discounted_price]]</f>
        <v>188.99100000000001</v>
      </c>
      <c r="J3742">
        <f>VLOOKUP(B3742, Products!$A$2:$E$100, 3, FALSE)</f>
        <v>8</v>
      </c>
      <c r="K3742">
        <f>VLOOKUP(B3742, Products!$A$2:$F$100, 4, FALSE)</f>
        <v>6</v>
      </c>
    </row>
    <row r="3743" spans="1:11" x14ac:dyDescent="0.3">
      <c r="A3743">
        <v>1291</v>
      </c>
      <c r="B3743">
        <v>1</v>
      </c>
      <c r="C3743">
        <v>57</v>
      </c>
      <c r="D3743" t="str">
        <f>VLOOKUP(B3743, Products!$A$2:$C$100, 2, FALSE)</f>
        <v>Trek 820 - 2016</v>
      </c>
      <c r="E3743">
        <v>1</v>
      </c>
      <c r="F3743">
        <v>1999.99</v>
      </c>
      <c r="G3743">
        <v>0.1</v>
      </c>
      <c r="H3743">
        <v>199.99900000000002</v>
      </c>
      <c r="I3743">
        <f>order_items[[#This Row],[list_price]]-order_items[[#This Row],[Discounted_price]]</f>
        <v>1799.991</v>
      </c>
      <c r="J3743">
        <f>VLOOKUP(B3743, Products!$A$2:$E$100, 3, FALSE)</f>
        <v>9</v>
      </c>
      <c r="K3743">
        <f>VLOOKUP(B3743, Products!$A$2:$F$100, 4, FALSE)</f>
        <v>6</v>
      </c>
    </row>
    <row r="3744" spans="1:11" x14ac:dyDescent="0.3">
      <c r="A3744">
        <v>1291</v>
      </c>
      <c r="B3744">
        <v>2</v>
      </c>
      <c r="C3744">
        <v>58</v>
      </c>
      <c r="D3744" t="str">
        <f>VLOOKUP(B3744, Products!$A$2:$C$100, 2, FALSE)</f>
        <v>Ritchey Timberwolf Frameset - 2016</v>
      </c>
      <c r="E3744">
        <v>2</v>
      </c>
      <c r="F3744">
        <v>4999.99</v>
      </c>
      <c r="G3744">
        <v>0.05</v>
      </c>
      <c r="H3744">
        <v>249.99950000000001</v>
      </c>
      <c r="I3744">
        <f>order_items[[#This Row],[list_price]]-order_items[[#This Row],[Discounted_price]]</f>
        <v>4749.9904999999999</v>
      </c>
      <c r="J3744">
        <f>VLOOKUP(B3744, Products!$A$2:$E$100, 3, FALSE)</f>
        <v>5</v>
      </c>
      <c r="K3744">
        <f>VLOOKUP(B3744, Products!$A$2:$F$100, 4, FALSE)</f>
        <v>6</v>
      </c>
    </row>
    <row r="3745" spans="1:11" x14ac:dyDescent="0.3">
      <c r="A3745">
        <v>1292</v>
      </c>
      <c r="B3745">
        <v>1</v>
      </c>
      <c r="C3745">
        <v>70</v>
      </c>
      <c r="D3745" t="str">
        <f>VLOOKUP(B3745, Products!$A$2:$C$100, 2, FALSE)</f>
        <v>Trek 820 - 2016</v>
      </c>
      <c r="E3745">
        <v>1</v>
      </c>
      <c r="F3745">
        <v>659.99</v>
      </c>
      <c r="G3745">
        <v>7.0000000000000007E-2</v>
      </c>
      <c r="H3745">
        <v>46.199300000000008</v>
      </c>
      <c r="I3745">
        <f>order_items[[#This Row],[list_price]]-order_items[[#This Row],[Discounted_price]]</f>
        <v>613.79070000000002</v>
      </c>
      <c r="J3745">
        <f>VLOOKUP(B3745, Products!$A$2:$E$100, 3, FALSE)</f>
        <v>9</v>
      </c>
      <c r="K3745">
        <f>VLOOKUP(B3745, Products!$A$2:$F$100, 4, FALSE)</f>
        <v>6</v>
      </c>
    </row>
    <row r="3746" spans="1:11" x14ac:dyDescent="0.3">
      <c r="A3746">
        <v>1293</v>
      </c>
      <c r="B3746">
        <v>1</v>
      </c>
      <c r="C3746">
        <v>88</v>
      </c>
      <c r="D3746" t="str">
        <f>VLOOKUP(B3746, Products!$A$2:$C$100, 2, FALSE)</f>
        <v>Trek 820 - 2016</v>
      </c>
      <c r="E3746">
        <v>2</v>
      </c>
      <c r="F3746">
        <v>189.99</v>
      </c>
      <c r="G3746">
        <v>0.1</v>
      </c>
      <c r="H3746">
        <v>18.999000000000002</v>
      </c>
      <c r="I3746">
        <f>order_items[[#This Row],[list_price]]-order_items[[#This Row],[Discounted_price]]</f>
        <v>170.99100000000001</v>
      </c>
      <c r="J3746">
        <f>VLOOKUP(B3746, Products!$A$2:$E$100, 3, FALSE)</f>
        <v>9</v>
      </c>
      <c r="K3746">
        <f>VLOOKUP(B3746, Products!$A$2:$F$100, 4, FALSE)</f>
        <v>6</v>
      </c>
    </row>
    <row r="3747" spans="1:11" x14ac:dyDescent="0.3">
      <c r="A3747">
        <v>1293</v>
      </c>
      <c r="B3747">
        <v>2</v>
      </c>
      <c r="C3747">
        <v>74</v>
      </c>
      <c r="D3747" t="str">
        <f>VLOOKUP(B3747, Products!$A$2:$C$100, 2, FALSE)</f>
        <v>Ritchey Timberwolf Frameset - 2016</v>
      </c>
      <c r="E3747">
        <v>2</v>
      </c>
      <c r="F3747">
        <v>439.99</v>
      </c>
      <c r="G3747">
        <v>0.05</v>
      </c>
      <c r="H3747">
        <v>21.999500000000001</v>
      </c>
      <c r="I3747">
        <f>order_items[[#This Row],[list_price]]-order_items[[#This Row],[Discounted_price]]</f>
        <v>417.9905</v>
      </c>
      <c r="J3747">
        <f>VLOOKUP(B3747, Products!$A$2:$E$100, 3, FALSE)</f>
        <v>5</v>
      </c>
      <c r="K3747">
        <f>VLOOKUP(B3747, Products!$A$2:$F$100, 4, FALSE)</f>
        <v>6</v>
      </c>
    </row>
    <row r="3748" spans="1:11" x14ac:dyDescent="0.3">
      <c r="A3748">
        <v>1293</v>
      </c>
      <c r="B3748">
        <v>3</v>
      </c>
      <c r="C3748">
        <v>38</v>
      </c>
      <c r="D3748" t="str">
        <f>VLOOKUP(B3748, Products!$A$2:$C$100, 2, FALSE)</f>
        <v>Surly Wednesday Frameset - 2016</v>
      </c>
      <c r="E3748">
        <v>2</v>
      </c>
      <c r="F3748">
        <v>549.99</v>
      </c>
      <c r="G3748">
        <v>7.0000000000000007E-2</v>
      </c>
      <c r="H3748">
        <v>38.499300000000005</v>
      </c>
      <c r="I3748">
        <f>order_items[[#This Row],[list_price]]-order_items[[#This Row],[Discounted_price]]</f>
        <v>511.4907</v>
      </c>
      <c r="J3748">
        <f>VLOOKUP(B3748, Products!$A$2:$E$100, 3, FALSE)</f>
        <v>8</v>
      </c>
      <c r="K3748">
        <f>VLOOKUP(B3748, Products!$A$2:$F$100, 4, FALSE)</f>
        <v>6</v>
      </c>
    </row>
    <row r="3749" spans="1:11" x14ac:dyDescent="0.3">
      <c r="A3749">
        <v>1294</v>
      </c>
      <c r="B3749">
        <v>1</v>
      </c>
      <c r="C3749">
        <v>95</v>
      </c>
      <c r="D3749" t="str">
        <f>VLOOKUP(B3749, Products!$A$2:$C$100, 2, FALSE)</f>
        <v>Trek 820 - 2016</v>
      </c>
      <c r="E3749">
        <v>2</v>
      </c>
      <c r="F3749">
        <v>299.99</v>
      </c>
      <c r="G3749">
        <v>0.05</v>
      </c>
      <c r="H3749">
        <v>14.999500000000001</v>
      </c>
      <c r="I3749">
        <f>order_items[[#This Row],[list_price]]-order_items[[#This Row],[Discounted_price]]</f>
        <v>284.9905</v>
      </c>
      <c r="J3749">
        <f>VLOOKUP(B3749, Products!$A$2:$E$100, 3, FALSE)</f>
        <v>9</v>
      </c>
      <c r="K3749">
        <f>VLOOKUP(B3749, Products!$A$2:$F$100, 4, FALSE)</f>
        <v>6</v>
      </c>
    </row>
    <row r="3750" spans="1:11" x14ac:dyDescent="0.3">
      <c r="A3750">
        <v>1294</v>
      </c>
      <c r="B3750">
        <v>2</v>
      </c>
      <c r="C3750">
        <v>44</v>
      </c>
      <c r="D3750" t="str">
        <f>VLOOKUP(B3750, Products!$A$2:$C$100, 2, FALSE)</f>
        <v>Ritchey Timberwolf Frameset - 2016</v>
      </c>
      <c r="E3750">
        <v>1</v>
      </c>
      <c r="F3750">
        <v>539.99</v>
      </c>
      <c r="G3750">
        <v>0.05</v>
      </c>
      <c r="H3750">
        <v>26.999500000000001</v>
      </c>
      <c r="I3750">
        <f>order_items[[#This Row],[list_price]]-order_items[[#This Row],[Discounted_price]]</f>
        <v>512.9905</v>
      </c>
      <c r="J3750">
        <f>VLOOKUP(B3750, Products!$A$2:$E$100, 3, FALSE)</f>
        <v>5</v>
      </c>
      <c r="K3750">
        <f>VLOOKUP(B3750, Products!$A$2:$F$100, 4, FALSE)</f>
        <v>6</v>
      </c>
    </row>
    <row r="3751" spans="1:11" x14ac:dyDescent="0.3">
      <c r="A3751">
        <v>1295</v>
      </c>
      <c r="B3751">
        <v>1</v>
      </c>
      <c r="C3751">
        <v>5</v>
      </c>
      <c r="D3751" t="str">
        <f>VLOOKUP(B3751, Products!$A$2:$C$100, 2, FALSE)</f>
        <v>Trek 820 - 2016</v>
      </c>
      <c r="E3751">
        <v>2</v>
      </c>
      <c r="F3751">
        <v>1320.99</v>
      </c>
      <c r="G3751">
        <v>0.2</v>
      </c>
      <c r="H3751">
        <v>264.19800000000004</v>
      </c>
      <c r="I3751">
        <f>order_items[[#This Row],[list_price]]-order_items[[#This Row],[Discounted_price]]</f>
        <v>1056.7919999999999</v>
      </c>
      <c r="J3751">
        <f>VLOOKUP(B3751, Products!$A$2:$E$100, 3, FALSE)</f>
        <v>9</v>
      </c>
      <c r="K3751">
        <f>VLOOKUP(B3751, Products!$A$2:$F$100, 4, FALSE)</f>
        <v>6</v>
      </c>
    </row>
    <row r="3752" spans="1:11" x14ac:dyDescent="0.3">
      <c r="A3752">
        <v>1295</v>
      </c>
      <c r="B3752">
        <v>2</v>
      </c>
      <c r="C3752">
        <v>61</v>
      </c>
      <c r="D3752" t="str">
        <f>VLOOKUP(B3752, Products!$A$2:$C$100, 2, FALSE)</f>
        <v>Ritchey Timberwolf Frameset - 2016</v>
      </c>
      <c r="E3752">
        <v>1</v>
      </c>
      <c r="F3752">
        <v>4999.99</v>
      </c>
      <c r="G3752">
        <v>0.2</v>
      </c>
      <c r="H3752">
        <v>999.99800000000005</v>
      </c>
      <c r="I3752">
        <f>order_items[[#This Row],[list_price]]-order_items[[#This Row],[Discounted_price]]</f>
        <v>3999.9919999999997</v>
      </c>
      <c r="J3752">
        <f>VLOOKUP(B3752, Products!$A$2:$E$100, 3, FALSE)</f>
        <v>5</v>
      </c>
      <c r="K3752">
        <f>VLOOKUP(B3752, Products!$A$2:$F$100, 4, FALSE)</f>
        <v>6</v>
      </c>
    </row>
    <row r="3753" spans="1:11" x14ac:dyDescent="0.3">
      <c r="A3753">
        <v>1295</v>
      </c>
      <c r="B3753">
        <v>3</v>
      </c>
      <c r="C3753">
        <v>52</v>
      </c>
      <c r="D3753" t="str">
        <f>VLOOKUP(B3753, Products!$A$2:$C$100, 2, FALSE)</f>
        <v>Surly Wednesday Frameset - 2016</v>
      </c>
      <c r="E3753">
        <v>1</v>
      </c>
      <c r="F3753">
        <v>875.99</v>
      </c>
      <c r="G3753">
        <v>0.05</v>
      </c>
      <c r="H3753">
        <v>43.799500000000002</v>
      </c>
      <c r="I3753">
        <f>order_items[[#This Row],[list_price]]-order_items[[#This Row],[Discounted_price]]</f>
        <v>832.19050000000004</v>
      </c>
      <c r="J3753">
        <f>VLOOKUP(B3753, Products!$A$2:$E$100, 3, FALSE)</f>
        <v>8</v>
      </c>
      <c r="K3753">
        <f>VLOOKUP(B3753, Products!$A$2:$F$100, 4, FALSE)</f>
        <v>6</v>
      </c>
    </row>
    <row r="3754" spans="1:11" x14ac:dyDescent="0.3">
      <c r="A3754">
        <v>1296</v>
      </c>
      <c r="B3754">
        <v>1</v>
      </c>
      <c r="C3754">
        <v>25</v>
      </c>
      <c r="D3754" t="str">
        <f>VLOOKUP(B3754, Products!$A$2:$C$100, 2, FALSE)</f>
        <v>Trek 820 - 2016</v>
      </c>
      <c r="E3754">
        <v>2</v>
      </c>
      <c r="F3754">
        <v>499.99</v>
      </c>
      <c r="G3754">
        <v>0.05</v>
      </c>
      <c r="H3754">
        <v>24.999500000000001</v>
      </c>
      <c r="I3754">
        <f>order_items[[#This Row],[list_price]]-order_items[[#This Row],[Discounted_price]]</f>
        <v>474.9905</v>
      </c>
      <c r="J3754">
        <f>VLOOKUP(B3754, Products!$A$2:$E$100, 3, FALSE)</f>
        <v>9</v>
      </c>
      <c r="K3754">
        <f>VLOOKUP(B3754, Products!$A$2:$F$100, 4, FALSE)</f>
        <v>6</v>
      </c>
    </row>
    <row r="3755" spans="1:11" x14ac:dyDescent="0.3">
      <c r="A3755">
        <v>1296</v>
      </c>
      <c r="B3755">
        <v>2</v>
      </c>
      <c r="C3755">
        <v>90</v>
      </c>
      <c r="D3755" t="str">
        <f>VLOOKUP(B3755, Products!$A$2:$C$100, 2, FALSE)</f>
        <v>Ritchey Timberwolf Frameset - 2016</v>
      </c>
      <c r="E3755">
        <v>1</v>
      </c>
      <c r="F3755">
        <v>209.99</v>
      </c>
      <c r="G3755">
        <v>0.1</v>
      </c>
      <c r="H3755">
        <v>20.999000000000002</v>
      </c>
      <c r="I3755">
        <f>order_items[[#This Row],[list_price]]-order_items[[#This Row],[Discounted_price]]</f>
        <v>188.99100000000001</v>
      </c>
      <c r="J3755">
        <f>VLOOKUP(B3755, Products!$A$2:$E$100, 3, FALSE)</f>
        <v>5</v>
      </c>
      <c r="K3755">
        <f>VLOOKUP(B3755, Products!$A$2:$F$100, 4, FALSE)</f>
        <v>6</v>
      </c>
    </row>
    <row r="3756" spans="1:11" x14ac:dyDescent="0.3">
      <c r="A3756">
        <v>1296</v>
      </c>
      <c r="B3756">
        <v>3</v>
      </c>
      <c r="C3756">
        <v>16</v>
      </c>
      <c r="D3756" t="str">
        <f>VLOOKUP(B3756, Products!$A$2:$C$100, 2, FALSE)</f>
        <v>Surly Wednesday Frameset - 2016</v>
      </c>
      <c r="E3756">
        <v>1</v>
      </c>
      <c r="F3756">
        <v>599.99</v>
      </c>
      <c r="G3756">
        <v>0.05</v>
      </c>
      <c r="H3756">
        <v>29.999500000000001</v>
      </c>
      <c r="I3756">
        <f>order_items[[#This Row],[list_price]]-order_items[[#This Row],[Discounted_price]]</f>
        <v>569.9905</v>
      </c>
      <c r="J3756">
        <f>VLOOKUP(B3756, Products!$A$2:$E$100, 3, FALSE)</f>
        <v>8</v>
      </c>
      <c r="K3756">
        <f>VLOOKUP(B3756, Products!$A$2:$F$100, 4, FALSE)</f>
        <v>6</v>
      </c>
    </row>
    <row r="3757" spans="1:11" x14ac:dyDescent="0.3">
      <c r="A3757">
        <v>1296</v>
      </c>
      <c r="B3757">
        <v>4</v>
      </c>
      <c r="C3757">
        <v>2</v>
      </c>
      <c r="D3757" t="str">
        <f>VLOOKUP(B3757, Products!$A$2:$C$100, 2, FALSE)</f>
        <v>Trek Fuel EX 8 29 - 2016</v>
      </c>
      <c r="E3757">
        <v>2</v>
      </c>
      <c r="F3757">
        <v>749.99</v>
      </c>
      <c r="G3757">
        <v>0.1</v>
      </c>
      <c r="H3757">
        <v>74.999000000000009</v>
      </c>
      <c r="I3757">
        <f>order_items[[#This Row],[list_price]]-order_items[[#This Row],[Discounted_price]]</f>
        <v>674.99099999999999</v>
      </c>
      <c r="J3757">
        <f>VLOOKUP(B3757, Products!$A$2:$E$100, 3, FALSE)</f>
        <v>9</v>
      </c>
      <c r="K3757">
        <f>VLOOKUP(B3757, Products!$A$2:$F$100, 4, FALSE)</f>
        <v>6</v>
      </c>
    </row>
    <row r="3758" spans="1:11" x14ac:dyDescent="0.3">
      <c r="A3758">
        <v>1297</v>
      </c>
      <c r="B3758">
        <v>1</v>
      </c>
      <c r="C3758">
        <v>104</v>
      </c>
      <c r="D3758" t="str">
        <f>VLOOKUP(B3758, Products!$A$2:$C$100, 2, FALSE)</f>
        <v>Trek 820 - 2016</v>
      </c>
      <c r="E3758">
        <v>2</v>
      </c>
      <c r="F3758">
        <v>481.99</v>
      </c>
      <c r="G3758">
        <v>7.0000000000000007E-2</v>
      </c>
      <c r="H3758">
        <v>33.739300000000007</v>
      </c>
      <c r="I3758">
        <f>order_items[[#This Row],[list_price]]-order_items[[#This Row],[Discounted_price]]</f>
        <v>448.25069999999999</v>
      </c>
      <c r="J3758">
        <f>VLOOKUP(B3758, Products!$A$2:$E$100, 3, FALSE)</f>
        <v>9</v>
      </c>
      <c r="K3758">
        <f>VLOOKUP(B3758, Products!$A$2:$F$100, 4, FALSE)</f>
        <v>6</v>
      </c>
    </row>
    <row r="3759" spans="1:11" x14ac:dyDescent="0.3">
      <c r="A3759">
        <v>1297</v>
      </c>
      <c r="B3759">
        <v>2</v>
      </c>
      <c r="C3759">
        <v>43</v>
      </c>
      <c r="D3759" t="str">
        <f>VLOOKUP(B3759, Products!$A$2:$C$100, 2, FALSE)</f>
        <v>Ritchey Timberwolf Frameset - 2016</v>
      </c>
      <c r="E3759">
        <v>1</v>
      </c>
      <c r="F3759">
        <v>5299.99</v>
      </c>
      <c r="G3759">
        <v>0.05</v>
      </c>
      <c r="H3759">
        <v>264.99950000000001</v>
      </c>
      <c r="I3759">
        <f>order_items[[#This Row],[list_price]]-order_items[[#This Row],[Discounted_price]]</f>
        <v>5034.9904999999999</v>
      </c>
      <c r="J3759">
        <f>VLOOKUP(B3759, Products!$A$2:$E$100, 3, FALSE)</f>
        <v>5</v>
      </c>
      <c r="K3759">
        <f>VLOOKUP(B3759, Products!$A$2:$F$100, 4, FALSE)</f>
        <v>6</v>
      </c>
    </row>
    <row r="3760" spans="1:11" x14ac:dyDescent="0.3">
      <c r="A3760">
        <v>1297</v>
      </c>
      <c r="B3760">
        <v>3</v>
      </c>
      <c r="C3760">
        <v>51</v>
      </c>
      <c r="D3760" t="str">
        <f>VLOOKUP(B3760, Products!$A$2:$C$100, 2, FALSE)</f>
        <v>Surly Wednesday Frameset - 2016</v>
      </c>
      <c r="E3760">
        <v>2</v>
      </c>
      <c r="F3760">
        <v>6499.99</v>
      </c>
      <c r="G3760">
        <v>0.05</v>
      </c>
      <c r="H3760">
        <v>324.99950000000001</v>
      </c>
      <c r="I3760">
        <f>order_items[[#This Row],[list_price]]-order_items[[#This Row],[Discounted_price]]</f>
        <v>6174.9904999999999</v>
      </c>
      <c r="J3760">
        <f>VLOOKUP(B3760, Products!$A$2:$E$100, 3, FALSE)</f>
        <v>8</v>
      </c>
      <c r="K3760">
        <f>VLOOKUP(B3760, Products!$A$2:$F$100, 4, FALSE)</f>
        <v>6</v>
      </c>
    </row>
    <row r="3761" spans="1:11" x14ac:dyDescent="0.3">
      <c r="A3761">
        <v>1298</v>
      </c>
      <c r="B3761">
        <v>1</v>
      </c>
      <c r="C3761">
        <v>59</v>
      </c>
      <c r="D3761" t="str">
        <f>VLOOKUP(B3761, Products!$A$2:$C$100, 2, FALSE)</f>
        <v>Trek 820 - 2016</v>
      </c>
      <c r="E3761">
        <v>1</v>
      </c>
      <c r="F3761">
        <v>2599.9899999999998</v>
      </c>
      <c r="G3761">
        <v>0.05</v>
      </c>
      <c r="H3761">
        <v>129.99949999999998</v>
      </c>
      <c r="I3761">
        <f>order_items[[#This Row],[list_price]]-order_items[[#This Row],[Discounted_price]]</f>
        <v>2469.9904999999999</v>
      </c>
      <c r="J3761">
        <f>VLOOKUP(B3761, Products!$A$2:$E$100, 3, FALSE)</f>
        <v>9</v>
      </c>
      <c r="K3761">
        <f>VLOOKUP(B3761, Products!$A$2:$F$100, 4, FALSE)</f>
        <v>6</v>
      </c>
    </row>
    <row r="3762" spans="1:11" x14ac:dyDescent="0.3">
      <c r="A3762">
        <v>1298</v>
      </c>
      <c r="B3762">
        <v>2</v>
      </c>
      <c r="C3762">
        <v>110</v>
      </c>
      <c r="D3762" t="str">
        <f>VLOOKUP(B3762, Products!$A$2:$C$100, 2, FALSE)</f>
        <v>Ritchey Timberwolf Frameset - 2016</v>
      </c>
      <c r="E3762">
        <v>2</v>
      </c>
      <c r="F3762">
        <v>470.99</v>
      </c>
      <c r="G3762">
        <v>7.0000000000000007E-2</v>
      </c>
      <c r="H3762">
        <v>32.969300000000004</v>
      </c>
      <c r="I3762">
        <f>order_items[[#This Row],[list_price]]-order_items[[#This Row],[Discounted_price]]</f>
        <v>438.02070000000003</v>
      </c>
      <c r="J3762">
        <f>VLOOKUP(B3762, Products!$A$2:$E$100, 3, FALSE)</f>
        <v>5</v>
      </c>
      <c r="K3762">
        <f>VLOOKUP(B3762, Products!$A$2:$F$100, 4, FALSE)</f>
        <v>6</v>
      </c>
    </row>
    <row r="3763" spans="1:11" x14ac:dyDescent="0.3">
      <c r="A3763">
        <v>1299</v>
      </c>
      <c r="B3763">
        <v>1</v>
      </c>
      <c r="C3763">
        <v>14</v>
      </c>
      <c r="D3763" t="str">
        <f>VLOOKUP(B3763, Products!$A$2:$C$100, 2, FALSE)</f>
        <v>Trek 820 - 2016</v>
      </c>
      <c r="E3763">
        <v>2</v>
      </c>
      <c r="F3763">
        <v>269.99</v>
      </c>
      <c r="G3763">
        <v>0.1</v>
      </c>
      <c r="H3763">
        <v>26.999000000000002</v>
      </c>
      <c r="I3763">
        <f>order_items[[#This Row],[list_price]]-order_items[[#This Row],[Discounted_price]]</f>
        <v>242.99100000000001</v>
      </c>
      <c r="J3763">
        <f>VLOOKUP(B3763, Products!$A$2:$E$100, 3, FALSE)</f>
        <v>9</v>
      </c>
      <c r="K3763">
        <f>VLOOKUP(B3763, Products!$A$2:$F$100, 4, FALSE)</f>
        <v>6</v>
      </c>
    </row>
    <row r="3764" spans="1:11" x14ac:dyDescent="0.3">
      <c r="A3764">
        <v>1299</v>
      </c>
      <c r="B3764">
        <v>2</v>
      </c>
      <c r="C3764">
        <v>101</v>
      </c>
      <c r="D3764" t="str">
        <f>VLOOKUP(B3764, Products!$A$2:$C$100, 2, FALSE)</f>
        <v>Ritchey Timberwolf Frameset - 2016</v>
      </c>
      <c r="E3764">
        <v>1</v>
      </c>
      <c r="F3764">
        <v>339.99</v>
      </c>
      <c r="G3764">
        <v>0.05</v>
      </c>
      <c r="H3764">
        <v>16.999500000000001</v>
      </c>
      <c r="I3764">
        <f>order_items[[#This Row],[list_price]]-order_items[[#This Row],[Discounted_price]]</f>
        <v>322.9905</v>
      </c>
      <c r="J3764">
        <f>VLOOKUP(B3764, Products!$A$2:$E$100, 3, FALSE)</f>
        <v>5</v>
      </c>
      <c r="K3764">
        <f>VLOOKUP(B3764, Products!$A$2:$F$100, 4, FALSE)</f>
        <v>6</v>
      </c>
    </row>
    <row r="3765" spans="1:11" x14ac:dyDescent="0.3">
      <c r="A3765">
        <v>1299</v>
      </c>
      <c r="B3765">
        <v>3</v>
      </c>
      <c r="C3765">
        <v>75</v>
      </c>
      <c r="D3765" t="str">
        <f>VLOOKUP(B3765, Products!$A$2:$C$100, 2, FALSE)</f>
        <v>Surly Wednesday Frameset - 2016</v>
      </c>
      <c r="E3765">
        <v>1</v>
      </c>
      <c r="F3765">
        <v>599.99</v>
      </c>
      <c r="G3765">
        <v>0.05</v>
      </c>
      <c r="H3765">
        <v>29.999500000000001</v>
      </c>
      <c r="I3765">
        <f>order_items[[#This Row],[list_price]]-order_items[[#This Row],[Discounted_price]]</f>
        <v>569.9905</v>
      </c>
      <c r="J3765">
        <f>VLOOKUP(B3765, Products!$A$2:$E$100, 3, FALSE)</f>
        <v>8</v>
      </c>
      <c r="K3765">
        <f>VLOOKUP(B3765, Products!$A$2:$F$100, 4, FALSE)</f>
        <v>6</v>
      </c>
    </row>
    <row r="3766" spans="1:11" x14ac:dyDescent="0.3">
      <c r="A3766">
        <v>1299</v>
      </c>
      <c r="B3766">
        <v>4</v>
      </c>
      <c r="C3766">
        <v>52</v>
      </c>
      <c r="D3766" t="str">
        <f>VLOOKUP(B3766, Products!$A$2:$C$100, 2, FALSE)</f>
        <v>Trek Fuel EX 8 29 - 2016</v>
      </c>
      <c r="E3766">
        <v>2</v>
      </c>
      <c r="F3766">
        <v>875.99</v>
      </c>
      <c r="G3766">
        <v>0.2</v>
      </c>
      <c r="H3766">
        <v>175.19800000000001</v>
      </c>
      <c r="I3766">
        <f>order_items[[#This Row],[list_price]]-order_items[[#This Row],[Discounted_price]]</f>
        <v>700.79200000000003</v>
      </c>
      <c r="J3766">
        <f>VLOOKUP(B3766, Products!$A$2:$E$100, 3, FALSE)</f>
        <v>9</v>
      </c>
      <c r="K3766">
        <f>VLOOKUP(B3766, Products!$A$2:$F$100, 4, FALSE)</f>
        <v>6</v>
      </c>
    </row>
    <row r="3767" spans="1:11" x14ac:dyDescent="0.3">
      <c r="A3767">
        <v>1300</v>
      </c>
      <c r="B3767">
        <v>1</v>
      </c>
      <c r="C3767">
        <v>101</v>
      </c>
      <c r="D3767" t="str">
        <f>VLOOKUP(B3767, Products!$A$2:$C$100, 2, FALSE)</f>
        <v>Trek 820 - 2016</v>
      </c>
      <c r="E3767">
        <v>2</v>
      </c>
      <c r="F3767">
        <v>339.99</v>
      </c>
      <c r="G3767">
        <v>7.0000000000000007E-2</v>
      </c>
      <c r="H3767">
        <v>23.799300000000002</v>
      </c>
      <c r="I3767">
        <f>order_items[[#This Row],[list_price]]-order_items[[#This Row],[Discounted_price]]</f>
        <v>316.19069999999999</v>
      </c>
      <c r="J3767">
        <f>VLOOKUP(B3767, Products!$A$2:$E$100, 3, FALSE)</f>
        <v>9</v>
      </c>
      <c r="K3767">
        <f>VLOOKUP(B3767, Products!$A$2:$F$100, 4, FALSE)</f>
        <v>6</v>
      </c>
    </row>
    <row r="3768" spans="1:11" x14ac:dyDescent="0.3">
      <c r="A3768">
        <v>1300</v>
      </c>
      <c r="B3768">
        <v>2</v>
      </c>
      <c r="C3768">
        <v>58</v>
      </c>
      <c r="D3768" t="str">
        <f>VLOOKUP(B3768, Products!$A$2:$C$100, 2, FALSE)</f>
        <v>Ritchey Timberwolf Frameset - 2016</v>
      </c>
      <c r="E3768">
        <v>2</v>
      </c>
      <c r="F3768">
        <v>4999.99</v>
      </c>
      <c r="G3768">
        <v>0.05</v>
      </c>
      <c r="H3768">
        <v>249.99950000000001</v>
      </c>
      <c r="I3768">
        <f>order_items[[#This Row],[list_price]]-order_items[[#This Row],[Discounted_price]]</f>
        <v>4749.9904999999999</v>
      </c>
      <c r="J3768">
        <f>VLOOKUP(B3768, Products!$A$2:$E$100, 3, FALSE)</f>
        <v>5</v>
      </c>
      <c r="K3768">
        <f>VLOOKUP(B3768, Products!$A$2:$F$100, 4, FALSE)</f>
        <v>6</v>
      </c>
    </row>
    <row r="3769" spans="1:11" x14ac:dyDescent="0.3">
      <c r="A3769">
        <v>1301</v>
      </c>
      <c r="B3769">
        <v>1</v>
      </c>
      <c r="C3769">
        <v>45</v>
      </c>
      <c r="D3769" t="str">
        <f>VLOOKUP(B3769, Products!$A$2:$C$100, 2, FALSE)</f>
        <v>Trek 820 - 2016</v>
      </c>
      <c r="E3769">
        <v>2</v>
      </c>
      <c r="F3769">
        <v>869.99</v>
      </c>
      <c r="G3769">
        <v>0.2</v>
      </c>
      <c r="H3769">
        <v>173.99800000000002</v>
      </c>
      <c r="I3769">
        <f>order_items[[#This Row],[list_price]]-order_items[[#This Row],[Discounted_price]]</f>
        <v>695.99199999999996</v>
      </c>
      <c r="J3769">
        <f>VLOOKUP(B3769, Products!$A$2:$E$100, 3, FALSE)</f>
        <v>9</v>
      </c>
      <c r="K3769">
        <f>VLOOKUP(B3769, Products!$A$2:$F$100, 4, FALSE)</f>
        <v>6</v>
      </c>
    </row>
    <row r="3770" spans="1:11" x14ac:dyDescent="0.3">
      <c r="A3770">
        <v>1301</v>
      </c>
      <c r="B3770">
        <v>2</v>
      </c>
      <c r="C3770">
        <v>105</v>
      </c>
      <c r="D3770" t="str">
        <f>VLOOKUP(B3770, Products!$A$2:$C$100, 2, FALSE)</f>
        <v>Ritchey Timberwolf Frameset - 2016</v>
      </c>
      <c r="E3770">
        <v>2</v>
      </c>
      <c r="F3770">
        <v>533.99</v>
      </c>
      <c r="G3770">
        <v>0.1</v>
      </c>
      <c r="H3770">
        <v>53.399000000000001</v>
      </c>
      <c r="I3770">
        <f>order_items[[#This Row],[list_price]]-order_items[[#This Row],[Discounted_price]]</f>
        <v>480.59100000000001</v>
      </c>
      <c r="J3770">
        <f>VLOOKUP(B3770, Products!$A$2:$E$100, 3, FALSE)</f>
        <v>5</v>
      </c>
      <c r="K3770">
        <f>VLOOKUP(B3770, Products!$A$2:$F$100, 4, FALSE)</f>
        <v>6</v>
      </c>
    </row>
    <row r="3771" spans="1:11" x14ac:dyDescent="0.3">
      <c r="A3771">
        <v>1301</v>
      </c>
      <c r="B3771">
        <v>3</v>
      </c>
      <c r="C3771">
        <v>8</v>
      </c>
      <c r="D3771" t="str">
        <f>VLOOKUP(B3771, Products!$A$2:$C$100, 2, FALSE)</f>
        <v>Surly Wednesday Frameset - 2016</v>
      </c>
      <c r="E3771">
        <v>1</v>
      </c>
      <c r="F3771">
        <v>1799.99</v>
      </c>
      <c r="G3771">
        <v>0.2</v>
      </c>
      <c r="H3771">
        <v>359.99800000000005</v>
      </c>
      <c r="I3771">
        <f>order_items[[#This Row],[list_price]]-order_items[[#This Row],[Discounted_price]]</f>
        <v>1439.992</v>
      </c>
      <c r="J3771">
        <f>VLOOKUP(B3771, Products!$A$2:$E$100, 3, FALSE)</f>
        <v>8</v>
      </c>
      <c r="K3771">
        <f>VLOOKUP(B3771, Products!$A$2:$F$100, 4, FALSE)</f>
        <v>6</v>
      </c>
    </row>
    <row r="3772" spans="1:11" x14ac:dyDescent="0.3">
      <c r="A3772">
        <v>1302</v>
      </c>
      <c r="B3772">
        <v>1</v>
      </c>
      <c r="C3772">
        <v>38</v>
      </c>
      <c r="D3772" t="str">
        <f>VLOOKUP(B3772, Products!$A$2:$C$100, 2, FALSE)</f>
        <v>Trek 820 - 2016</v>
      </c>
      <c r="E3772">
        <v>1</v>
      </c>
      <c r="F3772">
        <v>549.99</v>
      </c>
      <c r="G3772">
        <v>0.05</v>
      </c>
      <c r="H3772">
        <v>27.499500000000001</v>
      </c>
      <c r="I3772">
        <f>order_items[[#This Row],[list_price]]-order_items[[#This Row],[Discounted_price]]</f>
        <v>522.4905</v>
      </c>
      <c r="J3772">
        <f>VLOOKUP(B3772, Products!$A$2:$E$100, 3, FALSE)</f>
        <v>9</v>
      </c>
      <c r="K3772">
        <f>VLOOKUP(B3772, Products!$A$2:$F$100, 4, FALSE)</f>
        <v>6</v>
      </c>
    </row>
    <row r="3773" spans="1:11" x14ac:dyDescent="0.3">
      <c r="A3773">
        <v>1302</v>
      </c>
      <c r="B3773">
        <v>2</v>
      </c>
      <c r="C3773">
        <v>20</v>
      </c>
      <c r="D3773" t="str">
        <f>VLOOKUP(B3773, Products!$A$2:$C$100, 2, FALSE)</f>
        <v>Ritchey Timberwolf Frameset - 2016</v>
      </c>
      <c r="E3773">
        <v>2</v>
      </c>
      <c r="F3773">
        <v>599.99</v>
      </c>
      <c r="G3773">
        <v>0.1</v>
      </c>
      <c r="H3773">
        <v>59.999000000000002</v>
      </c>
      <c r="I3773">
        <f>order_items[[#This Row],[list_price]]-order_items[[#This Row],[Discounted_price]]</f>
        <v>539.99099999999999</v>
      </c>
      <c r="J3773">
        <f>VLOOKUP(B3773, Products!$A$2:$E$100, 3, FALSE)</f>
        <v>5</v>
      </c>
      <c r="K3773">
        <f>VLOOKUP(B3773, Products!$A$2:$F$100, 4, FALSE)</f>
        <v>6</v>
      </c>
    </row>
    <row r="3774" spans="1:11" x14ac:dyDescent="0.3">
      <c r="A3774">
        <v>1302</v>
      </c>
      <c r="B3774">
        <v>3</v>
      </c>
      <c r="C3774">
        <v>56</v>
      </c>
      <c r="D3774" t="str">
        <f>VLOOKUP(B3774, Products!$A$2:$C$100, 2, FALSE)</f>
        <v>Surly Wednesday Frameset - 2016</v>
      </c>
      <c r="E3774">
        <v>2</v>
      </c>
      <c r="F3774">
        <v>5499.99</v>
      </c>
      <c r="G3774">
        <v>7.0000000000000007E-2</v>
      </c>
      <c r="H3774">
        <v>384.99930000000001</v>
      </c>
      <c r="I3774">
        <f>order_items[[#This Row],[list_price]]-order_items[[#This Row],[Discounted_price]]</f>
        <v>5114.9906999999994</v>
      </c>
      <c r="J3774">
        <f>VLOOKUP(B3774, Products!$A$2:$E$100, 3, FALSE)</f>
        <v>8</v>
      </c>
      <c r="K3774">
        <f>VLOOKUP(B3774, Products!$A$2:$F$100, 4, FALSE)</f>
        <v>6</v>
      </c>
    </row>
    <row r="3775" spans="1:11" x14ac:dyDescent="0.3">
      <c r="A3775">
        <v>1303</v>
      </c>
      <c r="B3775">
        <v>1</v>
      </c>
      <c r="C3775">
        <v>96</v>
      </c>
      <c r="D3775" t="str">
        <f>VLOOKUP(B3775, Products!$A$2:$C$100, 2, FALSE)</f>
        <v>Trek 820 - 2016</v>
      </c>
      <c r="E3775">
        <v>1</v>
      </c>
      <c r="F3775">
        <v>349.99</v>
      </c>
      <c r="G3775">
        <v>0.1</v>
      </c>
      <c r="H3775">
        <v>34.999000000000002</v>
      </c>
      <c r="I3775">
        <f>order_items[[#This Row],[list_price]]-order_items[[#This Row],[Discounted_price]]</f>
        <v>314.99099999999999</v>
      </c>
      <c r="J3775">
        <f>VLOOKUP(B3775, Products!$A$2:$E$100, 3, FALSE)</f>
        <v>9</v>
      </c>
      <c r="K3775">
        <f>VLOOKUP(B3775, Products!$A$2:$F$100, 4, FALSE)</f>
        <v>6</v>
      </c>
    </row>
    <row r="3776" spans="1:11" x14ac:dyDescent="0.3">
      <c r="A3776">
        <v>1303</v>
      </c>
      <c r="B3776">
        <v>2</v>
      </c>
      <c r="C3776">
        <v>63</v>
      </c>
      <c r="D3776" t="str">
        <f>VLOOKUP(B3776, Products!$A$2:$C$100, 2, FALSE)</f>
        <v>Ritchey Timberwolf Frameset - 2016</v>
      </c>
      <c r="E3776">
        <v>2</v>
      </c>
      <c r="F3776">
        <v>3499.99</v>
      </c>
      <c r="G3776">
        <v>0.2</v>
      </c>
      <c r="H3776">
        <v>699.99800000000005</v>
      </c>
      <c r="I3776">
        <f>order_items[[#This Row],[list_price]]-order_items[[#This Row],[Discounted_price]]</f>
        <v>2799.9919999999997</v>
      </c>
      <c r="J3776">
        <f>VLOOKUP(B3776, Products!$A$2:$E$100, 3, FALSE)</f>
        <v>5</v>
      </c>
      <c r="K3776">
        <f>VLOOKUP(B3776, Products!$A$2:$F$100, 4, FALSE)</f>
        <v>6</v>
      </c>
    </row>
    <row r="3777" spans="1:11" x14ac:dyDescent="0.3">
      <c r="A3777">
        <v>1303</v>
      </c>
      <c r="B3777">
        <v>3</v>
      </c>
      <c r="C3777">
        <v>108</v>
      </c>
      <c r="D3777" t="str">
        <f>VLOOKUP(B3777, Products!$A$2:$C$100, 2, FALSE)</f>
        <v>Surly Wednesday Frameset - 2016</v>
      </c>
      <c r="E3777">
        <v>1</v>
      </c>
      <c r="F3777">
        <v>449.99</v>
      </c>
      <c r="G3777">
        <v>0.1</v>
      </c>
      <c r="H3777">
        <v>44.999000000000002</v>
      </c>
      <c r="I3777">
        <f>order_items[[#This Row],[list_price]]-order_items[[#This Row],[Discounted_price]]</f>
        <v>404.99099999999999</v>
      </c>
      <c r="J3777">
        <f>VLOOKUP(B3777, Products!$A$2:$E$100, 3, FALSE)</f>
        <v>8</v>
      </c>
      <c r="K3777">
        <f>VLOOKUP(B3777, Products!$A$2:$F$100, 4, FALSE)</f>
        <v>6</v>
      </c>
    </row>
    <row r="3778" spans="1:11" x14ac:dyDescent="0.3">
      <c r="A3778">
        <v>1303</v>
      </c>
      <c r="B3778">
        <v>4</v>
      </c>
      <c r="C3778">
        <v>73</v>
      </c>
      <c r="D3778" t="str">
        <f>VLOOKUP(B3778, Products!$A$2:$C$100, 2, FALSE)</f>
        <v>Trek Fuel EX 8 29 - 2016</v>
      </c>
      <c r="E3778">
        <v>1</v>
      </c>
      <c r="F3778">
        <v>749.99</v>
      </c>
      <c r="G3778">
        <v>0.1</v>
      </c>
      <c r="H3778">
        <v>74.999000000000009</v>
      </c>
      <c r="I3778">
        <f>order_items[[#This Row],[list_price]]-order_items[[#This Row],[Discounted_price]]</f>
        <v>674.99099999999999</v>
      </c>
      <c r="J3778">
        <f>VLOOKUP(B3778, Products!$A$2:$E$100, 3, FALSE)</f>
        <v>9</v>
      </c>
      <c r="K3778">
        <f>VLOOKUP(B3778, Products!$A$2:$F$100, 4, FALSE)</f>
        <v>6</v>
      </c>
    </row>
    <row r="3779" spans="1:11" x14ac:dyDescent="0.3">
      <c r="A3779">
        <v>1303</v>
      </c>
      <c r="B3779">
        <v>5</v>
      </c>
      <c r="C3779">
        <v>24</v>
      </c>
      <c r="D3779" t="str">
        <f>VLOOKUP(B3779, Products!$A$2:$C$100, 2, FALSE)</f>
        <v>Heller Shagamaw Frame - 2016</v>
      </c>
      <c r="E3779">
        <v>2</v>
      </c>
      <c r="F3779">
        <v>549.99</v>
      </c>
      <c r="G3779">
        <v>0.1</v>
      </c>
      <c r="H3779">
        <v>54.999000000000002</v>
      </c>
      <c r="I3779">
        <f>order_items[[#This Row],[list_price]]-order_items[[#This Row],[Discounted_price]]</f>
        <v>494.99099999999999</v>
      </c>
      <c r="J3779">
        <f>VLOOKUP(B3779, Products!$A$2:$E$100, 3, FALSE)</f>
        <v>3</v>
      </c>
      <c r="K3779">
        <f>VLOOKUP(B3779, Products!$A$2:$F$100, 4, FALSE)</f>
        <v>6</v>
      </c>
    </row>
    <row r="3780" spans="1:11" x14ac:dyDescent="0.3">
      <c r="A3780">
        <v>1304</v>
      </c>
      <c r="B3780">
        <v>1</v>
      </c>
      <c r="C3780">
        <v>80</v>
      </c>
      <c r="D3780" t="str">
        <f>VLOOKUP(B3780, Products!$A$2:$C$100, 2, FALSE)</f>
        <v>Trek 820 - 2016</v>
      </c>
      <c r="E3780">
        <v>1</v>
      </c>
      <c r="F3780">
        <v>761.99</v>
      </c>
      <c r="G3780">
        <v>0.05</v>
      </c>
      <c r="H3780">
        <v>38.099499999999999</v>
      </c>
      <c r="I3780">
        <f>order_items[[#This Row],[list_price]]-order_items[[#This Row],[Discounted_price]]</f>
        <v>723.89049999999997</v>
      </c>
      <c r="J3780">
        <f>VLOOKUP(B3780, Products!$A$2:$E$100, 3, FALSE)</f>
        <v>9</v>
      </c>
      <c r="K3780">
        <f>VLOOKUP(B3780, Products!$A$2:$F$100, 4, FALSE)</f>
        <v>6</v>
      </c>
    </row>
    <row r="3781" spans="1:11" x14ac:dyDescent="0.3">
      <c r="A3781">
        <v>1304</v>
      </c>
      <c r="B3781">
        <v>2</v>
      </c>
      <c r="C3781">
        <v>99</v>
      </c>
      <c r="D3781" t="str">
        <f>VLOOKUP(B3781, Products!$A$2:$C$100, 2, FALSE)</f>
        <v>Ritchey Timberwolf Frameset - 2016</v>
      </c>
      <c r="E3781">
        <v>2</v>
      </c>
      <c r="F3781">
        <v>299.99</v>
      </c>
      <c r="G3781">
        <v>0.05</v>
      </c>
      <c r="H3781">
        <v>14.999500000000001</v>
      </c>
      <c r="I3781">
        <f>order_items[[#This Row],[list_price]]-order_items[[#This Row],[Discounted_price]]</f>
        <v>284.9905</v>
      </c>
      <c r="J3781">
        <f>VLOOKUP(B3781, Products!$A$2:$E$100, 3, FALSE)</f>
        <v>5</v>
      </c>
      <c r="K3781">
        <f>VLOOKUP(B3781, Products!$A$2:$F$100, 4, FALSE)</f>
        <v>6</v>
      </c>
    </row>
    <row r="3782" spans="1:11" x14ac:dyDescent="0.3">
      <c r="A3782">
        <v>1304</v>
      </c>
      <c r="B3782">
        <v>3</v>
      </c>
      <c r="C3782">
        <v>102</v>
      </c>
      <c r="D3782" t="str">
        <f>VLOOKUP(B3782, Products!$A$2:$C$100, 2, FALSE)</f>
        <v>Surly Wednesday Frameset - 2016</v>
      </c>
      <c r="E3782">
        <v>1</v>
      </c>
      <c r="F3782">
        <v>489.99</v>
      </c>
      <c r="G3782">
        <v>0.2</v>
      </c>
      <c r="H3782">
        <v>97.998000000000005</v>
      </c>
      <c r="I3782">
        <f>order_items[[#This Row],[list_price]]-order_items[[#This Row],[Discounted_price]]</f>
        <v>391.99200000000002</v>
      </c>
      <c r="J3782">
        <f>VLOOKUP(B3782, Products!$A$2:$E$100, 3, FALSE)</f>
        <v>8</v>
      </c>
      <c r="K3782">
        <f>VLOOKUP(B3782, Products!$A$2:$F$100, 4, FALSE)</f>
        <v>6</v>
      </c>
    </row>
    <row r="3783" spans="1:11" x14ac:dyDescent="0.3">
      <c r="A3783">
        <v>1304</v>
      </c>
      <c r="B3783">
        <v>4</v>
      </c>
      <c r="C3783">
        <v>17</v>
      </c>
      <c r="D3783" t="str">
        <f>VLOOKUP(B3783, Products!$A$2:$C$100, 2, FALSE)</f>
        <v>Trek Fuel EX 8 29 - 2016</v>
      </c>
      <c r="E3783">
        <v>1</v>
      </c>
      <c r="F3783">
        <v>429</v>
      </c>
      <c r="G3783">
        <v>0.05</v>
      </c>
      <c r="H3783">
        <v>21.450000000000003</v>
      </c>
      <c r="I3783">
        <f>order_items[[#This Row],[list_price]]-order_items[[#This Row],[Discounted_price]]</f>
        <v>407.55</v>
      </c>
      <c r="J3783">
        <f>VLOOKUP(B3783, Products!$A$2:$E$100, 3, FALSE)</f>
        <v>9</v>
      </c>
      <c r="K3783">
        <f>VLOOKUP(B3783, Products!$A$2:$F$100, 4, FALSE)</f>
        <v>6</v>
      </c>
    </row>
    <row r="3784" spans="1:11" x14ac:dyDescent="0.3">
      <c r="A3784">
        <v>1305</v>
      </c>
      <c r="B3784">
        <v>1</v>
      </c>
      <c r="C3784">
        <v>85</v>
      </c>
      <c r="D3784" t="str">
        <f>VLOOKUP(B3784, Products!$A$2:$C$100, 2, FALSE)</f>
        <v>Trek 820 - 2016</v>
      </c>
      <c r="E3784">
        <v>1</v>
      </c>
      <c r="F3784">
        <v>329.99</v>
      </c>
      <c r="G3784">
        <v>0.2</v>
      </c>
      <c r="H3784">
        <v>65.998000000000005</v>
      </c>
      <c r="I3784">
        <f>order_items[[#This Row],[list_price]]-order_items[[#This Row],[Discounted_price]]</f>
        <v>263.99200000000002</v>
      </c>
      <c r="J3784">
        <f>VLOOKUP(B3784, Products!$A$2:$E$100, 3, FALSE)</f>
        <v>9</v>
      </c>
      <c r="K3784">
        <f>VLOOKUP(B3784, Products!$A$2:$F$100, 4, FALSE)</f>
        <v>6</v>
      </c>
    </row>
    <row r="3785" spans="1:11" x14ac:dyDescent="0.3">
      <c r="A3785">
        <v>1305</v>
      </c>
      <c r="B3785">
        <v>2</v>
      </c>
      <c r="C3785">
        <v>9</v>
      </c>
      <c r="D3785" t="str">
        <f>VLOOKUP(B3785, Products!$A$2:$C$100, 2, FALSE)</f>
        <v>Ritchey Timberwolf Frameset - 2016</v>
      </c>
      <c r="E3785">
        <v>1</v>
      </c>
      <c r="F3785">
        <v>2999.99</v>
      </c>
      <c r="G3785">
        <v>7.0000000000000007E-2</v>
      </c>
      <c r="H3785">
        <v>209.99930000000001</v>
      </c>
      <c r="I3785">
        <f>order_items[[#This Row],[list_price]]-order_items[[#This Row],[Discounted_price]]</f>
        <v>2789.9906999999998</v>
      </c>
      <c r="J3785">
        <f>VLOOKUP(B3785, Products!$A$2:$E$100, 3, FALSE)</f>
        <v>5</v>
      </c>
      <c r="K3785">
        <f>VLOOKUP(B3785, Products!$A$2:$F$100, 4, FALSE)</f>
        <v>6</v>
      </c>
    </row>
    <row r="3786" spans="1:11" x14ac:dyDescent="0.3">
      <c r="A3786">
        <v>1305</v>
      </c>
      <c r="B3786">
        <v>3</v>
      </c>
      <c r="C3786">
        <v>11</v>
      </c>
      <c r="D3786" t="str">
        <f>VLOOKUP(B3786, Products!$A$2:$C$100, 2, FALSE)</f>
        <v>Surly Wednesday Frameset - 2016</v>
      </c>
      <c r="E3786">
        <v>1</v>
      </c>
      <c r="F3786">
        <v>1680.99</v>
      </c>
      <c r="G3786">
        <v>0.05</v>
      </c>
      <c r="H3786">
        <v>84.049500000000009</v>
      </c>
      <c r="I3786">
        <f>order_items[[#This Row],[list_price]]-order_items[[#This Row],[Discounted_price]]</f>
        <v>1596.9404999999999</v>
      </c>
      <c r="J3786">
        <f>VLOOKUP(B3786, Products!$A$2:$E$100, 3, FALSE)</f>
        <v>8</v>
      </c>
      <c r="K3786">
        <f>VLOOKUP(B3786, Products!$A$2:$F$100, 4, FALSE)</f>
        <v>6</v>
      </c>
    </row>
    <row r="3787" spans="1:11" x14ac:dyDescent="0.3">
      <c r="A3787">
        <v>1305</v>
      </c>
      <c r="B3787">
        <v>4</v>
      </c>
      <c r="C3787">
        <v>91</v>
      </c>
      <c r="D3787" t="str">
        <f>VLOOKUP(B3787, Products!$A$2:$C$100, 2, FALSE)</f>
        <v>Trek Fuel EX 8 29 - 2016</v>
      </c>
      <c r="E3787">
        <v>2</v>
      </c>
      <c r="F3787">
        <v>349.99</v>
      </c>
      <c r="G3787">
        <v>0.05</v>
      </c>
      <c r="H3787">
        <v>17.499500000000001</v>
      </c>
      <c r="I3787">
        <f>order_items[[#This Row],[list_price]]-order_items[[#This Row],[Discounted_price]]</f>
        <v>332.4905</v>
      </c>
      <c r="J3787">
        <f>VLOOKUP(B3787, Products!$A$2:$E$100, 3, FALSE)</f>
        <v>9</v>
      </c>
      <c r="K3787">
        <f>VLOOKUP(B3787, Products!$A$2:$F$100, 4, FALSE)</f>
        <v>6</v>
      </c>
    </row>
    <row r="3788" spans="1:11" x14ac:dyDescent="0.3">
      <c r="A3788">
        <v>1306</v>
      </c>
      <c r="B3788">
        <v>1</v>
      </c>
      <c r="C3788">
        <v>103</v>
      </c>
      <c r="D3788" t="str">
        <f>VLOOKUP(B3788, Products!$A$2:$C$100, 2, FALSE)</f>
        <v>Trek 820 - 2016</v>
      </c>
      <c r="E3788">
        <v>2</v>
      </c>
      <c r="F3788">
        <v>551.99</v>
      </c>
      <c r="G3788">
        <v>0.05</v>
      </c>
      <c r="H3788">
        <v>27.599500000000003</v>
      </c>
      <c r="I3788">
        <f>order_items[[#This Row],[list_price]]-order_items[[#This Row],[Discounted_price]]</f>
        <v>524.39049999999997</v>
      </c>
      <c r="J3788">
        <f>VLOOKUP(B3788, Products!$A$2:$E$100, 3, FALSE)</f>
        <v>9</v>
      </c>
      <c r="K3788">
        <f>VLOOKUP(B3788, Products!$A$2:$F$100, 4, FALSE)</f>
        <v>6</v>
      </c>
    </row>
    <row r="3789" spans="1:11" x14ac:dyDescent="0.3">
      <c r="A3789">
        <v>1306</v>
      </c>
      <c r="B3789">
        <v>2</v>
      </c>
      <c r="C3789">
        <v>81</v>
      </c>
      <c r="D3789" t="str">
        <f>VLOOKUP(B3789, Products!$A$2:$C$100, 2, FALSE)</f>
        <v>Ritchey Timberwolf Frameset - 2016</v>
      </c>
      <c r="E3789">
        <v>2</v>
      </c>
      <c r="F3789">
        <v>1099.99</v>
      </c>
      <c r="G3789">
        <v>7.0000000000000007E-2</v>
      </c>
      <c r="H3789">
        <v>76.999300000000005</v>
      </c>
      <c r="I3789">
        <f>order_items[[#This Row],[list_price]]-order_items[[#This Row],[Discounted_price]]</f>
        <v>1022.9907000000001</v>
      </c>
      <c r="J3789">
        <f>VLOOKUP(B3789, Products!$A$2:$E$100, 3, FALSE)</f>
        <v>5</v>
      </c>
      <c r="K3789">
        <f>VLOOKUP(B3789, Products!$A$2:$F$100, 4, FALSE)</f>
        <v>6</v>
      </c>
    </row>
    <row r="3790" spans="1:11" x14ac:dyDescent="0.3">
      <c r="A3790">
        <v>1306</v>
      </c>
      <c r="B3790">
        <v>3</v>
      </c>
      <c r="C3790">
        <v>45</v>
      </c>
      <c r="D3790" t="str">
        <f>VLOOKUP(B3790, Products!$A$2:$C$100, 2, FALSE)</f>
        <v>Surly Wednesday Frameset - 2016</v>
      </c>
      <c r="E3790">
        <v>1</v>
      </c>
      <c r="F3790">
        <v>869.99</v>
      </c>
      <c r="G3790">
        <v>0.2</v>
      </c>
      <c r="H3790">
        <v>173.99800000000002</v>
      </c>
      <c r="I3790">
        <f>order_items[[#This Row],[list_price]]-order_items[[#This Row],[Discounted_price]]</f>
        <v>695.99199999999996</v>
      </c>
      <c r="J3790">
        <f>VLOOKUP(B3790, Products!$A$2:$E$100, 3, FALSE)</f>
        <v>8</v>
      </c>
      <c r="K3790">
        <f>VLOOKUP(B3790, Products!$A$2:$F$100, 4, FALSE)</f>
        <v>6</v>
      </c>
    </row>
    <row r="3791" spans="1:11" x14ac:dyDescent="0.3">
      <c r="A3791">
        <v>1306</v>
      </c>
      <c r="B3791">
        <v>4</v>
      </c>
      <c r="C3791">
        <v>42</v>
      </c>
      <c r="D3791" t="str">
        <f>VLOOKUP(B3791, Products!$A$2:$C$100, 2, FALSE)</f>
        <v>Trek Fuel EX 8 29 - 2016</v>
      </c>
      <c r="E3791">
        <v>1</v>
      </c>
      <c r="F3791">
        <v>2299.9899999999998</v>
      </c>
      <c r="G3791">
        <v>0.2</v>
      </c>
      <c r="H3791">
        <v>459.99799999999999</v>
      </c>
      <c r="I3791">
        <f>order_items[[#This Row],[list_price]]-order_items[[#This Row],[Discounted_price]]</f>
        <v>1839.9919999999997</v>
      </c>
      <c r="J3791">
        <f>VLOOKUP(B3791, Products!$A$2:$E$100, 3, FALSE)</f>
        <v>9</v>
      </c>
      <c r="K3791">
        <f>VLOOKUP(B3791, Products!$A$2:$F$100, 4, FALSE)</f>
        <v>6</v>
      </c>
    </row>
    <row r="3792" spans="1:11" x14ac:dyDescent="0.3">
      <c r="A3792">
        <v>1306</v>
      </c>
      <c r="B3792">
        <v>5</v>
      </c>
      <c r="C3792">
        <v>9</v>
      </c>
      <c r="D3792" t="str">
        <f>VLOOKUP(B3792, Products!$A$2:$C$100, 2, FALSE)</f>
        <v>Heller Shagamaw Frame - 2016</v>
      </c>
      <c r="E3792">
        <v>2</v>
      </c>
      <c r="F3792">
        <v>2999.99</v>
      </c>
      <c r="G3792">
        <v>7.0000000000000007E-2</v>
      </c>
      <c r="H3792">
        <v>209.99930000000001</v>
      </c>
      <c r="I3792">
        <f>order_items[[#This Row],[list_price]]-order_items[[#This Row],[Discounted_price]]</f>
        <v>2789.9906999999998</v>
      </c>
      <c r="J3792">
        <f>VLOOKUP(B3792, Products!$A$2:$E$100, 3, FALSE)</f>
        <v>3</v>
      </c>
      <c r="K3792">
        <f>VLOOKUP(B3792, Products!$A$2:$F$100, 4, FALSE)</f>
        <v>6</v>
      </c>
    </row>
    <row r="3793" spans="1:11" x14ac:dyDescent="0.3">
      <c r="A3793">
        <v>1307</v>
      </c>
      <c r="B3793">
        <v>1</v>
      </c>
      <c r="C3793">
        <v>96</v>
      </c>
      <c r="D3793" t="str">
        <f>VLOOKUP(B3793, Products!$A$2:$C$100, 2, FALSE)</f>
        <v>Trek 820 - 2016</v>
      </c>
      <c r="E3793">
        <v>2</v>
      </c>
      <c r="F3793">
        <v>349.99</v>
      </c>
      <c r="G3793">
        <v>7.0000000000000007E-2</v>
      </c>
      <c r="H3793">
        <v>24.499300000000002</v>
      </c>
      <c r="I3793">
        <f>order_items[[#This Row],[list_price]]-order_items[[#This Row],[Discounted_price]]</f>
        <v>325.4907</v>
      </c>
      <c r="J3793">
        <f>VLOOKUP(B3793, Products!$A$2:$E$100, 3, FALSE)</f>
        <v>9</v>
      </c>
      <c r="K3793">
        <f>VLOOKUP(B3793, Products!$A$2:$F$100, 4, FALSE)</f>
        <v>6</v>
      </c>
    </row>
    <row r="3794" spans="1:11" x14ac:dyDescent="0.3">
      <c r="A3794">
        <v>1307</v>
      </c>
      <c r="B3794">
        <v>2</v>
      </c>
      <c r="C3794">
        <v>53</v>
      </c>
      <c r="D3794" t="str">
        <f>VLOOKUP(B3794, Products!$A$2:$C$100, 2, FALSE)</f>
        <v>Ritchey Timberwolf Frameset - 2016</v>
      </c>
      <c r="E3794">
        <v>2</v>
      </c>
      <c r="F3794">
        <v>749.99</v>
      </c>
      <c r="G3794">
        <v>0.2</v>
      </c>
      <c r="H3794">
        <v>149.99800000000002</v>
      </c>
      <c r="I3794">
        <f>order_items[[#This Row],[list_price]]-order_items[[#This Row],[Discounted_price]]</f>
        <v>599.99199999999996</v>
      </c>
      <c r="J3794">
        <f>VLOOKUP(B3794, Products!$A$2:$E$100, 3, FALSE)</f>
        <v>5</v>
      </c>
      <c r="K3794">
        <f>VLOOKUP(B3794, Products!$A$2:$F$100, 4, FALSE)</f>
        <v>6</v>
      </c>
    </row>
    <row r="3795" spans="1:11" x14ac:dyDescent="0.3">
      <c r="A3795">
        <v>1307</v>
      </c>
      <c r="B3795">
        <v>3</v>
      </c>
      <c r="C3795">
        <v>69</v>
      </c>
      <c r="D3795" t="str">
        <f>VLOOKUP(B3795, Products!$A$2:$C$100, 2, FALSE)</f>
        <v>Surly Wednesday Frameset - 2016</v>
      </c>
      <c r="E3795">
        <v>2</v>
      </c>
      <c r="F3795">
        <v>416.99</v>
      </c>
      <c r="G3795">
        <v>0.2</v>
      </c>
      <c r="H3795">
        <v>83.39800000000001</v>
      </c>
      <c r="I3795">
        <f>order_items[[#This Row],[list_price]]-order_items[[#This Row],[Discounted_price]]</f>
        <v>333.59199999999998</v>
      </c>
      <c r="J3795">
        <f>VLOOKUP(B3795, Products!$A$2:$E$100, 3, FALSE)</f>
        <v>8</v>
      </c>
      <c r="K3795">
        <f>VLOOKUP(B3795, Products!$A$2:$F$100, 4, FALSE)</f>
        <v>6</v>
      </c>
    </row>
    <row r="3796" spans="1:11" x14ac:dyDescent="0.3">
      <c r="A3796">
        <v>1308</v>
      </c>
      <c r="B3796">
        <v>1</v>
      </c>
      <c r="C3796">
        <v>54</v>
      </c>
      <c r="D3796" t="str">
        <f>VLOOKUP(B3796, Products!$A$2:$C$100, 2, FALSE)</f>
        <v>Trek 820 - 2016</v>
      </c>
      <c r="E3796">
        <v>1</v>
      </c>
      <c r="F3796">
        <v>3199.99</v>
      </c>
      <c r="G3796">
        <v>0.05</v>
      </c>
      <c r="H3796">
        <v>159.99950000000001</v>
      </c>
      <c r="I3796">
        <f>order_items[[#This Row],[list_price]]-order_items[[#This Row],[Discounted_price]]</f>
        <v>3039.9904999999999</v>
      </c>
      <c r="J3796">
        <f>VLOOKUP(B3796, Products!$A$2:$E$100, 3, FALSE)</f>
        <v>9</v>
      </c>
      <c r="K3796">
        <f>VLOOKUP(B3796, Products!$A$2:$F$100, 4, FALSE)</f>
        <v>6</v>
      </c>
    </row>
    <row r="3797" spans="1:11" x14ac:dyDescent="0.3">
      <c r="A3797">
        <v>1308</v>
      </c>
      <c r="B3797">
        <v>2</v>
      </c>
      <c r="C3797">
        <v>69</v>
      </c>
      <c r="D3797" t="str">
        <f>VLOOKUP(B3797, Products!$A$2:$C$100, 2, FALSE)</f>
        <v>Ritchey Timberwolf Frameset - 2016</v>
      </c>
      <c r="E3797">
        <v>1</v>
      </c>
      <c r="F3797">
        <v>416.99</v>
      </c>
      <c r="G3797">
        <v>0.2</v>
      </c>
      <c r="H3797">
        <v>83.39800000000001</v>
      </c>
      <c r="I3797">
        <f>order_items[[#This Row],[list_price]]-order_items[[#This Row],[Discounted_price]]</f>
        <v>333.59199999999998</v>
      </c>
      <c r="J3797">
        <f>VLOOKUP(B3797, Products!$A$2:$E$100, 3, FALSE)</f>
        <v>5</v>
      </c>
      <c r="K3797">
        <f>VLOOKUP(B3797, Products!$A$2:$F$100, 4, FALSE)</f>
        <v>6</v>
      </c>
    </row>
    <row r="3798" spans="1:11" x14ac:dyDescent="0.3">
      <c r="A3798">
        <v>1308</v>
      </c>
      <c r="B3798">
        <v>3</v>
      </c>
      <c r="C3798">
        <v>14</v>
      </c>
      <c r="D3798" t="str">
        <f>VLOOKUP(B3798, Products!$A$2:$C$100, 2, FALSE)</f>
        <v>Surly Wednesday Frameset - 2016</v>
      </c>
      <c r="E3798">
        <v>2</v>
      </c>
      <c r="F3798">
        <v>269.99</v>
      </c>
      <c r="G3798">
        <v>7.0000000000000007E-2</v>
      </c>
      <c r="H3798">
        <v>18.899300000000004</v>
      </c>
      <c r="I3798">
        <f>order_items[[#This Row],[list_price]]-order_items[[#This Row],[Discounted_price]]</f>
        <v>251.0907</v>
      </c>
      <c r="J3798">
        <f>VLOOKUP(B3798, Products!$A$2:$E$100, 3, FALSE)</f>
        <v>8</v>
      </c>
      <c r="K3798">
        <f>VLOOKUP(B3798, Products!$A$2:$F$100, 4, FALSE)</f>
        <v>6</v>
      </c>
    </row>
    <row r="3799" spans="1:11" x14ac:dyDescent="0.3">
      <c r="A3799">
        <v>1308</v>
      </c>
      <c r="B3799">
        <v>4</v>
      </c>
      <c r="C3799">
        <v>56</v>
      </c>
      <c r="D3799" t="str">
        <f>VLOOKUP(B3799, Products!$A$2:$C$100, 2, FALSE)</f>
        <v>Trek Fuel EX 8 29 - 2016</v>
      </c>
      <c r="E3799">
        <v>1</v>
      </c>
      <c r="F3799">
        <v>5499.99</v>
      </c>
      <c r="G3799">
        <v>0.2</v>
      </c>
      <c r="H3799">
        <v>1099.998</v>
      </c>
      <c r="I3799">
        <f>order_items[[#This Row],[list_price]]-order_items[[#This Row],[Discounted_price]]</f>
        <v>4399.9920000000002</v>
      </c>
      <c r="J3799">
        <f>VLOOKUP(B3799, Products!$A$2:$E$100, 3, FALSE)</f>
        <v>9</v>
      </c>
      <c r="K3799">
        <f>VLOOKUP(B3799, Products!$A$2:$F$100, 4, FALSE)</f>
        <v>6</v>
      </c>
    </row>
    <row r="3800" spans="1:11" x14ac:dyDescent="0.3">
      <c r="A3800">
        <v>1308</v>
      </c>
      <c r="B3800">
        <v>5</v>
      </c>
      <c r="C3800">
        <v>32</v>
      </c>
      <c r="D3800" t="str">
        <f>VLOOKUP(B3800, Products!$A$2:$C$100, 2, FALSE)</f>
        <v>Heller Shagamaw Frame - 2016</v>
      </c>
      <c r="E3800">
        <v>1</v>
      </c>
      <c r="F3800">
        <v>469.99</v>
      </c>
      <c r="G3800">
        <v>7.0000000000000007E-2</v>
      </c>
      <c r="H3800">
        <v>32.899300000000004</v>
      </c>
      <c r="I3800">
        <f>order_items[[#This Row],[list_price]]-order_items[[#This Row],[Discounted_price]]</f>
        <v>437.09070000000003</v>
      </c>
      <c r="J3800">
        <f>VLOOKUP(B3800, Products!$A$2:$E$100, 3, FALSE)</f>
        <v>3</v>
      </c>
      <c r="K3800">
        <f>VLOOKUP(B3800, Products!$A$2:$F$100, 4, FALSE)</f>
        <v>6</v>
      </c>
    </row>
    <row r="3801" spans="1:11" x14ac:dyDescent="0.3">
      <c r="A3801">
        <v>1309</v>
      </c>
      <c r="B3801">
        <v>1</v>
      </c>
      <c r="C3801">
        <v>65</v>
      </c>
      <c r="D3801" t="str">
        <f>VLOOKUP(B3801, Products!$A$2:$C$100, 2, FALSE)</f>
        <v>Trek 820 - 2016</v>
      </c>
      <c r="E3801">
        <v>1</v>
      </c>
      <c r="F3801">
        <v>346.99</v>
      </c>
      <c r="G3801">
        <v>0.05</v>
      </c>
      <c r="H3801">
        <v>17.349500000000003</v>
      </c>
      <c r="I3801">
        <f>order_items[[#This Row],[list_price]]-order_items[[#This Row],[Discounted_price]]</f>
        <v>329.64050000000003</v>
      </c>
      <c r="J3801">
        <f>VLOOKUP(B3801, Products!$A$2:$E$100, 3, FALSE)</f>
        <v>9</v>
      </c>
      <c r="K3801">
        <f>VLOOKUP(B3801, Products!$A$2:$F$100, 4, FALSE)</f>
        <v>6</v>
      </c>
    </row>
    <row r="3802" spans="1:11" x14ac:dyDescent="0.3">
      <c r="A3802">
        <v>1309</v>
      </c>
      <c r="B3802">
        <v>2</v>
      </c>
      <c r="C3802">
        <v>87</v>
      </c>
      <c r="D3802" t="str">
        <f>VLOOKUP(B3802, Products!$A$2:$C$100, 2, FALSE)</f>
        <v>Ritchey Timberwolf Frameset - 2016</v>
      </c>
      <c r="E3802">
        <v>2</v>
      </c>
      <c r="F3802">
        <v>189.99</v>
      </c>
      <c r="G3802">
        <v>0.2</v>
      </c>
      <c r="H3802">
        <v>37.998000000000005</v>
      </c>
      <c r="I3802">
        <f>order_items[[#This Row],[list_price]]-order_items[[#This Row],[Discounted_price]]</f>
        <v>151.99200000000002</v>
      </c>
      <c r="J3802">
        <f>VLOOKUP(B3802, Products!$A$2:$E$100, 3, FALSE)</f>
        <v>5</v>
      </c>
      <c r="K3802">
        <f>VLOOKUP(B3802, Products!$A$2:$F$100, 4, FALSE)</f>
        <v>6</v>
      </c>
    </row>
    <row r="3803" spans="1:11" x14ac:dyDescent="0.3">
      <c r="A3803">
        <v>1310</v>
      </c>
      <c r="B3803">
        <v>1</v>
      </c>
      <c r="C3803">
        <v>59</v>
      </c>
      <c r="D3803" t="str">
        <f>VLOOKUP(B3803, Products!$A$2:$C$100, 2, FALSE)</f>
        <v>Trek 820 - 2016</v>
      </c>
      <c r="E3803">
        <v>1</v>
      </c>
      <c r="F3803">
        <v>2599.9899999999998</v>
      </c>
      <c r="G3803">
        <v>0.2</v>
      </c>
      <c r="H3803">
        <v>519.99799999999993</v>
      </c>
      <c r="I3803">
        <f>order_items[[#This Row],[list_price]]-order_items[[#This Row],[Discounted_price]]</f>
        <v>2079.9919999999997</v>
      </c>
      <c r="J3803">
        <f>VLOOKUP(B3803, Products!$A$2:$E$100, 3, FALSE)</f>
        <v>9</v>
      </c>
      <c r="K3803">
        <f>VLOOKUP(B3803, Products!$A$2:$F$100, 4, FALSE)</f>
        <v>6</v>
      </c>
    </row>
    <row r="3804" spans="1:11" x14ac:dyDescent="0.3">
      <c r="A3804">
        <v>1310</v>
      </c>
      <c r="B3804">
        <v>2</v>
      </c>
      <c r="C3804">
        <v>77</v>
      </c>
      <c r="D3804" t="str">
        <f>VLOOKUP(B3804, Products!$A$2:$C$100, 2, FALSE)</f>
        <v>Ritchey Timberwolf Frameset - 2016</v>
      </c>
      <c r="E3804">
        <v>2</v>
      </c>
      <c r="F3804">
        <v>799.99</v>
      </c>
      <c r="G3804">
        <v>0.2</v>
      </c>
      <c r="H3804">
        <v>159.99800000000002</v>
      </c>
      <c r="I3804">
        <f>order_items[[#This Row],[list_price]]-order_items[[#This Row],[Discounted_price]]</f>
        <v>639.99199999999996</v>
      </c>
      <c r="J3804">
        <f>VLOOKUP(B3804, Products!$A$2:$E$100, 3, FALSE)</f>
        <v>5</v>
      </c>
      <c r="K3804">
        <f>VLOOKUP(B3804, Products!$A$2:$F$100, 4, FALSE)</f>
        <v>6</v>
      </c>
    </row>
    <row r="3805" spans="1:11" x14ac:dyDescent="0.3">
      <c r="A3805">
        <v>1310</v>
      </c>
      <c r="B3805">
        <v>3</v>
      </c>
      <c r="C3805">
        <v>11</v>
      </c>
      <c r="D3805" t="str">
        <f>VLOOKUP(B3805, Products!$A$2:$C$100, 2, FALSE)</f>
        <v>Surly Wednesday Frameset - 2016</v>
      </c>
      <c r="E3805">
        <v>2</v>
      </c>
      <c r="F3805">
        <v>1680.99</v>
      </c>
      <c r="G3805">
        <v>0.1</v>
      </c>
      <c r="H3805">
        <v>168.09900000000002</v>
      </c>
      <c r="I3805">
        <f>order_items[[#This Row],[list_price]]-order_items[[#This Row],[Discounted_price]]</f>
        <v>1512.8910000000001</v>
      </c>
      <c r="J3805">
        <f>VLOOKUP(B3805, Products!$A$2:$E$100, 3, FALSE)</f>
        <v>8</v>
      </c>
      <c r="K3805">
        <f>VLOOKUP(B3805, Products!$A$2:$F$100, 4, FALSE)</f>
        <v>6</v>
      </c>
    </row>
    <row r="3806" spans="1:11" x14ac:dyDescent="0.3">
      <c r="A3806">
        <v>1310</v>
      </c>
      <c r="B3806">
        <v>4</v>
      </c>
      <c r="C3806">
        <v>54</v>
      </c>
      <c r="D3806" t="str">
        <f>VLOOKUP(B3806, Products!$A$2:$C$100, 2, FALSE)</f>
        <v>Trek Fuel EX 8 29 - 2016</v>
      </c>
      <c r="E3806">
        <v>1</v>
      </c>
      <c r="F3806">
        <v>3199.99</v>
      </c>
      <c r="G3806">
        <v>0.2</v>
      </c>
      <c r="H3806">
        <v>639.99800000000005</v>
      </c>
      <c r="I3806">
        <f>order_items[[#This Row],[list_price]]-order_items[[#This Row],[Discounted_price]]</f>
        <v>2559.9919999999997</v>
      </c>
      <c r="J3806">
        <f>VLOOKUP(B3806, Products!$A$2:$E$100, 3, FALSE)</f>
        <v>9</v>
      </c>
      <c r="K3806">
        <f>VLOOKUP(B3806, Products!$A$2:$F$100, 4, FALSE)</f>
        <v>6</v>
      </c>
    </row>
    <row r="3807" spans="1:11" x14ac:dyDescent="0.3">
      <c r="A3807">
        <v>1311</v>
      </c>
      <c r="B3807">
        <v>1</v>
      </c>
      <c r="C3807">
        <v>69</v>
      </c>
      <c r="D3807" t="str">
        <f>VLOOKUP(B3807, Products!$A$2:$C$100, 2, FALSE)</f>
        <v>Trek 820 - 2016</v>
      </c>
      <c r="E3807">
        <v>1</v>
      </c>
      <c r="F3807">
        <v>416.99</v>
      </c>
      <c r="G3807">
        <v>0.1</v>
      </c>
      <c r="H3807">
        <v>41.699000000000005</v>
      </c>
      <c r="I3807">
        <f>order_items[[#This Row],[list_price]]-order_items[[#This Row],[Discounted_price]]</f>
        <v>375.291</v>
      </c>
      <c r="J3807">
        <f>VLOOKUP(B3807, Products!$A$2:$E$100, 3, FALSE)</f>
        <v>9</v>
      </c>
      <c r="K3807">
        <f>VLOOKUP(B3807, Products!$A$2:$F$100, 4, FALSE)</f>
        <v>6</v>
      </c>
    </row>
    <row r="3808" spans="1:11" x14ac:dyDescent="0.3">
      <c r="A3808">
        <v>1311</v>
      </c>
      <c r="B3808">
        <v>2</v>
      </c>
      <c r="C3808">
        <v>45</v>
      </c>
      <c r="D3808" t="str">
        <f>VLOOKUP(B3808, Products!$A$2:$C$100, 2, FALSE)</f>
        <v>Ritchey Timberwolf Frameset - 2016</v>
      </c>
      <c r="E3808">
        <v>2</v>
      </c>
      <c r="F3808">
        <v>869.99</v>
      </c>
      <c r="G3808">
        <v>7.0000000000000007E-2</v>
      </c>
      <c r="H3808">
        <v>60.899300000000004</v>
      </c>
      <c r="I3808">
        <f>order_items[[#This Row],[list_price]]-order_items[[#This Row],[Discounted_price]]</f>
        <v>809.09069999999997</v>
      </c>
      <c r="J3808">
        <f>VLOOKUP(B3808, Products!$A$2:$E$100, 3, FALSE)</f>
        <v>5</v>
      </c>
      <c r="K3808">
        <f>VLOOKUP(B3808, Products!$A$2:$F$100, 4, FALSE)</f>
        <v>6</v>
      </c>
    </row>
    <row r="3809" spans="1:11" x14ac:dyDescent="0.3">
      <c r="A3809">
        <v>1311</v>
      </c>
      <c r="B3809">
        <v>3</v>
      </c>
      <c r="C3809">
        <v>27</v>
      </c>
      <c r="D3809" t="str">
        <f>VLOOKUP(B3809, Products!$A$2:$C$100, 2, FALSE)</f>
        <v>Surly Wednesday Frameset - 2016</v>
      </c>
      <c r="E3809">
        <v>2</v>
      </c>
      <c r="F3809">
        <v>999.99</v>
      </c>
      <c r="G3809">
        <v>0.1</v>
      </c>
      <c r="H3809">
        <v>99.999000000000009</v>
      </c>
      <c r="I3809">
        <f>order_items[[#This Row],[list_price]]-order_items[[#This Row],[Discounted_price]]</f>
        <v>899.99099999999999</v>
      </c>
      <c r="J3809">
        <f>VLOOKUP(B3809, Products!$A$2:$E$100, 3, FALSE)</f>
        <v>8</v>
      </c>
      <c r="K3809">
        <f>VLOOKUP(B3809, Products!$A$2:$F$100, 4, FALSE)</f>
        <v>6</v>
      </c>
    </row>
    <row r="3810" spans="1:11" x14ac:dyDescent="0.3">
      <c r="A3810">
        <v>1311</v>
      </c>
      <c r="B3810">
        <v>4</v>
      </c>
      <c r="C3810">
        <v>42</v>
      </c>
      <c r="D3810" t="str">
        <f>VLOOKUP(B3810, Products!$A$2:$C$100, 2, FALSE)</f>
        <v>Trek Fuel EX 8 29 - 2016</v>
      </c>
      <c r="E3810">
        <v>1</v>
      </c>
      <c r="F3810">
        <v>2299.9899999999998</v>
      </c>
      <c r="G3810">
        <v>0.1</v>
      </c>
      <c r="H3810">
        <v>229.999</v>
      </c>
      <c r="I3810">
        <f>order_items[[#This Row],[list_price]]-order_items[[#This Row],[Discounted_price]]</f>
        <v>2069.991</v>
      </c>
      <c r="J3810">
        <f>VLOOKUP(B3810, Products!$A$2:$E$100, 3, FALSE)</f>
        <v>9</v>
      </c>
      <c r="K3810">
        <f>VLOOKUP(B3810, Products!$A$2:$F$100, 4, FALSE)</f>
        <v>6</v>
      </c>
    </row>
    <row r="3811" spans="1:11" x14ac:dyDescent="0.3">
      <c r="A3811">
        <v>1312</v>
      </c>
      <c r="B3811">
        <v>1</v>
      </c>
      <c r="C3811">
        <v>67</v>
      </c>
      <c r="D3811" t="str">
        <f>VLOOKUP(B3811, Products!$A$2:$C$100, 2, FALSE)</f>
        <v>Trek 820 - 2016</v>
      </c>
      <c r="E3811">
        <v>2</v>
      </c>
      <c r="F3811">
        <v>250.99</v>
      </c>
      <c r="G3811">
        <v>0.05</v>
      </c>
      <c r="H3811">
        <v>12.549500000000002</v>
      </c>
      <c r="I3811">
        <f>order_items[[#This Row],[list_price]]-order_items[[#This Row],[Discounted_price]]</f>
        <v>238.44050000000001</v>
      </c>
      <c r="J3811">
        <f>VLOOKUP(B3811, Products!$A$2:$E$100, 3, FALSE)</f>
        <v>9</v>
      </c>
      <c r="K3811">
        <f>VLOOKUP(B3811, Products!$A$2:$F$100, 4, FALSE)</f>
        <v>6</v>
      </c>
    </row>
    <row r="3812" spans="1:11" x14ac:dyDescent="0.3">
      <c r="A3812">
        <v>1312</v>
      </c>
      <c r="B3812">
        <v>2</v>
      </c>
      <c r="C3812">
        <v>14</v>
      </c>
      <c r="D3812" t="str">
        <f>VLOOKUP(B3812, Products!$A$2:$C$100, 2, FALSE)</f>
        <v>Ritchey Timberwolf Frameset - 2016</v>
      </c>
      <c r="E3812">
        <v>1</v>
      </c>
      <c r="F3812">
        <v>269.99</v>
      </c>
      <c r="G3812">
        <v>0.2</v>
      </c>
      <c r="H3812">
        <v>53.998000000000005</v>
      </c>
      <c r="I3812">
        <f>order_items[[#This Row],[list_price]]-order_items[[#This Row],[Discounted_price]]</f>
        <v>215.99200000000002</v>
      </c>
      <c r="J3812">
        <f>VLOOKUP(B3812, Products!$A$2:$E$100, 3, FALSE)</f>
        <v>5</v>
      </c>
      <c r="K3812">
        <f>VLOOKUP(B3812, Products!$A$2:$F$100, 4, FALSE)</f>
        <v>6</v>
      </c>
    </row>
    <row r="3813" spans="1:11" x14ac:dyDescent="0.3">
      <c r="A3813">
        <v>1312</v>
      </c>
      <c r="B3813">
        <v>3</v>
      </c>
      <c r="C3813">
        <v>20</v>
      </c>
      <c r="D3813" t="str">
        <f>VLOOKUP(B3813, Products!$A$2:$C$100, 2, FALSE)</f>
        <v>Surly Wednesday Frameset - 2016</v>
      </c>
      <c r="E3813">
        <v>1</v>
      </c>
      <c r="F3813">
        <v>599.99</v>
      </c>
      <c r="G3813">
        <v>7.0000000000000007E-2</v>
      </c>
      <c r="H3813">
        <v>41.999300000000005</v>
      </c>
      <c r="I3813">
        <f>order_items[[#This Row],[list_price]]-order_items[[#This Row],[Discounted_price]]</f>
        <v>557.99070000000006</v>
      </c>
      <c r="J3813">
        <f>VLOOKUP(B3813, Products!$A$2:$E$100, 3, FALSE)</f>
        <v>8</v>
      </c>
      <c r="K3813">
        <f>VLOOKUP(B3813, Products!$A$2:$F$100, 4, FALSE)</f>
        <v>6</v>
      </c>
    </row>
    <row r="3814" spans="1:11" x14ac:dyDescent="0.3">
      <c r="A3814">
        <v>1313</v>
      </c>
      <c r="B3814">
        <v>1</v>
      </c>
      <c r="C3814">
        <v>75</v>
      </c>
      <c r="D3814" t="str">
        <f>VLOOKUP(B3814, Products!$A$2:$C$100, 2, FALSE)</f>
        <v>Trek 820 - 2016</v>
      </c>
      <c r="E3814">
        <v>1</v>
      </c>
      <c r="F3814">
        <v>599.99</v>
      </c>
      <c r="G3814">
        <v>0.2</v>
      </c>
      <c r="H3814">
        <v>119.998</v>
      </c>
      <c r="I3814">
        <f>order_items[[#This Row],[list_price]]-order_items[[#This Row],[Discounted_price]]</f>
        <v>479.99200000000002</v>
      </c>
      <c r="J3814">
        <f>VLOOKUP(B3814, Products!$A$2:$E$100, 3, FALSE)</f>
        <v>9</v>
      </c>
      <c r="K3814">
        <f>VLOOKUP(B3814, Products!$A$2:$F$100, 4, FALSE)</f>
        <v>6</v>
      </c>
    </row>
    <row r="3815" spans="1:11" x14ac:dyDescent="0.3">
      <c r="A3815">
        <v>1313</v>
      </c>
      <c r="B3815">
        <v>2</v>
      </c>
      <c r="C3815">
        <v>33</v>
      </c>
      <c r="D3815" t="str">
        <f>VLOOKUP(B3815, Products!$A$2:$C$100, 2, FALSE)</f>
        <v>Ritchey Timberwolf Frameset - 2016</v>
      </c>
      <c r="E3815">
        <v>1</v>
      </c>
      <c r="F3815">
        <v>469.99</v>
      </c>
      <c r="G3815">
        <v>0.2</v>
      </c>
      <c r="H3815">
        <v>93.998000000000005</v>
      </c>
      <c r="I3815">
        <f>order_items[[#This Row],[list_price]]-order_items[[#This Row],[Discounted_price]]</f>
        <v>375.99200000000002</v>
      </c>
      <c r="J3815">
        <f>VLOOKUP(B3815, Products!$A$2:$E$100, 3, FALSE)</f>
        <v>5</v>
      </c>
      <c r="K3815">
        <f>VLOOKUP(B3815, Products!$A$2:$F$100, 4, FALSE)</f>
        <v>6</v>
      </c>
    </row>
    <row r="3816" spans="1:11" x14ac:dyDescent="0.3">
      <c r="A3816">
        <v>1313</v>
      </c>
      <c r="B3816">
        <v>3</v>
      </c>
      <c r="C3816">
        <v>69</v>
      </c>
      <c r="D3816" t="str">
        <f>VLOOKUP(B3816, Products!$A$2:$C$100, 2, FALSE)</f>
        <v>Surly Wednesday Frameset - 2016</v>
      </c>
      <c r="E3816">
        <v>1</v>
      </c>
      <c r="F3816">
        <v>416.99</v>
      </c>
      <c r="G3816">
        <v>7.0000000000000007E-2</v>
      </c>
      <c r="H3816">
        <v>29.189300000000003</v>
      </c>
      <c r="I3816">
        <f>order_items[[#This Row],[list_price]]-order_items[[#This Row],[Discounted_price]]</f>
        <v>387.80070000000001</v>
      </c>
      <c r="J3816">
        <f>VLOOKUP(B3816, Products!$A$2:$E$100, 3, FALSE)</f>
        <v>8</v>
      </c>
      <c r="K3816">
        <f>VLOOKUP(B3816, Products!$A$2:$F$100, 4, FALSE)</f>
        <v>6</v>
      </c>
    </row>
    <row r="3817" spans="1:11" x14ac:dyDescent="0.3">
      <c r="A3817">
        <v>1314</v>
      </c>
      <c r="B3817">
        <v>1</v>
      </c>
      <c r="C3817">
        <v>52</v>
      </c>
      <c r="D3817" t="str">
        <f>VLOOKUP(B3817, Products!$A$2:$C$100, 2, FALSE)</f>
        <v>Trek 820 - 2016</v>
      </c>
      <c r="E3817">
        <v>1</v>
      </c>
      <c r="F3817">
        <v>875.99</v>
      </c>
      <c r="G3817">
        <v>7.0000000000000007E-2</v>
      </c>
      <c r="H3817">
        <v>61.319300000000005</v>
      </c>
      <c r="I3817">
        <f>order_items[[#This Row],[list_price]]-order_items[[#This Row],[Discounted_price]]</f>
        <v>814.67070000000001</v>
      </c>
      <c r="J3817">
        <f>VLOOKUP(B3817, Products!$A$2:$E$100, 3, FALSE)</f>
        <v>9</v>
      </c>
      <c r="K3817">
        <f>VLOOKUP(B3817, Products!$A$2:$F$100, 4, FALSE)</f>
        <v>6</v>
      </c>
    </row>
    <row r="3818" spans="1:11" x14ac:dyDescent="0.3">
      <c r="A3818">
        <v>1314</v>
      </c>
      <c r="B3818">
        <v>2</v>
      </c>
      <c r="C3818">
        <v>72</v>
      </c>
      <c r="D3818" t="str">
        <f>VLOOKUP(B3818, Products!$A$2:$C$100, 2, FALSE)</f>
        <v>Ritchey Timberwolf Frameset - 2016</v>
      </c>
      <c r="E3818">
        <v>2</v>
      </c>
      <c r="F3818">
        <v>619.99</v>
      </c>
      <c r="G3818">
        <v>0.05</v>
      </c>
      <c r="H3818">
        <v>30.999500000000001</v>
      </c>
      <c r="I3818">
        <f>order_items[[#This Row],[list_price]]-order_items[[#This Row],[Discounted_price]]</f>
        <v>588.9905</v>
      </c>
      <c r="J3818">
        <f>VLOOKUP(B3818, Products!$A$2:$E$100, 3, FALSE)</f>
        <v>5</v>
      </c>
      <c r="K3818">
        <f>VLOOKUP(B3818, Products!$A$2:$F$100, 4, FALSE)</f>
        <v>6</v>
      </c>
    </row>
    <row r="3819" spans="1:11" x14ac:dyDescent="0.3">
      <c r="A3819">
        <v>1314</v>
      </c>
      <c r="B3819">
        <v>3</v>
      </c>
      <c r="C3819">
        <v>94</v>
      </c>
      <c r="D3819" t="str">
        <f>VLOOKUP(B3819, Products!$A$2:$C$100, 2, FALSE)</f>
        <v>Surly Wednesday Frameset - 2016</v>
      </c>
      <c r="E3819">
        <v>1</v>
      </c>
      <c r="F3819">
        <v>249.99</v>
      </c>
      <c r="G3819">
        <v>0.1</v>
      </c>
      <c r="H3819">
        <v>24.999000000000002</v>
      </c>
      <c r="I3819">
        <f>order_items[[#This Row],[list_price]]-order_items[[#This Row],[Discounted_price]]</f>
        <v>224.99100000000001</v>
      </c>
      <c r="J3819">
        <f>VLOOKUP(B3819, Products!$A$2:$E$100, 3, FALSE)</f>
        <v>8</v>
      </c>
      <c r="K3819">
        <f>VLOOKUP(B3819, Products!$A$2:$F$100, 4, FALSE)</f>
        <v>6</v>
      </c>
    </row>
    <row r="3820" spans="1:11" x14ac:dyDescent="0.3">
      <c r="A3820">
        <v>1315</v>
      </c>
      <c r="B3820">
        <v>1</v>
      </c>
      <c r="C3820">
        <v>104</v>
      </c>
      <c r="D3820" t="str">
        <f>VLOOKUP(B3820, Products!$A$2:$C$100, 2, FALSE)</f>
        <v>Trek 820 - 2016</v>
      </c>
      <c r="E3820">
        <v>2</v>
      </c>
      <c r="F3820">
        <v>481.99</v>
      </c>
      <c r="G3820">
        <v>7.0000000000000007E-2</v>
      </c>
      <c r="H3820">
        <v>33.739300000000007</v>
      </c>
      <c r="I3820">
        <f>order_items[[#This Row],[list_price]]-order_items[[#This Row],[Discounted_price]]</f>
        <v>448.25069999999999</v>
      </c>
      <c r="J3820">
        <f>VLOOKUP(B3820, Products!$A$2:$E$100, 3, FALSE)</f>
        <v>9</v>
      </c>
      <c r="K3820">
        <f>VLOOKUP(B3820, Products!$A$2:$F$100, 4, FALSE)</f>
        <v>6</v>
      </c>
    </row>
    <row r="3821" spans="1:11" x14ac:dyDescent="0.3">
      <c r="A3821">
        <v>1315</v>
      </c>
      <c r="B3821">
        <v>2</v>
      </c>
      <c r="C3821">
        <v>41</v>
      </c>
      <c r="D3821" t="str">
        <f>VLOOKUP(B3821, Products!$A$2:$C$100, 2, FALSE)</f>
        <v>Ritchey Timberwolf Frameset - 2016</v>
      </c>
      <c r="E3821">
        <v>1</v>
      </c>
      <c r="F3821">
        <v>1469.99</v>
      </c>
      <c r="G3821">
        <v>0.05</v>
      </c>
      <c r="H3821">
        <v>73.499499999999998</v>
      </c>
      <c r="I3821">
        <f>order_items[[#This Row],[list_price]]-order_items[[#This Row],[Discounted_price]]</f>
        <v>1396.4905000000001</v>
      </c>
      <c r="J3821">
        <f>VLOOKUP(B3821, Products!$A$2:$E$100, 3, FALSE)</f>
        <v>5</v>
      </c>
      <c r="K3821">
        <f>VLOOKUP(B3821, Products!$A$2:$F$100, 4, FALSE)</f>
        <v>6</v>
      </c>
    </row>
    <row r="3822" spans="1:11" x14ac:dyDescent="0.3">
      <c r="A3822">
        <v>1315</v>
      </c>
      <c r="B3822">
        <v>3</v>
      </c>
      <c r="C3822">
        <v>24</v>
      </c>
      <c r="D3822" t="str">
        <f>VLOOKUP(B3822, Products!$A$2:$C$100, 2, FALSE)</f>
        <v>Surly Wednesday Frameset - 2016</v>
      </c>
      <c r="E3822">
        <v>1</v>
      </c>
      <c r="F3822">
        <v>549.99</v>
      </c>
      <c r="G3822">
        <v>0.1</v>
      </c>
      <c r="H3822">
        <v>54.999000000000002</v>
      </c>
      <c r="I3822">
        <f>order_items[[#This Row],[list_price]]-order_items[[#This Row],[Discounted_price]]</f>
        <v>494.99099999999999</v>
      </c>
      <c r="J3822">
        <f>VLOOKUP(B3822, Products!$A$2:$E$100, 3, FALSE)</f>
        <v>8</v>
      </c>
      <c r="K3822">
        <f>VLOOKUP(B3822, Products!$A$2:$F$100, 4, FALSE)</f>
        <v>6</v>
      </c>
    </row>
    <row r="3823" spans="1:11" x14ac:dyDescent="0.3">
      <c r="A3823">
        <v>1315</v>
      </c>
      <c r="B3823">
        <v>4</v>
      </c>
      <c r="C3823">
        <v>26</v>
      </c>
      <c r="D3823" t="str">
        <f>VLOOKUP(B3823, Products!$A$2:$C$100, 2, FALSE)</f>
        <v>Trek Fuel EX 8 29 - 2016</v>
      </c>
      <c r="E3823">
        <v>1</v>
      </c>
      <c r="F3823">
        <v>599.99</v>
      </c>
      <c r="G3823">
        <v>7.0000000000000007E-2</v>
      </c>
      <c r="H3823">
        <v>41.999300000000005</v>
      </c>
      <c r="I3823">
        <f>order_items[[#This Row],[list_price]]-order_items[[#This Row],[Discounted_price]]</f>
        <v>557.99070000000006</v>
      </c>
      <c r="J3823">
        <f>VLOOKUP(B3823, Products!$A$2:$E$100, 3, FALSE)</f>
        <v>9</v>
      </c>
      <c r="K3823">
        <f>VLOOKUP(B3823, Products!$A$2:$F$100, 4, FALSE)</f>
        <v>6</v>
      </c>
    </row>
    <row r="3824" spans="1:11" x14ac:dyDescent="0.3">
      <c r="A3824">
        <v>1315</v>
      </c>
      <c r="B3824">
        <v>5</v>
      </c>
      <c r="C3824">
        <v>16</v>
      </c>
      <c r="D3824" t="str">
        <f>VLOOKUP(B3824, Products!$A$2:$C$100, 2, FALSE)</f>
        <v>Heller Shagamaw Frame - 2016</v>
      </c>
      <c r="E3824">
        <v>2</v>
      </c>
      <c r="F3824">
        <v>599.99</v>
      </c>
      <c r="G3824">
        <v>0.2</v>
      </c>
      <c r="H3824">
        <v>119.998</v>
      </c>
      <c r="I3824">
        <f>order_items[[#This Row],[list_price]]-order_items[[#This Row],[Discounted_price]]</f>
        <v>479.99200000000002</v>
      </c>
      <c r="J3824">
        <f>VLOOKUP(B3824, Products!$A$2:$E$100, 3, FALSE)</f>
        <v>3</v>
      </c>
      <c r="K3824">
        <f>VLOOKUP(B3824, Products!$A$2:$F$100, 4, FALSE)</f>
        <v>6</v>
      </c>
    </row>
    <row r="3825" spans="1:11" x14ac:dyDescent="0.3">
      <c r="A3825">
        <v>1316</v>
      </c>
      <c r="B3825">
        <v>1</v>
      </c>
      <c r="C3825">
        <v>76</v>
      </c>
      <c r="D3825" t="str">
        <f>VLOOKUP(B3825, Products!$A$2:$C$100, 2, FALSE)</f>
        <v>Trek 820 - 2016</v>
      </c>
      <c r="E3825">
        <v>2</v>
      </c>
      <c r="F3825">
        <v>299.99</v>
      </c>
      <c r="G3825">
        <v>0.1</v>
      </c>
      <c r="H3825">
        <v>29.999000000000002</v>
      </c>
      <c r="I3825">
        <f>order_items[[#This Row],[list_price]]-order_items[[#This Row],[Discounted_price]]</f>
        <v>269.99099999999999</v>
      </c>
      <c r="J3825">
        <f>VLOOKUP(B3825, Products!$A$2:$E$100, 3, FALSE)</f>
        <v>9</v>
      </c>
      <c r="K3825">
        <f>VLOOKUP(B3825, Products!$A$2:$F$100, 4, FALSE)</f>
        <v>6</v>
      </c>
    </row>
    <row r="3826" spans="1:11" x14ac:dyDescent="0.3">
      <c r="A3826">
        <v>1316</v>
      </c>
      <c r="B3826">
        <v>2</v>
      </c>
      <c r="C3826">
        <v>90</v>
      </c>
      <c r="D3826" t="str">
        <f>VLOOKUP(B3826, Products!$A$2:$C$100, 2, FALSE)</f>
        <v>Ritchey Timberwolf Frameset - 2016</v>
      </c>
      <c r="E3826">
        <v>1</v>
      </c>
      <c r="F3826">
        <v>209.99</v>
      </c>
      <c r="G3826">
        <v>0.1</v>
      </c>
      <c r="H3826">
        <v>20.999000000000002</v>
      </c>
      <c r="I3826">
        <f>order_items[[#This Row],[list_price]]-order_items[[#This Row],[Discounted_price]]</f>
        <v>188.99100000000001</v>
      </c>
      <c r="J3826">
        <f>VLOOKUP(B3826, Products!$A$2:$E$100, 3, FALSE)</f>
        <v>5</v>
      </c>
      <c r="K3826">
        <f>VLOOKUP(B3826, Products!$A$2:$F$100, 4, FALSE)</f>
        <v>6</v>
      </c>
    </row>
    <row r="3827" spans="1:11" x14ac:dyDescent="0.3">
      <c r="A3827">
        <v>1317</v>
      </c>
      <c r="B3827">
        <v>1</v>
      </c>
      <c r="C3827">
        <v>82</v>
      </c>
      <c r="D3827" t="str">
        <f>VLOOKUP(B3827, Products!$A$2:$C$100, 2, FALSE)</f>
        <v>Trek 820 - 2016</v>
      </c>
      <c r="E3827">
        <v>1</v>
      </c>
      <c r="F3827">
        <v>659.99</v>
      </c>
      <c r="G3827">
        <v>0.1</v>
      </c>
      <c r="H3827">
        <v>65.999000000000009</v>
      </c>
      <c r="I3827">
        <f>order_items[[#This Row],[list_price]]-order_items[[#This Row],[Discounted_price]]</f>
        <v>593.99099999999999</v>
      </c>
      <c r="J3827">
        <f>VLOOKUP(B3827, Products!$A$2:$E$100, 3, FALSE)</f>
        <v>9</v>
      </c>
      <c r="K3827">
        <f>VLOOKUP(B3827, Products!$A$2:$F$100, 4, FALSE)</f>
        <v>6</v>
      </c>
    </row>
    <row r="3828" spans="1:11" x14ac:dyDescent="0.3">
      <c r="A3828">
        <v>1318</v>
      </c>
      <c r="B3828">
        <v>1</v>
      </c>
      <c r="C3828">
        <v>82</v>
      </c>
      <c r="D3828" t="str">
        <f>VLOOKUP(B3828, Products!$A$2:$C$100, 2, FALSE)</f>
        <v>Trek 820 - 2016</v>
      </c>
      <c r="E3828">
        <v>2</v>
      </c>
      <c r="F3828">
        <v>659.99</v>
      </c>
      <c r="G3828">
        <v>0.2</v>
      </c>
      <c r="H3828">
        <v>131.99800000000002</v>
      </c>
      <c r="I3828">
        <f>order_items[[#This Row],[list_price]]-order_items[[#This Row],[Discounted_price]]</f>
        <v>527.99199999999996</v>
      </c>
      <c r="J3828">
        <f>VLOOKUP(B3828, Products!$A$2:$E$100, 3, FALSE)</f>
        <v>9</v>
      </c>
      <c r="K3828">
        <f>VLOOKUP(B3828, Products!$A$2:$F$100, 4, FALSE)</f>
        <v>6</v>
      </c>
    </row>
    <row r="3829" spans="1:11" x14ac:dyDescent="0.3">
      <c r="A3829">
        <v>1318</v>
      </c>
      <c r="B3829">
        <v>2</v>
      </c>
      <c r="C3829">
        <v>62</v>
      </c>
      <c r="D3829" t="str">
        <f>VLOOKUP(B3829, Products!$A$2:$C$100, 2, FALSE)</f>
        <v>Ritchey Timberwolf Frameset - 2016</v>
      </c>
      <c r="E3829">
        <v>2</v>
      </c>
      <c r="F3829">
        <v>3499.99</v>
      </c>
      <c r="G3829">
        <v>0.2</v>
      </c>
      <c r="H3829">
        <v>699.99800000000005</v>
      </c>
      <c r="I3829">
        <f>order_items[[#This Row],[list_price]]-order_items[[#This Row],[Discounted_price]]</f>
        <v>2799.9919999999997</v>
      </c>
      <c r="J3829">
        <f>VLOOKUP(B3829, Products!$A$2:$E$100, 3, FALSE)</f>
        <v>5</v>
      </c>
      <c r="K3829">
        <f>VLOOKUP(B3829, Products!$A$2:$F$100, 4, FALSE)</f>
        <v>6</v>
      </c>
    </row>
    <row r="3830" spans="1:11" x14ac:dyDescent="0.3">
      <c r="A3830">
        <v>1318</v>
      </c>
      <c r="B3830">
        <v>3</v>
      </c>
      <c r="C3830">
        <v>111</v>
      </c>
      <c r="D3830" t="str">
        <f>VLOOKUP(B3830, Products!$A$2:$C$100, 2, FALSE)</f>
        <v>Surly Wednesday Frameset - 2016</v>
      </c>
      <c r="E3830">
        <v>1</v>
      </c>
      <c r="F3830">
        <v>470.99</v>
      </c>
      <c r="G3830">
        <v>0.2</v>
      </c>
      <c r="H3830">
        <v>94.198000000000008</v>
      </c>
      <c r="I3830">
        <f>order_items[[#This Row],[list_price]]-order_items[[#This Row],[Discounted_price]]</f>
        <v>376.79200000000003</v>
      </c>
      <c r="J3830">
        <f>VLOOKUP(B3830, Products!$A$2:$E$100, 3, FALSE)</f>
        <v>8</v>
      </c>
      <c r="K3830">
        <f>VLOOKUP(B3830, Products!$A$2:$F$100, 4, FALSE)</f>
        <v>6</v>
      </c>
    </row>
    <row r="3831" spans="1:11" x14ac:dyDescent="0.3">
      <c r="A3831">
        <v>1318</v>
      </c>
      <c r="B3831">
        <v>4</v>
      </c>
      <c r="C3831">
        <v>92</v>
      </c>
      <c r="D3831" t="str">
        <f>VLOOKUP(B3831, Products!$A$2:$C$100, 2, FALSE)</f>
        <v>Trek Fuel EX 8 29 - 2016</v>
      </c>
      <c r="E3831">
        <v>1</v>
      </c>
      <c r="F3831">
        <v>209.99</v>
      </c>
      <c r="G3831">
        <v>7.0000000000000007E-2</v>
      </c>
      <c r="H3831">
        <v>14.699300000000003</v>
      </c>
      <c r="I3831">
        <f>order_items[[#This Row],[list_price]]-order_items[[#This Row],[Discounted_price]]</f>
        <v>195.29070000000002</v>
      </c>
      <c r="J3831">
        <f>VLOOKUP(B3831, Products!$A$2:$E$100, 3, FALSE)</f>
        <v>9</v>
      </c>
      <c r="K3831">
        <f>VLOOKUP(B3831, Products!$A$2:$F$100, 4, FALSE)</f>
        <v>6</v>
      </c>
    </row>
    <row r="3832" spans="1:11" x14ac:dyDescent="0.3">
      <c r="A3832">
        <v>1319</v>
      </c>
      <c r="B3832">
        <v>1</v>
      </c>
      <c r="C3832">
        <v>75</v>
      </c>
      <c r="D3832" t="str">
        <f>VLOOKUP(B3832, Products!$A$2:$C$100, 2, FALSE)</f>
        <v>Trek 820 - 2016</v>
      </c>
      <c r="E3832">
        <v>1</v>
      </c>
      <c r="F3832">
        <v>599.99</v>
      </c>
      <c r="G3832">
        <v>7.0000000000000007E-2</v>
      </c>
      <c r="H3832">
        <v>41.999300000000005</v>
      </c>
      <c r="I3832">
        <f>order_items[[#This Row],[list_price]]-order_items[[#This Row],[Discounted_price]]</f>
        <v>557.99070000000006</v>
      </c>
      <c r="J3832">
        <f>VLOOKUP(B3832, Products!$A$2:$E$100, 3, FALSE)</f>
        <v>9</v>
      </c>
      <c r="K3832">
        <f>VLOOKUP(B3832, Products!$A$2:$F$100, 4, FALSE)</f>
        <v>6</v>
      </c>
    </row>
    <row r="3833" spans="1:11" x14ac:dyDescent="0.3">
      <c r="A3833">
        <v>1319</v>
      </c>
      <c r="B3833">
        <v>2</v>
      </c>
      <c r="C3833">
        <v>91</v>
      </c>
      <c r="D3833" t="str">
        <f>VLOOKUP(B3833, Products!$A$2:$C$100, 2, FALSE)</f>
        <v>Ritchey Timberwolf Frameset - 2016</v>
      </c>
      <c r="E3833">
        <v>1</v>
      </c>
      <c r="F3833">
        <v>349.99</v>
      </c>
      <c r="G3833">
        <v>0.2</v>
      </c>
      <c r="H3833">
        <v>69.998000000000005</v>
      </c>
      <c r="I3833">
        <f>order_items[[#This Row],[list_price]]-order_items[[#This Row],[Discounted_price]]</f>
        <v>279.99200000000002</v>
      </c>
      <c r="J3833">
        <f>VLOOKUP(B3833, Products!$A$2:$E$100, 3, FALSE)</f>
        <v>5</v>
      </c>
      <c r="K3833">
        <f>VLOOKUP(B3833, Products!$A$2:$F$100, 4, FALSE)</f>
        <v>6</v>
      </c>
    </row>
    <row r="3834" spans="1:11" x14ac:dyDescent="0.3">
      <c r="A3834">
        <v>1320</v>
      </c>
      <c r="B3834">
        <v>1</v>
      </c>
      <c r="C3834">
        <v>104</v>
      </c>
      <c r="D3834" t="str">
        <f>VLOOKUP(B3834, Products!$A$2:$C$100, 2, FALSE)</f>
        <v>Trek 820 - 2016</v>
      </c>
      <c r="E3834">
        <v>1</v>
      </c>
      <c r="F3834">
        <v>481.99</v>
      </c>
      <c r="G3834">
        <v>0.1</v>
      </c>
      <c r="H3834">
        <v>48.199000000000005</v>
      </c>
      <c r="I3834">
        <f>order_items[[#This Row],[list_price]]-order_items[[#This Row],[Discounted_price]]</f>
        <v>433.791</v>
      </c>
      <c r="J3834">
        <f>VLOOKUP(B3834, Products!$A$2:$E$100, 3, FALSE)</f>
        <v>9</v>
      </c>
      <c r="K3834">
        <f>VLOOKUP(B3834, Products!$A$2:$F$100, 4, FALSE)</f>
        <v>6</v>
      </c>
    </row>
    <row r="3835" spans="1:11" x14ac:dyDescent="0.3">
      <c r="A3835">
        <v>1320</v>
      </c>
      <c r="B3835">
        <v>2</v>
      </c>
      <c r="C3835">
        <v>93</v>
      </c>
      <c r="D3835" t="str">
        <f>VLOOKUP(B3835, Products!$A$2:$C$100, 2, FALSE)</f>
        <v>Ritchey Timberwolf Frameset - 2016</v>
      </c>
      <c r="E3835">
        <v>1</v>
      </c>
      <c r="F3835">
        <v>209.99</v>
      </c>
      <c r="G3835">
        <v>0.05</v>
      </c>
      <c r="H3835">
        <v>10.499500000000001</v>
      </c>
      <c r="I3835">
        <f>order_items[[#This Row],[list_price]]-order_items[[#This Row],[Discounted_price]]</f>
        <v>199.4905</v>
      </c>
      <c r="J3835">
        <f>VLOOKUP(B3835, Products!$A$2:$E$100, 3, FALSE)</f>
        <v>5</v>
      </c>
      <c r="K3835">
        <f>VLOOKUP(B3835, Products!$A$2:$F$100, 4, FALSE)</f>
        <v>6</v>
      </c>
    </row>
    <row r="3836" spans="1:11" x14ac:dyDescent="0.3">
      <c r="A3836">
        <v>1320</v>
      </c>
      <c r="B3836">
        <v>3</v>
      </c>
      <c r="C3836">
        <v>99</v>
      </c>
      <c r="D3836" t="str">
        <f>VLOOKUP(B3836, Products!$A$2:$C$100, 2, FALSE)</f>
        <v>Surly Wednesday Frameset - 2016</v>
      </c>
      <c r="E3836">
        <v>2</v>
      </c>
      <c r="F3836">
        <v>299.99</v>
      </c>
      <c r="G3836">
        <v>0.2</v>
      </c>
      <c r="H3836">
        <v>59.998000000000005</v>
      </c>
      <c r="I3836">
        <f>order_items[[#This Row],[list_price]]-order_items[[#This Row],[Discounted_price]]</f>
        <v>239.99200000000002</v>
      </c>
      <c r="J3836">
        <f>VLOOKUP(B3836, Products!$A$2:$E$100, 3, FALSE)</f>
        <v>8</v>
      </c>
      <c r="K3836">
        <f>VLOOKUP(B3836, Products!$A$2:$F$100, 4, FALSE)</f>
        <v>6</v>
      </c>
    </row>
    <row r="3837" spans="1:11" x14ac:dyDescent="0.3">
      <c r="A3837">
        <v>1321</v>
      </c>
      <c r="B3837">
        <v>1</v>
      </c>
      <c r="C3837">
        <v>34</v>
      </c>
      <c r="D3837" t="str">
        <f>VLOOKUP(B3837, Products!$A$2:$C$100, 2, FALSE)</f>
        <v>Trek 820 - 2016</v>
      </c>
      <c r="E3837">
        <v>1</v>
      </c>
      <c r="F3837">
        <v>469.99</v>
      </c>
      <c r="G3837">
        <v>0.1</v>
      </c>
      <c r="H3837">
        <v>46.999000000000002</v>
      </c>
      <c r="I3837">
        <f>order_items[[#This Row],[list_price]]-order_items[[#This Row],[Discounted_price]]</f>
        <v>422.99099999999999</v>
      </c>
      <c r="J3837">
        <f>VLOOKUP(B3837, Products!$A$2:$E$100, 3, FALSE)</f>
        <v>9</v>
      </c>
      <c r="K3837">
        <f>VLOOKUP(B3837, Products!$A$2:$F$100, 4, FALSE)</f>
        <v>6</v>
      </c>
    </row>
    <row r="3838" spans="1:11" x14ac:dyDescent="0.3">
      <c r="A3838">
        <v>1321</v>
      </c>
      <c r="B3838">
        <v>2</v>
      </c>
      <c r="C3838">
        <v>107</v>
      </c>
      <c r="D3838" t="str">
        <f>VLOOKUP(B3838, Products!$A$2:$C$100, 2, FALSE)</f>
        <v>Ritchey Timberwolf Frameset - 2016</v>
      </c>
      <c r="E3838">
        <v>1</v>
      </c>
      <c r="F3838">
        <v>416.99</v>
      </c>
      <c r="G3838">
        <v>0.1</v>
      </c>
      <c r="H3838">
        <v>41.699000000000005</v>
      </c>
      <c r="I3838">
        <f>order_items[[#This Row],[list_price]]-order_items[[#This Row],[Discounted_price]]</f>
        <v>375.291</v>
      </c>
      <c r="J3838">
        <f>VLOOKUP(B3838, Products!$A$2:$E$100, 3, FALSE)</f>
        <v>5</v>
      </c>
      <c r="K3838">
        <f>VLOOKUP(B3838, Products!$A$2:$F$100, 4, FALSE)</f>
        <v>6</v>
      </c>
    </row>
    <row r="3839" spans="1:11" x14ac:dyDescent="0.3">
      <c r="A3839">
        <v>1321</v>
      </c>
      <c r="B3839">
        <v>3</v>
      </c>
      <c r="C3839">
        <v>11</v>
      </c>
      <c r="D3839" t="str">
        <f>VLOOKUP(B3839, Products!$A$2:$C$100, 2, FALSE)</f>
        <v>Surly Wednesday Frameset - 2016</v>
      </c>
      <c r="E3839">
        <v>2</v>
      </c>
      <c r="F3839">
        <v>1680.99</v>
      </c>
      <c r="G3839">
        <v>0.1</v>
      </c>
      <c r="H3839">
        <v>168.09900000000002</v>
      </c>
      <c r="I3839">
        <f>order_items[[#This Row],[list_price]]-order_items[[#This Row],[Discounted_price]]</f>
        <v>1512.8910000000001</v>
      </c>
      <c r="J3839">
        <f>VLOOKUP(B3839, Products!$A$2:$E$100, 3, FALSE)</f>
        <v>8</v>
      </c>
      <c r="K3839">
        <f>VLOOKUP(B3839, Products!$A$2:$F$100, 4, FALSE)</f>
        <v>6</v>
      </c>
    </row>
    <row r="3840" spans="1:11" x14ac:dyDescent="0.3">
      <c r="A3840">
        <v>1322</v>
      </c>
      <c r="B3840">
        <v>1</v>
      </c>
      <c r="C3840">
        <v>28</v>
      </c>
      <c r="D3840" t="str">
        <f>VLOOKUP(B3840, Products!$A$2:$C$100, 2, FALSE)</f>
        <v>Trek 820 - 2016</v>
      </c>
      <c r="E3840">
        <v>2</v>
      </c>
      <c r="F3840">
        <v>2499.9899999999998</v>
      </c>
      <c r="G3840">
        <v>0.05</v>
      </c>
      <c r="H3840">
        <v>124.9995</v>
      </c>
      <c r="I3840">
        <f>order_items[[#This Row],[list_price]]-order_items[[#This Row],[Discounted_price]]</f>
        <v>2374.9904999999999</v>
      </c>
      <c r="J3840">
        <f>VLOOKUP(B3840, Products!$A$2:$E$100, 3, FALSE)</f>
        <v>9</v>
      </c>
      <c r="K3840">
        <f>VLOOKUP(B3840, Products!$A$2:$F$100, 4, FALSE)</f>
        <v>6</v>
      </c>
    </row>
    <row r="3841" spans="1:11" x14ac:dyDescent="0.3">
      <c r="A3841">
        <v>1322</v>
      </c>
      <c r="B3841">
        <v>2</v>
      </c>
      <c r="C3841">
        <v>104</v>
      </c>
      <c r="D3841" t="str">
        <f>VLOOKUP(B3841, Products!$A$2:$C$100, 2, FALSE)</f>
        <v>Ritchey Timberwolf Frameset - 2016</v>
      </c>
      <c r="E3841">
        <v>2</v>
      </c>
      <c r="F3841">
        <v>481.99</v>
      </c>
      <c r="G3841">
        <v>0.05</v>
      </c>
      <c r="H3841">
        <v>24.099500000000003</v>
      </c>
      <c r="I3841">
        <f>order_items[[#This Row],[list_price]]-order_items[[#This Row],[Discounted_price]]</f>
        <v>457.89050000000003</v>
      </c>
      <c r="J3841">
        <f>VLOOKUP(B3841, Products!$A$2:$E$100, 3, FALSE)</f>
        <v>5</v>
      </c>
      <c r="K3841">
        <f>VLOOKUP(B3841, Products!$A$2:$F$100, 4, FALSE)</f>
        <v>6</v>
      </c>
    </row>
    <row r="3842" spans="1:11" x14ac:dyDescent="0.3">
      <c r="A3842">
        <v>1323</v>
      </c>
      <c r="B3842">
        <v>1</v>
      </c>
      <c r="C3842">
        <v>27</v>
      </c>
      <c r="D3842" t="str">
        <f>VLOOKUP(B3842, Products!$A$2:$C$100, 2, FALSE)</f>
        <v>Trek 820 - 2016</v>
      </c>
      <c r="E3842">
        <v>2</v>
      </c>
      <c r="F3842">
        <v>999.99</v>
      </c>
      <c r="G3842">
        <v>7.0000000000000007E-2</v>
      </c>
      <c r="H3842">
        <v>69.999300000000005</v>
      </c>
      <c r="I3842">
        <f>order_items[[#This Row],[list_price]]-order_items[[#This Row],[Discounted_price]]</f>
        <v>929.99070000000006</v>
      </c>
      <c r="J3842">
        <f>VLOOKUP(B3842, Products!$A$2:$E$100, 3, FALSE)</f>
        <v>9</v>
      </c>
      <c r="K3842">
        <f>VLOOKUP(B3842, Products!$A$2:$F$100, 4, FALSE)</f>
        <v>6</v>
      </c>
    </row>
    <row r="3843" spans="1:11" x14ac:dyDescent="0.3">
      <c r="A3843">
        <v>1323</v>
      </c>
      <c r="B3843">
        <v>2</v>
      </c>
      <c r="C3843">
        <v>20</v>
      </c>
      <c r="D3843" t="str">
        <f>VLOOKUP(B3843, Products!$A$2:$C$100, 2, FALSE)</f>
        <v>Ritchey Timberwolf Frameset - 2016</v>
      </c>
      <c r="E3843">
        <v>1</v>
      </c>
      <c r="F3843">
        <v>599.99</v>
      </c>
      <c r="G3843">
        <v>0.05</v>
      </c>
      <c r="H3843">
        <v>29.999500000000001</v>
      </c>
      <c r="I3843">
        <f>order_items[[#This Row],[list_price]]-order_items[[#This Row],[Discounted_price]]</f>
        <v>569.9905</v>
      </c>
      <c r="J3843">
        <f>VLOOKUP(B3843, Products!$A$2:$E$100, 3, FALSE)</f>
        <v>5</v>
      </c>
      <c r="K3843">
        <f>VLOOKUP(B3843, Products!$A$2:$F$100, 4, FALSE)</f>
        <v>6</v>
      </c>
    </row>
    <row r="3844" spans="1:11" x14ac:dyDescent="0.3">
      <c r="A3844">
        <v>1323</v>
      </c>
      <c r="B3844">
        <v>3</v>
      </c>
      <c r="C3844">
        <v>70</v>
      </c>
      <c r="D3844" t="str">
        <f>VLOOKUP(B3844, Products!$A$2:$C$100, 2, FALSE)</f>
        <v>Surly Wednesday Frameset - 2016</v>
      </c>
      <c r="E3844">
        <v>1</v>
      </c>
      <c r="F3844">
        <v>659.99</v>
      </c>
      <c r="G3844">
        <v>0.05</v>
      </c>
      <c r="H3844">
        <v>32.999500000000005</v>
      </c>
      <c r="I3844">
        <f>order_items[[#This Row],[list_price]]-order_items[[#This Row],[Discounted_price]]</f>
        <v>626.9905</v>
      </c>
      <c r="J3844">
        <f>VLOOKUP(B3844, Products!$A$2:$E$100, 3, FALSE)</f>
        <v>8</v>
      </c>
      <c r="K3844">
        <f>VLOOKUP(B3844, Products!$A$2:$F$100, 4, FALSE)</f>
        <v>6</v>
      </c>
    </row>
    <row r="3845" spans="1:11" x14ac:dyDescent="0.3">
      <c r="A3845">
        <v>1324</v>
      </c>
      <c r="B3845">
        <v>1</v>
      </c>
      <c r="C3845">
        <v>66</v>
      </c>
      <c r="D3845" t="str">
        <f>VLOOKUP(B3845, Products!$A$2:$C$100, 2, FALSE)</f>
        <v>Trek 820 - 2016</v>
      </c>
      <c r="E3845">
        <v>1</v>
      </c>
      <c r="F3845">
        <v>250.99</v>
      </c>
      <c r="G3845">
        <v>0.1</v>
      </c>
      <c r="H3845">
        <v>25.099000000000004</v>
      </c>
      <c r="I3845">
        <f>order_items[[#This Row],[list_price]]-order_items[[#This Row],[Discounted_price]]</f>
        <v>225.89100000000002</v>
      </c>
      <c r="J3845">
        <f>VLOOKUP(B3845, Products!$A$2:$E$100, 3, FALSE)</f>
        <v>9</v>
      </c>
      <c r="K3845">
        <f>VLOOKUP(B3845, Products!$A$2:$F$100, 4, FALSE)</f>
        <v>6</v>
      </c>
    </row>
    <row r="3846" spans="1:11" x14ac:dyDescent="0.3">
      <c r="A3846">
        <v>1324</v>
      </c>
      <c r="B3846">
        <v>2</v>
      </c>
      <c r="C3846">
        <v>120</v>
      </c>
      <c r="D3846" t="str">
        <f>VLOOKUP(B3846, Products!$A$2:$C$100, 2, FALSE)</f>
        <v>Ritchey Timberwolf Frameset - 2016</v>
      </c>
      <c r="E3846">
        <v>2</v>
      </c>
      <c r="F3846">
        <v>2499.9899999999998</v>
      </c>
      <c r="G3846">
        <v>0.2</v>
      </c>
      <c r="H3846">
        <v>499.99799999999999</v>
      </c>
      <c r="I3846">
        <f>order_items[[#This Row],[list_price]]-order_items[[#This Row],[Discounted_price]]</f>
        <v>1999.9919999999997</v>
      </c>
      <c r="J3846">
        <f>VLOOKUP(B3846, Products!$A$2:$E$100, 3, FALSE)</f>
        <v>5</v>
      </c>
      <c r="K3846">
        <f>VLOOKUP(B3846, Products!$A$2:$F$100, 4, FALSE)</f>
        <v>6</v>
      </c>
    </row>
    <row r="3847" spans="1:11" x14ac:dyDescent="0.3">
      <c r="A3847">
        <v>1324</v>
      </c>
      <c r="B3847">
        <v>3</v>
      </c>
      <c r="C3847">
        <v>235</v>
      </c>
      <c r="D3847" t="str">
        <f>VLOOKUP(B3847, Products!$A$2:$C$100, 2, FALSE)</f>
        <v>Surly Wednesday Frameset - 2016</v>
      </c>
      <c r="E3847">
        <v>1</v>
      </c>
      <c r="F3847">
        <v>899.99</v>
      </c>
      <c r="G3847">
        <v>0.1</v>
      </c>
      <c r="H3847">
        <v>89.999000000000009</v>
      </c>
      <c r="I3847">
        <f>order_items[[#This Row],[list_price]]-order_items[[#This Row],[Discounted_price]]</f>
        <v>809.99099999999999</v>
      </c>
      <c r="J3847">
        <f>VLOOKUP(B3847, Products!$A$2:$E$100, 3, FALSE)</f>
        <v>8</v>
      </c>
      <c r="K3847">
        <f>VLOOKUP(B3847, Products!$A$2:$F$100, 4, FALSE)</f>
        <v>6</v>
      </c>
    </row>
    <row r="3848" spans="1:11" x14ac:dyDescent="0.3">
      <c r="A3848">
        <v>1324</v>
      </c>
      <c r="B3848">
        <v>4</v>
      </c>
      <c r="C3848">
        <v>3</v>
      </c>
      <c r="D3848" t="str">
        <f>VLOOKUP(B3848, Products!$A$2:$C$100, 2, FALSE)</f>
        <v>Trek Fuel EX 8 29 - 2016</v>
      </c>
      <c r="E3848">
        <v>1</v>
      </c>
      <c r="F3848">
        <v>999.99</v>
      </c>
      <c r="G3848">
        <v>0.2</v>
      </c>
      <c r="H3848">
        <v>199.99800000000002</v>
      </c>
      <c r="I3848">
        <f>order_items[[#This Row],[list_price]]-order_items[[#This Row],[Discounted_price]]</f>
        <v>799.99199999999996</v>
      </c>
      <c r="J3848">
        <f>VLOOKUP(B3848, Products!$A$2:$E$100, 3, FALSE)</f>
        <v>9</v>
      </c>
      <c r="K3848">
        <f>VLOOKUP(B3848, Products!$A$2:$F$100, 4, FALSE)</f>
        <v>6</v>
      </c>
    </row>
    <row r="3849" spans="1:11" x14ac:dyDescent="0.3">
      <c r="A3849">
        <v>1325</v>
      </c>
      <c r="B3849">
        <v>1</v>
      </c>
      <c r="C3849">
        <v>139</v>
      </c>
      <c r="D3849" t="str">
        <f>VLOOKUP(B3849, Products!$A$2:$C$100, 2, FALSE)</f>
        <v>Trek 820 - 2016</v>
      </c>
      <c r="E3849">
        <v>1</v>
      </c>
      <c r="F3849">
        <v>2999.99</v>
      </c>
      <c r="G3849">
        <v>0.05</v>
      </c>
      <c r="H3849">
        <v>149.99949999999998</v>
      </c>
      <c r="I3849">
        <f>order_items[[#This Row],[list_price]]-order_items[[#This Row],[Discounted_price]]</f>
        <v>2849.9904999999999</v>
      </c>
      <c r="J3849">
        <f>VLOOKUP(B3849, Products!$A$2:$E$100, 3, FALSE)</f>
        <v>9</v>
      </c>
      <c r="K3849">
        <f>VLOOKUP(B3849, Products!$A$2:$F$100, 4, FALSE)</f>
        <v>6</v>
      </c>
    </row>
    <row r="3850" spans="1:11" x14ac:dyDescent="0.3">
      <c r="A3850">
        <v>1325</v>
      </c>
      <c r="B3850">
        <v>2</v>
      </c>
      <c r="C3850">
        <v>257</v>
      </c>
      <c r="D3850" t="str">
        <f>VLOOKUP(B3850, Products!$A$2:$C$100, 2, FALSE)</f>
        <v>Ritchey Timberwolf Frameset - 2016</v>
      </c>
      <c r="E3850">
        <v>1</v>
      </c>
      <c r="F3850">
        <v>899.99</v>
      </c>
      <c r="G3850">
        <v>0.05</v>
      </c>
      <c r="H3850">
        <v>44.999500000000005</v>
      </c>
      <c r="I3850">
        <f>order_items[[#This Row],[list_price]]-order_items[[#This Row],[Discounted_price]]</f>
        <v>854.9905</v>
      </c>
      <c r="J3850">
        <f>VLOOKUP(B3850, Products!$A$2:$E$100, 3, FALSE)</f>
        <v>5</v>
      </c>
      <c r="K3850">
        <f>VLOOKUP(B3850, Products!$A$2:$F$100, 4, FALSE)</f>
        <v>6</v>
      </c>
    </row>
    <row r="3851" spans="1:11" x14ac:dyDescent="0.3">
      <c r="A3851">
        <v>1325</v>
      </c>
      <c r="B3851">
        <v>3</v>
      </c>
      <c r="C3851">
        <v>209</v>
      </c>
      <c r="D3851" t="str">
        <f>VLOOKUP(B3851, Products!$A$2:$C$100, 2, FALSE)</f>
        <v>Surly Wednesday Frameset - 2016</v>
      </c>
      <c r="E3851">
        <v>1</v>
      </c>
      <c r="F3851">
        <v>2999.99</v>
      </c>
      <c r="G3851">
        <v>0.1</v>
      </c>
      <c r="H3851">
        <v>299.99899999999997</v>
      </c>
      <c r="I3851">
        <f>order_items[[#This Row],[list_price]]-order_items[[#This Row],[Discounted_price]]</f>
        <v>2699.991</v>
      </c>
      <c r="J3851">
        <f>VLOOKUP(B3851, Products!$A$2:$E$100, 3, FALSE)</f>
        <v>8</v>
      </c>
      <c r="K3851">
        <f>VLOOKUP(B3851, Products!$A$2:$F$100, 4, FALSE)</f>
        <v>6</v>
      </c>
    </row>
    <row r="3852" spans="1:11" x14ac:dyDescent="0.3">
      <c r="A3852">
        <v>1325</v>
      </c>
      <c r="B3852">
        <v>4</v>
      </c>
      <c r="C3852">
        <v>28</v>
      </c>
      <c r="D3852" t="str">
        <f>VLOOKUP(B3852, Products!$A$2:$C$100, 2, FALSE)</f>
        <v>Trek Fuel EX 8 29 - 2016</v>
      </c>
      <c r="E3852">
        <v>1</v>
      </c>
      <c r="F3852">
        <v>2499.9899999999998</v>
      </c>
      <c r="G3852">
        <v>7.0000000000000007E-2</v>
      </c>
      <c r="H3852">
        <v>174.99930000000001</v>
      </c>
      <c r="I3852">
        <f>order_items[[#This Row],[list_price]]-order_items[[#This Row],[Discounted_price]]</f>
        <v>2324.9906999999998</v>
      </c>
      <c r="J3852">
        <f>VLOOKUP(B3852, Products!$A$2:$E$100, 3, FALSE)</f>
        <v>9</v>
      </c>
      <c r="K3852">
        <f>VLOOKUP(B3852, Products!$A$2:$F$100, 4, FALSE)</f>
        <v>6</v>
      </c>
    </row>
    <row r="3853" spans="1:11" x14ac:dyDescent="0.3">
      <c r="A3853">
        <v>1326</v>
      </c>
      <c r="B3853">
        <v>1</v>
      </c>
      <c r="C3853">
        <v>190</v>
      </c>
      <c r="D3853" t="str">
        <f>VLOOKUP(B3853, Products!$A$2:$C$100, 2, FALSE)</f>
        <v>Trek 820 - 2016</v>
      </c>
      <c r="E3853">
        <v>2</v>
      </c>
      <c r="F3853">
        <v>2799.99</v>
      </c>
      <c r="G3853">
        <v>7.0000000000000007E-2</v>
      </c>
      <c r="H3853">
        <v>195.99930000000001</v>
      </c>
      <c r="I3853">
        <f>order_items[[#This Row],[list_price]]-order_items[[#This Row],[Discounted_price]]</f>
        <v>2603.9906999999998</v>
      </c>
      <c r="J3853">
        <f>VLOOKUP(B3853, Products!$A$2:$E$100, 3, FALSE)</f>
        <v>9</v>
      </c>
      <c r="K3853">
        <f>VLOOKUP(B3853, Products!$A$2:$F$100, 4, FALSE)</f>
        <v>6</v>
      </c>
    </row>
    <row r="3854" spans="1:11" x14ac:dyDescent="0.3">
      <c r="A3854">
        <v>1326</v>
      </c>
      <c r="B3854">
        <v>2</v>
      </c>
      <c r="C3854">
        <v>269</v>
      </c>
      <c r="D3854" t="str">
        <f>VLOOKUP(B3854, Products!$A$2:$C$100, 2, FALSE)</f>
        <v>Ritchey Timberwolf Frameset - 2016</v>
      </c>
      <c r="E3854">
        <v>2</v>
      </c>
      <c r="F3854">
        <v>199.99</v>
      </c>
      <c r="G3854">
        <v>7.0000000000000007E-2</v>
      </c>
      <c r="H3854">
        <v>13.999300000000002</v>
      </c>
      <c r="I3854">
        <f>order_items[[#This Row],[list_price]]-order_items[[#This Row],[Discounted_price]]</f>
        <v>185.9907</v>
      </c>
      <c r="J3854">
        <f>VLOOKUP(B3854, Products!$A$2:$E$100, 3, FALSE)</f>
        <v>5</v>
      </c>
      <c r="K3854">
        <f>VLOOKUP(B3854, Products!$A$2:$F$100, 4, FALSE)</f>
        <v>6</v>
      </c>
    </row>
    <row r="3855" spans="1:11" x14ac:dyDescent="0.3">
      <c r="A3855">
        <v>1327</v>
      </c>
      <c r="B3855">
        <v>1</v>
      </c>
      <c r="C3855">
        <v>151</v>
      </c>
      <c r="D3855" t="str">
        <f>VLOOKUP(B3855, Products!$A$2:$C$100, 2, FALSE)</f>
        <v>Trek 820 - 2016</v>
      </c>
      <c r="E3855">
        <v>2</v>
      </c>
      <c r="F3855">
        <v>1549.99</v>
      </c>
      <c r="G3855">
        <v>7.0000000000000007E-2</v>
      </c>
      <c r="H3855">
        <v>108.49930000000001</v>
      </c>
      <c r="I3855">
        <f>order_items[[#This Row],[list_price]]-order_items[[#This Row],[Discounted_price]]</f>
        <v>1441.4907000000001</v>
      </c>
      <c r="J3855">
        <f>VLOOKUP(B3855, Products!$A$2:$E$100, 3, FALSE)</f>
        <v>9</v>
      </c>
      <c r="K3855">
        <f>VLOOKUP(B3855, Products!$A$2:$F$100, 4, FALSE)</f>
        <v>6</v>
      </c>
    </row>
    <row r="3856" spans="1:11" x14ac:dyDescent="0.3">
      <c r="A3856">
        <v>1327</v>
      </c>
      <c r="B3856">
        <v>2</v>
      </c>
      <c r="C3856">
        <v>235</v>
      </c>
      <c r="D3856" t="str">
        <f>VLOOKUP(B3856, Products!$A$2:$C$100, 2, FALSE)</f>
        <v>Ritchey Timberwolf Frameset - 2016</v>
      </c>
      <c r="E3856">
        <v>2</v>
      </c>
      <c r="F3856">
        <v>899.99</v>
      </c>
      <c r="G3856">
        <v>0.1</v>
      </c>
      <c r="H3856">
        <v>89.999000000000009</v>
      </c>
      <c r="I3856">
        <f>order_items[[#This Row],[list_price]]-order_items[[#This Row],[Discounted_price]]</f>
        <v>809.99099999999999</v>
      </c>
      <c r="J3856">
        <f>VLOOKUP(B3856, Products!$A$2:$E$100, 3, FALSE)</f>
        <v>5</v>
      </c>
      <c r="K3856">
        <f>VLOOKUP(B3856, Products!$A$2:$F$100, 4, FALSE)</f>
        <v>6</v>
      </c>
    </row>
    <row r="3857" spans="1:11" x14ac:dyDescent="0.3">
      <c r="A3857">
        <v>1327</v>
      </c>
      <c r="B3857">
        <v>3</v>
      </c>
      <c r="C3857">
        <v>48</v>
      </c>
      <c r="D3857" t="str">
        <f>VLOOKUP(B3857, Products!$A$2:$C$100, 2, FALSE)</f>
        <v>Surly Wednesday Frameset - 2016</v>
      </c>
      <c r="E3857">
        <v>2</v>
      </c>
      <c r="F3857">
        <v>1499.99</v>
      </c>
      <c r="G3857">
        <v>0.1</v>
      </c>
      <c r="H3857">
        <v>149.999</v>
      </c>
      <c r="I3857">
        <f>order_items[[#This Row],[list_price]]-order_items[[#This Row],[Discounted_price]]</f>
        <v>1349.991</v>
      </c>
      <c r="J3857">
        <f>VLOOKUP(B3857, Products!$A$2:$E$100, 3, FALSE)</f>
        <v>8</v>
      </c>
      <c r="K3857">
        <f>VLOOKUP(B3857, Products!$A$2:$F$100, 4, FALSE)</f>
        <v>6</v>
      </c>
    </row>
    <row r="3858" spans="1:11" x14ac:dyDescent="0.3">
      <c r="A3858">
        <v>1327</v>
      </c>
      <c r="B3858">
        <v>4</v>
      </c>
      <c r="C3858">
        <v>180</v>
      </c>
      <c r="D3858" t="str">
        <f>VLOOKUP(B3858, Products!$A$2:$C$100, 2, FALSE)</f>
        <v>Trek Fuel EX 8 29 - 2016</v>
      </c>
      <c r="E3858">
        <v>1</v>
      </c>
      <c r="F3858">
        <v>919.99</v>
      </c>
      <c r="G3858">
        <v>0.2</v>
      </c>
      <c r="H3858">
        <v>183.99800000000002</v>
      </c>
      <c r="I3858">
        <f>order_items[[#This Row],[list_price]]-order_items[[#This Row],[Discounted_price]]</f>
        <v>735.99199999999996</v>
      </c>
      <c r="J3858">
        <f>VLOOKUP(B3858, Products!$A$2:$E$100, 3, FALSE)</f>
        <v>9</v>
      </c>
      <c r="K3858">
        <f>VLOOKUP(B3858, Products!$A$2:$F$100, 4, FALSE)</f>
        <v>6</v>
      </c>
    </row>
    <row r="3859" spans="1:11" x14ac:dyDescent="0.3">
      <c r="A3859">
        <v>1328</v>
      </c>
      <c r="B3859">
        <v>1</v>
      </c>
      <c r="C3859">
        <v>241</v>
      </c>
      <c r="D3859" t="str">
        <f>VLOOKUP(B3859, Products!$A$2:$C$100, 2, FALSE)</f>
        <v>Trek 820 - 2016</v>
      </c>
      <c r="E3859">
        <v>1</v>
      </c>
      <c r="F3859">
        <v>749.99</v>
      </c>
      <c r="G3859">
        <v>7.0000000000000007E-2</v>
      </c>
      <c r="H3859">
        <v>52.499300000000005</v>
      </c>
      <c r="I3859">
        <f>order_items[[#This Row],[list_price]]-order_items[[#This Row],[Discounted_price]]</f>
        <v>697.49070000000006</v>
      </c>
      <c r="J3859">
        <f>VLOOKUP(B3859, Products!$A$2:$E$100, 3, FALSE)</f>
        <v>9</v>
      </c>
      <c r="K3859">
        <f>VLOOKUP(B3859, Products!$A$2:$F$100, 4, FALSE)</f>
        <v>6</v>
      </c>
    </row>
    <row r="3860" spans="1:11" x14ac:dyDescent="0.3">
      <c r="A3860">
        <v>1328</v>
      </c>
      <c r="B3860">
        <v>2</v>
      </c>
      <c r="C3860">
        <v>129</v>
      </c>
      <c r="D3860" t="str">
        <f>VLOOKUP(B3860, Products!$A$2:$C$100, 2, FALSE)</f>
        <v>Ritchey Timberwolf Frameset - 2016</v>
      </c>
      <c r="E3860">
        <v>2</v>
      </c>
      <c r="F3860">
        <v>919.99</v>
      </c>
      <c r="G3860">
        <v>0.1</v>
      </c>
      <c r="H3860">
        <v>91.999000000000009</v>
      </c>
      <c r="I3860">
        <f>order_items[[#This Row],[list_price]]-order_items[[#This Row],[Discounted_price]]</f>
        <v>827.99099999999999</v>
      </c>
      <c r="J3860">
        <f>VLOOKUP(B3860, Products!$A$2:$E$100, 3, FALSE)</f>
        <v>5</v>
      </c>
      <c r="K3860">
        <f>VLOOKUP(B3860, Products!$A$2:$F$100, 4, FALSE)</f>
        <v>6</v>
      </c>
    </row>
    <row r="3861" spans="1:11" x14ac:dyDescent="0.3">
      <c r="A3861">
        <v>1328</v>
      </c>
      <c r="B3861">
        <v>3</v>
      </c>
      <c r="C3861">
        <v>228</v>
      </c>
      <c r="D3861" t="str">
        <f>VLOOKUP(B3861, Products!$A$2:$C$100, 2, FALSE)</f>
        <v>Surly Wednesday Frameset - 2016</v>
      </c>
      <c r="E3861">
        <v>1</v>
      </c>
      <c r="F3861">
        <v>319.99</v>
      </c>
      <c r="G3861">
        <v>7.0000000000000007E-2</v>
      </c>
      <c r="H3861">
        <v>22.399300000000004</v>
      </c>
      <c r="I3861">
        <f>order_items[[#This Row],[list_price]]-order_items[[#This Row],[Discounted_price]]</f>
        <v>297.59070000000003</v>
      </c>
      <c r="J3861">
        <f>VLOOKUP(B3861, Products!$A$2:$E$100, 3, FALSE)</f>
        <v>8</v>
      </c>
      <c r="K3861">
        <f>VLOOKUP(B3861, Products!$A$2:$F$100, 4, FALSE)</f>
        <v>6</v>
      </c>
    </row>
    <row r="3862" spans="1:11" x14ac:dyDescent="0.3">
      <c r="A3862">
        <v>1328</v>
      </c>
      <c r="B3862">
        <v>4</v>
      </c>
      <c r="C3862">
        <v>311</v>
      </c>
      <c r="D3862" t="str">
        <f>VLOOKUP(B3862, Products!$A$2:$C$100, 2, FALSE)</f>
        <v>Trek Fuel EX 8 29 - 2016</v>
      </c>
      <c r="E3862">
        <v>1</v>
      </c>
      <c r="F3862">
        <v>749.99</v>
      </c>
      <c r="G3862">
        <v>0.1</v>
      </c>
      <c r="H3862">
        <v>74.999000000000009</v>
      </c>
      <c r="I3862">
        <f>order_items[[#This Row],[list_price]]-order_items[[#This Row],[Discounted_price]]</f>
        <v>674.99099999999999</v>
      </c>
      <c r="J3862">
        <f>VLOOKUP(B3862, Products!$A$2:$E$100, 3, FALSE)</f>
        <v>9</v>
      </c>
      <c r="K3862">
        <f>VLOOKUP(B3862, Products!$A$2:$F$100, 4, FALSE)</f>
        <v>6</v>
      </c>
    </row>
    <row r="3863" spans="1:11" x14ac:dyDescent="0.3">
      <c r="A3863">
        <v>1328</v>
      </c>
      <c r="B3863">
        <v>5</v>
      </c>
      <c r="C3863">
        <v>247</v>
      </c>
      <c r="D3863" t="str">
        <f>VLOOKUP(B3863, Products!$A$2:$C$100, 2, FALSE)</f>
        <v>Heller Shagamaw Frame - 2016</v>
      </c>
      <c r="E3863">
        <v>1</v>
      </c>
      <c r="F3863">
        <v>599.99</v>
      </c>
      <c r="G3863">
        <v>0.1</v>
      </c>
      <c r="H3863">
        <v>59.999000000000002</v>
      </c>
      <c r="I3863">
        <f>order_items[[#This Row],[list_price]]-order_items[[#This Row],[Discounted_price]]</f>
        <v>539.99099999999999</v>
      </c>
      <c r="J3863">
        <f>VLOOKUP(B3863, Products!$A$2:$E$100, 3, FALSE)</f>
        <v>3</v>
      </c>
      <c r="K3863">
        <f>VLOOKUP(B3863, Products!$A$2:$F$100, 4, FALSE)</f>
        <v>6</v>
      </c>
    </row>
    <row r="3864" spans="1:11" x14ac:dyDescent="0.3">
      <c r="A3864">
        <v>1329</v>
      </c>
      <c r="B3864">
        <v>1</v>
      </c>
      <c r="C3864">
        <v>143</v>
      </c>
      <c r="D3864" t="str">
        <f>VLOOKUP(B3864, Products!$A$2:$C$100, 2, FALSE)</f>
        <v>Trek 820 - 2016</v>
      </c>
      <c r="E3864">
        <v>1</v>
      </c>
      <c r="F3864">
        <v>1099.99</v>
      </c>
      <c r="G3864">
        <v>7.0000000000000007E-2</v>
      </c>
      <c r="H3864">
        <v>76.999300000000005</v>
      </c>
      <c r="I3864">
        <f>order_items[[#This Row],[list_price]]-order_items[[#This Row],[Discounted_price]]</f>
        <v>1022.9907000000001</v>
      </c>
      <c r="J3864">
        <f>VLOOKUP(B3864, Products!$A$2:$E$100, 3, FALSE)</f>
        <v>9</v>
      </c>
      <c r="K3864">
        <f>VLOOKUP(B3864, Products!$A$2:$F$100, 4, FALSE)</f>
        <v>6</v>
      </c>
    </row>
    <row r="3865" spans="1:11" x14ac:dyDescent="0.3">
      <c r="A3865">
        <v>1329</v>
      </c>
      <c r="B3865">
        <v>2</v>
      </c>
      <c r="C3865">
        <v>107</v>
      </c>
      <c r="D3865" t="str">
        <f>VLOOKUP(B3865, Products!$A$2:$C$100, 2, FALSE)</f>
        <v>Ritchey Timberwolf Frameset - 2016</v>
      </c>
      <c r="E3865">
        <v>1</v>
      </c>
      <c r="F3865">
        <v>416.99</v>
      </c>
      <c r="G3865">
        <v>0.05</v>
      </c>
      <c r="H3865">
        <v>20.849500000000003</v>
      </c>
      <c r="I3865">
        <f>order_items[[#This Row],[list_price]]-order_items[[#This Row],[Discounted_price]]</f>
        <v>396.14050000000003</v>
      </c>
      <c r="J3865">
        <f>VLOOKUP(B3865, Products!$A$2:$E$100, 3, FALSE)</f>
        <v>5</v>
      </c>
      <c r="K3865">
        <f>VLOOKUP(B3865, Products!$A$2:$F$100, 4, FALSE)</f>
        <v>6</v>
      </c>
    </row>
    <row r="3866" spans="1:11" x14ac:dyDescent="0.3">
      <c r="A3866">
        <v>1329</v>
      </c>
      <c r="B3866">
        <v>3</v>
      </c>
      <c r="C3866">
        <v>55</v>
      </c>
      <c r="D3866" t="str">
        <f>VLOOKUP(B3866, Products!$A$2:$C$100, 2, FALSE)</f>
        <v>Surly Wednesday Frameset - 2016</v>
      </c>
      <c r="E3866">
        <v>1</v>
      </c>
      <c r="F3866">
        <v>2699.99</v>
      </c>
      <c r="G3866">
        <v>7.0000000000000007E-2</v>
      </c>
      <c r="H3866">
        <v>188.99930000000001</v>
      </c>
      <c r="I3866">
        <f>order_items[[#This Row],[list_price]]-order_items[[#This Row],[Discounted_price]]</f>
        <v>2510.9906999999998</v>
      </c>
      <c r="J3866">
        <f>VLOOKUP(B3866, Products!$A$2:$E$100, 3, FALSE)</f>
        <v>8</v>
      </c>
      <c r="K3866">
        <f>VLOOKUP(B3866, Products!$A$2:$F$100, 4, FALSE)</f>
        <v>6</v>
      </c>
    </row>
    <row r="3867" spans="1:11" x14ac:dyDescent="0.3">
      <c r="A3867">
        <v>1329</v>
      </c>
      <c r="B3867">
        <v>4</v>
      </c>
      <c r="C3867">
        <v>283</v>
      </c>
      <c r="D3867" t="str">
        <f>VLOOKUP(B3867, Products!$A$2:$C$100, 2, FALSE)</f>
        <v>Trek Fuel EX 8 29 - 2016</v>
      </c>
      <c r="E3867">
        <v>2</v>
      </c>
      <c r="F3867">
        <v>319.99</v>
      </c>
      <c r="G3867">
        <v>0.2</v>
      </c>
      <c r="H3867">
        <v>63.998000000000005</v>
      </c>
      <c r="I3867">
        <f>order_items[[#This Row],[list_price]]-order_items[[#This Row],[Discounted_price]]</f>
        <v>255.99200000000002</v>
      </c>
      <c r="J3867">
        <f>VLOOKUP(B3867, Products!$A$2:$E$100, 3, FALSE)</f>
        <v>9</v>
      </c>
      <c r="K3867">
        <f>VLOOKUP(B3867, Products!$A$2:$F$100, 4, FALSE)</f>
        <v>6</v>
      </c>
    </row>
    <row r="3868" spans="1:11" x14ac:dyDescent="0.3">
      <c r="A3868">
        <v>1329</v>
      </c>
      <c r="B3868">
        <v>5</v>
      </c>
      <c r="C3868">
        <v>13</v>
      </c>
      <c r="D3868" t="str">
        <f>VLOOKUP(B3868, Products!$A$2:$C$100, 2, FALSE)</f>
        <v>Heller Shagamaw Frame - 2016</v>
      </c>
      <c r="E3868">
        <v>1</v>
      </c>
      <c r="F3868">
        <v>269.99</v>
      </c>
      <c r="G3868">
        <v>0.1</v>
      </c>
      <c r="H3868">
        <v>26.999000000000002</v>
      </c>
      <c r="I3868">
        <f>order_items[[#This Row],[list_price]]-order_items[[#This Row],[Discounted_price]]</f>
        <v>242.99100000000001</v>
      </c>
      <c r="J3868">
        <f>VLOOKUP(B3868, Products!$A$2:$E$100, 3, FALSE)</f>
        <v>3</v>
      </c>
      <c r="K3868">
        <f>VLOOKUP(B3868, Products!$A$2:$F$100, 4, FALSE)</f>
        <v>6</v>
      </c>
    </row>
    <row r="3869" spans="1:11" x14ac:dyDescent="0.3">
      <c r="A3869">
        <v>1330</v>
      </c>
      <c r="B3869">
        <v>1</v>
      </c>
      <c r="C3869">
        <v>232</v>
      </c>
      <c r="D3869" t="str">
        <f>VLOOKUP(B3869, Products!$A$2:$C$100, 2, FALSE)</f>
        <v>Trek 820 - 2016</v>
      </c>
      <c r="E3869">
        <v>1</v>
      </c>
      <c r="F3869">
        <v>479.99</v>
      </c>
      <c r="G3869">
        <v>0.2</v>
      </c>
      <c r="H3869">
        <v>95.998000000000005</v>
      </c>
      <c r="I3869">
        <f>order_items[[#This Row],[list_price]]-order_items[[#This Row],[Discounted_price]]</f>
        <v>383.99200000000002</v>
      </c>
      <c r="J3869">
        <f>VLOOKUP(B3869, Products!$A$2:$E$100, 3, FALSE)</f>
        <v>9</v>
      </c>
      <c r="K3869">
        <f>VLOOKUP(B3869, Products!$A$2:$F$100, 4, FALSE)</f>
        <v>6</v>
      </c>
    </row>
    <row r="3870" spans="1:11" x14ac:dyDescent="0.3">
      <c r="A3870">
        <v>1330</v>
      </c>
      <c r="B3870">
        <v>2</v>
      </c>
      <c r="C3870">
        <v>243</v>
      </c>
      <c r="D3870" t="str">
        <f>VLOOKUP(B3870, Products!$A$2:$C$100, 2, FALSE)</f>
        <v>Ritchey Timberwolf Frameset - 2016</v>
      </c>
      <c r="E3870">
        <v>2</v>
      </c>
      <c r="F3870">
        <v>679.99</v>
      </c>
      <c r="G3870">
        <v>0.05</v>
      </c>
      <c r="H3870">
        <v>33.999500000000005</v>
      </c>
      <c r="I3870">
        <f>order_items[[#This Row],[list_price]]-order_items[[#This Row],[Discounted_price]]</f>
        <v>645.9905</v>
      </c>
      <c r="J3870">
        <f>VLOOKUP(B3870, Products!$A$2:$E$100, 3, FALSE)</f>
        <v>5</v>
      </c>
      <c r="K3870">
        <f>VLOOKUP(B3870, Products!$A$2:$F$100, 4, FALSE)</f>
        <v>6</v>
      </c>
    </row>
    <row r="3871" spans="1:11" x14ac:dyDescent="0.3">
      <c r="A3871">
        <v>1330</v>
      </c>
      <c r="B3871">
        <v>3</v>
      </c>
      <c r="C3871">
        <v>230</v>
      </c>
      <c r="D3871" t="str">
        <f>VLOOKUP(B3871, Products!$A$2:$C$100, 2, FALSE)</f>
        <v>Surly Wednesday Frameset - 2016</v>
      </c>
      <c r="E3871">
        <v>2</v>
      </c>
      <c r="F3871">
        <v>429.99</v>
      </c>
      <c r="G3871">
        <v>0.2</v>
      </c>
      <c r="H3871">
        <v>85.998000000000005</v>
      </c>
      <c r="I3871">
        <f>order_items[[#This Row],[list_price]]-order_items[[#This Row],[Discounted_price]]</f>
        <v>343.99200000000002</v>
      </c>
      <c r="J3871">
        <f>VLOOKUP(B3871, Products!$A$2:$E$100, 3, FALSE)</f>
        <v>8</v>
      </c>
      <c r="K3871">
        <f>VLOOKUP(B3871, Products!$A$2:$F$100, 4, FALSE)</f>
        <v>6</v>
      </c>
    </row>
    <row r="3872" spans="1:11" x14ac:dyDescent="0.3">
      <c r="A3872">
        <v>1330</v>
      </c>
      <c r="B3872">
        <v>4</v>
      </c>
      <c r="C3872">
        <v>102</v>
      </c>
      <c r="D3872" t="str">
        <f>VLOOKUP(B3872, Products!$A$2:$C$100, 2, FALSE)</f>
        <v>Trek Fuel EX 8 29 - 2016</v>
      </c>
      <c r="E3872">
        <v>2</v>
      </c>
      <c r="F3872">
        <v>489.99</v>
      </c>
      <c r="G3872">
        <v>0.05</v>
      </c>
      <c r="H3872">
        <v>24.499500000000001</v>
      </c>
      <c r="I3872">
        <f>order_items[[#This Row],[list_price]]-order_items[[#This Row],[Discounted_price]]</f>
        <v>465.4905</v>
      </c>
      <c r="J3872">
        <f>VLOOKUP(B3872, Products!$A$2:$E$100, 3, FALSE)</f>
        <v>9</v>
      </c>
      <c r="K3872">
        <f>VLOOKUP(B3872, Products!$A$2:$F$100, 4, FALSE)</f>
        <v>6</v>
      </c>
    </row>
    <row r="3873" spans="1:11" x14ac:dyDescent="0.3">
      <c r="A3873">
        <v>1330</v>
      </c>
      <c r="B3873">
        <v>5</v>
      </c>
      <c r="C3873">
        <v>282</v>
      </c>
      <c r="D3873" t="str">
        <f>VLOOKUP(B3873, Products!$A$2:$C$100, 2, FALSE)</f>
        <v>Heller Shagamaw Frame - 2016</v>
      </c>
      <c r="E3873">
        <v>1</v>
      </c>
      <c r="F3873">
        <v>279.99</v>
      </c>
      <c r="G3873">
        <v>0.1</v>
      </c>
      <c r="H3873">
        <v>27.999000000000002</v>
      </c>
      <c r="I3873">
        <f>order_items[[#This Row],[list_price]]-order_items[[#This Row],[Discounted_price]]</f>
        <v>251.99100000000001</v>
      </c>
      <c r="J3873">
        <f>VLOOKUP(B3873, Products!$A$2:$E$100, 3, FALSE)</f>
        <v>3</v>
      </c>
      <c r="K3873">
        <f>VLOOKUP(B3873, Products!$A$2:$F$100, 4, FALSE)</f>
        <v>6</v>
      </c>
    </row>
    <row r="3874" spans="1:11" x14ac:dyDescent="0.3">
      <c r="A3874">
        <v>1331</v>
      </c>
      <c r="B3874">
        <v>1</v>
      </c>
      <c r="C3874">
        <v>253</v>
      </c>
      <c r="D3874" t="str">
        <f>VLOOKUP(B3874, Products!$A$2:$C$100, 2, FALSE)</f>
        <v>Trek 820 - 2016</v>
      </c>
      <c r="E3874">
        <v>1</v>
      </c>
      <c r="F3874">
        <v>2599.9899999999998</v>
      </c>
      <c r="G3874">
        <v>0.05</v>
      </c>
      <c r="H3874">
        <v>129.99949999999998</v>
      </c>
      <c r="I3874">
        <f>order_items[[#This Row],[list_price]]-order_items[[#This Row],[Discounted_price]]</f>
        <v>2469.9904999999999</v>
      </c>
      <c r="J3874">
        <f>VLOOKUP(B3874, Products!$A$2:$E$100, 3, FALSE)</f>
        <v>9</v>
      </c>
      <c r="K3874">
        <f>VLOOKUP(B3874, Products!$A$2:$F$100, 4, FALSE)</f>
        <v>6</v>
      </c>
    </row>
    <row r="3875" spans="1:11" x14ac:dyDescent="0.3">
      <c r="A3875">
        <v>1331</v>
      </c>
      <c r="B3875">
        <v>2</v>
      </c>
      <c r="C3875">
        <v>290</v>
      </c>
      <c r="D3875" t="str">
        <f>VLOOKUP(B3875, Products!$A$2:$C$100, 2, FALSE)</f>
        <v>Ritchey Timberwolf Frameset - 2016</v>
      </c>
      <c r="E3875">
        <v>1</v>
      </c>
      <c r="F3875">
        <v>369.99</v>
      </c>
      <c r="G3875">
        <v>0.05</v>
      </c>
      <c r="H3875">
        <v>18.499500000000001</v>
      </c>
      <c r="I3875">
        <f>order_items[[#This Row],[list_price]]-order_items[[#This Row],[Discounted_price]]</f>
        <v>351.4905</v>
      </c>
      <c r="J3875">
        <f>VLOOKUP(B3875, Products!$A$2:$E$100, 3, FALSE)</f>
        <v>5</v>
      </c>
      <c r="K3875">
        <f>VLOOKUP(B3875, Products!$A$2:$F$100, 4, FALSE)</f>
        <v>6</v>
      </c>
    </row>
    <row r="3876" spans="1:11" x14ac:dyDescent="0.3">
      <c r="A3876">
        <v>1331</v>
      </c>
      <c r="B3876">
        <v>3</v>
      </c>
      <c r="C3876">
        <v>145</v>
      </c>
      <c r="D3876" t="str">
        <f>VLOOKUP(B3876, Products!$A$2:$C$100, 2, FALSE)</f>
        <v>Surly Wednesday Frameset - 2016</v>
      </c>
      <c r="E3876">
        <v>2</v>
      </c>
      <c r="F3876">
        <v>1799.99</v>
      </c>
      <c r="G3876">
        <v>0.1</v>
      </c>
      <c r="H3876">
        <v>179.99900000000002</v>
      </c>
      <c r="I3876">
        <f>order_items[[#This Row],[list_price]]-order_items[[#This Row],[Discounted_price]]</f>
        <v>1619.991</v>
      </c>
      <c r="J3876">
        <f>VLOOKUP(B3876, Products!$A$2:$E$100, 3, FALSE)</f>
        <v>8</v>
      </c>
      <c r="K3876">
        <f>VLOOKUP(B3876, Products!$A$2:$F$100, 4, FALSE)</f>
        <v>6</v>
      </c>
    </row>
    <row r="3877" spans="1:11" x14ac:dyDescent="0.3">
      <c r="A3877">
        <v>1331</v>
      </c>
      <c r="B3877">
        <v>4</v>
      </c>
      <c r="C3877">
        <v>300</v>
      </c>
      <c r="D3877" t="str">
        <f>VLOOKUP(B3877, Products!$A$2:$C$100, 2, FALSE)</f>
        <v>Trek Fuel EX 8 29 - 2016</v>
      </c>
      <c r="E3877">
        <v>1</v>
      </c>
      <c r="F3877">
        <v>799.99</v>
      </c>
      <c r="G3877">
        <v>0.2</v>
      </c>
      <c r="H3877">
        <v>159.99800000000002</v>
      </c>
      <c r="I3877">
        <f>order_items[[#This Row],[list_price]]-order_items[[#This Row],[Discounted_price]]</f>
        <v>639.99199999999996</v>
      </c>
      <c r="J3877">
        <f>VLOOKUP(B3877, Products!$A$2:$E$100, 3, FALSE)</f>
        <v>9</v>
      </c>
      <c r="K3877">
        <f>VLOOKUP(B3877, Products!$A$2:$F$100, 4, FALSE)</f>
        <v>6</v>
      </c>
    </row>
    <row r="3878" spans="1:11" x14ac:dyDescent="0.3">
      <c r="A3878">
        <v>1332</v>
      </c>
      <c r="B3878">
        <v>1</v>
      </c>
      <c r="C3878">
        <v>296</v>
      </c>
      <c r="D3878" t="str">
        <f>VLOOKUP(B3878, Products!$A$2:$C$100, 2, FALSE)</f>
        <v>Trek 820 - 2016</v>
      </c>
      <c r="E3878">
        <v>1</v>
      </c>
      <c r="F3878">
        <v>369.99</v>
      </c>
      <c r="G3878">
        <v>0.2</v>
      </c>
      <c r="H3878">
        <v>73.998000000000005</v>
      </c>
      <c r="I3878">
        <f>order_items[[#This Row],[list_price]]-order_items[[#This Row],[Discounted_price]]</f>
        <v>295.99200000000002</v>
      </c>
      <c r="J3878">
        <f>VLOOKUP(B3878, Products!$A$2:$E$100, 3, FALSE)</f>
        <v>9</v>
      </c>
      <c r="K3878">
        <f>VLOOKUP(B3878, Products!$A$2:$F$100, 4, FALSE)</f>
        <v>6</v>
      </c>
    </row>
    <row r="3879" spans="1:11" x14ac:dyDescent="0.3">
      <c r="A3879">
        <v>1332</v>
      </c>
      <c r="B3879">
        <v>2</v>
      </c>
      <c r="C3879">
        <v>93</v>
      </c>
      <c r="D3879" t="str">
        <f>VLOOKUP(B3879, Products!$A$2:$C$100, 2, FALSE)</f>
        <v>Ritchey Timberwolf Frameset - 2016</v>
      </c>
      <c r="E3879">
        <v>2</v>
      </c>
      <c r="F3879">
        <v>209.99</v>
      </c>
      <c r="G3879">
        <v>0.05</v>
      </c>
      <c r="H3879">
        <v>10.499500000000001</v>
      </c>
      <c r="I3879">
        <f>order_items[[#This Row],[list_price]]-order_items[[#This Row],[Discounted_price]]</f>
        <v>199.4905</v>
      </c>
      <c r="J3879">
        <f>VLOOKUP(B3879, Products!$A$2:$E$100, 3, FALSE)</f>
        <v>5</v>
      </c>
      <c r="K3879">
        <f>VLOOKUP(B3879, Products!$A$2:$F$100, 4, FALSE)</f>
        <v>6</v>
      </c>
    </row>
    <row r="3880" spans="1:11" x14ac:dyDescent="0.3">
      <c r="A3880">
        <v>1332</v>
      </c>
      <c r="B3880">
        <v>3</v>
      </c>
      <c r="C3880">
        <v>179</v>
      </c>
      <c r="D3880" t="str">
        <f>VLOOKUP(B3880, Products!$A$2:$C$100, 2, FALSE)</f>
        <v>Surly Wednesday Frameset - 2016</v>
      </c>
      <c r="E3880">
        <v>2</v>
      </c>
      <c r="F3880">
        <v>919.99</v>
      </c>
      <c r="G3880">
        <v>7.0000000000000007E-2</v>
      </c>
      <c r="H3880">
        <v>64.399300000000011</v>
      </c>
      <c r="I3880">
        <f>order_items[[#This Row],[list_price]]-order_items[[#This Row],[Discounted_price]]</f>
        <v>855.59069999999997</v>
      </c>
      <c r="J3880">
        <f>VLOOKUP(B3880, Products!$A$2:$E$100, 3, FALSE)</f>
        <v>8</v>
      </c>
      <c r="K3880">
        <f>VLOOKUP(B3880, Products!$A$2:$F$100, 4, FALSE)</f>
        <v>6</v>
      </c>
    </row>
    <row r="3881" spans="1:11" x14ac:dyDescent="0.3">
      <c r="A3881">
        <v>1332</v>
      </c>
      <c r="B3881">
        <v>4</v>
      </c>
      <c r="C3881">
        <v>298</v>
      </c>
      <c r="D3881" t="str">
        <f>VLOOKUP(B3881, Products!$A$2:$C$100, 2, FALSE)</f>
        <v>Trek Fuel EX 8 29 - 2016</v>
      </c>
      <c r="E3881">
        <v>1</v>
      </c>
      <c r="F3881">
        <v>279.99</v>
      </c>
      <c r="G3881">
        <v>0.1</v>
      </c>
      <c r="H3881">
        <v>27.999000000000002</v>
      </c>
      <c r="I3881">
        <f>order_items[[#This Row],[list_price]]-order_items[[#This Row],[Discounted_price]]</f>
        <v>251.99100000000001</v>
      </c>
      <c r="J3881">
        <f>VLOOKUP(B3881, Products!$A$2:$E$100, 3, FALSE)</f>
        <v>9</v>
      </c>
      <c r="K3881">
        <f>VLOOKUP(B3881, Products!$A$2:$F$100, 4, FALSE)</f>
        <v>6</v>
      </c>
    </row>
    <row r="3882" spans="1:11" x14ac:dyDescent="0.3">
      <c r="A3882">
        <v>1333</v>
      </c>
      <c r="B3882">
        <v>1</v>
      </c>
      <c r="C3882">
        <v>205</v>
      </c>
      <c r="D3882" t="str">
        <f>VLOOKUP(B3882, Products!$A$2:$C$100, 2, FALSE)</f>
        <v>Trek 820 - 2016</v>
      </c>
      <c r="E3882">
        <v>2</v>
      </c>
      <c r="F3882">
        <v>4999.99</v>
      </c>
      <c r="G3882">
        <v>0.05</v>
      </c>
      <c r="H3882">
        <v>249.99950000000001</v>
      </c>
      <c r="I3882">
        <f>order_items[[#This Row],[list_price]]-order_items[[#This Row],[Discounted_price]]</f>
        <v>4749.9904999999999</v>
      </c>
      <c r="J3882">
        <f>VLOOKUP(B3882, Products!$A$2:$E$100, 3, FALSE)</f>
        <v>9</v>
      </c>
      <c r="K3882">
        <f>VLOOKUP(B3882, Products!$A$2:$F$100, 4, FALSE)</f>
        <v>6</v>
      </c>
    </row>
    <row r="3883" spans="1:11" x14ac:dyDescent="0.3">
      <c r="A3883">
        <v>1333</v>
      </c>
      <c r="B3883">
        <v>2</v>
      </c>
      <c r="C3883">
        <v>304</v>
      </c>
      <c r="D3883" t="str">
        <f>VLOOKUP(B3883, Products!$A$2:$C$100, 2, FALSE)</f>
        <v>Ritchey Timberwolf Frameset - 2016</v>
      </c>
      <c r="E3883">
        <v>2</v>
      </c>
      <c r="F3883">
        <v>679.99</v>
      </c>
      <c r="G3883">
        <v>0.1</v>
      </c>
      <c r="H3883">
        <v>67.999000000000009</v>
      </c>
      <c r="I3883">
        <f>order_items[[#This Row],[list_price]]-order_items[[#This Row],[Discounted_price]]</f>
        <v>611.99099999999999</v>
      </c>
      <c r="J3883">
        <f>VLOOKUP(B3883, Products!$A$2:$E$100, 3, FALSE)</f>
        <v>5</v>
      </c>
      <c r="K3883">
        <f>VLOOKUP(B3883, Products!$A$2:$F$100, 4, FALSE)</f>
        <v>6</v>
      </c>
    </row>
    <row r="3884" spans="1:11" x14ac:dyDescent="0.3">
      <c r="A3884">
        <v>1333</v>
      </c>
      <c r="B3884">
        <v>3</v>
      </c>
      <c r="C3884">
        <v>99</v>
      </c>
      <c r="D3884" t="str">
        <f>VLOOKUP(B3884, Products!$A$2:$C$100, 2, FALSE)</f>
        <v>Surly Wednesday Frameset - 2016</v>
      </c>
      <c r="E3884">
        <v>2</v>
      </c>
      <c r="F3884">
        <v>299.99</v>
      </c>
      <c r="G3884">
        <v>0.1</v>
      </c>
      <c r="H3884">
        <v>29.999000000000002</v>
      </c>
      <c r="I3884">
        <f>order_items[[#This Row],[list_price]]-order_items[[#This Row],[Discounted_price]]</f>
        <v>269.99099999999999</v>
      </c>
      <c r="J3884">
        <f>VLOOKUP(B3884, Products!$A$2:$E$100, 3, FALSE)</f>
        <v>8</v>
      </c>
      <c r="K3884">
        <f>VLOOKUP(B3884, Products!$A$2:$F$100, 4, FALSE)</f>
        <v>6</v>
      </c>
    </row>
    <row r="3885" spans="1:11" x14ac:dyDescent="0.3">
      <c r="A3885">
        <v>1333</v>
      </c>
      <c r="B3885">
        <v>4</v>
      </c>
      <c r="C3885">
        <v>12</v>
      </c>
      <c r="D3885" t="str">
        <f>VLOOKUP(B3885, Products!$A$2:$C$100, 2, FALSE)</f>
        <v>Trek Fuel EX 8 29 - 2016</v>
      </c>
      <c r="E3885">
        <v>1</v>
      </c>
      <c r="F3885">
        <v>549.99</v>
      </c>
      <c r="G3885">
        <v>0.05</v>
      </c>
      <c r="H3885">
        <v>27.499500000000001</v>
      </c>
      <c r="I3885">
        <f>order_items[[#This Row],[list_price]]-order_items[[#This Row],[Discounted_price]]</f>
        <v>522.4905</v>
      </c>
      <c r="J3885">
        <f>VLOOKUP(B3885, Products!$A$2:$E$100, 3, FALSE)</f>
        <v>9</v>
      </c>
      <c r="K3885">
        <f>VLOOKUP(B3885, Products!$A$2:$F$100, 4, FALSE)</f>
        <v>6</v>
      </c>
    </row>
    <row r="3886" spans="1:11" x14ac:dyDescent="0.3">
      <c r="A3886">
        <v>1333</v>
      </c>
      <c r="B3886">
        <v>5</v>
      </c>
      <c r="C3886">
        <v>78</v>
      </c>
      <c r="D3886" t="str">
        <f>VLOOKUP(B3886, Products!$A$2:$C$100, 2, FALSE)</f>
        <v>Heller Shagamaw Frame - 2016</v>
      </c>
      <c r="E3886">
        <v>1</v>
      </c>
      <c r="F3886">
        <v>647.99</v>
      </c>
      <c r="G3886">
        <v>0.1</v>
      </c>
      <c r="H3886">
        <v>64.799000000000007</v>
      </c>
      <c r="I3886">
        <f>order_items[[#This Row],[list_price]]-order_items[[#This Row],[Discounted_price]]</f>
        <v>583.19100000000003</v>
      </c>
      <c r="J3886">
        <f>VLOOKUP(B3886, Products!$A$2:$E$100, 3, FALSE)</f>
        <v>3</v>
      </c>
      <c r="K3886">
        <f>VLOOKUP(B3886, Products!$A$2:$F$100, 4, FALSE)</f>
        <v>6</v>
      </c>
    </row>
    <row r="3887" spans="1:11" x14ac:dyDescent="0.3">
      <c r="A3887">
        <v>1334</v>
      </c>
      <c r="B3887">
        <v>1</v>
      </c>
      <c r="C3887">
        <v>203</v>
      </c>
      <c r="D3887" t="str">
        <f>VLOOKUP(B3887, Products!$A$2:$C$100, 2, FALSE)</f>
        <v>Trek 820 - 2016</v>
      </c>
      <c r="E3887">
        <v>2</v>
      </c>
      <c r="F3887">
        <v>4999.99</v>
      </c>
      <c r="G3887">
        <v>0.05</v>
      </c>
      <c r="H3887">
        <v>249.99950000000001</v>
      </c>
      <c r="I3887">
        <f>order_items[[#This Row],[list_price]]-order_items[[#This Row],[Discounted_price]]</f>
        <v>4749.9904999999999</v>
      </c>
      <c r="J3887">
        <f>VLOOKUP(B3887, Products!$A$2:$E$100, 3, FALSE)</f>
        <v>9</v>
      </c>
      <c r="K3887">
        <f>VLOOKUP(B3887, Products!$A$2:$F$100, 4, FALSE)</f>
        <v>6</v>
      </c>
    </row>
    <row r="3888" spans="1:11" x14ac:dyDescent="0.3">
      <c r="A3888">
        <v>1334</v>
      </c>
      <c r="B3888">
        <v>2</v>
      </c>
      <c r="C3888">
        <v>160</v>
      </c>
      <c r="D3888" t="str">
        <f>VLOOKUP(B3888, Products!$A$2:$C$100, 2, FALSE)</f>
        <v>Ritchey Timberwolf Frameset - 2016</v>
      </c>
      <c r="E3888">
        <v>2</v>
      </c>
      <c r="F3888">
        <v>4499.99</v>
      </c>
      <c r="G3888">
        <v>7.0000000000000007E-2</v>
      </c>
      <c r="H3888">
        <v>314.99930000000001</v>
      </c>
      <c r="I3888">
        <f>order_items[[#This Row],[list_price]]-order_items[[#This Row],[Discounted_price]]</f>
        <v>4184.9906999999994</v>
      </c>
      <c r="J3888">
        <f>VLOOKUP(B3888, Products!$A$2:$E$100, 3, FALSE)</f>
        <v>5</v>
      </c>
      <c r="K3888">
        <f>VLOOKUP(B3888, Products!$A$2:$F$100, 4, FALSE)</f>
        <v>6</v>
      </c>
    </row>
    <row r="3889" spans="1:11" x14ac:dyDescent="0.3">
      <c r="A3889">
        <v>1334</v>
      </c>
      <c r="B3889">
        <v>3</v>
      </c>
      <c r="C3889">
        <v>84</v>
      </c>
      <c r="D3889" t="str">
        <f>VLOOKUP(B3889, Products!$A$2:$C$100, 2, FALSE)</f>
        <v>Surly Wednesday Frameset - 2016</v>
      </c>
      <c r="E3889">
        <v>2</v>
      </c>
      <c r="F3889">
        <v>109.99</v>
      </c>
      <c r="G3889">
        <v>0.1</v>
      </c>
      <c r="H3889">
        <v>10.999000000000001</v>
      </c>
      <c r="I3889">
        <f>order_items[[#This Row],[list_price]]-order_items[[#This Row],[Discounted_price]]</f>
        <v>98.991</v>
      </c>
      <c r="J3889">
        <f>VLOOKUP(B3889, Products!$A$2:$E$100, 3, FALSE)</f>
        <v>8</v>
      </c>
      <c r="K3889">
        <f>VLOOKUP(B3889, Products!$A$2:$F$100, 4, FALSE)</f>
        <v>6</v>
      </c>
    </row>
    <row r="3890" spans="1:11" x14ac:dyDescent="0.3">
      <c r="A3890">
        <v>1334</v>
      </c>
      <c r="B3890">
        <v>4</v>
      </c>
      <c r="C3890">
        <v>13</v>
      </c>
      <c r="D3890" t="str">
        <f>VLOOKUP(B3890, Products!$A$2:$C$100, 2, FALSE)</f>
        <v>Trek Fuel EX 8 29 - 2016</v>
      </c>
      <c r="E3890">
        <v>1</v>
      </c>
      <c r="F3890">
        <v>269.99</v>
      </c>
      <c r="G3890">
        <v>0.05</v>
      </c>
      <c r="H3890">
        <v>13.499500000000001</v>
      </c>
      <c r="I3890">
        <f>order_items[[#This Row],[list_price]]-order_items[[#This Row],[Discounted_price]]</f>
        <v>256.4905</v>
      </c>
      <c r="J3890">
        <f>VLOOKUP(B3890, Products!$A$2:$E$100, 3, FALSE)</f>
        <v>9</v>
      </c>
      <c r="K3890">
        <f>VLOOKUP(B3890, Products!$A$2:$F$100, 4, FALSE)</f>
        <v>6</v>
      </c>
    </row>
    <row r="3891" spans="1:11" x14ac:dyDescent="0.3">
      <c r="A3891">
        <v>1334</v>
      </c>
      <c r="B3891">
        <v>5</v>
      </c>
      <c r="C3891">
        <v>42</v>
      </c>
      <c r="D3891" t="str">
        <f>VLOOKUP(B3891, Products!$A$2:$C$100, 2, FALSE)</f>
        <v>Heller Shagamaw Frame - 2016</v>
      </c>
      <c r="E3891">
        <v>1</v>
      </c>
      <c r="F3891">
        <v>2299.9899999999998</v>
      </c>
      <c r="G3891">
        <v>0.05</v>
      </c>
      <c r="H3891">
        <v>114.9995</v>
      </c>
      <c r="I3891">
        <f>order_items[[#This Row],[list_price]]-order_items[[#This Row],[Discounted_price]]</f>
        <v>2184.9904999999999</v>
      </c>
      <c r="J3891">
        <f>VLOOKUP(B3891, Products!$A$2:$E$100, 3, FALSE)</f>
        <v>3</v>
      </c>
      <c r="K3891">
        <f>VLOOKUP(B3891, Products!$A$2:$F$100, 4, FALSE)</f>
        <v>6</v>
      </c>
    </row>
    <row r="3892" spans="1:11" x14ac:dyDescent="0.3">
      <c r="A3892">
        <v>1335</v>
      </c>
      <c r="B3892">
        <v>1</v>
      </c>
      <c r="C3892">
        <v>138</v>
      </c>
      <c r="D3892" t="str">
        <f>VLOOKUP(B3892, Products!$A$2:$C$100, 2, FALSE)</f>
        <v>Trek 820 - 2016</v>
      </c>
      <c r="E3892">
        <v>2</v>
      </c>
      <c r="F3892">
        <v>2249.9899999999998</v>
      </c>
      <c r="G3892">
        <v>0.05</v>
      </c>
      <c r="H3892">
        <v>112.4995</v>
      </c>
      <c r="I3892">
        <f>order_items[[#This Row],[list_price]]-order_items[[#This Row],[Discounted_price]]</f>
        <v>2137.4904999999999</v>
      </c>
      <c r="J3892">
        <f>VLOOKUP(B3892, Products!$A$2:$E$100, 3, FALSE)</f>
        <v>9</v>
      </c>
      <c r="K3892">
        <f>VLOOKUP(B3892, Products!$A$2:$F$100, 4, FALSE)</f>
        <v>6</v>
      </c>
    </row>
    <row r="3893" spans="1:11" x14ac:dyDescent="0.3">
      <c r="A3893">
        <v>1336</v>
      </c>
      <c r="B3893">
        <v>1</v>
      </c>
      <c r="C3893">
        <v>29</v>
      </c>
      <c r="D3893" t="str">
        <f>VLOOKUP(B3893, Products!$A$2:$C$100, 2, FALSE)</f>
        <v>Trek 820 - 2016</v>
      </c>
      <c r="E3893">
        <v>2</v>
      </c>
      <c r="F3893">
        <v>999.99</v>
      </c>
      <c r="G3893">
        <v>0.2</v>
      </c>
      <c r="H3893">
        <v>199.99800000000002</v>
      </c>
      <c r="I3893">
        <f>order_items[[#This Row],[list_price]]-order_items[[#This Row],[Discounted_price]]</f>
        <v>799.99199999999996</v>
      </c>
      <c r="J3893">
        <f>VLOOKUP(B3893, Products!$A$2:$E$100, 3, FALSE)</f>
        <v>9</v>
      </c>
      <c r="K3893">
        <f>VLOOKUP(B3893, Products!$A$2:$F$100, 4, FALSE)</f>
        <v>6</v>
      </c>
    </row>
    <row r="3894" spans="1:11" x14ac:dyDescent="0.3">
      <c r="A3894">
        <v>1336</v>
      </c>
      <c r="B3894">
        <v>2</v>
      </c>
      <c r="C3894">
        <v>157</v>
      </c>
      <c r="D3894" t="str">
        <f>VLOOKUP(B3894, Products!$A$2:$C$100, 2, FALSE)</f>
        <v>Ritchey Timberwolf Frameset - 2016</v>
      </c>
      <c r="E3894">
        <v>1</v>
      </c>
      <c r="F3894">
        <v>6499.99</v>
      </c>
      <c r="G3894">
        <v>0.05</v>
      </c>
      <c r="H3894">
        <v>324.99950000000001</v>
      </c>
      <c r="I3894">
        <f>order_items[[#This Row],[list_price]]-order_items[[#This Row],[Discounted_price]]</f>
        <v>6174.9904999999999</v>
      </c>
      <c r="J3894">
        <f>VLOOKUP(B3894, Products!$A$2:$E$100, 3, FALSE)</f>
        <v>5</v>
      </c>
      <c r="K3894">
        <f>VLOOKUP(B3894, Products!$A$2:$F$100, 4, FALSE)</f>
        <v>6</v>
      </c>
    </row>
    <row r="3895" spans="1:11" x14ac:dyDescent="0.3">
      <c r="A3895">
        <v>1336</v>
      </c>
      <c r="B3895">
        <v>3</v>
      </c>
      <c r="C3895">
        <v>21</v>
      </c>
      <c r="D3895" t="str">
        <f>VLOOKUP(B3895, Products!$A$2:$C$100, 2, FALSE)</f>
        <v>Surly Wednesday Frameset - 2016</v>
      </c>
      <c r="E3895">
        <v>2</v>
      </c>
      <c r="F3895">
        <v>269.99</v>
      </c>
      <c r="G3895">
        <v>7.0000000000000007E-2</v>
      </c>
      <c r="H3895">
        <v>18.899300000000004</v>
      </c>
      <c r="I3895">
        <f>order_items[[#This Row],[list_price]]-order_items[[#This Row],[Discounted_price]]</f>
        <v>251.0907</v>
      </c>
      <c r="J3895">
        <f>VLOOKUP(B3895, Products!$A$2:$E$100, 3, FALSE)</f>
        <v>8</v>
      </c>
      <c r="K3895">
        <f>VLOOKUP(B3895, Products!$A$2:$F$100, 4, FALSE)</f>
        <v>6</v>
      </c>
    </row>
    <row r="3896" spans="1:11" x14ac:dyDescent="0.3">
      <c r="A3896">
        <v>1336</v>
      </c>
      <c r="B3896">
        <v>4</v>
      </c>
      <c r="C3896">
        <v>207</v>
      </c>
      <c r="D3896" t="str">
        <f>VLOOKUP(B3896, Products!$A$2:$C$100, 2, FALSE)</f>
        <v>Trek Fuel EX 8 29 - 2016</v>
      </c>
      <c r="E3896">
        <v>1</v>
      </c>
      <c r="F3896">
        <v>3999.99</v>
      </c>
      <c r="G3896">
        <v>0.1</v>
      </c>
      <c r="H3896">
        <v>399.99900000000002</v>
      </c>
      <c r="I3896">
        <f>order_items[[#This Row],[list_price]]-order_items[[#This Row],[Discounted_price]]</f>
        <v>3599.991</v>
      </c>
      <c r="J3896">
        <f>VLOOKUP(B3896, Products!$A$2:$E$100, 3, FALSE)</f>
        <v>9</v>
      </c>
      <c r="K3896">
        <f>VLOOKUP(B3896, Products!$A$2:$F$100, 4, FALSE)</f>
        <v>6</v>
      </c>
    </row>
    <row r="3897" spans="1:11" x14ac:dyDescent="0.3">
      <c r="A3897">
        <v>1336</v>
      </c>
      <c r="B3897">
        <v>5</v>
      </c>
      <c r="C3897">
        <v>185</v>
      </c>
      <c r="D3897" t="str">
        <f>VLOOKUP(B3897, Products!$A$2:$C$100, 2, FALSE)</f>
        <v>Heller Shagamaw Frame - 2016</v>
      </c>
      <c r="E3897">
        <v>1</v>
      </c>
      <c r="F3897">
        <v>2799.99</v>
      </c>
      <c r="G3897">
        <v>0.1</v>
      </c>
      <c r="H3897">
        <v>279.99899999999997</v>
      </c>
      <c r="I3897">
        <f>order_items[[#This Row],[list_price]]-order_items[[#This Row],[Discounted_price]]</f>
        <v>2519.991</v>
      </c>
      <c r="J3897">
        <f>VLOOKUP(B3897, Products!$A$2:$E$100, 3, FALSE)</f>
        <v>3</v>
      </c>
      <c r="K3897">
        <f>VLOOKUP(B3897, Products!$A$2:$F$100, 4, FALSE)</f>
        <v>6</v>
      </c>
    </row>
    <row r="3898" spans="1:11" x14ac:dyDescent="0.3">
      <c r="A3898">
        <v>1337</v>
      </c>
      <c r="B3898">
        <v>1</v>
      </c>
      <c r="C3898">
        <v>153</v>
      </c>
      <c r="D3898" t="str">
        <f>VLOOKUP(B3898, Products!$A$2:$C$100, 2, FALSE)</f>
        <v>Trek 820 - 2016</v>
      </c>
      <c r="E3898">
        <v>1</v>
      </c>
      <c r="F3898">
        <v>4999.99</v>
      </c>
      <c r="G3898">
        <v>0.1</v>
      </c>
      <c r="H3898">
        <v>499.99900000000002</v>
      </c>
      <c r="I3898">
        <f>order_items[[#This Row],[list_price]]-order_items[[#This Row],[Discounted_price]]</f>
        <v>4499.991</v>
      </c>
      <c r="J3898">
        <f>VLOOKUP(B3898, Products!$A$2:$E$100, 3, FALSE)</f>
        <v>9</v>
      </c>
      <c r="K3898">
        <f>VLOOKUP(B3898, Products!$A$2:$F$100, 4, FALSE)</f>
        <v>6</v>
      </c>
    </row>
    <row r="3899" spans="1:11" x14ac:dyDescent="0.3">
      <c r="A3899">
        <v>1338</v>
      </c>
      <c r="B3899">
        <v>1</v>
      </c>
      <c r="C3899">
        <v>169</v>
      </c>
      <c r="D3899" t="str">
        <f>VLOOKUP(B3899, Products!$A$2:$C$100, 2, FALSE)</f>
        <v>Trek 820 - 2016</v>
      </c>
      <c r="E3899">
        <v>2</v>
      </c>
      <c r="F3899">
        <v>6499.99</v>
      </c>
      <c r="G3899">
        <v>7.0000000000000007E-2</v>
      </c>
      <c r="H3899">
        <v>454.99930000000001</v>
      </c>
      <c r="I3899">
        <f>order_items[[#This Row],[list_price]]-order_items[[#This Row],[Discounted_price]]</f>
        <v>6044.9906999999994</v>
      </c>
      <c r="J3899">
        <f>VLOOKUP(B3899, Products!$A$2:$E$100, 3, FALSE)</f>
        <v>9</v>
      </c>
      <c r="K3899">
        <f>VLOOKUP(B3899, Products!$A$2:$F$100, 4, FALSE)</f>
        <v>6</v>
      </c>
    </row>
    <row r="3900" spans="1:11" x14ac:dyDescent="0.3">
      <c r="A3900">
        <v>1339</v>
      </c>
      <c r="B3900">
        <v>1</v>
      </c>
      <c r="C3900">
        <v>175</v>
      </c>
      <c r="D3900" t="str">
        <f>VLOOKUP(B3900, Products!$A$2:$C$100, 2, FALSE)</f>
        <v>Trek 820 - 2016</v>
      </c>
      <c r="E3900">
        <v>1</v>
      </c>
      <c r="F3900">
        <v>3199.99</v>
      </c>
      <c r="G3900">
        <v>7.0000000000000007E-2</v>
      </c>
      <c r="H3900">
        <v>223.99930000000001</v>
      </c>
      <c r="I3900">
        <f>order_items[[#This Row],[list_price]]-order_items[[#This Row],[Discounted_price]]</f>
        <v>2975.9906999999998</v>
      </c>
      <c r="J3900">
        <f>VLOOKUP(B3900, Products!$A$2:$E$100, 3, FALSE)</f>
        <v>9</v>
      </c>
      <c r="K3900">
        <f>VLOOKUP(B3900, Products!$A$2:$F$100, 4, FALSE)</f>
        <v>6</v>
      </c>
    </row>
    <row r="3901" spans="1:11" x14ac:dyDescent="0.3">
      <c r="A3901">
        <v>1340</v>
      </c>
      <c r="B3901">
        <v>1</v>
      </c>
      <c r="C3901">
        <v>253</v>
      </c>
      <c r="D3901" t="str">
        <f>VLOOKUP(B3901, Products!$A$2:$C$100, 2, FALSE)</f>
        <v>Trek 820 - 2016</v>
      </c>
      <c r="E3901">
        <v>1</v>
      </c>
      <c r="F3901">
        <v>2599.9899999999998</v>
      </c>
      <c r="G3901">
        <v>0.2</v>
      </c>
      <c r="H3901">
        <v>519.99799999999993</v>
      </c>
      <c r="I3901">
        <f>order_items[[#This Row],[list_price]]-order_items[[#This Row],[Discounted_price]]</f>
        <v>2079.9919999999997</v>
      </c>
      <c r="J3901">
        <f>VLOOKUP(B3901, Products!$A$2:$E$100, 3, FALSE)</f>
        <v>9</v>
      </c>
      <c r="K3901">
        <f>VLOOKUP(B3901, Products!$A$2:$F$100, 4, FALSE)</f>
        <v>6</v>
      </c>
    </row>
    <row r="3902" spans="1:11" x14ac:dyDescent="0.3">
      <c r="A3902">
        <v>1340</v>
      </c>
      <c r="B3902">
        <v>2</v>
      </c>
      <c r="C3902">
        <v>92</v>
      </c>
      <c r="D3902" t="str">
        <f>VLOOKUP(B3902, Products!$A$2:$C$100, 2, FALSE)</f>
        <v>Ritchey Timberwolf Frameset - 2016</v>
      </c>
      <c r="E3902">
        <v>2</v>
      </c>
      <c r="F3902">
        <v>209.99</v>
      </c>
      <c r="G3902">
        <v>0.2</v>
      </c>
      <c r="H3902">
        <v>41.998000000000005</v>
      </c>
      <c r="I3902">
        <f>order_items[[#This Row],[list_price]]-order_items[[#This Row],[Discounted_price]]</f>
        <v>167.99200000000002</v>
      </c>
      <c r="J3902">
        <f>VLOOKUP(B3902, Products!$A$2:$E$100, 3, FALSE)</f>
        <v>5</v>
      </c>
      <c r="K3902">
        <f>VLOOKUP(B3902, Products!$A$2:$F$100, 4, FALSE)</f>
        <v>6</v>
      </c>
    </row>
    <row r="3903" spans="1:11" x14ac:dyDescent="0.3">
      <c r="A3903">
        <v>1340</v>
      </c>
      <c r="B3903">
        <v>3</v>
      </c>
      <c r="C3903">
        <v>237</v>
      </c>
      <c r="D3903" t="str">
        <f>VLOOKUP(B3903, Products!$A$2:$C$100, 2, FALSE)</f>
        <v>Surly Wednesday Frameset - 2016</v>
      </c>
      <c r="E3903">
        <v>2</v>
      </c>
      <c r="F3903">
        <v>849.99</v>
      </c>
      <c r="G3903">
        <v>0.05</v>
      </c>
      <c r="H3903">
        <v>42.499500000000005</v>
      </c>
      <c r="I3903">
        <f>order_items[[#This Row],[list_price]]-order_items[[#This Row],[Discounted_price]]</f>
        <v>807.4905</v>
      </c>
      <c r="J3903">
        <f>VLOOKUP(B3903, Products!$A$2:$E$100, 3, FALSE)</f>
        <v>8</v>
      </c>
      <c r="K3903">
        <f>VLOOKUP(B3903, Products!$A$2:$F$100, 4, FALSE)</f>
        <v>6</v>
      </c>
    </row>
    <row r="3904" spans="1:11" x14ac:dyDescent="0.3">
      <c r="A3904">
        <v>1341</v>
      </c>
      <c r="B3904">
        <v>1</v>
      </c>
      <c r="C3904">
        <v>215</v>
      </c>
      <c r="D3904" t="str">
        <f>VLOOKUP(B3904, Products!$A$2:$C$100, 2, FALSE)</f>
        <v>Trek 820 - 2016</v>
      </c>
      <c r="E3904">
        <v>2</v>
      </c>
      <c r="F3904">
        <v>749.99</v>
      </c>
      <c r="G3904">
        <v>7.0000000000000007E-2</v>
      </c>
      <c r="H3904">
        <v>52.499300000000005</v>
      </c>
      <c r="I3904">
        <f>order_items[[#This Row],[list_price]]-order_items[[#This Row],[Discounted_price]]</f>
        <v>697.49070000000006</v>
      </c>
      <c r="J3904">
        <f>VLOOKUP(B3904, Products!$A$2:$E$100, 3, FALSE)</f>
        <v>9</v>
      </c>
      <c r="K3904">
        <f>VLOOKUP(B3904, Products!$A$2:$F$100, 4, FALSE)</f>
        <v>6</v>
      </c>
    </row>
    <row r="3905" spans="1:11" x14ac:dyDescent="0.3">
      <c r="A3905">
        <v>1341</v>
      </c>
      <c r="B3905">
        <v>2</v>
      </c>
      <c r="C3905">
        <v>56</v>
      </c>
      <c r="D3905" t="str">
        <f>VLOOKUP(B3905, Products!$A$2:$C$100, 2, FALSE)</f>
        <v>Ritchey Timberwolf Frameset - 2016</v>
      </c>
      <c r="E3905">
        <v>2</v>
      </c>
      <c r="F3905">
        <v>5499.99</v>
      </c>
      <c r="G3905">
        <v>0.2</v>
      </c>
      <c r="H3905">
        <v>1099.998</v>
      </c>
      <c r="I3905">
        <f>order_items[[#This Row],[list_price]]-order_items[[#This Row],[Discounted_price]]</f>
        <v>4399.9920000000002</v>
      </c>
      <c r="J3905">
        <f>VLOOKUP(B3905, Products!$A$2:$E$100, 3, FALSE)</f>
        <v>5</v>
      </c>
      <c r="K3905">
        <f>VLOOKUP(B3905, Products!$A$2:$F$100, 4, FALSE)</f>
        <v>6</v>
      </c>
    </row>
    <row r="3906" spans="1:11" x14ac:dyDescent="0.3">
      <c r="A3906">
        <v>1341</v>
      </c>
      <c r="B3906">
        <v>3</v>
      </c>
      <c r="C3906">
        <v>234</v>
      </c>
      <c r="D3906" t="str">
        <f>VLOOKUP(B3906, Products!$A$2:$C$100, 2, FALSE)</f>
        <v>Surly Wednesday Frameset - 2016</v>
      </c>
      <c r="E3906">
        <v>2</v>
      </c>
      <c r="F3906">
        <v>899.99</v>
      </c>
      <c r="G3906">
        <v>0.05</v>
      </c>
      <c r="H3906">
        <v>44.999500000000005</v>
      </c>
      <c r="I3906">
        <f>order_items[[#This Row],[list_price]]-order_items[[#This Row],[Discounted_price]]</f>
        <v>854.9905</v>
      </c>
      <c r="J3906">
        <f>VLOOKUP(B3906, Products!$A$2:$E$100, 3, FALSE)</f>
        <v>8</v>
      </c>
      <c r="K3906">
        <f>VLOOKUP(B3906, Products!$A$2:$F$100, 4, FALSE)</f>
        <v>6</v>
      </c>
    </row>
    <row r="3907" spans="1:11" x14ac:dyDescent="0.3">
      <c r="A3907">
        <v>1341</v>
      </c>
      <c r="B3907">
        <v>4</v>
      </c>
      <c r="C3907">
        <v>66</v>
      </c>
      <c r="D3907" t="str">
        <f>VLOOKUP(B3907, Products!$A$2:$C$100, 2, FALSE)</f>
        <v>Trek Fuel EX 8 29 - 2016</v>
      </c>
      <c r="E3907">
        <v>2</v>
      </c>
      <c r="F3907">
        <v>250.99</v>
      </c>
      <c r="G3907">
        <v>0.05</v>
      </c>
      <c r="H3907">
        <v>12.549500000000002</v>
      </c>
      <c r="I3907">
        <f>order_items[[#This Row],[list_price]]-order_items[[#This Row],[Discounted_price]]</f>
        <v>238.44050000000001</v>
      </c>
      <c r="J3907">
        <f>VLOOKUP(B3907, Products!$A$2:$E$100, 3, FALSE)</f>
        <v>9</v>
      </c>
      <c r="K3907">
        <f>VLOOKUP(B3907, Products!$A$2:$F$100, 4, FALSE)</f>
        <v>6</v>
      </c>
    </row>
    <row r="3908" spans="1:11" x14ac:dyDescent="0.3">
      <c r="A3908">
        <v>1342</v>
      </c>
      <c r="B3908">
        <v>1</v>
      </c>
      <c r="C3908">
        <v>60</v>
      </c>
      <c r="D3908" t="str">
        <f>VLOOKUP(B3908, Products!$A$2:$C$100, 2, FALSE)</f>
        <v>Trek 820 - 2016</v>
      </c>
      <c r="E3908">
        <v>1</v>
      </c>
      <c r="F3908">
        <v>1559.99</v>
      </c>
      <c r="G3908">
        <v>0.05</v>
      </c>
      <c r="H3908">
        <v>77.999500000000012</v>
      </c>
      <c r="I3908">
        <f>order_items[[#This Row],[list_price]]-order_items[[#This Row],[Discounted_price]]</f>
        <v>1481.9904999999999</v>
      </c>
      <c r="J3908">
        <f>VLOOKUP(B3908, Products!$A$2:$E$100, 3, FALSE)</f>
        <v>9</v>
      </c>
      <c r="K3908">
        <f>VLOOKUP(B3908, Products!$A$2:$F$100, 4, FALSE)</f>
        <v>6</v>
      </c>
    </row>
    <row r="3909" spans="1:11" x14ac:dyDescent="0.3">
      <c r="A3909">
        <v>1342</v>
      </c>
      <c r="B3909">
        <v>2</v>
      </c>
      <c r="C3909">
        <v>270</v>
      </c>
      <c r="D3909" t="str">
        <f>VLOOKUP(B3909, Products!$A$2:$C$100, 2, FALSE)</f>
        <v>Ritchey Timberwolf Frameset - 2016</v>
      </c>
      <c r="E3909">
        <v>1</v>
      </c>
      <c r="F3909">
        <v>209.99</v>
      </c>
      <c r="G3909">
        <v>0.05</v>
      </c>
      <c r="H3909">
        <v>10.499500000000001</v>
      </c>
      <c r="I3909">
        <f>order_items[[#This Row],[list_price]]-order_items[[#This Row],[Discounted_price]]</f>
        <v>199.4905</v>
      </c>
      <c r="J3909">
        <f>VLOOKUP(B3909, Products!$A$2:$E$100, 3, FALSE)</f>
        <v>5</v>
      </c>
      <c r="K3909">
        <f>VLOOKUP(B3909, Products!$A$2:$F$100, 4, FALSE)</f>
        <v>6</v>
      </c>
    </row>
    <row r="3910" spans="1:11" x14ac:dyDescent="0.3">
      <c r="A3910">
        <v>1343</v>
      </c>
      <c r="B3910">
        <v>1</v>
      </c>
      <c r="C3910">
        <v>244</v>
      </c>
      <c r="D3910" t="str">
        <f>VLOOKUP(B3910, Products!$A$2:$C$100, 2, FALSE)</f>
        <v>Trek 820 - 2016</v>
      </c>
      <c r="E3910">
        <v>1</v>
      </c>
      <c r="F3910">
        <v>559.99</v>
      </c>
      <c r="G3910">
        <v>0.05</v>
      </c>
      <c r="H3910">
        <v>27.999500000000001</v>
      </c>
      <c r="I3910">
        <f>order_items[[#This Row],[list_price]]-order_items[[#This Row],[Discounted_price]]</f>
        <v>531.9905</v>
      </c>
      <c r="J3910">
        <f>VLOOKUP(B3910, Products!$A$2:$E$100, 3, FALSE)</f>
        <v>9</v>
      </c>
      <c r="K3910">
        <f>VLOOKUP(B3910, Products!$A$2:$F$100, 4, FALSE)</f>
        <v>6</v>
      </c>
    </row>
    <row r="3911" spans="1:11" x14ac:dyDescent="0.3">
      <c r="A3911">
        <v>1343</v>
      </c>
      <c r="B3911">
        <v>2</v>
      </c>
      <c r="C3911">
        <v>99</v>
      </c>
      <c r="D3911" t="str">
        <f>VLOOKUP(B3911, Products!$A$2:$C$100, 2, FALSE)</f>
        <v>Ritchey Timberwolf Frameset - 2016</v>
      </c>
      <c r="E3911">
        <v>1</v>
      </c>
      <c r="F3911">
        <v>299.99</v>
      </c>
      <c r="G3911">
        <v>0.05</v>
      </c>
      <c r="H3911">
        <v>14.999500000000001</v>
      </c>
      <c r="I3911">
        <f>order_items[[#This Row],[list_price]]-order_items[[#This Row],[Discounted_price]]</f>
        <v>284.9905</v>
      </c>
      <c r="J3911">
        <f>VLOOKUP(B3911, Products!$A$2:$E$100, 3, FALSE)</f>
        <v>5</v>
      </c>
      <c r="K3911">
        <f>VLOOKUP(B3911, Products!$A$2:$F$100, 4, FALSE)</f>
        <v>6</v>
      </c>
    </row>
    <row r="3912" spans="1:11" x14ac:dyDescent="0.3">
      <c r="A3912">
        <v>1343</v>
      </c>
      <c r="B3912">
        <v>3</v>
      </c>
      <c r="C3912">
        <v>184</v>
      </c>
      <c r="D3912" t="str">
        <f>VLOOKUP(B3912, Products!$A$2:$C$100, 2, FALSE)</f>
        <v>Surly Wednesday Frameset - 2016</v>
      </c>
      <c r="E3912">
        <v>2</v>
      </c>
      <c r="F3912">
        <v>3499.99</v>
      </c>
      <c r="G3912">
        <v>0.2</v>
      </c>
      <c r="H3912">
        <v>699.99800000000005</v>
      </c>
      <c r="I3912">
        <f>order_items[[#This Row],[list_price]]-order_items[[#This Row],[Discounted_price]]</f>
        <v>2799.9919999999997</v>
      </c>
      <c r="J3912">
        <f>VLOOKUP(B3912, Products!$A$2:$E$100, 3, FALSE)</f>
        <v>8</v>
      </c>
      <c r="K3912">
        <f>VLOOKUP(B3912, Products!$A$2:$F$100, 4, FALSE)</f>
        <v>6</v>
      </c>
    </row>
    <row r="3913" spans="1:11" x14ac:dyDescent="0.3">
      <c r="A3913">
        <v>1343</v>
      </c>
      <c r="B3913">
        <v>4</v>
      </c>
      <c r="C3913">
        <v>65</v>
      </c>
      <c r="D3913" t="str">
        <f>VLOOKUP(B3913, Products!$A$2:$C$100, 2, FALSE)</f>
        <v>Trek Fuel EX 8 29 - 2016</v>
      </c>
      <c r="E3913">
        <v>2</v>
      </c>
      <c r="F3913">
        <v>346.99</v>
      </c>
      <c r="G3913">
        <v>0.2</v>
      </c>
      <c r="H3913">
        <v>69.39800000000001</v>
      </c>
      <c r="I3913">
        <f>order_items[[#This Row],[list_price]]-order_items[[#This Row],[Discounted_price]]</f>
        <v>277.59199999999998</v>
      </c>
      <c r="J3913">
        <f>VLOOKUP(B3913, Products!$A$2:$E$100, 3, FALSE)</f>
        <v>9</v>
      </c>
      <c r="K3913">
        <f>VLOOKUP(B3913, Products!$A$2:$F$100, 4, FALSE)</f>
        <v>6</v>
      </c>
    </row>
    <row r="3914" spans="1:11" x14ac:dyDescent="0.3">
      <c r="A3914">
        <v>1343</v>
      </c>
      <c r="B3914">
        <v>5</v>
      </c>
      <c r="C3914">
        <v>206</v>
      </c>
      <c r="D3914" t="str">
        <f>VLOOKUP(B3914, Products!$A$2:$C$100, 2, FALSE)</f>
        <v>Heller Shagamaw Frame - 2016</v>
      </c>
      <c r="E3914">
        <v>1</v>
      </c>
      <c r="F3914">
        <v>3299.99</v>
      </c>
      <c r="G3914">
        <v>0.1</v>
      </c>
      <c r="H3914">
        <v>329.99900000000002</v>
      </c>
      <c r="I3914">
        <f>order_items[[#This Row],[list_price]]-order_items[[#This Row],[Discounted_price]]</f>
        <v>2969.991</v>
      </c>
      <c r="J3914">
        <f>VLOOKUP(B3914, Products!$A$2:$E$100, 3, FALSE)</f>
        <v>3</v>
      </c>
      <c r="K3914">
        <f>VLOOKUP(B3914, Products!$A$2:$F$100, 4, FALSE)</f>
        <v>6</v>
      </c>
    </row>
    <row r="3915" spans="1:11" x14ac:dyDescent="0.3">
      <c r="A3915">
        <v>1344</v>
      </c>
      <c r="B3915">
        <v>1</v>
      </c>
      <c r="C3915">
        <v>77</v>
      </c>
      <c r="D3915" t="str">
        <f>VLOOKUP(B3915, Products!$A$2:$C$100, 2, FALSE)</f>
        <v>Trek 820 - 2016</v>
      </c>
      <c r="E3915">
        <v>2</v>
      </c>
      <c r="F3915">
        <v>799.99</v>
      </c>
      <c r="G3915">
        <v>7.0000000000000007E-2</v>
      </c>
      <c r="H3915">
        <v>55.999300000000005</v>
      </c>
      <c r="I3915">
        <f>order_items[[#This Row],[list_price]]-order_items[[#This Row],[Discounted_price]]</f>
        <v>743.99070000000006</v>
      </c>
      <c r="J3915">
        <f>VLOOKUP(B3915, Products!$A$2:$E$100, 3, FALSE)</f>
        <v>9</v>
      </c>
      <c r="K3915">
        <f>VLOOKUP(B3915, Products!$A$2:$F$100, 4, FALSE)</f>
        <v>6</v>
      </c>
    </row>
    <row r="3916" spans="1:11" x14ac:dyDescent="0.3">
      <c r="A3916">
        <v>1344</v>
      </c>
      <c r="B3916">
        <v>2</v>
      </c>
      <c r="C3916">
        <v>103</v>
      </c>
      <c r="D3916" t="str">
        <f>VLOOKUP(B3916, Products!$A$2:$C$100, 2, FALSE)</f>
        <v>Ritchey Timberwolf Frameset - 2016</v>
      </c>
      <c r="E3916">
        <v>2</v>
      </c>
      <c r="F3916">
        <v>551.99</v>
      </c>
      <c r="G3916">
        <v>0.2</v>
      </c>
      <c r="H3916">
        <v>110.39800000000001</v>
      </c>
      <c r="I3916">
        <f>order_items[[#This Row],[list_price]]-order_items[[#This Row],[Discounted_price]]</f>
        <v>441.59199999999998</v>
      </c>
      <c r="J3916">
        <f>VLOOKUP(B3916, Products!$A$2:$E$100, 3, FALSE)</f>
        <v>5</v>
      </c>
      <c r="K3916">
        <f>VLOOKUP(B3916, Products!$A$2:$F$100, 4, FALSE)</f>
        <v>6</v>
      </c>
    </row>
    <row r="3917" spans="1:11" x14ac:dyDescent="0.3">
      <c r="A3917">
        <v>1344</v>
      </c>
      <c r="B3917">
        <v>3</v>
      </c>
      <c r="C3917">
        <v>3</v>
      </c>
      <c r="D3917" t="str">
        <f>VLOOKUP(B3917, Products!$A$2:$C$100, 2, FALSE)</f>
        <v>Surly Wednesday Frameset - 2016</v>
      </c>
      <c r="E3917">
        <v>1</v>
      </c>
      <c r="F3917">
        <v>999.99</v>
      </c>
      <c r="G3917">
        <v>7.0000000000000007E-2</v>
      </c>
      <c r="H3917">
        <v>69.999300000000005</v>
      </c>
      <c r="I3917">
        <f>order_items[[#This Row],[list_price]]-order_items[[#This Row],[Discounted_price]]</f>
        <v>929.99070000000006</v>
      </c>
      <c r="J3917">
        <f>VLOOKUP(B3917, Products!$A$2:$E$100, 3, FALSE)</f>
        <v>8</v>
      </c>
      <c r="K3917">
        <f>VLOOKUP(B3917, Products!$A$2:$F$100, 4, FALSE)</f>
        <v>6</v>
      </c>
    </row>
    <row r="3918" spans="1:11" x14ac:dyDescent="0.3">
      <c r="A3918">
        <v>1344</v>
      </c>
      <c r="B3918">
        <v>4</v>
      </c>
      <c r="C3918">
        <v>61</v>
      </c>
      <c r="D3918" t="str">
        <f>VLOOKUP(B3918, Products!$A$2:$C$100, 2, FALSE)</f>
        <v>Trek Fuel EX 8 29 - 2016</v>
      </c>
      <c r="E3918">
        <v>1</v>
      </c>
      <c r="F3918">
        <v>4999.99</v>
      </c>
      <c r="G3918">
        <v>7.0000000000000007E-2</v>
      </c>
      <c r="H3918">
        <v>349.99930000000001</v>
      </c>
      <c r="I3918">
        <f>order_items[[#This Row],[list_price]]-order_items[[#This Row],[Discounted_price]]</f>
        <v>4649.9906999999994</v>
      </c>
      <c r="J3918">
        <f>VLOOKUP(B3918, Products!$A$2:$E$100, 3, FALSE)</f>
        <v>9</v>
      </c>
      <c r="K3918">
        <f>VLOOKUP(B3918, Products!$A$2:$F$100, 4, FALSE)</f>
        <v>6</v>
      </c>
    </row>
    <row r="3919" spans="1:11" x14ac:dyDescent="0.3">
      <c r="A3919">
        <v>1345</v>
      </c>
      <c r="B3919">
        <v>1</v>
      </c>
      <c r="C3919">
        <v>40</v>
      </c>
      <c r="D3919" t="str">
        <f>VLOOKUP(B3919, Products!$A$2:$C$100, 2, FALSE)</f>
        <v>Trek 820 - 2016</v>
      </c>
      <c r="E3919">
        <v>2</v>
      </c>
      <c r="F3919">
        <v>4999.99</v>
      </c>
      <c r="G3919">
        <v>0.2</v>
      </c>
      <c r="H3919">
        <v>999.99800000000005</v>
      </c>
      <c r="I3919">
        <f>order_items[[#This Row],[list_price]]-order_items[[#This Row],[Discounted_price]]</f>
        <v>3999.9919999999997</v>
      </c>
      <c r="J3919">
        <f>VLOOKUP(B3919, Products!$A$2:$E$100, 3, FALSE)</f>
        <v>9</v>
      </c>
      <c r="K3919">
        <f>VLOOKUP(B3919, Products!$A$2:$F$100, 4, FALSE)</f>
        <v>6</v>
      </c>
    </row>
    <row r="3920" spans="1:11" x14ac:dyDescent="0.3">
      <c r="A3920">
        <v>1345</v>
      </c>
      <c r="B3920">
        <v>2</v>
      </c>
      <c r="C3920">
        <v>172</v>
      </c>
      <c r="D3920" t="str">
        <f>VLOOKUP(B3920, Products!$A$2:$C$100, 2, FALSE)</f>
        <v>Ritchey Timberwolf Frameset - 2016</v>
      </c>
      <c r="E3920">
        <v>2</v>
      </c>
      <c r="F3920">
        <v>3199.99</v>
      </c>
      <c r="G3920">
        <v>0.05</v>
      </c>
      <c r="H3920">
        <v>159.99950000000001</v>
      </c>
      <c r="I3920">
        <f>order_items[[#This Row],[list_price]]-order_items[[#This Row],[Discounted_price]]</f>
        <v>3039.9904999999999</v>
      </c>
      <c r="J3920">
        <f>VLOOKUP(B3920, Products!$A$2:$E$100, 3, FALSE)</f>
        <v>5</v>
      </c>
      <c r="K3920">
        <f>VLOOKUP(B3920, Products!$A$2:$F$100, 4, FALSE)</f>
        <v>6</v>
      </c>
    </row>
    <row r="3921" spans="1:11" x14ac:dyDescent="0.3">
      <c r="A3921">
        <v>1345</v>
      </c>
      <c r="B3921">
        <v>3</v>
      </c>
      <c r="C3921">
        <v>164</v>
      </c>
      <c r="D3921" t="str">
        <f>VLOOKUP(B3921, Products!$A$2:$C$100, 2, FALSE)</f>
        <v>Surly Wednesday Frameset - 2016</v>
      </c>
      <c r="E3921">
        <v>2</v>
      </c>
      <c r="F3921">
        <v>1549</v>
      </c>
      <c r="G3921">
        <v>0.2</v>
      </c>
      <c r="H3921">
        <v>309.8</v>
      </c>
      <c r="I3921">
        <f>order_items[[#This Row],[list_price]]-order_items[[#This Row],[Discounted_price]]</f>
        <v>1239.2</v>
      </c>
      <c r="J3921">
        <f>VLOOKUP(B3921, Products!$A$2:$E$100, 3, FALSE)</f>
        <v>8</v>
      </c>
      <c r="K3921">
        <f>VLOOKUP(B3921, Products!$A$2:$F$100, 4, FALSE)</f>
        <v>6</v>
      </c>
    </row>
    <row r="3922" spans="1:11" x14ac:dyDescent="0.3">
      <c r="A3922">
        <v>1345</v>
      </c>
      <c r="B3922">
        <v>4</v>
      </c>
      <c r="C3922">
        <v>2</v>
      </c>
      <c r="D3922" t="str">
        <f>VLOOKUP(B3922, Products!$A$2:$C$100, 2, FALSE)</f>
        <v>Trek Fuel EX 8 29 - 2016</v>
      </c>
      <c r="E3922">
        <v>2</v>
      </c>
      <c r="F3922">
        <v>749.99</v>
      </c>
      <c r="G3922">
        <v>0.2</v>
      </c>
      <c r="H3922">
        <v>149.99800000000002</v>
      </c>
      <c r="I3922">
        <f>order_items[[#This Row],[list_price]]-order_items[[#This Row],[Discounted_price]]</f>
        <v>599.99199999999996</v>
      </c>
      <c r="J3922">
        <f>VLOOKUP(B3922, Products!$A$2:$E$100, 3, FALSE)</f>
        <v>9</v>
      </c>
      <c r="K3922">
        <f>VLOOKUP(B3922, Products!$A$2:$F$100, 4, FALSE)</f>
        <v>6</v>
      </c>
    </row>
    <row r="3923" spans="1:11" x14ac:dyDescent="0.3">
      <c r="A3923">
        <v>1346</v>
      </c>
      <c r="B3923">
        <v>1</v>
      </c>
      <c r="C3923">
        <v>134</v>
      </c>
      <c r="D3923" t="str">
        <f>VLOOKUP(B3923, Products!$A$2:$C$100, 2, FALSE)</f>
        <v>Trek 820 - 2016</v>
      </c>
      <c r="E3923">
        <v>2</v>
      </c>
      <c r="F3923">
        <v>1499.99</v>
      </c>
      <c r="G3923">
        <v>0.05</v>
      </c>
      <c r="H3923">
        <v>74.999499999999998</v>
      </c>
      <c r="I3923">
        <f>order_items[[#This Row],[list_price]]-order_items[[#This Row],[Discounted_price]]</f>
        <v>1424.9905000000001</v>
      </c>
      <c r="J3923">
        <f>VLOOKUP(B3923, Products!$A$2:$E$100, 3, FALSE)</f>
        <v>9</v>
      </c>
      <c r="K3923">
        <f>VLOOKUP(B3923, Products!$A$2:$F$100, 4, FALSE)</f>
        <v>6</v>
      </c>
    </row>
    <row r="3924" spans="1:11" x14ac:dyDescent="0.3">
      <c r="A3924">
        <v>1346</v>
      </c>
      <c r="B3924">
        <v>2</v>
      </c>
      <c r="C3924">
        <v>150</v>
      </c>
      <c r="D3924" t="str">
        <f>VLOOKUP(B3924, Products!$A$2:$C$100, 2, FALSE)</f>
        <v>Ritchey Timberwolf Frameset - 2016</v>
      </c>
      <c r="E3924">
        <v>1</v>
      </c>
      <c r="F3924">
        <v>4499.99</v>
      </c>
      <c r="G3924">
        <v>0.05</v>
      </c>
      <c r="H3924">
        <v>224.99950000000001</v>
      </c>
      <c r="I3924">
        <f>order_items[[#This Row],[list_price]]-order_items[[#This Row],[Discounted_price]]</f>
        <v>4274.9904999999999</v>
      </c>
      <c r="J3924">
        <f>VLOOKUP(B3924, Products!$A$2:$E$100, 3, FALSE)</f>
        <v>5</v>
      </c>
      <c r="K3924">
        <f>VLOOKUP(B3924, Products!$A$2:$F$100, 4, FALSE)</f>
        <v>6</v>
      </c>
    </row>
    <row r="3925" spans="1:11" x14ac:dyDescent="0.3">
      <c r="A3925">
        <v>1346</v>
      </c>
      <c r="B3925">
        <v>3</v>
      </c>
      <c r="C3925">
        <v>18</v>
      </c>
      <c r="D3925" t="str">
        <f>VLOOKUP(B3925, Products!$A$2:$C$100, 2, FALSE)</f>
        <v>Surly Wednesday Frameset - 2016</v>
      </c>
      <c r="E3925">
        <v>2</v>
      </c>
      <c r="F3925">
        <v>449</v>
      </c>
      <c r="G3925">
        <v>0.05</v>
      </c>
      <c r="H3925">
        <v>22.450000000000003</v>
      </c>
      <c r="I3925">
        <f>order_items[[#This Row],[list_price]]-order_items[[#This Row],[Discounted_price]]</f>
        <v>426.55</v>
      </c>
      <c r="J3925">
        <f>VLOOKUP(B3925, Products!$A$2:$E$100, 3, FALSE)</f>
        <v>8</v>
      </c>
      <c r="K3925">
        <f>VLOOKUP(B3925, Products!$A$2:$F$100, 4, FALSE)</f>
        <v>6</v>
      </c>
    </row>
    <row r="3926" spans="1:11" x14ac:dyDescent="0.3">
      <c r="A3926">
        <v>1346</v>
      </c>
      <c r="B3926">
        <v>4</v>
      </c>
      <c r="C3926">
        <v>249</v>
      </c>
      <c r="D3926" t="str">
        <f>VLOOKUP(B3926, Products!$A$2:$C$100, 2, FALSE)</f>
        <v>Trek Fuel EX 8 29 - 2016</v>
      </c>
      <c r="E3926">
        <v>1</v>
      </c>
      <c r="F3926">
        <v>749.99</v>
      </c>
      <c r="G3926">
        <v>0.1</v>
      </c>
      <c r="H3926">
        <v>74.999000000000009</v>
      </c>
      <c r="I3926">
        <f>order_items[[#This Row],[list_price]]-order_items[[#This Row],[Discounted_price]]</f>
        <v>674.99099999999999</v>
      </c>
      <c r="J3926">
        <f>VLOOKUP(B3926, Products!$A$2:$E$100, 3, FALSE)</f>
        <v>9</v>
      </c>
      <c r="K3926">
        <f>VLOOKUP(B3926, Products!$A$2:$F$100, 4, FALSE)</f>
        <v>6</v>
      </c>
    </row>
    <row r="3927" spans="1:11" x14ac:dyDescent="0.3">
      <c r="A3927">
        <v>1346</v>
      </c>
      <c r="B3927">
        <v>5</v>
      </c>
      <c r="C3927">
        <v>263</v>
      </c>
      <c r="D3927" t="str">
        <f>VLOOKUP(B3927, Products!$A$2:$C$100, 2, FALSE)</f>
        <v>Heller Shagamaw Frame - 2016</v>
      </c>
      <c r="E3927">
        <v>2</v>
      </c>
      <c r="F3927">
        <v>89.99</v>
      </c>
      <c r="G3927">
        <v>0.2</v>
      </c>
      <c r="H3927">
        <v>17.998000000000001</v>
      </c>
      <c r="I3927">
        <f>order_items[[#This Row],[list_price]]-order_items[[#This Row],[Discounted_price]]</f>
        <v>71.99199999999999</v>
      </c>
      <c r="J3927">
        <f>VLOOKUP(B3927, Products!$A$2:$E$100, 3, FALSE)</f>
        <v>3</v>
      </c>
      <c r="K3927">
        <f>VLOOKUP(B3927, Products!$A$2:$F$100, 4, FALSE)</f>
        <v>6</v>
      </c>
    </row>
    <row r="3928" spans="1:11" x14ac:dyDescent="0.3">
      <c r="A3928">
        <v>1347</v>
      </c>
      <c r="B3928">
        <v>1</v>
      </c>
      <c r="C3928">
        <v>43</v>
      </c>
      <c r="D3928" t="str">
        <f>VLOOKUP(B3928, Products!$A$2:$C$100, 2, FALSE)</f>
        <v>Trek 820 - 2016</v>
      </c>
      <c r="E3928">
        <v>2</v>
      </c>
      <c r="F3928">
        <v>5299.99</v>
      </c>
      <c r="G3928">
        <v>7.0000000000000007E-2</v>
      </c>
      <c r="H3928">
        <v>370.99930000000001</v>
      </c>
      <c r="I3928">
        <f>order_items[[#This Row],[list_price]]-order_items[[#This Row],[Discounted_price]]</f>
        <v>4928.9906999999994</v>
      </c>
      <c r="J3928">
        <f>VLOOKUP(B3928, Products!$A$2:$E$100, 3, FALSE)</f>
        <v>9</v>
      </c>
      <c r="K3928">
        <f>VLOOKUP(B3928, Products!$A$2:$F$100, 4, FALSE)</f>
        <v>6</v>
      </c>
    </row>
    <row r="3929" spans="1:11" x14ac:dyDescent="0.3">
      <c r="A3929">
        <v>1347</v>
      </c>
      <c r="B3929">
        <v>2</v>
      </c>
      <c r="C3929">
        <v>53</v>
      </c>
      <c r="D3929" t="str">
        <f>VLOOKUP(B3929, Products!$A$2:$C$100, 2, FALSE)</f>
        <v>Ritchey Timberwolf Frameset - 2016</v>
      </c>
      <c r="E3929">
        <v>1</v>
      </c>
      <c r="F3929">
        <v>749.99</v>
      </c>
      <c r="G3929">
        <v>0.05</v>
      </c>
      <c r="H3929">
        <v>37.499500000000005</v>
      </c>
      <c r="I3929">
        <f>order_items[[#This Row],[list_price]]-order_items[[#This Row],[Discounted_price]]</f>
        <v>712.4905</v>
      </c>
      <c r="J3929">
        <f>VLOOKUP(B3929, Products!$A$2:$E$100, 3, FALSE)</f>
        <v>5</v>
      </c>
      <c r="K3929">
        <f>VLOOKUP(B3929, Products!$A$2:$F$100, 4, FALSE)</f>
        <v>6</v>
      </c>
    </row>
    <row r="3930" spans="1:11" x14ac:dyDescent="0.3">
      <c r="A3930">
        <v>1348</v>
      </c>
      <c r="B3930">
        <v>1</v>
      </c>
      <c r="C3930">
        <v>203</v>
      </c>
      <c r="D3930" t="str">
        <f>VLOOKUP(B3930, Products!$A$2:$C$100, 2, FALSE)</f>
        <v>Trek 820 - 2016</v>
      </c>
      <c r="E3930">
        <v>1</v>
      </c>
      <c r="F3930">
        <v>4999.99</v>
      </c>
      <c r="G3930">
        <v>0.05</v>
      </c>
      <c r="H3930">
        <v>249.99950000000001</v>
      </c>
      <c r="I3930">
        <f>order_items[[#This Row],[list_price]]-order_items[[#This Row],[Discounted_price]]</f>
        <v>4749.9904999999999</v>
      </c>
      <c r="J3930">
        <f>VLOOKUP(B3930, Products!$A$2:$E$100, 3, FALSE)</f>
        <v>9</v>
      </c>
      <c r="K3930">
        <f>VLOOKUP(B3930, Products!$A$2:$F$100, 4, FALSE)</f>
        <v>6</v>
      </c>
    </row>
    <row r="3931" spans="1:11" x14ac:dyDescent="0.3">
      <c r="A3931">
        <v>1348</v>
      </c>
      <c r="B3931">
        <v>2</v>
      </c>
      <c r="C3931">
        <v>148</v>
      </c>
      <c r="D3931" t="str">
        <f>VLOOKUP(B3931, Products!$A$2:$C$100, 2, FALSE)</f>
        <v>Ritchey Timberwolf Frameset - 2016</v>
      </c>
      <c r="E3931">
        <v>1</v>
      </c>
      <c r="F3931">
        <v>5499.99</v>
      </c>
      <c r="G3931">
        <v>0.05</v>
      </c>
      <c r="H3931">
        <v>274.99950000000001</v>
      </c>
      <c r="I3931">
        <f>order_items[[#This Row],[list_price]]-order_items[[#This Row],[Discounted_price]]</f>
        <v>5224.9904999999999</v>
      </c>
      <c r="J3931">
        <f>VLOOKUP(B3931, Products!$A$2:$E$100, 3, FALSE)</f>
        <v>5</v>
      </c>
      <c r="K3931">
        <f>VLOOKUP(B3931, Products!$A$2:$F$100, 4, FALSE)</f>
        <v>6</v>
      </c>
    </row>
    <row r="3932" spans="1:11" x14ac:dyDescent="0.3">
      <c r="A3932">
        <v>1348</v>
      </c>
      <c r="B3932">
        <v>3</v>
      </c>
      <c r="C3932">
        <v>58</v>
      </c>
      <c r="D3932" t="str">
        <f>VLOOKUP(B3932, Products!$A$2:$C$100, 2, FALSE)</f>
        <v>Surly Wednesday Frameset - 2016</v>
      </c>
      <c r="E3932">
        <v>2</v>
      </c>
      <c r="F3932">
        <v>4999.99</v>
      </c>
      <c r="G3932">
        <v>0.1</v>
      </c>
      <c r="H3932">
        <v>499.99900000000002</v>
      </c>
      <c r="I3932">
        <f>order_items[[#This Row],[list_price]]-order_items[[#This Row],[Discounted_price]]</f>
        <v>4499.991</v>
      </c>
      <c r="J3932">
        <f>VLOOKUP(B3932, Products!$A$2:$E$100, 3, FALSE)</f>
        <v>8</v>
      </c>
      <c r="K3932">
        <f>VLOOKUP(B3932, Products!$A$2:$F$100, 4, FALSE)</f>
        <v>6</v>
      </c>
    </row>
    <row r="3933" spans="1:11" x14ac:dyDescent="0.3">
      <c r="A3933">
        <v>1348</v>
      </c>
      <c r="B3933">
        <v>4</v>
      </c>
      <c r="C3933">
        <v>147</v>
      </c>
      <c r="D3933" t="str">
        <f>VLOOKUP(B3933, Products!$A$2:$C$100, 2, FALSE)</f>
        <v>Trek Fuel EX 8 29 - 2016</v>
      </c>
      <c r="E3933">
        <v>1</v>
      </c>
      <c r="F3933">
        <v>1799.99</v>
      </c>
      <c r="G3933">
        <v>7.0000000000000007E-2</v>
      </c>
      <c r="H3933">
        <v>125.99930000000002</v>
      </c>
      <c r="I3933">
        <f>order_items[[#This Row],[list_price]]-order_items[[#This Row],[Discounted_price]]</f>
        <v>1673.9907000000001</v>
      </c>
      <c r="J3933">
        <f>VLOOKUP(B3933, Products!$A$2:$E$100, 3, FALSE)</f>
        <v>9</v>
      </c>
      <c r="K3933">
        <f>VLOOKUP(B3933, Products!$A$2:$F$100, 4, FALSE)</f>
        <v>6</v>
      </c>
    </row>
    <row r="3934" spans="1:11" x14ac:dyDescent="0.3">
      <c r="A3934">
        <v>1349</v>
      </c>
      <c r="B3934">
        <v>1</v>
      </c>
      <c r="C3934">
        <v>138</v>
      </c>
      <c r="D3934" t="str">
        <f>VLOOKUP(B3934, Products!$A$2:$C$100, 2, FALSE)</f>
        <v>Trek 820 - 2016</v>
      </c>
      <c r="E3934">
        <v>2</v>
      </c>
      <c r="F3934">
        <v>2249.9899999999998</v>
      </c>
      <c r="G3934">
        <v>0.05</v>
      </c>
      <c r="H3934">
        <v>112.4995</v>
      </c>
      <c r="I3934">
        <f>order_items[[#This Row],[list_price]]-order_items[[#This Row],[Discounted_price]]</f>
        <v>2137.4904999999999</v>
      </c>
      <c r="J3934">
        <f>VLOOKUP(B3934, Products!$A$2:$E$100, 3, FALSE)</f>
        <v>9</v>
      </c>
      <c r="K3934">
        <f>VLOOKUP(B3934, Products!$A$2:$F$100, 4, FALSE)</f>
        <v>6</v>
      </c>
    </row>
    <row r="3935" spans="1:11" x14ac:dyDescent="0.3">
      <c r="A3935">
        <v>1349</v>
      </c>
      <c r="B3935">
        <v>2</v>
      </c>
      <c r="C3935">
        <v>205</v>
      </c>
      <c r="D3935" t="str">
        <f>VLOOKUP(B3935, Products!$A$2:$C$100, 2, FALSE)</f>
        <v>Ritchey Timberwolf Frameset - 2016</v>
      </c>
      <c r="E3935">
        <v>2</v>
      </c>
      <c r="F3935">
        <v>4999.99</v>
      </c>
      <c r="G3935">
        <v>7.0000000000000007E-2</v>
      </c>
      <c r="H3935">
        <v>349.99930000000001</v>
      </c>
      <c r="I3935">
        <f>order_items[[#This Row],[list_price]]-order_items[[#This Row],[Discounted_price]]</f>
        <v>4649.9906999999994</v>
      </c>
      <c r="J3935">
        <f>VLOOKUP(B3935, Products!$A$2:$E$100, 3, FALSE)</f>
        <v>5</v>
      </c>
      <c r="K3935">
        <f>VLOOKUP(B3935, Products!$A$2:$F$100, 4, FALSE)</f>
        <v>6</v>
      </c>
    </row>
    <row r="3936" spans="1:11" x14ac:dyDescent="0.3">
      <c r="A3936">
        <v>1349</v>
      </c>
      <c r="B3936">
        <v>3</v>
      </c>
      <c r="C3936">
        <v>168</v>
      </c>
      <c r="D3936" t="str">
        <f>VLOOKUP(B3936, Products!$A$2:$C$100, 2, FALSE)</f>
        <v>Surly Wednesday Frameset - 2016</v>
      </c>
      <c r="E3936">
        <v>2</v>
      </c>
      <c r="F3936">
        <v>1549</v>
      </c>
      <c r="G3936">
        <v>0.2</v>
      </c>
      <c r="H3936">
        <v>309.8</v>
      </c>
      <c r="I3936">
        <f>order_items[[#This Row],[list_price]]-order_items[[#This Row],[Discounted_price]]</f>
        <v>1239.2</v>
      </c>
      <c r="J3936">
        <f>VLOOKUP(B3936, Products!$A$2:$E$100, 3, FALSE)</f>
        <v>8</v>
      </c>
      <c r="K3936">
        <f>VLOOKUP(B3936, Products!$A$2:$F$100, 4, FALSE)</f>
        <v>6</v>
      </c>
    </row>
    <row r="3937" spans="1:11" x14ac:dyDescent="0.3">
      <c r="A3937">
        <v>1349</v>
      </c>
      <c r="B3937">
        <v>4</v>
      </c>
      <c r="C3937">
        <v>184</v>
      </c>
      <c r="D3937" t="str">
        <f>VLOOKUP(B3937, Products!$A$2:$C$100, 2, FALSE)</f>
        <v>Trek Fuel EX 8 29 - 2016</v>
      </c>
      <c r="E3937">
        <v>1</v>
      </c>
      <c r="F3937">
        <v>3499.99</v>
      </c>
      <c r="G3937">
        <v>0.2</v>
      </c>
      <c r="H3937">
        <v>699.99800000000005</v>
      </c>
      <c r="I3937">
        <f>order_items[[#This Row],[list_price]]-order_items[[#This Row],[Discounted_price]]</f>
        <v>2799.9919999999997</v>
      </c>
      <c r="J3937">
        <f>VLOOKUP(B3937, Products!$A$2:$E$100, 3, FALSE)</f>
        <v>9</v>
      </c>
      <c r="K3937">
        <f>VLOOKUP(B3937, Products!$A$2:$F$100, 4, FALSE)</f>
        <v>6</v>
      </c>
    </row>
    <row r="3938" spans="1:11" x14ac:dyDescent="0.3">
      <c r="A3938">
        <v>1350</v>
      </c>
      <c r="B3938">
        <v>1</v>
      </c>
      <c r="C3938">
        <v>305</v>
      </c>
      <c r="D3938" t="str">
        <f>VLOOKUP(B3938, Products!$A$2:$C$100, 2, FALSE)</f>
        <v>Trek 820 - 2016</v>
      </c>
      <c r="E3938">
        <v>1</v>
      </c>
      <c r="F3938">
        <v>749.99</v>
      </c>
      <c r="G3938">
        <v>0.1</v>
      </c>
      <c r="H3938">
        <v>74.999000000000009</v>
      </c>
      <c r="I3938">
        <f>order_items[[#This Row],[list_price]]-order_items[[#This Row],[Discounted_price]]</f>
        <v>674.99099999999999</v>
      </c>
      <c r="J3938">
        <f>VLOOKUP(B3938, Products!$A$2:$E$100, 3, FALSE)</f>
        <v>9</v>
      </c>
      <c r="K3938">
        <f>VLOOKUP(B3938, Products!$A$2:$F$100, 4, FALSE)</f>
        <v>6</v>
      </c>
    </row>
    <row r="3939" spans="1:11" x14ac:dyDescent="0.3">
      <c r="A3939">
        <v>1350</v>
      </c>
      <c r="B3939">
        <v>2</v>
      </c>
      <c r="C3939">
        <v>250</v>
      </c>
      <c r="D3939" t="str">
        <f>VLOOKUP(B3939, Products!$A$2:$C$100, 2, FALSE)</f>
        <v>Ritchey Timberwolf Frameset - 2016</v>
      </c>
      <c r="E3939">
        <v>1</v>
      </c>
      <c r="F3939">
        <v>2599.9899999999998</v>
      </c>
      <c r="G3939">
        <v>7.0000000000000007E-2</v>
      </c>
      <c r="H3939">
        <v>181.99930000000001</v>
      </c>
      <c r="I3939">
        <f>order_items[[#This Row],[list_price]]-order_items[[#This Row],[Discounted_price]]</f>
        <v>2417.9906999999998</v>
      </c>
      <c r="J3939">
        <f>VLOOKUP(B3939, Products!$A$2:$E$100, 3, FALSE)</f>
        <v>5</v>
      </c>
      <c r="K3939">
        <f>VLOOKUP(B3939, Products!$A$2:$F$100, 4, FALSE)</f>
        <v>6</v>
      </c>
    </row>
    <row r="3940" spans="1:11" x14ac:dyDescent="0.3">
      <c r="A3940">
        <v>1350</v>
      </c>
      <c r="B3940">
        <v>3</v>
      </c>
      <c r="C3940">
        <v>253</v>
      </c>
      <c r="D3940" t="str">
        <f>VLOOKUP(B3940, Products!$A$2:$C$100, 2, FALSE)</f>
        <v>Surly Wednesday Frameset - 2016</v>
      </c>
      <c r="E3940">
        <v>1</v>
      </c>
      <c r="F3940">
        <v>2599.9899999999998</v>
      </c>
      <c r="G3940">
        <v>7.0000000000000007E-2</v>
      </c>
      <c r="H3940">
        <v>181.99930000000001</v>
      </c>
      <c r="I3940">
        <f>order_items[[#This Row],[list_price]]-order_items[[#This Row],[Discounted_price]]</f>
        <v>2417.9906999999998</v>
      </c>
      <c r="J3940">
        <f>VLOOKUP(B3940, Products!$A$2:$E$100, 3, FALSE)</f>
        <v>8</v>
      </c>
      <c r="K3940">
        <f>VLOOKUP(B3940, Products!$A$2:$F$100, 4, FALSE)</f>
        <v>6</v>
      </c>
    </row>
    <row r="3941" spans="1:11" x14ac:dyDescent="0.3">
      <c r="A3941">
        <v>1350</v>
      </c>
      <c r="B3941">
        <v>4</v>
      </c>
      <c r="C3941">
        <v>159</v>
      </c>
      <c r="D3941" t="str">
        <f>VLOOKUP(B3941, Products!$A$2:$C$100, 2, FALSE)</f>
        <v>Trek Fuel EX 8 29 - 2016</v>
      </c>
      <c r="E3941">
        <v>1</v>
      </c>
      <c r="F3941">
        <v>2299.9899999999998</v>
      </c>
      <c r="G3941">
        <v>0.05</v>
      </c>
      <c r="H3941">
        <v>114.9995</v>
      </c>
      <c r="I3941">
        <f>order_items[[#This Row],[list_price]]-order_items[[#This Row],[Discounted_price]]</f>
        <v>2184.9904999999999</v>
      </c>
      <c r="J3941">
        <f>VLOOKUP(B3941, Products!$A$2:$E$100, 3, FALSE)</f>
        <v>9</v>
      </c>
      <c r="K3941">
        <f>VLOOKUP(B3941, Products!$A$2:$F$100, 4, FALSE)</f>
        <v>6</v>
      </c>
    </row>
    <row r="3942" spans="1:11" x14ac:dyDescent="0.3">
      <c r="A3942">
        <v>1350</v>
      </c>
      <c r="B3942">
        <v>5</v>
      </c>
      <c r="C3942">
        <v>13</v>
      </c>
      <c r="D3942" t="str">
        <f>VLOOKUP(B3942, Products!$A$2:$C$100, 2, FALSE)</f>
        <v>Heller Shagamaw Frame - 2016</v>
      </c>
      <c r="E3942">
        <v>2</v>
      </c>
      <c r="F3942">
        <v>269.99</v>
      </c>
      <c r="G3942">
        <v>0.2</v>
      </c>
      <c r="H3942">
        <v>53.998000000000005</v>
      </c>
      <c r="I3942">
        <f>order_items[[#This Row],[list_price]]-order_items[[#This Row],[Discounted_price]]</f>
        <v>215.99200000000002</v>
      </c>
      <c r="J3942">
        <f>VLOOKUP(B3942, Products!$A$2:$E$100, 3, FALSE)</f>
        <v>3</v>
      </c>
      <c r="K3942">
        <f>VLOOKUP(B3942, Products!$A$2:$F$100, 4, FALSE)</f>
        <v>6</v>
      </c>
    </row>
    <row r="3943" spans="1:11" x14ac:dyDescent="0.3">
      <c r="A3943">
        <v>1351</v>
      </c>
      <c r="B3943">
        <v>1</v>
      </c>
      <c r="C3943">
        <v>297</v>
      </c>
      <c r="D3943" t="str">
        <f>VLOOKUP(B3943, Products!$A$2:$C$100, 2, FALSE)</f>
        <v>Trek 820 - 2016</v>
      </c>
      <c r="E3943">
        <v>2</v>
      </c>
      <c r="F3943">
        <v>279.99</v>
      </c>
      <c r="G3943">
        <v>0.2</v>
      </c>
      <c r="H3943">
        <v>55.998000000000005</v>
      </c>
      <c r="I3943">
        <f>order_items[[#This Row],[list_price]]-order_items[[#This Row],[Discounted_price]]</f>
        <v>223.99200000000002</v>
      </c>
      <c r="J3943">
        <f>VLOOKUP(B3943, Products!$A$2:$E$100, 3, FALSE)</f>
        <v>9</v>
      </c>
      <c r="K3943">
        <f>VLOOKUP(B3943, Products!$A$2:$F$100, 4, FALSE)</f>
        <v>6</v>
      </c>
    </row>
    <row r="3944" spans="1:11" x14ac:dyDescent="0.3">
      <c r="A3944">
        <v>1351</v>
      </c>
      <c r="B3944">
        <v>2</v>
      </c>
      <c r="C3944">
        <v>133</v>
      </c>
      <c r="D3944" t="str">
        <f>VLOOKUP(B3944, Products!$A$2:$C$100, 2, FALSE)</f>
        <v>Ritchey Timberwolf Frameset - 2016</v>
      </c>
      <c r="E3944">
        <v>1</v>
      </c>
      <c r="F3944">
        <v>1499.99</v>
      </c>
      <c r="G3944">
        <v>0.1</v>
      </c>
      <c r="H3944">
        <v>149.999</v>
      </c>
      <c r="I3944">
        <f>order_items[[#This Row],[list_price]]-order_items[[#This Row],[Discounted_price]]</f>
        <v>1349.991</v>
      </c>
      <c r="J3944">
        <f>VLOOKUP(B3944, Products!$A$2:$E$100, 3, FALSE)</f>
        <v>5</v>
      </c>
      <c r="K3944">
        <f>VLOOKUP(B3944, Products!$A$2:$F$100, 4, FALSE)</f>
        <v>6</v>
      </c>
    </row>
    <row r="3945" spans="1:11" x14ac:dyDescent="0.3">
      <c r="A3945">
        <v>1352</v>
      </c>
      <c r="B3945">
        <v>1</v>
      </c>
      <c r="C3945">
        <v>136</v>
      </c>
      <c r="D3945" t="str">
        <f>VLOOKUP(B3945, Products!$A$2:$C$100, 2, FALSE)</f>
        <v>Trek 820 - 2016</v>
      </c>
      <c r="E3945">
        <v>1</v>
      </c>
      <c r="F3945">
        <v>1799.99</v>
      </c>
      <c r="G3945">
        <v>0.2</v>
      </c>
      <c r="H3945">
        <v>359.99800000000005</v>
      </c>
      <c r="I3945">
        <f>order_items[[#This Row],[list_price]]-order_items[[#This Row],[Discounted_price]]</f>
        <v>1439.992</v>
      </c>
      <c r="J3945">
        <f>VLOOKUP(B3945, Products!$A$2:$E$100, 3, FALSE)</f>
        <v>9</v>
      </c>
      <c r="K3945">
        <f>VLOOKUP(B3945, Products!$A$2:$F$100, 4, FALSE)</f>
        <v>6</v>
      </c>
    </row>
    <row r="3946" spans="1:11" x14ac:dyDescent="0.3">
      <c r="A3946">
        <v>1352</v>
      </c>
      <c r="B3946">
        <v>2</v>
      </c>
      <c r="C3946">
        <v>52</v>
      </c>
      <c r="D3946" t="str">
        <f>VLOOKUP(B3946, Products!$A$2:$C$100, 2, FALSE)</f>
        <v>Ritchey Timberwolf Frameset - 2016</v>
      </c>
      <c r="E3946">
        <v>2</v>
      </c>
      <c r="F3946">
        <v>875.99</v>
      </c>
      <c r="G3946">
        <v>0.1</v>
      </c>
      <c r="H3946">
        <v>87.599000000000004</v>
      </c>
      <c r="I3946">
        <f>order_items[[#This Row],[list_price]]-order_items[[#This Row],[Discounted_price]]</f>
        <v>788.39099999999996</v>
      </c>
      <c r="J3946">
        <f>VLOOKUP(B3946, Products!$A$2:$E$100, 3, FALSE)</f>
        <v>5</v>
      </c>
      <c r="K3946">
        <f>VLOOKUP(B3946, Products!$A$2:$F$100, 4, FALSE)</f>
        <v>6</v>
      </c>
    </row>
    <row r="3947" spans="1:11" x14ac:dyDescent="0.3">
      <c r="A3947">
        <v>1352</v>
      </c>
      <c r="B3947">
        <v>3</v>
      </c>
      <c r="C3947">
        <v>282</v>
      </c>
      <c r="D3947" t="str">
        <f>VLOOKUP(B3947, Products!$A$2:$C$100, 2, FALSE)</f>
        <v>Surly Wednesday Frameset - 2016</v>
      </c>
      <c r="E3947">
        <v>2</v>
      </c>
      <c r="F3947">
        <v>279.99</v>
      </c>
      <c r="G3947">
        <v>0.1</v>
      </c>
      <c r="H3947">
        <v>27.999000000000002</v>
      </c>
      <c r="I3947">
        <f>order_items[[#This Row],[list_price]]-order_items[[#This Row],[Discounted_price]]</f>
        <v>251.99100000000001</v>
      </c>
      <c r="J3947">
        <f>VLOOKUP(B3947, Products!$A$2:$E$100, 3, FALSE)</f>
        <v>8</v>
      </c>
      <c r="K3947">
        <f>VLOOKUP(B3947, Products!$A$2:$F$100, 4, FALSE)</f>
        <v>6</v>
      </c>
    </row>
    <row r="3948" spans="1:11" x14ac:dyDescent="0.3">
      <c r="A3948">
        <v>1352</v>
      </c>
      <c r="B3948">
        <v>4</v>
      </c>
      <c r="C3948">
        <v>86</v>
      </c>
      <c r="D3948" t="str">
        <f>VLOOKUP(B3948, Products!$A$2:$C$100, 2, FALSE)</f>
        <v>Trek Fuel EX 8 29 - 2016</v>
      </c>
      <c r="E3948">
        <v>2</v>
      </c>
      <c r="F3948">
        <v>149.99</v>
      </c>
      <c r="G3948">
        <v>0.2</v>
      </c>
      <c r="H3948">
        <v>29.998000000000005</v>
      </c>
      <c r="I3948">
        <f>order_items[[#This Row],[list_price]]-order_items[[#This Row],[Discounted_price]]</f>
        <v>119.992</v>
      </c>
      <c r="J3948">
        <f>VLOOKUP(B3948, Products!$A$2:$E$100, 3, FALSE)</f>
        <v>9</v>
      </c>
      <c r="K3948">
        <f>VLOOKUP(B3948, Products!$A$2:$F$100, 4, FALSE)</f>
        <v>6</v>
      </c>
    </row>
    <row r="3949" spans="1:11" x14ac:dyDescent="0.3">
      <c r="A3949">
        <v>1352</v>
      </c>
      <c r="B3949">
        <v>5</v>
      </c>
      <c r="C3949">
        <v>100</v>
      </c>
      <c r="D3949" t="str">
        <f>VLOOKUP(B3949, Products!$A$2:$C$100, 2, FALSE)</f>
        <v>Heller Shagamaw Frame - 2016</v>
      </c>
      <c r="E3949">
        <v>1</v>
      </c>
      <c r="F3949">
        <v>489.99</v>
      </c>
      <c r="G3949">
        <v>0.05</v>
      </c>
      <c r="H3949">
        <v>24.499500000000001</v>
      </c>
      <c r="I3949">
        <f>order_items[[#This Row],[list_price]]-order_items[[#This Row],[Discounted_price]]</f>
        <v>465.4905</v>
      </c>
      <c r="J3949">
        <f>VLOOKUP(B3949, Products!$A$2:$E$100, 3, FALSE)</f>
        <v>3</v>
      </c>
      <c r="K3949">
        <f>VLOOKUP(B3949, Products!$A$2:$F$100, 4, FALSE)</f>
        <v>6</v>
      </c>
    </row>
    <row r="3950" spans="1:11" x14ac:dyDescent="0.3">
      <c r="A3950">
        <v>1353</v>
      </c>
      <c r="B3950">
        <v>1</v>
      </c>
      <c r="C3950">
        <v>107</v>
      </c>
      <c r="D3950" t="str">
        <f>VLOOKUP(B3950, Products!$A$2:$C$100, 2, FALSE)</f>
        <v>Trek 820 - 2016</v>
      </c>
      <c r="E3950">
        <v>2</v>
      </c>
      <c r="F3950">
        <v>416.99</v>
      </c>
      <c r="G3950">
        <v>0.05</v>
      </c>
      <c r="H3950">
        <v>20.849500000000003</v>
      </c>
      <c r="I3950">
        <f>order_items[[#This Row],[list_price]]-order_items[[#This Row],[Discounted_price]]</f>
        <v>396.14050000000003</v>
      </c>
      <c r="J3950">
        <f>VLOOKUP(B3950, Products!$A$2:$E$100, 3, FALSE)</f>
        <v>9</v>
      </c>
      <c r="K3950">
        <f>VLOOKUP(B3950, Products!$A$2:$F$100, 4, FALSE)</f>
        <v>6</v>
      </c>
    </row>
    <row r="3951" spans="1:11" x14ac:dyDescent="0.3">
      <c r="A3951">
        <v>1353</v>
      </c>
      <c r="B3951">
        <v>2</v>
      </c>
      <c r="C3951">
        <v>233</v>
      </c>
      <c r="D3951" t="str">
        <f>VLOOKUP(B3951, Products!$A$2:$C$100, 2, FALSE)</f>
        <v>Ritchey Timberwolf Frameset - 2016</v>
      </c>
      <c r="E3951">
        <v>1</v>
      </c>
      <c r="F3951">
        <v>639.99</v>
      </c>
      <c r="G3951">
        <v>7.0000000000000007E-2</v>
      </c>
      <c r="H3951">
        <v>44.799300000000002</v>
      </c>
      <c r="I3951">
        <f>order_items[[#This Row],[list_price]]-order_items[[#This Row],[Discounted_price]]</f>
        <v>595.19069999999999</v>
      </c>
      <c r="J3951">
        <f>VLOOKUP(B3951, Products!$A$2:$E$100, 3, FALSE)</f>
        <v>5</v>
      </c>
      <c r="K3951">
        <f>VLOOKUP(B3951, Products!$A$2:$F$100, 4, FALSE)</f>
        <v>6</v>
      </c>
    </row>
    <row r="3952" spans="1:11" x14ac:dyDescent="0.3">
      <c r="A3952">
        <v>1353</v>
      </c>
      <c r="B3952">
        <v>3</v>
      </c>
      <c r="C3952">
        <v>300</v>
      </c>
      <c r="D3952" t="str">
        <f>VLOOKUP(B3952, Products!$A$2:$C$100, 2, FALSE)</f>
        <v>Surly Wednesday Frameset - 2016</v>
      </c>
      <c r="E3952">
        <v>1</v>
      </c>
      <c r="F3952">
        <v>799.99</v>
      </c>
      <c r="G3952">
        <v>0.2</v>
      </c>
      <c r="H3952">
        <v>159.99800000000002</v>
      </c>
      <c r="I3952">
        <f>order_items[[#This Row],[list_price]]-order_items[[#This Row],[Discounted_price]]</f>
        <v>639.99199999999996</v>
      </c>
      <c r="J3952">
        <f>VLOOKUP(B3952, Products!$A$2:$E$100, 3, FALSE)</f>
        <v>8</v>
      </c>
      <c r="K3952">
        <f>VLOOKUP(B3952, Products!$A$2:$F$100, 4, FALSE)</f>
        <v>6</v>
      </c>
    </row>
    <row r="3953" spans="1:11" x14ac:dyDescent="0.3">
      <c r="A3953">
        <v>1353</v>
      </c>
      <c r="B3953">
        <v>4</v>
      </c>
      <c r="C3953">
        <v>86</v>
      </c>
      <c r="D3953" t="str">
        <f>VLOOKUP(B3953, Products!$A$2:$C$100, 2, FALSE)</f>
        <v>Trek Fuel EX 8 29 - 2016</v>
      </c>
      <c r="E3953">
        <v>2</v>
      </c>
      <c r="F3953">
        <v>149.99</v>
      </c>
      <c r="G3953">
        <v>0.05</v>
      </c>
      <c r="H3953">
        <v>7.4995000000000012</v>
      </c>
      <c r="I3953">
        <f>order_items[[#This Row],[list_price]]-order_items[[#This Row],[Discounted_price]]</f>
        <v>142.4905</v>
      </c>
      <c r="J3953">
        <f>VLOOKUP(B3953, Products!$A$2:$E$100, 3, FALSE)</f>
        <v>9</v>
      </c>
      <c r="K3953">
        <f>VLOOKUP(B3953, Products!$A$2:$F$100, 4, FALSE)</f>
        <v>6</v>
      </c>
    </row>
    <row r="3954" spans="1:11" x14ac:dyDescent="0.3">
      <c r="A3954">
        <v>1354</v>
      </c>
      <c r="B3954">
        <v>1</v>
      </c>
      <c r="C3954">
        <v>166</v>
      </c>
      <c r="D3954" t="str">
        <f>VLOOKUP(B3954, Products!$A$2:$C$100, 2, FALSE)</f>
        <v>Trek 820 - 2016</v>
      </c>
      <c r="E3954">
        <v>2</v>
      </c>
      <c r="F3954">
        <v>749.99</v>
      </c>
      <c r="G3954">
        <v>7.0000000000000007E-2</v>
      </c>
      <c r="H3954">
        <v>52.499300000000005</v>
      </c>
      <c r="I3954">
        <f>order_items[[#This Row],[list_price]]-order_items[[#This Row],[Discounted_price]]</f>
        <v>697.49070000000006</v>
      </c>
      <c r="J3954">
        <f>VLOOKUP(B3954, Products!$A$2:$E$100, 3, FALSE)</f>
        <v>9</v>
      </c>
      <c r="K3954">
        <f>VLOOKUP(B3954, Products!$A$2:$F$100, 4, FALSE)</f>
        <v>6</v>
      </c>
    </row>
    <row r="3955" spans="1:11" x14ac:dyDescent="0.3">
      <c r="A3955">
        <v>1355</v>
      </c>
      <c r="B3955">
        <v>1</v>
      </c>
      <c r="C3955">
        <v>297</v>
      </c>
      <c r="D3955" t="str">
        <f>VLOOKUP(B3955, Products!$A$2:$C$100, 2, FALSE)</f>
        <v>Trek 820 - 2016</v>
      </c>
      <c r="E3955">
        <v>1</v>
      </c>
      <c r="F3955">
        <v>279.99</v>
      </c>
      <c r="G3955">
        <v>0.1</v>
      </c>
      <c r="H3955">
        <v>27.999000000000002</v>
      </c>
      <c r="I3955">
        <f>order_items[[#This Row],[list_price]]-order_items[[#This Row],[Discounted_price]]</f>
        <v>251.99100000000001</v>
      </c>
      <c r="J3955">
        <f>VLOOKUP(B3955, Products!$A$2:$E$100, 3, FALSE)</f>
        <v>9</v>
      </c>
      <c r="K3955">
        <f>VLOOKUP(B3955, Products!$A$2:$F$100, 4, FALSE)</f>
        <v>6</v>
      </c>
    </row>
    <row r="3956" spans="1:11" x14ac:dyDescent="0.3">
      <c r="A3956">
        <v>1355</v>
      </c>
      <c r="B3956">
        <v>2</v>
      </c>
      <c r="C3956">
        <v>253</v>
      </c>
      <c r="D3956" t="str">
        <f>VLOOKUP(B3956, Products!$A$2:$C$100, 2, FALSE)</f>
        <v>Ritchey Timberwolf Frameset - 2016</v>
      </c>
      <c r="E3956">
        <v>1</v>
      </c>
      <c r="F3956">
        <v>2599.9899999999998</v>
      </c>
      <c r="G3956">
        <v>7.0000000000000007E-2</v>
      </c>
      <c r="H3956">
        <v>181.99930000000001</v>
      </c>
      <c r="I3956">
        <f>order_items[[#This Row],[list_price]]-order_items[[#This Row],[Discounted_price]]</f>
        <v>2417.9906999999998</v>
      </c>
      <c r="J3956">
        <f>VLOOKUP(B3956, Products!$A$2:$E$100, 3, FALSE)</f>
        <v>5</v>
      </c>
      <c r="K3956">
        <f>VLOOKUP(B3956, Products!$A$2:$F$100, 4, FALSE)</f>
        <v>6</v>
      </c>
    </row>
    <row r="3957" spans="1:11" x14ac:dyDescent="0.3">
      <c r="A3957">
        <v>1355</v>
      </c>
      <c r="B3957">
        <v>3</v>
      </c>
      <c r="C3957">
        <v>149</v>
      </c>
      <c r="D3957" t="str">
        <f>VLOOKUP(B3957, Products!$A$2:$C$100, 2, FALSE)</f>
        <v>Surly Wednesday Frameset - 2016</v>
      </c>
      <c r="E3957">
        <v>1</v>
      </c>
      <c r="F3957">
        <v>7499.99</v>
      </c>
      <c r="G3957">
        <v>0.2</v>
      </c>
      <c r="H3957">
        <v>1499.998</v>
      </c>
      <c r="I3957">
        <f>order_items[[#This Row],[list_price]]-order_items[[#This Row],[Discounted_price]]</f>
        <v>5999.9920000000002</v>
      </c>
      <c r="J3957">
        <f>VLOOKUP(B3957, Products!$A$2:$E$100, 3, FALSE)</f>
        <v>8</v>
      </c>
      <c r="K3957">
        <f>VLOOKUP(B3957, Products!$A$2:$F$100, 4, FALSE)</f>
        <v>6</v>
      </c>
    </row>
    <row r="3958" spans="1:11" x14ac:dyDescent="0.3">
      <c r="A3958">
        <v>1355</v>
      </c>
      <c r="B3958">
        <v>4</v>
      </c>
      <c r="C3958">
        <v>313</v>
      </c>
      <c r="D3958" t="str">
        <f>VLOOKUP(B3958, Products!$A$2:$C$100, 2, FALSE)</f>
        <v>Trek Fuel EX 8 29 - 2016</v>
      </c>
      <c r="E3958">
        <v>2</v>
      </c>
      <c r="F3958">
        <v>449.99</v>
      </c>
      <c r="G3958">
        <v>0.1</v>
      </c>
      <c r="H3958">
        <v>44.999000000000002</v>
      </c>
      <c r="I3958">
        <f>order_items[[#This Row],[list_price]]-order_items[[#This Row],[Discounted_price]]</f>
        <v>404.99099999999999</v>
      </c>
      <c r="J3958">
        <f>VLOOKUP(B3958, Products!$A$2:$E$100, 3, FALSE)</f>
        <v>9</v>
      </c>
      <c r="K3958">
        <f>VLOOKUP(B3958, Products!$A$2:$F$100, 4, FALSE)</f>
        <v>6</v>
      </c>
    </row>
    <row r="3959" spans="1:11" x14ac:dyDescent="0.3">
      <c r="A3959">
        <v>1356</v>
      </c>
      <c r="B3959">
        <v>1</v>
      </c>
      <c r="C3959">
        <v>192</v>
      </c>
      <c r="D3959" t="str">
        <f>VLOOKUP(B3959, Products!$A$2:$C$100, 2, FALSE)</f>
        <v>Trek 820 - 2016</v>
      </c>
      <c r="E3959">
        <v>1</v>
      </c>
      <c r="F3959">
        <v>2599.9899999999998</v>
      </c>
      <c r="G3959">
        <v>0.05</v>
      </c>
      <c r="H3959">
        <v>129.99949999999998</v>
      </c>
      <c r="I3959">
        <f>order_items[[#This Row],[list_price]]-order_items[[#This Row],[Discounted_price]]</f>
        <v>2469.9904999999999</v>
      </c>
      <c r="J3959">
        <f>VLOOKUP(B3959, Products!$A$2:$E$100, 3, FALSE)</f>
        <v>9</v>
      </c>
      <c r="K3959">
        <f>VLOOKUP(B3959, Products!$A$2:$F$100, 4, FALSE)</f>
        <v>6</v>
      </c>
    </row>
    <row r="3960" spans="1:11" x14ac:dyDescent="0.3">
      <c r="A3960">
        <v>1356</v>
      </c>
      <c r="B3960">
        <v>2</v>
      </c>
      <c r="C3960">
        <v>199</v>
      </c>
      <c r="D3960" t="str">
        <f>VLOOKUP(B3960, Products!$A$2:$C$100, 2, FALSE)</f>
        <v>Ritchey Timberwolf Frameset - 2016</v>
      </c>
      <c r="E3960">
        <v>2</v>
      </c>
      <c r="F3960">
        <v>2999.99</v>
      </c>
      <c r="G3960">
        <v>0.1</v>
      </c>
      <c r="H3960">
        <v>299.99899999999997</v>
      </c>
      <c r="I3960">
        <f>order_items[[#This Row],[list_price]]-order_items[[#This Row],[Discounted_price]]</f>
        <v>2699.991</v>
      </c>
      <c r="J3960">
        <f>VLOOKUP(B3960, Products!$A$2:$E$100, 3, FALSE)</f>
        <v>5</v>
      </c>
      <c r="K3960">
        <f>VLOOKUP(B3960, Products!$A$2:$F$100, 4, FALSE)</f>
        <v>6</v>
      </c>
    </row>
    <row r="3961" spans="1:11" x14ac:dyDescent="0.3">
      <c r="A3961">
        <v>1356</v>
      </c>
      <c r="B3961">
        <v>3</v>
      </c>
      <c r="C3961">
        <v>276</v>
      </c>
      <c r="D3961" t="str">
        <f>VLOOKUP(B3961, Products!$A$2:$C$100, 2, FALSE)</f>
        <v>Surly Wednesday Frameset - 2016</v>
      </c>
      <c r="E3961">
        <v>2</v>
      </c>
      <c r="F3961">
        <v>319.99</v>
      </c>
      <c r="G3961">
        <v>0.1</v>
      </c>
      <c r="H3961">
        <v>31.999000000000002</v>
      </c>
      <c r="I3961">
        <f>order_items[[#This Row],[list_price]]-order_items[[#This Row],[Discounted_price]]</f>
        <v>287.99099999999999</v>
      </c>
      <c r="J3961">
        <f>VLOOKUP(B3961, Products!$A$2:$E$100, 3, FALSE)</f>
        <v>8</v>
      </c>
      <c r="K3961">
        <f>VLOOKUP(B3961, Products!$A$2:$F$100, 4, FALSE)</f>
        <v>6</v>
      </c>
    </row>
    <row r="3962" spans="1:11" x14ac:dyDescent="0.3">
      <c r="A3962">
        <v>1357</v>
      </c>
      <c r="B3962">
        <v>1</v>
      </c>
      <c r="C3962">
        <v>145</v>
      </c>
      <c r="D3962" t="str">
        <f>VLOOKUP(B3962, Products!$A$2:$C$100, 2, FALSE)</f>
        <v>Trek 820 - 2016</v>
      </c>
      <c r="E3962">
        <v>2</v>
      </c>
      <c r="F3962">
        <v>1799.99</v>
      </c>
      <c r="G3962">
        <v>0.2</v>
      </c>
      <c r="H3962">
        <v>359.99800000000005</v>
      </c>
      <c r="I3962">
        <f>order_items[[#This Row],[list_price]]-order_items[[#This Row],[Discounted_price]]</f>
        <v>1439.992</v>
      </c>
      <c r="J3962">
        <f>VLOOKUP(B3962, Products!$A$2:$E$100, 3, FALSE)</f>
        <v>9</v>
      </c>
      <c r="K3962">
        <f>VLOOKUP(B3962, Products!$A$2:$F$100, 4, FALSE)</f>
        <v>6</v>
      </c>
    </row>
    <row r="3963" spans="1:11" x14ac:dyDescent="0.3">
      <c r="A3963">
        <v>1357</v>
      </c>
      <c r="B3963">
        <v>2</v>
      </c>
      <c r="C3963">
        <v>60</v>
      </c>
      <c r="D3963" t="str">
        <f>VLOOKUP(B3963, Products!$A$2:$C$100, 2, FALSE)</f>
        <v>Ritchey Timberwolf Frameset - 2016</v>
      </c>
      <c r="E3963">
        <v>1</v>
      </c>
      <c r="F3963">
        <v>1559.99</v>
      </c>
      <c r="G3963">
        <v>0.2</v>
      </c>
      <c r="H3963">
        <v>311.99800000000005</v>
      </c>
      <c r="I3963">
        <f>order_items[[#This Row],[list_price]]-order_items[[#This Row],[Discounted_price]]</f>
        <v>1247.992</v>
      </c>
      <c r="J3963">
        <f>VLOOKUP(B3963, Products!$A$2:$E$100, 3, FALSE)</f>
        <v>5</v>
      </c>
      <c r="K3963">
        <f>VLOOKUP(B3963, Products!$A$2:$F$100, 4, FALSE)</f>
        <v>6</v>
      </c>
    </row>
    <row r="3964" spans="1:11" x14ac:dyDescent="0.3">
      <c r="A3964">
        <v>1357</v>
      </c>
      <c r="B3964">
        <v>3</v>
      </c>
      <c r="C3964">
        <v>130</v>
      </c>
      <c r="D3964" t="str">
        <f>VLOOKUP(B3964, Products!$A$2:$C$100, 2, FALSE)</f>
        <v>Surly Wednesday Frameset - 2016</v>
      </c>
      <c r="E3964">
        <v>1</v>
      </c>
      <c r="F3964">
        <v>919.99</v>
      </c>
      <c r="G3964">
        <v>0.2</v>
      </c>
      <c r="H3964">
        <v>183.99800000000002</v>
      </c>
      <c r="I3964">
        <f>order_items[[#This Row],[list_price]]-order_items[[#This Row],[Discounted_price]]</f>
        <v>735.99199999999996</v>
      </c>
      <c r="J3964">
        <f>VLOOKUP(B3964, Products!$A$2:$E$100, 3, FALSE)</f>
        <v>8</v>
      </c>
      <c r="K3964">
        <f>VLOOKUP(B3964, Products!$A$2:$F$100, 4, FALSE)</f>
        <v>6</v>
      </c>
    </row>
    <row r="3965" spans="1:11" x14ac:dyDescent="0.3">
      <c r="A3965">
        <v>1358</v>
      </c>
      <c r="B3965">
        <v>1</v>
      </c>
      <c r="C3965">
        <v>257</v>
      </c>
      <c r="D3965" t="str">
        <f>VLOOKUP(B3965, Products!$A$2:$C$100, 2, FALSE)</f>
        <v>Trek 820 - 2016</v>
      </c>
      <c r="E3965">
        <v>2</v>
      </c>
      <c r="F3965">
        <v>899.99</v>
      </c>
      <c r="G3965">
        <v>0.2</v>
      </c>
      <c r="H3965">
        <v>179.99800000000002</v>
      </c>
      <c r="I3965">
        <f>order_items[[#This Row],[list_price]]-order_items[[#This Row],[Discounted_price]]</f>
        <v>719.99199999999996</v>
      </c>
      <c r="J3965">
        <f>VLOOKUP(B3965, Products!$A$2:$E$100, 3, FALSE)</f>
        <v>9</v>
      </c>
      <c r="K3965">
        <f>VLOOKUP(B3965, Products!$A$2:$F$100, 4, FALSE)</f>
        <v>6</v>
      </c>
    </row>
    <row r="3966" spans="1:11" x14ac:dyDescent="0.3">
      <c r="A3966">
        <v>1359</v>
      </c>
      <c r="B3966">
        <v>1</v>
      </c>
      <c r="C3966">
        <v>282</v>
      </c>
      <c r="D3966" t="str">
        <f>VLOOKUP(B3966, Products!$A$2:$C$100, 2, FALSE)</f>
        <v>Trek 820 - 2016</v>
      </c>
      <c r="E3966">
        <v>1</v>
      </c>
      <c r="F3966">
        <v>279.99</v>
      </c>
      <c r="G3966">
        <v>0.05</v>
      </c>
      <c r="H3966">
        <v>13.999500000000001</v>
      </c>
      <c r="I3966">
        <f>order_items[[#This Row],[list_price]]-order_items[[#This Row],[Discounted_price]]</f>
        <v>265.9905</v>
      </c>
      <c r="J3966">
        <f>VLOOKUP(B3966, Products!$A$2:$E$100, 3, FALSE)</f>
        <v>9</v>
      </c>
      <c r="K3966">
        <f>VLOOKUP(B3966, Products!$A$2:$F$100, 4, FALSE)</f>
        <v>6</v>
      </c>
    </row>
    <row r="3967" spans="1:11" x14ac:dyDescent="0.3">
      <c r="A3967">
        <v>1359</v>
      </c>
      <c r="B3967">
        <v>2</v>
      </c>
      <c r="C3967">
        <v>82</v>
      </c>
      <c r="D3967" t="str">
        <f>VLOOKUP(B3967, Products!$A$2:$C$100, 2, FALSE)</f>
        <v>Ritchey Timberwolf Frameset - 2016</v>
      </c>
      <c r="E3967">
        <v>1</v>
      </c>
      <c r="F3967">
        <v>659.99</v>
      </c>
      <c r="G3967">
        <v>0.05</v>
      </c>
      <c r="H3967">
        <v>32.999500000000005</v>
      </c>
      <c r="I3967">
        <f>order_items[[#This Row],[list_price]]-order_items[[#This Row],[Discounted_price]]</f>
        <v>626.9905</v>
      </c>
      <c r="J3967">
        <f>VLOOKUP(B3967, Products!$A$2:$E$100, 3, FALSE)</f>
        <v>5</v>
      </c>
      <c r="K3967">
        <f>VLOOKUP(B3967, Products!$A$2:$F$100, 4, FALSE)</f>
        <v>6</v>
      </c>
    </row>
    <row r="3968" spans="1:11" x14ac:dyDescent="0.3">
      <c r="A3968">
        <v>1360</v>
      </c>
      <c r="B3968">
        <v>1</v>
      </c>
      <c r="C3968">
        <v>31</v>
      </c>
      <c r="D3968" t="str">
        <f>VLOOKUP(B3968, Products!$A$2:$C$100, 2, FALSE)</f>
        <v>Trek 820 - 2016</v>
      </c>
      <c r="E3968">
        <v>1</v>
      </c>
      <c r="F3968">
        <v>1632.99</v>
      </c>
      <c r="G3968">
        <v>0.05</v>
      </c>
      <c r="H3968">
        <v>81.649500000000003</v>
      </c>
      <c r="I3968">
        <f>order_items[[#This Row],[list_price]]-order_items[[#This Row],[Discounted_price]]</f>
        <v>1551.3405</v>
      </c>
      <c r="J3968">
        <f>VLOOKUP(B3968, Products!$A$2:$E$100, 3, FALSE)</f>
        <v>9</v>
      </c>
      <c r="K3968">
        <f>VLOOKUP(B3968, Products!$A$2:$F$100, 4, FALSE)</f>
        <v>6</v>
      </c>
    </row>
    <row r="3969" spans="1:11" x14ac:dyDescent="0.3">
      <c r="A3969">
        <v>1361</v>
      </c>
      <c r="B3969">
        <v>1</v>
      </c>
      <c r="C3969">
        <v>307</v>
      </c>
      <c r="D3969" t="str">
        <f>VLOOKUP(B3969, Products!$A$2:$C$100, 2, FALSE)</f>
        <v>Trek 820 - 2016</v>
      </c>
      <c r="E3969">
        <v>2</v>
      </c>
      <c r="F3969">
        <v>749.99</v>
      </c>
      <c r="G3969">
        <v>7.0000000000000007E-2</v>
      </c>
      <c r="H3969">
        <v>52.499300000000005</v>
      </c>
      <c r="I3969">
        <f>order_items[[#This Row],[list_price]]-order_items[[#This Row],[Discounted_price]]</f>
        <v>697.49070000000006</v>
      </c>
      <c r="J3969">
        <f>VLOOKUP(B3969, Products!$A$2:$E$100, 3, FALSE)</f>
        <v>9</v>
      </c>
      <c r="K3969">
        <f>VLOOKUP(B3969, Products!$A$2:$F$100, 4, FALSE)</f>
        <v>6</v>
      </c>
    </row>
    <row r="3970" spans="1:11" x14ac:dyDescent="0.3">
      <c r="A3970">
        <v>1361</v>
      </c>
      <c r="B3970">
        <v>2</v>
      </c>
      <c r="C3970">
        <v>153</v>
      </c>
      <c r="D3970" t="str">
        <f>VLOOKUP(B3970, Products!$A$2:$C$100, 2, FALSE)</f>
        <v>Ritchey Timberwolf Frameset - 2016</v>
      </c>
      <c r="E3970">
        <v>1</v>
      </c>
      <c r="F3970">
        <v>4999.99</v>
      </c>
      <c r="G3970">
        <v>0.05</v>
      </c>
      <c r="H3970">
        <v>249.99950000000001</v>
      </c>
      <c r="I3970">
        <f>order_items[[#This Row],[list_price]]-order_items[[#This Row],[Discounted_price]]</f>
        <v>4749.9904999999999</v>
      </c>
      <c r="J3970">
        <f>VLOOKUP(B3970, Products!$A$2:$E$100, 3, FALSE)</f>
        <v>5</v>
      </c>
      <c r="K3970">
        <f>VLOOKUP(B3970, Products!$A$2:$F$100, 4, FALSE)</f>
        <v>6</v>
      </c>
    </row>
    <row r="3971" spans="1:11" x14ac:dyDescent="0.3">
      <c r="A3971">
        <v>1361</v>
      </c>
      <c r="B3971">
        <v>3</v>
      </c>
      <c r="C3971">
        <v>163</v>
      </c>
      <c r="D3971" t="str">
        <f>VLOOKUP(B3971, Products!$A$2:$C$100, 2, FALSE)</f>
        <v>Surly Wednesday Frameset - 2016</v>
      </c>
      <c r="E3971">
        <v>2</v>
      </c>
      <c r="F3971">
        <v>1349</v>
      </c>
      <c r="G3971">
        <v>0.2</v>
      </c>
      <c r="H3971">
        <v>269.8</v>
      </c>
      <c r="I3971">
        <f>order_items[[#This Row],[list_price]]-order_items[[#This Row],[Discounted_price]]</f>
        <v>1079.2</v>
      </c>
      <c r="J3971">
        <f>VLOOKUP(B3971, Products!$A$2:$E$100, 3, FALSE)</f>
        <v>8</v>
      </c>
      <c r="K3971">
        <f>VLOOKUP(B3971, Products!$A$2:$F$100, 4, FALSE)</f>
        <v>6</v>
      </c>
    </row>
    <row r="3972" spans="1:11" x14ac:dyDescent="0.3">
      <c r="A3972">
        <v>1362</v>
      </c>
      <c r="B3972">
        <v>1</v>
      </c>
      <c r="C3972">
        <v>27</v>
      </c>
      <c r="D3972" t="str">
        <f>VLOOKUP(B3972, Products!$A$2:$C$100, 2, FALSE)</f>
        <v>Trek 820 - 2016</v>
      </c>
      <c r="E3972">
        <v>2</v>
      </c>
      <c r="F3972">
        <v>999.99</v>
      </c>
      <c r="G3972">
        <v>0.2</v>
      </c>
      <c r="H3972">
        <v>199.99800000000002</v>
      </c>
      <c r="I3972">
        <f>order_items[[#This Row],[list_price]]-order_items[[#This Row],[Discounted_price]]</f>
        <v>799.99199999999996</v>
      </c>
      <c r="J3972">
        <f>VLOOKUP(B3972, Products!$A$2:$E$100, 3, FALSE)</f>
        <v>9</v>
      </c>
      <c r="K3972">
        <f>VLOOKUP(B3972, Products!$A$2:$F$100, 4, FALSE)</f>
        <v>6</v>
      </c>
    </row>
    <row r="3973" spans="1:11" x14ac:dyDescent="0.3">
      <c r="A3973">
        <v>1362</v>
      </c>
      <c r="B3973">
        <v>2</v>
      </c>
      <c r="C3973">
        <v>204</v>
      </c>
      <c r="D3973" t="str">
        <f>VLOOKUP(B3973, Products!$A$2:$C$100, 2, FALSE)</f>
        <v>Ritchey Timberwolf Frameset - 2016</v>
      </c>
      <c r="E3973">
        <v>2</v>
      </c>
      <c r="F3973">
        <v>3599.99</v>
      </c>
      <c r="G3973">
        <v>7.0000000000000007E-2</v>
      </c>
      <c r="H3973">
        <v>251.99930000000001</v>
      </c>
      <c r="I3973">
        <f>order_items[[#This Row],[list_price]]-order_items[[#This Row],[Discounted_price]]</f>
        <v>3347.9906999999998</v>
      </c>
      <c r="J3973">
        <f>VLOOKUP(B3973, Products!$A$2:$E$100, 3, FALSE)</f>
        <v>5</v>
      </c>
      <c r="K3973">
        <f>VLOOKUP(B3973, Products!$A$2:$F$100, 4, FALSE)</f>
        <v>6</v>
      </c>
    </row>
    <row r="3974" spans="1:11" x14ac:dyDescent="0.3">
      <c r="A3974">
        <v>1362</v>
      </c>
      <c r="B3974">
        <v>3</v>
      </c>
      <c r="C3974">
        <v>4</v>
      </c>
      <c r="D3974" t="str">
        <f>VLOOKUP(B3974, Products!$A$2:$C$100, 2, FALSE)</f>
        <v>Surly Wednesday Frameset - 2016</v>
      </c>
      <c r="E3974">
        <v>2</v>
      </c>
      <c r="F3974">
        <v>2899.99</v>
      </c>
      <c r="G3974">
        <v>0.2</v>
      </c>
      <c r="H3974">
        <v>579.99799999999993</v>
      </c>
      <c r="I3974">
        <f>order_items[[#This Row],[list_price]]-order_items[[#This Row],[Discounted_price]]</f>
        <v>2319.9919999999997</v>
      </c>
      <c r="J3974">
        <f>VLOOKUP(B3974, Products!$A$2:$E$100, 3, FALSE)</f>
        <v>8</v>
      </c>
      <c r="K3974">
        <f>VLOOKUP(B3974, Products!$A$2:$F$100, 4, FALSE)</f>
        <v>6</v>
      </c>
    </row>
    <row r="3975" spans="1:11" x14ac:dyDescent="0.3">
      <c r="A3975">
        <v>1363</v>
      </c>
      <c r="B3975">
        <v>1</v>
      </c>
      <c r="C3975">
        <v>66</v>
      </c>
      <c r="D3975" t="str">
        <f>VLOOKUP(B3975, Products!$A$2:$C$100, 2, FALSE)</f>
        <v>Trek 820 - 2016</v>
      </c>
      <c r="E3975">
        <v>2</v>
      </c>
      <c r="F3975">
        <v>250.99</v>
      </c>
      <c r="G3975">
        <v>0.1</v>
      </c>
      <c r="H3975">
        <v>25.099000000000004</v>
      </c>
      <c r="I3975">
        <f>order_items[[#This Row],[list_price]]-order_items[[#This Row],[Discounted_price]]</f>
        <v>225.89100000000002</v>
      </c>
      <c r="J3975">
        <f>VLOOKUP(B3975, Products!$A$2:$E$100, 3, FALSE)</f>
        <v>9</v>
      </c>
      <c r="K3975">
        <f>VLOOKUP(B3975, Products!$A$2:$F$100, 4, FALSE)</f>
        <v>6</v>
      </c>
    </row>
    <row r="3976" spans="1:11" x14ac:dyDescent="0.3">
      <c r="A3976">
        <v>1364</v>
      </c>
      <c r="B3976">
        <v>1</v>
      </c>
      <c r="C3976">
        <v>78</v>
      </c>
      <c r="D3976" t="str">
        <f>VLOOKUP(B3976, Products!$A$2:$C$100, 2, FALSE)</f>
        <v>Trek 820 - 2016</v>
      </c>
      <c r="E3976">
        <v>1</v>
      </c>
      <c r="F3976">
        <v>647.99</v>
      </c>
      <c r="G3976">
        <v>7.0000000000000007E-2</v>
      </c>
      <c r="H3976">
        <v>45.359300000000005</v>
      </c>
      <c r="I3976">
        <f>order_items[[#This Row],[list_price]]-order_items[[#This Row],[Discounted_price]]</f>
        <v>602.63070000000005</v>
      </c>
      <c r="J3976">
        <f>VLOOKUP(B3976, Products!$A$2:$E$100, 3, FALSE)</f>
        <v>9</v>
      </c>
      <c r="K3976">
        <f>VLOOKUP(B3976, Products!$A$2:$F$100, 4, FALSE)</f>
        <v>6</v>
      </c>
    </row>
    <row r="3977" spans="1:11" x14ac:dyDescent="0.3">
      <c r="A3977">
        <v>1364</v>
      </c>
      <c r="B3977">
        <v>2</v>
      </c>
      <c r="C3977">
        <v>155</v>
      </c>
      <c r="D3977" t="str">
        <f>VLOOKUP(B3977, Products!$A$2:$C$100, 2, FALSE)</f>
        <v>Ritchey Timberwolf Frameset - 2016</v>
      </c>
      <c r="E3977">
        <v>2</v>
      </c>
      <c r="F3977">
        <v>11999.99</v>
      </c>
      <c r="G3977">
        <v>0.1</v>
      </c>
      <c r="H3977">
        <v>1199.999</v>
      </c>
      <c r="I3977">
        <f>order_items[[#This Row],[list_price]]-order_items[[#This Row],[Discounted_price]]</f>
        <v>10799.991</v>
      </c>
      <c r="J3977">
        <f>VLOOKUP(B3977, Products!$A$2:$E$100, 3, FALSE)</f>
        <v>5</v>
      </c>
      <c r="K3977">
        <f>VLOOKUP(B3977, Products!$A$2:$F$100, 4, FALSE)</f>
        <v>6</v>
      </c>
    </row>
    <row r="3978" spans="1:11" x14ac:dyDescent="0.3">
      <c r="A3978">
        <v>1364</v>
      </c>
      <c r="B3978">
        <v>3</v>
      </c>
      <c r="C3978">
        <v>152</v>
      </c>
      <c r="D3978" t="str">
        <f>VLOOKUP(B3978, Products!$A$2:$C$100, 2, FALSE)</f>
        <v>Surly Wednesday Frameset - 2016</v>
      </c>
      <c r="E3978">
        <v>1</v>
      </c>
      <c r="F3978">
        <v>2499.9899999999998</v>
      </c>
      <c r="G3978">
        <v>0.1</v>
      </c>
      <c r="H3978">
        <v>249.999</v>
      </c>
      <c r="I3978">
        <f>order_items[[#This Row],[list_price]]-order_items[[#This Row],[Discounted_price]]</f>
        <v>2249.991</v>
      </c>
      <c r="J3978">
        <f>VLOOKUP(B3978, Products!$A$2:$E$100, 3, FALSE)</f>
        <v>8</v>
      </c>
      <c r="K3978">
        <f>VLOOKUP(B3978, Products!$A$2:$F$100, 4, FALSE)</f>
        <v>6</v>
      </c>
    </row>
    <row r="3979" spans="1:11" x14ac:dyDescent="0.3">
      <c r="A3979">
        <v>1364</v>
      </c>
      <c r="B3979">
        <v>4</v>
      </c>
      <c r="C3979">
        <v>110</v>
      </c>
      <c r="D3979" t="str">
        <f>VLOOKUP(B3979, Products!$A$2:$C$100, 2, FALSE)</f>
        <v>Trek Fuel EX 8 29 - 2016</v>
      </c>
      <c r="E3979">
        <v>1</v>
      </c>
      <c r="F3979">
        <v>470.99</v>
      </c>
      <c r="G3979">
        <v>7.0000000000000007E-2</v>
      </c>
      <c r="H3979">
        <v>32.969300000000004</v>
      </c>
      <c r="I3979">
        <f>order_items[[#This Row],[list_price]]-order_items[[#This Row],[Discounted_price]]</f>
        <v>438.02070000000003</v>
      </c>
      <c r="J3979">
        <f>VLOOKUP(B3979, Products!$A$2:$E$100, 3, FALSE)</f>
        <v>9</v>
      </c>
      <c r="K3979">
        <f>VLOOKUP(B3979, Products!$A$2:$F$100, 4, FALSE)</f>
        <v>6</v>
      </c>
    </row>
    <row r="3980" spans="1:11" x14ac:dyDescent="0.3">
      <c r="A3980">
        <v>1365</v>
      </c>
      <c r="B3980">
        <v>1</v>
      </c>
      <c r="C3980">
        <v>144</v>
      </c>
      <c r="D3980" t="str">
        <f>VLOOKUP(B3980, Products!$A$2:$C$100, 2, FALSE)</f>
        <v>Trek 820 - 2016</v>
      </c>
      <c r="E3980">
        <v>1</v>
      </c>
      <c r="F3980">
        <v>1549.99</v>
      </c>
      <c r="G3980">
        <v>7.0000000000000007E-2</v>
      </c>
      <c r="H3980">
        <v>108.49930000000001</v>
      </c>
      <c r="I3980">
        <f>order_items[[#This Row],[list_price]]-order_items[[#This Row],[Discounted_price]]</f>
        <v>1441.4907000000001</v>
      </c>
      <c r="J3980">
        <f>VLOOKUP(B3980, Products!$A$2:$E$100, 3, FALSE)</f>
        <v>9</v>
      </c>
      <c r="K3980">
        <f>VLOOKUP(B3980, Products!$A$2:$F$100, 4, FALSE)</f>
        <v>6</v>
      </c>
    </row>
    <row r="3981" spans="1:11" x14ac:dyDescent="0.3">
      <c r="A3981">
        <v>1365</v>
      </c>
      <c r="B3981">
        <v>2</v>
      </c>
      <c r="C3981">
        <v>58</v>
      </c>
      <c r="D3981" t="str">
        <f>VLOOKUP(B3981, Products!$A$2:$C$100, 2, FALSE)</f>
        <v>Ritchey Timberwolf Frameset - 2016</v>
      </c>
      <c r="E3981">
        <v>1</v>
      </c>
      <c r="F3981">
        <v>4999.99</v>
      </c>
      <c r="G3981">
        <v>7.0000000000000007E-2</v>
      </c>
      <c r="H3981">
        <v>349.99930000000001</v>
      </c>
      <c r="I3981">
        <f>order_items[[#This Row],[list_price]]-order_items[[#This Row],[Discounted_price]]</f>
        <v>4649.9906999999994</v>
      </c>
      <c r="J3981">
        <f>VLOOKUP(B3981, Products!$A$2:$E$100, 3, FALSE)</f>
        <v>5</v>
      </c>
      <c r="K3981">
        <f>VLOOKUP(B3981, Products!$A$2:$F$100, 4, FALSE)</f>
        <v>6</v>
      </c>
    </row>
    <row r="3982" spans="1:11" x14ac:dyDescent="0.3">
      <c r="A3982">
        <v>1365</v>
      </c>
      <c r="B3982">
        <v>3</v>
      </c>
      <c r="C3982">
        <v>236</v>
      </c>
      <c r="D3982" t="str">
        <f>VLOOKUP(B3982, Products!$A$2:$C$100, 2, FALSE)</f>
        <v>Surly Wednesday Frameset - 2016</v>
      </c>
      <c r="E3982">
        <v>1</v>
      </c>
      <c r="F3982">
        <v>749.99</v>
      </c>
      <c r="G3982">
        <v>0.05</v>
      </c>
      <c r="H3982">
        <v>37.499500000000005</v>
      </c>
      <c r="I3982">
        <f>order_items[[#This Row],[list_price]]-order_items[[#This Row],[Discounted_price]]</f>
        <v>712.4905</v>
      </c>
      <c r="J3982">
        <f>VLOOKUP(B3982, Products!$A$2:$E$100, 3, FALSE)</f>
        <v>8</v>
      </c>
      <c r="K3982">
        <f>VLOOKUP(B3982, Products!$A$2:$F$100, 4, FALSE)</f>
        <v>6</v>
      </c>
    </row>
    <row r="3983" spans="1:11" x14ac:dyDescent="0.3">
      <c r="A3983">
        <v>1366</v>
      </c>
      <c r="B3983">
        <v>1</v>
      </c>
      <c r="C3983">
        <v>115</v>
      </c>
      <c r="D3983" t="str">
        <f>VLOOKUP(B3983, Products!$A$2:$C$100, 2, FALSE)</f>
        <v>Trek 820 - 2016</v>
      </c>
      <c r="E3983">
        <v>1</v>
      </c>
      <c r="F3983">
        <v>3199.99</v>
      </c>
      <c r="G3983">
        <v>0.1</v>
      </c>
      <c r="H3983">
        <v>319.99900000000002</v>
      </c>
      <c r="I3983">
        <f>order_items[[#This Row],[list_price]]-order_items[[#This Row],[Discounted_price]]</f>
        <v>2879.991</v>
      </c>
      <c r="J3983">
        <f>VLOOKUP(B3983, Products!$A$2:$E$100, 3, FALSE)</f>
        <v>9</v>
      </c>
      <c r="K3983">
        <f>VLOOKUP(B3983, Products!$A$2:$F$100, 4, FALSE)</f>
        <v>6</v>
      </c>
    </row>
    <row r="3984" spans="1:11" x14ac:dyDescent="0.3">
      <c r="A3984">
        <v>1366</v>
      </c>
      <c r="B3984">
        <v>2</v>
      </c>
      <c r="C3984">
        <v>128</v>
      </c>
      <c r="D3984" t="str">
        <f>VLOOKUP(B3984, Products!$A$2:$C$100, 2, FALSE)</f>
        <v>Ritchey Timberwolf Frameset - 2016</v>
      </c>
      <c r="E3984">
        <v>2</v>
      </c>
      <c r="F3984">
        <v>1899</v>
      </c>
      <c r="G3984">
        <v>0.2</v>
      </c>
      <c r="H3984">
        <v>379.8</v>
      </c>
      <c r="I3984">
        <f>order_items[[#This Row],[list_price]]-order_items[[#This Row],[Discounted_price]]</f>
        <v>1519.2</v>
      </c>
      <c r="J3984">
        <f>VLOOKUP(B3984, Products!$A$2:$E$100, 3, FALSE)</f>
        <v>5</v>
      </c>
      <c r="K3984">
        <f>VLOOKUP(B3984, Products!$A$2:$F$100, 4, FALSE)</f>
        <v>6</v>
      </c>
    </row>
    <row r="3985" spans="1:11" x14ac:dyDescent="0.3">
      <c r="A3985">
        <v>1366</v>
      </c>
      <c r="B3985">
        <v>3</v>
      </c>
      <c r="C3985">
        <v>200</v>
      </c>
      <c r="D3985" t="str">
        <f>VLOOKUP(B3985, Products!$A$2:$C$100, 2, FALSE)</f>
        <v>Surly Wednesday Frameset - 2016</v>
      </c>
      <c r="E3985">
        <v>1</v>
      </c>
      <c r="F3985">
        <v>3499.99</v>
      </c>
      <c r="G3985">
        <v>7.0000000000000007E-2</v>
      </c>
      <c r="H3985">
        <v>244.99930000000001</v>
      </c>
      <c r="I3985">
        <f>order_items[[#This Row],[list_price]]-order_items[[#This Row],[Discounted_price]]</f>
        <v>3254.9906999999998</v>
      </c>
      <c r="J3985">
        <f>VLOOKUP(B3985, Products!$A$2:$E$100, 3, FALSE)</f>
        <v>8</v>
      </c>
      <c r="K3985">
        <f>VLOOKUP(B3985, Products!$A$2:$F$100, 4, FALSE)</f>
        <v>6</v>
      </c>
    </row>
    <row r="3986" spans="1:11" x14ac:dyDescent="0.3">
      <c r="A3986">
        <v>1367</v>
      </c>
      <c r="B3986">
        <v>1</v>
      </c>
      <c r="C3986">
        <v>132</v>
      </c>
      <c r="D3986" t="str">
        <f>VLOOKUP(B3986, Products!$A$2:$C$100, 2, FALSE)</f>
        <v>Trek 820 - 2016</v>
      </c>
      <c r="E3986">
        <v>1</v>
      </c>
      <c r="F3986">
        <v>1499.99</v>
      </c>
      <c r="G3986">
        <v>0.1</v>
      </c>
      <c r="H3986">
        <v>149.999</v>
      </c>
      <c r="I3986">
        <f>order_items[[#This Row],[list_price]]-order_items[[#This Row],[Discounted_price]]</f>
        <v>1349.991</v>
      </c>
      <c r="J3986">
        <f>VLOOKUP(B3986, Products!$A$2:$E$100, 3, FALSE)</f>
        <v>9</v>
      </c>
      <c r="K3986">
        <f>VLOOKUP(B3986, Products!$A$2:$F$100, 4, FALSE)</f>
        <v>6</v>
      </c>
    </row>
    <row r="3987" spans="1:11" x14ac:dyDescent="0.3">
      <c r="A3987">
        <v>1367</v>
      </c>
      <c r="B3987">
        <v>2</v>
      </c>
      <c r="C3987">
        <v>131</v>
      </c>
      <c r="D3987" t="str">
        <f>VLOOKUP(B3987, Products!$A$2:$C$100, 2, FALSE)</f>
        <v>Ritchey Timberwolf Frameset - 2016</v>
      </c>
      <c r="E3987">
        <v>2</v>
      </c>
      <c r="F3987">
        <v>2599</v>
      </c>
      <c r="G3987">
        <v>0.2</v>
      </c>
      <c r="H3987">
        <v>519.80000000000007</v>
      </c>
      <c r="I3987">
        <f>order_items[[#This Row],[list_price]]-order_items[[#This Row],[Discounted_price]]</f>
        <v>2079.1999999999998</v>
      </c>
      <c r="J3987">
        <f>VLOOKUP(B3987, Products!$A$2:$E$100, 3, FALSE)</f>
        <v>5</v>
      </c>
      <c r="K3987">
        <f>VLOOKUP(B3987, Products!$A$2:$F$100, 4, FALSE)</f>
        <v>6</v>
      </c>
    </row>
    <row r="3988" spans="1:11" x14ac:dyDescent="0.3">
      <c r="A3988">
        <v>1367</v>
      </c>
      <c r="B3988">
        <v>3</v>
      </c>
      <c r="C3988">
        <v>124</v>
      </c>
      <c r="D3988" t="str">
        <f>VLOOKUP(B3988, Products!$A$2:$C$100, 2, FALSE)</f>
        <v>Surly Wednesday Frameset - 2016</v>
      </c>
      <c r="E3988">
        <v>1</v>
      </c>
      <c r="F3988">
        <v>1499</v>
      </c>
      <c r="G3988">
        <v>7.0000000000000007E-2</v>
      </c>
      <c r="H3988">
        <v>104.93</v>
      </c>
      <c r="I3988">
        <f>order_items[[#This Row],[list_price]]-order_items[[#This Row],[Discounted_price]]</f>
        <v>1394.07</v>
      </c>
      <c r="J3988">
        <f>VLOOKUP(B3988, Products!$A$2:$E$100, 3, FALSE)</f>
        <v>8</v>
      </c>
      <c r="K3988">
        <f>VLOOKUP(B3988, Products!$A$2:$F$100, 4, FALSE)</f>
        <v>6</v>
      </c>
    </row>
    <row r="3989" spans="1:11" x14ac:dyDescent="0.3">
      <c r="A3989">
        <v>1367</v>
      </c>
      <c r="B3989">
        <v>4</v>
      </c>
      <c r="C3989">
        <v>24</v>
      </c>
      <c r="D3989" t="str">
        <f>VLOOKUP(B3989, Products!$A$2:$C$100, 2, FALSE)</f>
        <v>Trek Fuel EX 8 29 - 2016</v>
      </c>
      <c r="E3989">
        <v>2</v>
      </c>
      <c r="F3989">
        <v>549.99</v>
      </c>
      <c r="G3989">
        <v>0.05</v>
      </c>
      <c r="H3989">
        <v>27.499500000000001</v>
      </c>
      <c r="I3989">
        <f>order_items[[#This Row],[list_price]]-order_items[[#This Row],[Discounted_price]]</f>
        <v>522.4905</v>
      </c>
      <c r="J3989">
        <f>VLOOKUP(B3989, Products!$A$2:$E$100, 3, FALSE)</f>
        <v>9</v>
      </c>
      <c r="K3989">
        <f>VLOOKUP(B3989, Products!$A$2:$F$100, 4, FALSE)</f>
        <v>6</v>
      </c>
    </row>
    <row r="3990" spans="1:11" x14ac:dyDescent="0.3">
      <c r="A3990">
        <v>1368</v>
      </c>
      <c r="B3990">
        <v>1</v>
      </c>
      <c r="C3990">
        <v>66</v>
      </c>
      <c r="D3990" t="str">
        <f>VLOOKUP(B3990, Products!$A$2:$C$100, 2, FALSE)</f>
        <v>Trek 820 - 2016</v>
      </c>
      <c r="E3990">
        <v>1</v>
      </c>
      <c r="F3990">
        <v>250.99</v>
      </c>
      <c r="G3990">
        <v>0.1</v>
      </c>
      <c r="H3990">
        <v>25.099000000000004</v>
      </c>
      <c r="I3990">
        <f>order_items[[#This Row],[list_price]]-order_items[[#This Row],[Discounted_price]]</f>
        <v>225.89100000000002</v>
      </c>
      <c r="J3990">
        <f>VLOOKUP(B3990, Products!$A$2:$E$100, 3, FALSE)</f>
        <v>9</v>
      </c>
      <c r="K3990">
        <f>VLOOKUP(B3990, Products!$A$2:$F$100, 4, FALSE)</f>
        <v>6</v>
      </c>
    </row>
    <row r="3991" spans="1:11" x14ac:dyDescent="0.3">
      <c r="A3991">
        <v>1368</v>
      </c>
      <c r="B3991">
        <v>2</v>
      </c>
      <c r="C3991">
        <v>113</v>
      </c>
      <c r="D3991" t="str">
        <f>VLOOKUP(B3991, Products!$A$2:$C$100, 2, FALSE)</f>
        <v>Ritchey Timberwolf Frameset - 2016</v>
      </c>
      <c r="E3991">
        <v>2</v>
      </c>
      <c r="F3991">
        <v>489.99</v>
      </c>
      <c r="G3991">
        <v>7.0000000000000007E-2</v>
      </c>
      <c r="H3991">
        <v>34.299300000000002</v>
      </c>
      <c r="I3991">
        <f>order_items[[#This Row],[list_price]]-order_items[[#This Row],[Discounted_price]]</f>
        <v>455.69069999999999</v>
      </c>
      <c r="J3991">
        <f>VLOOKUP(B3991, Products!$A$2:$E$100, 3, FALSE)</f>
        <v>5</v>
      </c>
      <c r="K3991">
        <f>VLOOKUP(B3991, Products!$A$2:$F$100, 4, FALSE)</f>
        <v>6</v>
      </c>
    </row>
    <row r="3992" spans="1:11" x14ac:dyDescent="0.3">
      <c r="A3992">
        <v>1368</v>
      </c>
      <c r="B3992">
        <v>3</v>
      </c>
      <c r="C3992">
        <v>186</v>
      </c>
      <c r="D3992" t="str">
        <f>VLOOKUP(B3992, Products!$A$2:$C$100, 2, FALSE)</f>
        <v>Surly Wednesday Frameset - 2016</v>
      </c>
      <c r="E3992">
        <v>1</v>
      </c>
      <c r="F3992">
        <v>4499.99</v>
      </c>
      <c r="G3992">
        <v>0.2</v>
      </c>
      <c r="H3992">
        <v>899.99800000000005</v>
      </c>
      <c r="I3992">
        <f>order_items[[#This Row],[list_price]]-order_items[[#This Row],[Discounted_price]]</f>
        <v>3599.9919999999997</v>
      </c>
      <c r="J3992">
        <f>VLOOKUP(B3992, Products!$A$2:$E$100, 3, FALSE)</f>
        <v>8</v>
      </c>
      <c r="K3992">
        <f>VLOOKUP(B3992, Products!$A$2:$F$100, 4, FALSE)</f>
        <v>6</v>
      </c>
    </row>
    <row r="3993" spans="1:11" x14ac:dyDescent="0.3">
      <c r="A3993">
        <v>1369</v>
      </c>
      <c r="B3993">
        <v>1</v>
      </c>
      <c r="C3993">
        <v>213</v>
      </c>
      <c r="D3993" t="str">
        <f>VLOOKUP(B3993, Products!$A$2:$C$100, 2, FALSE)</f>
        <v>Trek 820 - 2016</v>
      </c>
      <c r="E3993">
        <v>2</v>
      </c>
      <c r="F3993">
        <v>269.99</v>
      </c>
      <c r="G3993">
        <v>0.05</v>
      </c>
      <c r="H3993">
        <v>13.499500000000001</v>
      </c>
      <c r="I3993">
        <f>order_items[[#This Row],[list_price]]-order_items[[#This Row],[Discounted_price]]</f>
        <v>256.4905</v>
      </c>
      <c r="J3993">
        <f>VLOOKUP(B3993, Products!$A$2:$E$100, 3, FALSE)</f>
        <v>9</v>
      </c>
      <c r="K3993">
        <f>VLOOKUP(B3993, Products!$A$2:$F$100, 4, FALSE)</f>
        <v>6</v>
      </c>
    </row>
    <row r="3994" spans="1:11" x14ac:dyDescent="0.3">
      <c r="A3994">
        <v>1370</v>
      </c>
      <c r="B3994">
        <v>1</v>
      </c>
      <c r="C3994">
        <v>7</v>
      </c>
      <c r="D3994" t="str">
        <f>VLOOKUP(B3994, Products!$A$2:$C$100, 2, FALSE)</f>
        <v>Trek 820 - 2016</v>
      </c>
      <c r="E3994">
        <v>1</v>
      </c>
      <c r="F3994">
        <v>3999.99</v>
      </c>
      <c r="G3994">
        <v>7.0000000000000007E-2</v>
      </c>
      <c r="H3994">
        <v>279.99930000000001</v>
      </c>
      <c r="I3994">
        <f>order_items[[#This Row],[list_price]]-order_items[[#This Row],[Discounted_price]]</f>
        <v>3719.9906999999998</v>
      </c>
      <c r="J3994">
        <f>VLOOKUP(B3994, Products!$A$2:$E$100, 3, FALSE)</f>
        <v>9</v>
      </c>
      <c r="K3994">
        <f>VLOOKUP(B3994, Products!$A$2:$F$100, 4, FALSE)</f>
        <v>6</v>
      </c>
    </row>
    <row r="3995" spans="1:11" x14ac:dyDescent="0.3">
      <c r="A3995">
        <v>1370</v>
      </c>
      <c r="B3995">
        <v>2</v>
      </c>
      <c r="C3995">
        <v>89</v>
      </c>
      <c r="D3995" t="str">
        <f>VLOOKUP(B3995, Products!$A$2:$C$100, 2, FALSE)</f>
        <v>Ritchey Timberwolf Frameset - 2016</v>
      </c>
      <c r="E3995">
        <v>2</v>
      </c>
      <c r="F3995">
        <v>209.99</v>
      </c>
      <c r="G3995">
        <v>0.1</v>
      </c>
      <c r="H3995">
        <v>20.999000000000002</v>
      </c>
      <c r="I3995">
        <f>order_items[[#This Row],[list_price]]-order_items[[#This Row],[Discounted_price]]</f>
        <v>188.99100000000001</v>
      </c>
      <c r="J3995">
        <f>VLOOKUP(B3995, Products!$A$2:$E$100, 3, FALSE)</f>
        <v>5</v>
      </c>
      <c r="K3995">
        <f>VLOOKUP(B3995, Products!$A$2:$F$100, 4, FALSE)</f>
        <v>6</v>
      </c>
    </row>
    <row r="3996" spans="1:11" x14ac:dyDescent="0.3">
      <c r="A3996">
        <v>1370</v>
      </c>
      <c r="B3996">
        <v>3</v>
      </c>
      <c r="C3996">
        <v>208</v>
      </c>
      <c r="D3996" t="str">
        <f>VLOOKUP(B3996, Products!$A$2:$C$100, 2, FALSE)</f>
        <v>Surly Wednesday Frameset - 2016</v>
      </c>
      <c r="E3996">
        <v>2</v>
      </c>
      <c r="F3996">
        <v>1799.99</v>
      </c>
      <c r="G3996">
        <v>0.2</v>
      </c>
      <c r="H3996">
        <v>359.99800000000005</v>
      </c>
      <c r="I3996">
        <f>order_items[[#This Row],[list_price]]-order_items[[#This Row],[Discounted_price]]</f>
        <v>1439.992</v>
      </c>
      <c r="J3996">
        <f>VLOOKUP(B3996, Products!$A$2:$E$100, 3, FALSE)</f>
        <v>8</v>
      </c>
      <c r="K3996">
        <f>VLOOKUP(B3996, Products!$A$2:$F$100, 4, FALSE)</f>
        <v>6</v>
      </c>
    </row>
    <row r="3997" spans="1:11" x14ac:dyDescent="0.3">
      <c r="A3997">
        <v>1370</v>
      </c>
      <c r="B3997">
        <v>4</v>
      </c>
      <c r="C3997">
        <v>134</v>
      </c>
      <c r="D3997" t="str">
        <f>VLOOKUP(B3997, Products!$A$2:$C$100, 2, FALSE)</f>
        <v>Trek Fuel EX 8 29 - 2016</v>
      </c>
      <c r="E3997">
        <v>1</v>
      </c>
      <c r="F3997">
        <v>1499.99</v>
      </c>
      <c r="G3997">
        <v>0.1</v>
      </c>
      <c r="H3997">
        <v>149.999</v>
      </c>
      <c r="I3997">
        <f>order_items[[#This Row],[list_price]]-order_items[[#This Row],[Discounted_price]]</f>
        <v>1349.991</v>
      </c>
      <c r="J3997">
        <f>VLOOKUP(B3997, Products!$A$2:$E$100, 3, FALSE)</f>
        <v>9</v>
      </c>
      <c r="K3997">
        <f>VLOOKUP(B3997, Products!$A$2:$F$100, 4, FALSE)</f>
        <v>6</v>
      </c>
    </row>
    <row r="3998" spans="1:11" x14ac:dyDescent="0.3">
      <c r="A3998">
        <v>1371</v>
      </c>
      <c r="B3998">
        <v>1</v>
      </c>
      <c r="C3998">
        <v>223</v>
      </c>
      <c r="D3998" t="str">
        <f>VLOOKUP(B3998, Products!$A$2:$C$100, 2, FALSE)</f>
        <v>Trek 820 - 2016</v>
      </c>
      <c r="E3998">
        <v>2</v>
      </c>
      <c r="F3998">
        <v>529.99</v>
      </c>
      <c r="G3998">
        <v>7.0000000000000007E-2</v>
      </c>
      <c r="H3998">
        <v>37.099300000000007</v>
      </c>
      <c r="I3998">
        <f>order_items[[#This Row],[list_price]]-order_items[[#This Row],[Discounted_price]]</f>
        <v>492.89069999999998</v>
      </c>
      <c r="J3998">
        <f>VLOOKUP(B3998, Products!$A$2:$E$100, 3, FALSE)</f>
        <v>9</v>
      </c>
      <c r="K3998">
        <f>VLOOKUP(B3998, Products!$A$2:$F$100, 4, FALSE)</f>
        <v>6</v>
      </c>
    </row>
    <row r="3999" spans="1:11" x14ac:dyDescent="0.3">
      <c r="A3999">
        <v>1371</v>
      </c>
      <c r="B3999">
        <v>2</v>
      </c>
      <c r="C3999">
        <v>8</v>
      </c>
      <c r="D3999" t="str">
        <f>VLOOKUP(B3999, Products!$A$2:$C$100, 2, FALSE)</f>
        <v>Ritchey Timberwolf Frameset - 2016</v>
      </c>
      <c r="E3999">
        <v>2</v>
      </c>
      <c r="F3999">
        <v>1799.99</v>
      </c>
      <c r="G3999">
        <v>0.2</v>
      </c>
      <c r="H3999">
        <v>359.99800000000005</v>
      </c>
      <c r="I3999">
        <f>order_items[[#This Row],[list_price]]-order_items[[#This Row],[Discounted_price]]</f>
        <v>1439.992</v>
      </c>
      <c r="J3999">
        <f>VLOOKUP(B3999, Products!$A$2:$E$100, 3, FALSE)</f>
        <v>5</v>
      </c>
      <c r="K3999">
        <f>VLOOKUP(B3999, Products!$A$2:$F$100, 4, FALSE)</f>
        <v>6</v>
      </c>
    </row>
    <row r="4000" spans="1:11" x14ac:dyDescent="0.3">
      <c r="A4000">
        <v>1372</v>
      </c>
      <c r="B4000">
        <v>1</v>
      </c>
      <c r="C4000">
        <v>307</v>
      </c>
      <c r="D4000" t="str">
        <f>VLOOKUP(B4000, Products!$A$2:$C$100, 2, FALSE)</f>
        <v>Trek 820 - 2016</v>
      </c>
      <c r="E4000">
        <v>1</v>
      </c>
      <c r="F4000">
        <v>749.99</v>
      </c>
      <c r="G4000">
        <v>7.0000000000000007E-2</v>
      </c>
      <c r="H4000">
        <v>52.499300000000005</v>
      </c>
      <c r="I4000">
        <f>order_items[[#This Row],[list_price]]-order_items[[#This Row],[Discounted_price]]</f>
        <v>697.49070000000006</v>
      </c>
      <c r="J4000">
        <f>VLOOKUP(B4000, Products!$A$2:$E$100, 3, FALSE)</f>
        <v>9</v>
      </c>
      <c r="K4000">
        <f>VLOOKUP(B4000, Products!$A$2:$F$100, 4, FALSE)</f>
        <v>6</v>
      </c>
    </row>
    <row r="4001" spans="1:11" x14ac:dyDescent="0.3">
      <c r="A4001">
        <v>1372</v>
      </c>
      <c r="B4001">
        <v>2</v>
      </c>
      <c r="C4001">
        <v>283</v>
      </c>
      <c r="D4001" t="str">
        <f>VLOOKUP(B4001, Products!$A$2:$C$100, 2, FALSE)</f>
        <v>Ritchey Timberwolf Frameset - 2016</v>
      </c>
      <c r="E4001">
        <v>2</v>
      </c>
      <c r="F4001">
        <v>319.99</v>
      </c>
      <c r="G4001">
        <v>0.2</v>
      </c>
      <c r="H4001">
        <v>63.998000000000005</v>
      </c>
      <c r="I4001">
        <f>order_items[[#This Row],[list_price]]-order_items[[#This Row],[Discounted_price]]</f>
        <v>255.99200000000002</v>
      </c>
      <c r="J4001">
        <f>VLOOKUP(B4001, Products!$A$2:$E$100, 3, FALSE)</f>
        <v>5</v>
      </c>
      <c r="K4001">
        <f>VLOOKUP(B4001, Products!$A$2:$F$100, 4, FALSE)</f>
        <v>6</v>
      </c>
    </row>
    <row r="4002" spans="1:11" x14ac:dyDescent="0.3">
      <c r="A4002">
        <v>1373</v>
      </c>
      <c r="B4002">
        <v>1</v>
      </c>
      <c r="C4002">
        <v>63</v>
      </c>
      <c r="D4002" t="str">
        <f>VLOOKUP(B4002, Products!$A$2:$C$100, 2, FALSE)</f>
        <v>Trek 820 - 2016</v>
      </c>
      <c r="E4002">
        <v>1</v>
      </c>
      <c r="F4002">
        <v>3499.99</v>
      </c>
      <c r="G4002">
        <v>0.1</v>
      </c>
      <c r="H4002">
        <v>349.99900000000002</v>
      </c>
      <c r="I4002">
        <f>order_items[[#This Row],[list_price]]-order_items[[#This Row],[Discounted_price]]</f>
        <v>3149.991</v>
      </c>
      <c r="J4002">
        <f>VLOOKUP(B4002, Products!$A$2:$E$100, 3, FALSE)</f>
        <v>9</v>
      </c>
      <c r="K4002">
        <f>VLOOKUP(B4002, Products!$A$2:$F$100, 4, FALSE)</f>
        <v>6</v>
      </c>
    </row>
    <row r="4003" spans="1:11" x14ac:dyDescent="0.3">
      <c r="A4003">
        <v>1374</v>
      </c>
      <c r="B4003">
        <v>1</v>
      </c>
      <c r="C4003">
        <v>181</v>
      </c>
      <c r="D4003" t="str">
        <f>VLOOKUP(B4003, Products!$A$2:$C$100, 2, FALSE)</f>
        <v>Trek 820 - 2016</v>
      </c>
      <c r="E4003">
        <v>2</v>
      </c>
      <c r="F4003">
        <v>2199.9899999999998</v>
      </c>
      <c r="G4003">
        <v>0.05</v>
      </c>
      <c r="H4003">
        <v>109.9995</v>
      </c>
      <c r="I4003">
        <f>order_items[[#This Row],[list_price]]-order_items[[#This Row],[Discounted_price]]</f>
        <v>2089.9904999999999</v>
      </c>
      <c r="J4003">
        <f>VLOOKUP(B4003, Products!$A$2:$E$100, 3, FALSE)</f>
        <v>9</v>
      </c>
      <c r="K4003">
        <f>VLOOKUP(B4003, Products!$A$2:$F$100, 4, FALSE)</f>
        <v>6</v>
      </c>
    </row>
    <row r="4004" spans="1:11" x14ac:dyDescent="0.3">
      <c r="A4004">
        <v>1374</v>
      </c>
      <c r="B4004">
        <v>2</v>
      </c>
      <c r="C4004">
        <v>130</v>
      </c>
      <c r="D4004" t="str">
        <f>VLOOKUP(B4004, Products!$A$2:$C$100, 2, FALSE)</f>
        <v>Ritchey Timberwolf Frameset - 2016</v>
      </c>
      <c r="E4004">
        <v>2</v>
      </c>
      <c r="F4004">
        <v>919.99</v>
      </c>
      <c r="G4004">
        <v>7.0000000000000007E-2</v>
      </c>
      <c r="H4004">
        <v>64.399300000000011</v>
      </c>
      <c r="I4004">
        <f>order_items[[#This Row],[list_price]]-order_items[[#This Row],[Discounted_price]]</f>
        <v>855.59069999999997</v>
      </c>
      <c r="J4004">
        <f>VLOOKUP(B4004, Products!$A$2:$E$100, 3, FALSE)</f>
        <v>5</v>
      </c>
      <c r="K4004">
        <f>VLOOKUP(B4004, Products!$A$2:$F$100, 4, FALSE)</f>
        <v>6</v>
      </c>
    </row>
    <row r="4005" spans="1:11" x14ac:dyDescent="0.3">
      <c r="A4005">
        <v>1375</v>
      </c>
      <c r="B4005">
        <v>1</v>
      </c>
      <c r="C4005">
        <v>147</v>
      </c>
      <c r="D4005" t="str">
        <f>VLOOKUP(B4005, Products!$A$2:$C$100, 2, FALSE)</f>
        <v>Trek 820 - 2016</v>
      </c>
      <c r="E4005">
        <v>2</v>
      </c>
      <c r="F4005">
        <v>1799.99</v>
      </c>
      <c r="G4005">
        <v>0.05</v>
      </c>
      <c r="H4005">
        <v>89.999500000000012</v>
      </c>
      <c r="I4005">
        <f>order_items[[#This Row],[list_price]]-order_items[[#This Row],[Discounted_price]]</f>
        <v>1709.9904999999999</v>
      </c>
      <c r="J4005">
        <f>VLOOKUP(B4005, Products!$A$2:$E$100, 3, FALSE)</f>
        <v>9</v>
      </c>
      <c r="K4005">
        <f>VLOOKUP(B4005, Products!$A$2:$F$100, 4, FALSE)</f>
        <v>6</v>
      </c>
    </row>
    <row r="4006" spans="1:11" x14ac:dyDescent="0.3">
      <c r="A4006">
        <v>1375</v>
      </c>
      <c r="B4006">
        <v>2</v>
      </c>
      <c r="C4006">
        <v>182</v>
      </c>
      <c r="D4006" t="str">
        <f>VLOOKUP(B4006, Products!$A$2:$C$100, 2, FALSE)</f>
        <v>Ritchey Timberwolf Frameset - 2016</v>
      </c>
      <c r="E4006">
        <v>1</v>
      </c>
      <c r="F4006">
        <v>2499.9899999999998</v>
      </c>
      <c r="G4006">
        <v>0.2</v>
      </c>
      <c r="H4006">
        <v>499.99799999999999</v>
      </c>
      <c r="I4006">
        <f>order_items[[#This Row],[list_price]]-order_items[[#This Row],[Discounted_price]]</f>
        <v>1999.9919999999997</v>
      </c>
      <c r="J4006">
        <f>VLOOKUP(B4006, Products!$A$2:$E$100, 3, FALSE)</f>
        <v>5</v>
      </c>
      <c r="K4006">
        <f>VLOOKUP(B4006, Products!$A$2:$F$100, 4, FALSE)</f>
        <v>6</v>
      </c>
    </row>
    <row r="4007" spans="1:11" x14ac:dyDescent="0.3">
      <c r="A4007">
        <v>1376</v>
      </c>
      <c r="B4007">
        <v>1</v>
      </c>
      <c r="C4007">
        <v>5</v>
      </c>
      <c r="D4007" t="str">
        <f>VLOOKUP(B4007, Products!$A$2:$C$100, 2, FALSE)</f>
        <v>Trek 820 - 2016</v>
      </c>
      <c r="E4007">
        <v>1</v>
      </c>
      <c r="F4007">
        <v>1320.99</v>
      </c>
      <c r="G4007">
        <v>7.0000000000000007E-2</v>
      </c>
      <c r="H4007">
        <v>92.469300000000004</v>
      </c>
      <c r="I4007">
        <f>order_items[[#This Row],[list_price]]-order_items[[#This Row],[Discounted_price]]</f>
        <v>1228.5207</v>
      </c>
      <c r="J4007">
        <f>VLOOKUP(B4007, Products!$A$2:$E$100, 3, FALSE)</f>
        <v>9</v>
      </c>
      <c r="K4007">
        <f>VLOOKUP(B4007, Products!$A$2:$F$100, 4, FALSE)</f>
        <v>6</v>
      </c>
    </row>
    <row r="4008" spans="1:11" x14ac:dyDescent="0.3">
      <c r="A4008">
        <v>1377</v>
      </c>
      <c r="B4008">
        <v>1</v>
      </c>
      <c r="C4008">
        <v>153</v>
      </c>
      <c r="D4008" t="str">
        <f>VLOOKUP(B4008, Products!$A$2:$C$100, 2, FALSE)</f>
        <v>Trek 820 - 2016</v>
      </c>
      <c r="E4008">
        <v>2</v>
      </c>
      <c r="F4008">
        <v>4999.99</v>
      </c>
      <c r="G4008">
        <v>0.05</v>
      </c>
      <c r="H4008">
        <v>249.99950000000001</v>
      </c>
      <c r="I4008">
        <f>order_items[[#This Row],[list_price]]-order_items[[#This Row],[Discounted_price]]</f>
        <v>4749.9904999999999</v>
      </c>
      <c r="J4008">
        <f>VLOOKUP(B4008, Products!$A$2:$E$100, 3, FALSE)</f>
        <v>9</v>
      </c>
      <c r="K4008">
        <f>VLOOKUP(B4008, Products!$A$2:$F$100, 4, FALSE)</f>
        <v>6</v>
      </c>
    </row>
    <row r="4009" spans="1:11" x14ac:dyDescent="0.3">
      <c r="A4009">
        <v>1377</v>
      </c>
      <c r="B4009">
        <v>2</v>
      </c>
      <c r="C4009">
        <v>130</v>
      </c>
      <c r="D4009" t="str">
        <f>VLOOKUP(B4009, Products!$A$2:$C$100, 2, FALSE)</f>
        <v>Ritchey Timberwolf Frameset - 2016</v>
      </c>
      <c r="E4009">
        <v>1</v>
      </c>
      <c r="F4009">
        <v>919.99</v>
      </c>
      <c r="G4009">
        <v>0.05</v>
      </c>
      <c r="H4009">
        <v>45.999500000000005</v>
      </c>
      <c r="I4009">
        <f>order_items[[#This Row],[list_price]]-order_items[[#This Row],[Discounted_price]]</f>
        <v>873.9905</v>
      </c>
      <c r="J4009">
        <f>VLOOKUP(B4009, Products!$A$2:$E$100, 3, FALSE)</f>
        <v>5</v>
      </c>
      <c r="K4009">
        <f>VLOOKUP(B4009, Products!$A$2:$F$100, 4, FALSE)</f>
        <v>6</v>
      </c>
    </row>
    <row r="4010" spans="1:11" x14ac:dyDescent="0.3">
      <c r="A4010">
        <v>1377</v>
      </c>
      <c r="B4010">
        <v>3</v>
      </c>
      <c r="C4010">
        <v>48</v>
      </c>
      <c r="D4010" t="str">
        <f>VLOOKUP(B4010, Products!$A$2:$C$100, 2, FALSE)</f>
        <v>Surly Wednesday Frameset - 2016</v>
      </c>
      <c r="E4010">
        <v>1</v>
      </c>
      <c r="F4010">
        <v>1499.99</v>
      </c>
      <c r="G4010">
        <v>7.0000000000000007E-2</v>
      </c>
      <c r="H4010">
        <v>104.99930000000001</v>
      </c>
      <c r="I4010">
        <f>order_items[[#This Row],[list_price]]-order_items[[#This Row],[Discounted_price]]</f>
        <v>1394.9907000000001</v>
      </c>
      <c r="J4010">
        <f>VLOOKUP(B4010, Products!$A$2:$E$100, 3, FALSE)</f>
        <v>8</v>
      </c>
      <c r="K4010">
        <f>VLOOKUP(B4010, Products!$A$2:$F$100, 4, FALSE)</f>
        <v>6</v>
      </c>
    </row>
    <row r="4011" spans="1:11" x14ac:dyDescent="0.3">
      <c r="A4011">
        <v>1377</v>
      </c>
      <c r="B4011">
        <v>4</v>
      </c>
      <c r="C4011">
        <v>188</v>
      </c>
      <c r="D4011" t="str">
        <f>VLOOKUP(B4011, Products!$A$2:$C$100, 2, FALSE)</f>
        <v>Trek Fuel EX 8 29 - 2016</v>
      </c>
      <c r="E4011">
        <v>2</v>
      </c>
      <c r="F4011">
        <v>3499.99</v>
      </c>
      <c r="G4011">
        <v>7.0000000000000007E-2</v>
      </c>
      <c r="H4011">
        <v>244.99930000000001</v>
      </c>
      <c r="I4011">
        <f>order_items[[#This Row],[list_price]]-order_items[[#This Row],[Discounted_price]]</f>
        <v>3254.9906999999998</v>
      </c>
      <c r="J4011">
        <f>VLOOKUP(B4011, Products!$A$2:$E$100, 3, FALSE)</f>
        <v>9</v>
      </c>
      <c r="K4011">
        <f>VLOOKUP(B4011, Products!$A$2:$F$100, 4, FALSE)</f>
        <v>6</v>
      </c>
    </row>
    <row r="4012" spans="1:11" x14ac:dyDescent="0.3">
      <c r="A4012">
        <v>1378</v>
      </c>
      <c r="B4012">
        <v>1</v>
      </c>
      <c r="C4012">
        <v>96</v>
      </c>
      <c r="D4012" t="str">
        <f>VLOOKUP(B4012, Products!$A$2:$C$100, 2, FALSE)</f>
        <v>Trek 820 - 2016</v>
      </c>
      <c r="E4012">
        <v>2</v>
      </c>
      <c r="F4012">
        <v>349.99</v>
      </c>
      <c r="G4012">
        <v>7.0000000000000007E-2</v>
      </c>
      <c r="H4012">
        <v>24.499300000000002</v>
      </c>
      <c r="I4012">
        <f>order_items[[#This Row],[list_price]]-order_items[[#This Row],[Discounted_price]]</f>
        <v>325.4907</v>
      </c>
      <c r="J4012">
        <f>VLOOKUP(B4012, Products!$A$2:$E$100, 3, FALSE)</f>
        <v>9</v>
      </c>
      <c r="K4012">
        <f>VLOOKUP(B4012, Products!$A$2:$F$100, 4, FALSE)</f>
        <v>6</v>
      </c>
    </row>
    <row r="4013" spans="1:11" x14ac:dyDescent="0.3">
      <c r="A4013">
        <v>1378</v>
      </c>
      <c r="B4013">
        <v>2</v>
      </c>
      <c r="C4013">
        <v>142</v>
      </c>
      <c r="D4013" t="str">
        <f>VLOOKUP(B4013, Products!$A$2:$C$100, 2, FALSE)</f>
        <v>Ritchey Timberwolf Frameset - 2016</v>
      </c>
      <c r="E4013">
        <v>2</v>
      </c>
      <c r="F4013">
        <v>3199.99</v>
      </c>
      <c r="G4013">
        <v>7.0000000000000007E-2</v>
      </c>
      <c r="H4013">
        <v>223.99930000000001</v>
      </c>
      <c r="I4013">
        <f>order_items[[#This Row],[list_price]]-order_items[[#This Row],[Discounted_price]]</f>
        <v>2975.9906999999998</v>
      </c>
      <c r="J4013">
        <f>VLOOKUP(B4013, Products!$A$2:$E$100, 3, FALSE)</f>
        <v>5</v>
      </c>
      <c r="K4013">
        <f>VLOOKUP(B4013, Products!$A$2:$F$100, 4, FALSE)</f>
        <v>6</v>
      </c>
    </row>
    <row r="4014" spans="1:11" x14ac:dyDescent="0.3">
      <c r="A4014">
        <v>1378</v>
      </c>
      <c r="B4014">
        <v>3</v>
      </c>
      <c r="C4014">
        <v>2</v>
      </c>
      <c r="D4014" t="str">
        <f>VLOOKUP(B4014, Products!$A$2:$C$100, 2, FALSE)</f>
        <v>Surly Wednesday Frameset - 2016</v>
      </c>
      <c r="E4014">
        <v>2</v>
      </c>
      <c r="F4014">
        <v>749.99</v>
      </c>
      <c r="G4014">
        <v>0.2</v>
      </c>
      <c r="H4014">
        <v>149.99800000000002</v>
      </c>
      <c r="I4014">
        <f>order_items[[#This Row],[list_price]]-order_items[[#This Row],[Discounted_price]]</f>
        <v>599.99199999999996</v>
      </c>
      <c r="J4014">
        <f>VLOOKUP(B4014, Products!$A$2:$E$100, 3, FALSE)</f>
        <v>8</v>
      </c>
      <c r="K4014">
        <f>VLOOKUP(B4014, Products!$A$2:$F$100, 4, FALSE)</f>
        <v>6</v>
      </c>
    </row>
    <row r="4015" spans="1:11" x14ac:dyDescent="0.3">
      <c r="A4015">
        <v>1378</v>
      </c>
      <c r="B4015">
        <v>4</v>
      </c>
      <c r="C4015">
        <v>110</v>
      </c>
      <c r="D4015" t="str">
        <f>VLOOKUP(B4015, Products!$A$2:$C$100, 2, FALSE)</f>
        <v>Trek Fuel EX 8 29 - 2016</v>
      </c>
      <c r="E4015">
        <v>1</v>
      </c>
      <c r="F4015">
        <v>470.99</v>
      </c>
      <c r="G4015">
        <v>7.0000000000000007E-2</v>
      </c>
      <c r="H4015">
        <v>32.969300000000004</v>
      </c>
      <c r="I4015">
        <f>order_items[[#This Row],[list_price]]-order_items[[#This Row],[Discounted_price]]</f>
        <v>438.02070000000003</v>
      </c>
      <c r="J4015">
        <f>VLOOKUP(B4015, Products!$A$2:$E$100, 3, FALSE)</f>
        <v>9</v>
      </c>
      <c r="K4015">
        <f>VLOOKUP(B4015, Products!$A$2:$F$100, 4, FALSE)</f>
        <v>6</v>
      </c>
    </row>
    <row r="4016" spans="1:11" x14ac:dyDescent="0.3">
      <c r="A4016">
        <v>1378</v>
      </c>
      <c r="B4016">
        <v>5</v>
      </c>
      <c r="C4016">
        <v>129</v>
      </c>
      <c r="D4016" t="str">
        <f>VLOOKUP(B4016, Products!$A$2:$C$100, 2, FALSE)</f>
        <v>Heller Shagamaw Frame - 2016</v>
      </c>
      <c r="E4016">
        <v>2</v>
      </c>
      <c r="F4016">
        <v>919.99</v>
      </c>
      <c r="G4016">
        <v>0.2</v>
      </c>
      <c r="H4016">
        <v>183.99800000000002</v>
      </c>
      <c r="I4016">
        <f>order_items[[#This Row],[list_price]]-order_items[[#This Row],[Discounted_price]]</f>
        <v>735.99199999999996</v>
      </c>
      <c r="J4016">
        <f>VLOOKUP(B4016, Products!$A$2:$E$100, 3, FALSE)</f>
        <v>3</v>
      </c>
      <c r="K4016">
        <f>VLOOKUP(B4016, Products!$A$2:$F$100, 4, FALSE)</f>
        <v>6</v>
      </c>
    </row>
    <row r="4017" spans="1:11" x14ac:dyDescent="0.3">
      <c r="A4017">
        <v>1379</v>
      </c>
      <c r="B4017">
        <v>1</v>
      </c>
      <c r="C4017">
        <v>15</v>
      </c>
      <c r="D4017" t="str">
        <f>VLOOKUP(B4017, Products!$A$2:$C$100, 2, FALSE)</f>
        <v>Trek 820 - 2016</v>
      </c>
      <c r="E4017">
        <v>1</v>
      </c>
      <c r="F4017">
        <v>529.99</v>
      </c>
      <c r="G4017">
        <v>0.1</v>
      </c>
      <c r="H4017">
        <v>52.999000000000002</v>
      </c>
      <c r="I4017">
        <f>order_items[[#This Row],[list_price]]-order_items[[#This Row],[Discounted_price]]</f>
        <v>476.99099999999999</v>
      </c>
      <c r="J4017">
        <f>VLOOKUP(B4017, Products!$A$2:$E$100, 3, FALSE)</f>
        <v>9</v>
      </c>
      <c r="K4017">
        <f>VLOOKUP(B4017, Products!$A$2:$F$100, 4, FALSE)</f>
        <v>6</v>
      </c>
    </row>
    <row r="4018" spans="1:11" x14ac:dyDescent="0.3">
      <c r="A4018">
        <v>1379</v>
      </c>
      <c r="B4018">
        <v>2</v>
      </c>
      <c r="C4018">
        <v>118</v>
      </c>
      <c r="D4018" t="str">
        <f>VLOOKUP(B4018, Products!$A$2:$C$100, 2, FALSE)</f>
        <v>Ritchey Timberwolf Frameset - 2016</v>
      </c>
      <c r="E4018">
        <v>1</v>
      </c>
      <c r="F4018">
        <v>999.99</v>
      </c>
      <c r="G4018">
        <v>0.1</v>
      </c>
      <c r="H4018">
        <v>99.999000000000009</v>
      </c>
      <c r="I4018">
        <f>order_items[[#This Row],[list_price]]-order_items[[#This Row],[Discounted_price]]</f>
        <v>899.99099999999999</v>
      </c>
      <c r="J4018">
        <f>VLOOKUP(B4018, Products!$A$2:$E$100, 3, FALSE)</f>
        <v>5</v>
      </c>
      <c r="K4018">
        <f>VLOOKUP(B4018, Products!$A$2:$F$100, 4, FALSE)</f>
        <v>6</v>
      </c>
    </row>
    <row r="4019" spans="1:11" x14ac:dyDescent="0.3">
      <c r="A4019">
        <v>1379</v>
      </c>
      <c r="B4019">
        <v>3</v>
      </c>
      <c r="C4019">
        <v>263</v>
      </c>
      <c r="D4019" t="str">
        <f>VLOOKUP(B4019, Products!$A$2:$C$100, 2, FALSE)</f>
        <v>Surly Wednesday Frameset - 2016</v>
      </c>
      <c r="E4019">
        <v>2</v>
      </c>
      <c r="F4019">
        <v>89.99</v>
      </c>
      <c r="G4019">
        <v>0.1</v>
      </c>
      <c r="H4019">
        <v>8.9990000000000006</v>
      </c>
      <c r="I4019">
        <f>order_items[[#This Row],[list_price]]-order_items[[#This Row],[Discounted_price]]</f>
        <v>80.991</v>
      </c>
      <c r="J4019">
        <f>VLOOKUP(B4019, Products!$A$2:$E$100, 3, FALSE)</f>
        <v>8</v>
      </c>
      <c r="K4019">
        <f>VLOOKUP(B4019, Products!$A$2:$F$100, 4, FALSE)</f>
        <v>6</v>
      </c>
    </row>
    <row r="4020" spans="1:11" x14ac:dyDescent="0.3">
      <c r="A4020">
        <v>1380</v>
      </c>
      <c r="B4020">
        <v>1</v>
      </c>
      <c r="C4020">
        <v>255</v>
      </c>
      <c r="D4020" t="str">
        <f>VLOOKUP(B4020, Products!$A$2:$C$100, 2, FALSE)</f>
        <v>Trek 820 - 2016</v>
      </c>
      <c r="E4020">
        <v>2</v>
      </c>
      <c r="F4020">
        <v>899.99</v>
      </c>
      <c r="G4020">
        <v>0.1</v>
      </c>
      <c r="H4020">
        <v>89.999000000000009</v>
      </c>
      <c r="I4020">
        <f>order_items[[#This Row],[list_price]]-order_items[[#This Row],[Discounted_price]]</f>
        <v>809.99099999999999</v>
      </c>
      <c r="J4020">
        <f>VLOOKUP(B4020, Products!$A$2:$E$100, 3, FALSE)</f>
        <v>9</v>
      </c>
      <c r="K4020">
        <f>VLOOKUP(B4020, Products!$A$2:$F$100, 4, FALSE)</f>
        <v>6</v>
      </c>
    </row>
    <row r="4021" spans="1:11" x14ac:dyDescent="0.3">
      <c r="A4021">
        <v>1380</v>
      </c>
      <c r="B4021">
        <v>2</v>
      </c>
      <c r="C4021">
        <v>229</v>
      </c>
      <c r="D4021" t="str">
        <f>VLOOKUP(B4021, Products!$A$2:$C$100, 2, FALSE)</f>
        <v>Ritchey Timberwolf Frameset - 2016</v>
      </c>
      <c r="E4021">
        <v>2</v>
      </c>
      <c r="F4021">
        <v>429.99</v>
      </c>
      <c r="G4021">
        <v>7.0000000000000007E-2</v>
      </c>
      <c r="H4021">
        <v>30.099300000000003</v>
      </c>
      <c r="I4021">
        <f>order_items[[#This Row],[list_price]]-order_items[[#This Row],[Discounted_price]]</f>
        <v>399.89069999999998</v>
      </c>
      <c r="J4021">
        <f>VLOOKUP(B4021, Products!$A$2:$E$100, 3, FALSE)</f>
        <v>5</v>
      </c>
      <c r="K4021">
        <f>VLOOKUP(B4021, Products!$A$2:$F$100, 4, FALSE)</f>
        <v>6</v>
      </c>
    </row>
    <row r="4022" spans="1:11" x14ac:dyDescent="0.3">
      <c r="A4022">
        <v>1381</v>
      </c>
      <c r="B4022">
        <v>1</v>
      </c>
      <c r="C4022">
        <v>274</v>
      </c>
      <c r="D4022" t="str">
        <f>VLOOKUP(B4022, Products!$A$2:$C$100, 2, FALSE)</f>
        <v>Trek 820 - 2016</v>
      </c>
      <c r="E4022">
        <v>2</v>
      </c>
      <c r="F4022">
        <v>229.99</v>
      </c>
      <c r="G4022">
        <v>0.2</v>
      </c>
      <c r="H4022">
        <v>45.998000000000005</v>
      </c>
      <c r="I4022">
        <f>order_items[[#This Row],[list_price]]-order_items[[#This Row],[Discounted_price]]</f>
        <v>183.99200000000002</v>
      </c>
      <c r="J4022">
        <f>VLOOKUP(B4022, Products!$A$2:$E$100, 3, FALSE)</f>
        <v>9</v>
      </c>
      <c r="K4022">
        <f>VLOOKUP(B4022, Products!$A$2:$F$100, 4, FALSE)</f>
        <v>6</v>
      </c>
    </row>
    <row r="4023" spans="1:11" x14ac:dyDescent="0.3">
      <c r="A4023">
        <v>1381</v>
      </c>
      <c r="B4023">
        <v>2</v>
      </c>
      <c r="C4023">
        <v>214</v>
      </c>
      <c r="D4023" t="str">
        <f>VLOOKUP(B4023, Products!$A$2:$C$100, 2, FALSE)</f>
        <v>Ritchey Timberwolf Frameset - 2016</v>
      </c>
      <c r="E4023">
        <v>2</v>
      </c>
      <c r="F4023">
        <v>899.99</v>
      </c>
      <c r="G4023">
        <v>0.1</v>
      </c>
      <c r="H4023">
        <v>89.999000000000009</v>
      </c>
      <c r="I4023">
        <f>order_items[[#This Row],[list_price]]-order_items[[#This Row],[Discounted_price]]</f>
        <v>809.99099999999999</v>
      </c>
      <c r="J4023">
        <f>VLOOKUP(B4023, Products!$A$2:$E$100, 3, FALSE)</f>
        <v>5</v>
      </c>
      <c r="K4023">
        <f>VLOOKUP(B4023, Products!$A$2:$F$100, 4, FALSE)</f>
        <v>6</v>
      </c>
    </row>
    <row r="4024" spans="1:11" x14ac:dyDescent="0.3">
      <c r="A4024">
        <v>1382</v>
      </c>
      <c r="B4024">
        <v>1</v>
      </c>
      <c r="C4024">
        <v>232</v>
      </c>
      <c r="D4024" t="str">
        <f>VLOOKUP(B4024, Products!$A$2:$C$100, 2, FALSE)</f>
        <v>Trek 820 - 2016</v>
      </c>
      <c r="E4024">
        <v>1</v>
      </c>
      <c r="F4024">
        <v>479.99</v>
      </c>
      <c r="G4024">
        <v>0.2</v>
      </c>
      <c r="H4024">
        <v>95.998000000000005</v>
      </c>
      <c r="I4024">
        <f>order_items[[#This Row],[list_price]]-order_items[[#This Row],[Discounted_price]]</f>
        <v>383.99200000000002</v>
      </c>
      <c r="J4024">
        <f>VLOOKUP(B4024, Products!$A$2:$E$100, 3, FALSE)</f>
        <v>9</v>
      </c>
      <c r="K4024">
        <f>VLOOKUP(B4024, Products!$A$2:$F$100, 4, FALSE)</f>
        <v>6</v>
      </c>
    </row>
    <row r="4025" spans="1:11" x14ac:dyDescent="0.3">
      <c r="A4025">
        <v>1382</v>
      </c>
      <c r="B4025">
        <v>2</v>
      </c>
      <c r="C4025">
        <v>81</v>
      </c>
      <c r="D4025" t="str">
        <f>VLOOKUP(B4025, Products!$A$2:$C$100, 2, FALSE)</f>
        <v>Ritchey Timberwolf Frameset - 2016</v>
      </c>
      <c r="E4025">
        <v>2</v>
      </c>
      <c r="F4025">
        <v>1099.99</v>
      </c>
      <c r="G4025">
        <v>0.05</v>
      </c>
      <c r="H4025">
        <v>54.999500000000005</v>
      </c>
      <c r="I4025">
        <f>order_items[[#This Row],[list_price]]-order_items[[#This Row],[Discounted_price]]</f>
        <v>1044.9905000000001</v>
      </c>
      <c r="J4025">
        <f>VLOOKUP(B4025, Products!$A$2:$E$100, 3, FALSE)</f>
        <v>5</v>
      </c>
      <c r="K4025">
        <f>VLOOKUP(B4025, Products!$A$2:$F$100, 4, FALSE)</f>
        <v>6</v>
      </c>
    </row>
    <row r="4026" spans="1:11" x14ac:dyDescent="0.3">
      <c r="A4026">
        <v>1382</v>
      </c>
      <c r="B4026">
        <v>3</v>
      </c>
      <c r="C4026">
        <v>225</v>
      </c>
      <c r="D4026" t="str">
        <f>VLOOKUP(B4026, Products!$A$2:$C$100, 2, FALSE)</f>
        <v>Surly Wednesday Frameset - 2016</v>
      </c>
      <c r="E4026">
        <v>1</v>
      </c>
      <c r="F4026">
        <v>959.99</v>
      </c>
      <c r="G4026">
        <v>0.1</v>
      </c>
      <c r="H4026">
        <v>95.999000000000009</v>
      </c>
      <c r="I4026">
        <f>order_items[[#This Row],[list_price]]-order_items[[#This Row],[Discounted_price]]</f>
        <v>863.99099999999999</v>
      </c>
      <c r="J4026">
        <f>VLOOKUP(B4026, Products!$A$2:$E$100, 3, FALSE)</f>
        <v>8</v>
      </c>
      <c r="K4026">
        <f>VLOOKUP(B4026, Products!$A$2:$F$100, 4, FALSE)</f>
        <v>6</v>
      </c>
    </row>
    <row r="4027" spans="1:11" x14ac:dyDescent="0.3">
      <c r="A4027">
        <v>1382</v>
      </c>
      <c r="B4027">
        <v>4</v>
      </c>
      <c r="C4027">
        <v>135</v>
      </c>
      <c r="D4027" t="str">
        <f>VLOOKUP(B4027, Products!$A$2:$C$100, 2, FALSE)</f>
        <v>Trek Fuel EX 8 29 - 2016</v>
      </c>
      <c r="E4027">
        <v>1</v>
      </c>
      <c r="F4027">
        <v>1499.99</v>
      </c>
      <c r="G4027">
        <v>7.0000000000000007E-2</v>
      </c>
      <c r="H4027">
        <v>104.99930000000001</v>
      </c>
      <c r="I4027">
        <f>order_items[[#This Row],[list_price]]-order_items[[#This Row],[Discounted_price]]</f>
        <v>1394.9907000000001</v>
      </c>
      <c r="J4027">
        <f>VLOOKUP(B4027, Products!$A$2:$E$100, 3, FALSE)</f>
        <v>9</v>
      </c>
      <c r="K4027">
        <f>VLOOKUP(B4027, Products!$A$2:$F$100, 4, FALSE)</f>
        <v>6</v>
      </c>
    </row>
    <row r="4028" spans="1:11" x14ac:dyDescent="0.3">
      <c r="A4028">
        <v>1382</v>
      </c>
      <c r="B4028">
        <v>5</v>
      </c>
      <c r="C4028">
        <v>238</v>
      </c>
      <c r="D4028" t="str">
        <f>VLOOKUP(B4028, Products!$A$2:$C$100, 2, FALSE)</f>
        <v>Heller Shagamaw Frame - 2016</v>
      </c>
      <c r="E4028">
        <v>1</v>
      </c>
      <c r="F4028">
        <v>749.99</v>
      </c>
      <c r="G4028">
        <v>0.2</v>
      </c>
      <c r="H4028">
        <v>149.99800000000002</v>
      </c>
      <c r="I4028">
        <f>order_items[[#This Row],[list_price]]-order_items[[#This Row],[Discounted_price]]</f>
        <v>599.99199999999996</v>
      </c>
      <c r="J4028">
        <f>VLOOKUP(B4028, Products!$A$2:$E$100, 3, FALSE)</f>
        <v>3</v>
      </c>
      <c r="K4028">
        <f>VLOOKUP(B4028, Products!$A$2:$F$100, 4, FALSE)</f>
        <v>6</v>
      </c>
    </row>
    <row r="4029" spans="1:11" x14ac:dyDescent="0.3">
      <c r="A4029">
        <v>1383</v>
      </c>
      <c r="B4029">
        <v>1</v>
      </c>
      <c r="C4029">
        <v>188</v>
      </c>
      <c r="D4029" t="str">
        <f>VLOOKUP(B4029, Products!$A$2:$C$100, 2, FALSE)</f>
        <v>Trek 820 - 2016</v>
      </c>
      <c r="E4029">
        <v>2</v>
      </c>
      <c r="F4029">
        <v>3499.99</v>
      </c>
      <c r="G4029">
        <v>0.2</v>
      </c>
      <c r="H4029">
        <v>699.99800000000005</v>
      </c>
      <c r="I4029">
        <f>order_items[[#This Row],[list_price]]-order_items[[#This Row],[Discounted_price]]</f>
        <v>2799.9919999999997</v>
      </c>
      <c r="J4029">
        <f>VLOOKUP(B4029, Products!$A$2:$E$100, 3, FALSE)</f>
        <v>9</v>
      </c>
      <c r="K4029">
        <f>VLOOKUP(B4029, Products!$A$2:$F$100, 4, FALSE)</f>
        <v>6</v>
      </c>
    </row>
    <row r="4030" spans="1:11" x14ac:dyDescent="0.3">
      <c r="A4030">
        <v>1383</v>
      </c>
      <c r="B4030">
        <v>2</v>
      </c>
      <c r="C4030">
        <v>65</v>
      </c>
      <c r="D4030" t="str">
        <f>VLOOKUP(B4030, Products!$A$2:$C$100, 2, FALSE)</f>
        <v>Ritchey Timberwolf Frameset - 2016</v>
      </c>
      <c r="E4030">
        <v>2</v>
      </c>
      <c r="F4030">
        <v>346.99</v>
      </c>
      <c r="G4030">
        <v>0.05</v>
      </c>
      <c r="H4030">
        <v>17.349500000000003</v>
      </c>
      <c r="I4030">
        <f>order_items[[#This Row],[list_price]]-order_items[[#This Row],[Discounted_price]]</f>
        <v>329.64050000000003</v>
      </c>
      <c r="J4030">
        <f>VLOOKUP(B4030, Products!$A$2:$E$100, 3, FALSE)</f>
        <v>5</v>
      </c>
      <c r="K4030">
        <f>VLOOKUP(B4030, Products!$A$2:$F$100, 4, FALSE)</f>
        <v>6</v>
      </c>
    </row>
    <row r="4031" spans="1:11" x14ac:dyDescent="0.3">
      <c r="A4031">
        <v>1384</v>
      </c>
      <c r="B4031">
        <v>1</v>
      </c>
      <c r="C4031">
        <v>32</v>
      </c>
      <c r="D4031" t="str">
        <f>VLOOKUP(B4031, Products!$A$2:$C$100, 2, FALSE)</f>
        <v>Trek 820 - 2016</v>
      </c>
      <c r="E4031">
        <v>1</v>
      </c>
      <c r="F4031">
        <v>469.99</v>
      </c>
      <c r="G4031">
        <v>7.0000000000000007E-2</v>
      </c>
      <c r="H4031">
        <v>32.899300000000004</v>
      </c>
      <c r="I4031">
        <f>order_items[[#This Row],[list_price]]-order_items[[#This Row],[Discounted_price]]</f>
        <v>437.09070000000003</v>
      </c>
      <c r="J4031">
        <f>VLOOKUP(B4031, Products!$A$2:$E$100, 3, FALSE)</f>
        <v>9</v>
      </c>
      <c r="K4031">
        <f>VLOOKUP(B4031, Products!$A$2:$F$100, 4, FALSE)</f>
        <v>6</v>
      </c>
    </row>
    <row r="4032" spans="1:11" x14ac:dyDescent="0.3">
      <c r="A4032">
        <v>1384</v>
      </c>
      <c r="B4032">
        <v>2</v>
      </c>
      <c r="C4032">
        <v>142</v>
      </c>
      <c r="D4032" t="str">
        <f>VLOOKUP(B4032, Products!$A$2:$C$100, 2, FALSE)</f>
        <v>Ritchey Timberwolf Frameset - 2016</v>
      </c>
      <c r="E4032">
        <v>2</v>
      </c>
      <c r="F4032">
        <v>3199.99</v>
      </c>
      <c r="G4032">
        <v>0.1</v>
      </c>
      <c r="H4032">
        <v>319.99900000000002</v>
      </c>
      <c r="I4032">
        <f>order_items[[#This Row],[list_price]]-order_items[[#This Row],[Discounted_price]]</f>
        <v>2879.991</v>
      </c>
      <c r="J4032">
        <f>VLOOKUP(B4032, Products!$A$2:$E$100, 3, FALSE)</f>
        <v>5</v>
      </c>
      <c r="K4032">
        <f>VLOOKUP(B4032, Products!$A$2:$F$100, 4, FALSE)</f>
        <v>6</v>
      </c>
    </row>
    <row r="4033" spans="1:11" x14ac:dyDescent="0.3">
      <c r="A4033">
        <v>1384</v>
      </c>
      <c r="B4033">
        <v>3</v>
      </c>
      <c r="C4033">
        <v>89</v>
      </c>
      <c r="D4033" t="str">
        <f>VLOOKUP(B4033, Products!$A$2:$C$100, 2, FALSE)</f>
        <v>Surly Wednesday Frameset - 2016</v>
      </c>
      <c r="E4033">
        <v>1</v>
      </c>
      <c r="F4033">
        <v>209.99</v>
      </c>
      <c r="G4033">
        <v>0.1</v>
      </c>
      <c r="H4033">
        <v>20.999000000000002</v>
      </c>
      <c r="I4033">
        <f>order_items[[#This Row],[list_price]]-order_items[[#This Row],[Discounted_price]]</f>
        <v>188.99100000000001</v>
      </c>
      <c r="J4033">
        <f>VLOOKUP(B4033, Products!$A$2:$E$100, 3, FALSE)</f>
        <v>8</v>
      </c>
      <c r="K4033">
        <f>VLOOKUP(B4033, Products!$A$2:$F$100, 4, FALSE)</f>
        <v>6</v>
      </c>
    </row>
    <row r="4034" spans="1:11" x14ac:dyDescent="0.3">
      <c r="A4034">
        <v>1384</v>
      </c>
      <c r="B4034">
        <v>4</v>
      </c>
      <c r="C4034">
        <v>97</v>
      </c>
      <c r="D4034" t="str">
        <f>VLOOKUP(B4034, Products!$A$2:$C$100, 2, FALSE)</f>
        <v>Trek Fuel EX 8 29 - 2016</v>
      </c>
      <c r="E4034">
        <v>1</v>
      </c>
      <c r="F4034">
        <v>349.99</v>
      </c>
      <c r="G4034">
        <v>0.05</v>
      </c>
      <c r="H4034">
        <v>17.499500000000001</v>
      </c>
      <c r="I4034">
        <f>order_items[[#This Row],[list_price]]-order_items[[#This Row],[Discounted_price]]</f>
        <v>332.4905</v>
      </c>
      <c r="J4034">
        <f>VLOOKUP(B4034, Products!$A$2:$E$100, 3, FALSE)</f>
        <v>9</v>
      </c>
      <c r="K4034">
        <f>VLOOKUP(B4034, Products!$A$2:$F$100, 4, FALSE)</f>
        <v>6</v>
      </c>
    </row>
    <row r="4035" spans="1:11" x14ac:dyDescent="0.3">
      <c r="A4035">
        <v>1385</v>
      </c>
      <c r="B4035">
        <v>1</v>
      </c>
      <c r="C4035">
        <v>24</v>
      </c>
      <c r="D4035" t="str">
        <f>VLOOKUP(B4035, Products!$A$2:$C$100, 2, FALSE)</f>
        <v>Trek 820 - 2016</v>
      </c>
      <c r="E4035">
        <v>2</v>
      </c>
      <c r="F4035">
        <v>549.99</v>
      </c>
      <c r="G4035">
        <v>0.05</v>
      </c>
      <c r="H4035">
        <v>27.499500000000001</v>
      </c>
      <c r="I4035">
        <f>order_items[[#This Row],[list_price]]-order_items[[#This Row],[Discounted_price]]</f>
        <v>522.4905</v>
      </c>
      <c r="J4035">
        <f>VLOOKUP(B4035, Products!$A$2:$E$100, 3, FALSE)</f>
        <v>9</v>
      </c>
      <c r="K4035">
        <f>VLOOKUP(B4035, Products!$A$2:$F$100, 4, FALSE)</f>
        <v>6</v>
      </c>
    </row>
    <row r="4036" spans="1:11" x14ac:dyDescent="0.3">
      <c r="A4036">
        <v>1385</v>
      </c>
      <c r="B4036">
        <v>2</v>
      </c>
      <c r="C4036">
        <v>145</v>
      </c>
      <c r="D4036" t="str">
        <f>VLOOKUP(B4036, Products!$A$2:$C$100, 2, FALSE)</f>
        <v>Ritchey Timberwolf Frameset - 2016</v>
      </c>
      <c r="E4036">
        <v>1</v>
      </c>
      <c r="F4036">
        <v>1799.99</v>
      </c>
      <c r="G4036">
        <v>7.0000000000000007E-2</v>
      </c>
      <c r="H4036">
        <v>125.99930000000002</v>
      </c>
      <c r="I4036">
        <f>order_items[[#This Row],[list_price]]-order_items[[#This Row],[Discounted_price]]</f>
        <v>1673.9907000000001</v>
      </c>
      <c r="J4036">
        <f>VLOOKUP(B4036, Products!$A$2:$E$100, 3, FALSE)</f>
        <v>5</v>
      </c>
      <c r="K4036">
        <f>VLOOKUP(B4036, Products!$A$2:$F$100, 4, FALSE)</f>
        <v>6</v>
      </c>
    </row>
    <row r="4037" spans="1:11" x14ac:dyDescent="0.3">
      <c r="A4037">
        <v>1385</v>
      </c>
      <c r="B4037">
        <v>3</v>
      </c>
      <c r="C4037">
        <v>39</v>
      </c>
      <c r="D4037" t="str">
        <f>VLOOKUP(B4037, Products!$A$2:$C$100, 2, FALSE)</f>
        <v>Surly Wednesday Frameset - 2016</v>
      </c>
      <c r="E4037">
        <v>2</v>
      </c>
      <c r="F4037">
        <v>1499.99</v>
      </c>
      <c r="G4037">
        <v>0.1</v>
      </c>
      <c r="H4037">
        <v>149.999</v>
      </c>
      <c r="I4037">
        <f>order_items[[#This Row],[list_price]]-order_items[[#This Row],[Discounted_price]]</f>
        <v>1349.991</v>
      </c>
      <c r="J4037">
        <f>VLOOKUP(B4037, Products!$A$2:$E$100, 3, FALSE)</f>
        <v>8</v>
      </c>
      <c r="K4037">
        <f>VLOOKUP(B4037, Products!$A$2:$F$100, 4, FALSE)</f>
        <v>6</v>
      </c>
    </row>
    <row r="4038" spans="1:11" x14ac:dyDescent="0.3">
      <c r="A4038">
        <v>1385</v>
      </c>
      <c r="B4038">
        <v>4</v>
      </c>
      <c r="C4038">
        <v>135</v>
      </c>
      <c r="D4038" t="str">
        <f>VLOOKUP(B4038, Products!$A$2:$C$100, 2, FALSE)</f>
        <v>Trek Fuel EX 8 29 - 2016</v>
      </c>
      <c r="E4038">
        <v>1</v>
      </c>
      <c r="F4038">
        <v>1499.99</v>
      </c>
      <c r="G4038">
        <v>0.05</v>
      </c>
      <c r="H4038">
        <v>74.999499999999998</v>
      </c>
      <c r="I4038">
        <f>order_items[[#This Row],[list_price]]-order_items[[#This Row],[Discounted_price]]</f>
        <v>1424.9905000000001</v>
      </c>
      <c r="J4038">
        <f>VLOOKUP(B4038, Products!$A$2:$E$100, 3, FALSE)</f>
        <v>9</v>
      </c>
      <c r="K4038">
        <f>VLOOKUP(B4038, Products!$A$2:$F$100, 4, FALSE)</f>
        <v>6</v>
      </c>
    </row>
    <row r="4039" spans="1:11" x14ac:dyDescent="0.3">
      <c r="A4039">
        <v>1386</v>
      </c>
      <c r="B4039">
        <v>1</v>
      </c>
      <c r="C4039">
        <v>292</v>
      </c>
      <c r="D4039" t="str">
        <f>VLOOKUP(B4039, Products!$A$2:$C$100, 2, FALSE)</f>
        <v>Trek 820 - 2016</v>
      </c>
      <c r="E4039">
        <v>1</v>
      </c>
      <c r="F4039">
        <v>369.99</v>
      </c>
      <c r="G4039">
        <v>0.2</v>
      </c>
      <c r="H4039">
        <v>73.998000000000005</v>
      </c>
      <c r="I4039">
        <f>order_items[[#This Row],[list_price]]-order_items[[#This Row],[Discounted_price]]</f>
        <v>295.99200000000002</v>
      </c>
      <c r="J4039">
        <f>VLOOKUP(B4039, Products!$A$2:$E$100, 3, FALSE)</f>
        <v>9</v>
      </c>
      <c r="K4039">
        <f>VLOOKUP(B4039, Products!$A$2:$F$100, 4, FALSE)</f>
        <v>6</v>
      </c>
    </row>
    <row r="4040" spans="1:11" x14ac:dyDescent="0.3">
      <c r="A4040">
        <v>1386</v>
      </c>
      <c r="B4040">
        <v>2</v>
      </c>
      <c r="C4040">
        <v>262</v>
      </c>
      <c r="D4040" t="str">
        <f>VLOOKUP(B4040, Products!$A$2:$C$100, 2, FALSE)</f>
        <v>Ritchey Timberwolf Frameset - 2016</v>
      </c>
      <c r="E4040">
        <v>1</v>
      </c>
      <c r="F4040">
        <v>249.99</v>
      </c>
      <c r="G4040">
        <v>0.1</v>
      </c>
      <c r="H4040">
        <v>24.999000000000002</v>
      </c>
      <c r="I4040">
        <f>order_items[[#This Row],[list_price]]-order_items[[#This Row],[Discounted_price]]</f>
        <v>224.99100000000001</v>
      </c>
      <c r="J4040">
        <f>VLOOKUP(B4040, Products!$A$2:$E$100, 3, FALSE)</f>
        <v>5</v>
      </c>
      <c r="K4040">
        <f>VLOOKUP(B4040, Products!$A$2:$F$100, 4, FALSE)</f>
        <v>6</v>
      </c>
    </row>
    <row r="4041" spans="1:11" x14ac:dyDescent="0.3">
      <c r="A4041">
        <v>1386</v>
      </c>
      <c r="B4041">
        <v>3</v>
      </c>
      <c r="C4041">
        <v>306</v>
      </c>
      <c r="D4041" t="str">
        <f>VLOOKUP(B4041, Products!$A$2:$C$100, 2, FALSE)</f>
        <v>Surly Wednesday Frameset - 2016</v>
      </c>
      <c r="E4041">
        <v>1</v>
      </c>
      <c r="F4041">
        <v>899.99</v>
      </c>
      <c r="G4041">
        <v>0.1</v>
      </c>
      <c r="H4041">
        <v>89.999000000000009</v>
      </c>
      <c r="I4041">
        <f>order_items[[#This Row],[list_price]]-order_items[[#This Row],[Discounted_price]]</f>
        <v>809.99099999999999</v>
      </c>
      <c r="J4041">
        <f>VLOOKUP(B4041, Products!$A$2:$E$100, 3, FALSE)</f>
        <v>8</v>
      </c>
      <c r="K4041">
        <f>VLOOKUP(B4041, Products!$A$2:$F$100, 4, FALSE)</f>
        <v>6</v>
      </c>
    </row>
    <row r="4042" spans="1:11" x14ac:dyDescent="0.3">
      <c r="A4042">
        <v>1386</v>
      </c>
      <c r="B4042">
        <v>4</v>
      </c>
      <c r="C4042">
        <v>150</v>
      </c>
      <c r="D4042" t="str">
        <f>VLOOKUP(B4042, Products!$A$2:$C$100, 2, FALSE)</f>
        <v>Trek Fuel EX 8 29 - 2016</v>
      </c>
      <c r="E4042">
        <v>1</v>
      </c>
      <c r="F4042">
        <v>4499.99</v>
      </c>
      <c r="G4042">
        <v>7.0000000000000007E-2</v>
      </c>
      <c r="H4042">
        <v>314.99930000000001</v>
      </c>
      <c r="I4042">
        <f>order_items[[#This Row],[list_price]]-order_items[[#This Row],[Discounted_price]]</f>
        <v>4184.9906999999994</v>
      </c>
      <c r="J4042">
        <f>VLOOKUP(B4042, Products!$A$2:$E$100, 3, FALSE)</f>
        <v>9</v>
      </c>
      <c r="K4042">
        <f>VLOOKUP(B4042, Products!$A$2:$F$100, 4, FALSE)</f>
        <v>6</v>
      </c>
    </row>
    <row r="4043" spans="1:11" x14ac:dyDescent="0.3">
      <c r="A4043">
        <v>1387</v>
      </c>
      <c r="B4043">
        <v>1</v>
      </c>
      <c r="C4043">
        <v>106</v>
      </c>
      <c r="D4043" t="str">
        <f>VLOOKUP(B4043, Products!$A$2:$C$100, 2, FALSE)</f>
        <v>Trek 820 - 2016</v>
      </c>
      <c r="E4043">
        <v>1</v>
      </c>
      <c r="F4043">
        <v>449.99</v>
      </c>
      <c r="G4043">
        <v>0.1</v>
      </c>
      <c r="H4043">
        <v>44.999000000000002</v>
      </c>
      <c r="I4043">
        <f>order_items[[#This Row],[list_price]]-order_items[[#This Row],[Discounted_price]]</f>
        <v>404.99099999999999</v>
      </c>
      <c r="J4043">
        <f>VLOOKUP(B4043, Products!$A$2:$E$100, 3, FALSE)</f>
        <v>9</v>
      </c>
      <c r="K4043">
        <f>VLOOKUP(B4043, Products!$A$2:$F$100, 4, FALSE)</f>
        <v>6</v>
      </c>
    </row>
    <row r="4044" spans="1:11" x14ac:dyDescent="0.3">
      <c r="A4044">
        <v>1388</v>
      </c>
      <c r="B4044">
        <v>1</v>
      </c>
      <c r="C4044">
        <v>251</v>
      </c>
      <c r="D4044" t="str">
        <f>VLOOKUP(B4044, Products!$A$2:$C$100, 2, FALSE)</f>
        <v>Trek 820 - 2016</v>
      </c>
      <c r="E4044">
        <v>1</v>
      </c>
      <c r="F4044">
        <v>2999.99</v>
      </c>
      <c r="G4044">
        <v>0.1</v>
      </c>
      <c r="H4044">
        <v>299.99899999999997</v>
      </c>
      <c r="I4044">
        <f>order_items[[#This Row],[list_price]]-order_items[[#This Row],[Discounted_price]]</f>
        <v>2699.991</v>
      </c>
      <c r="J4044">
        <f>VLOOKUP(B4044, Products!$A$2:$E$100, 3, FALSE)</f>
        <v>9</v>
      </c>
      <c r="K4044">
        <f>VLOOKUP(B4044, Products!$A$2:$F$100, 4, FALSE)</f>
        <v>6</v>
      </c>
    </row>
    <row r="4045" spans="1:11" x14ac:dyDescent="0.3">
      <c r="A4045">
        <v>1389</v>
      </c>
      <c r="B4045">
        <v>1</v>
      </c>
      <c r="C4045">
        <v>85</v>
      </c>
      <c r="D4045" t="str">
        <f>VLOOKUP(B4045, Products!$A$2:$C$100, 2, FALSE)</f>
        <v>Trek 820 - 2016</v>
      </c>
      <c r="E4045">
        <v>2</v>
      </c>
      <c r="F4045">
        <v>329.99</v>
      </c>
      <c r="G4045">
        <v>0.1</v>
      </c>
      <c r="H4045">
        <v>32.999000000000002</v>
      </c>
      <c r="I4045">
        <f>order_items[[#This Row],[list_price]]-order_items[[#This Row],[Discounted_price]]</f>
        <v>296.99099999999999</v>
      </c>
      <c r="J4045">
        <f>VLOOKUP(B4045, Products!$A$2:$E$100, 3, FALSE)</f>
        <v>9</v>
      </c>
      <c r="K4045">
        <f>VLOOKUP(B4045, Products!$A$2:$F$100, 4, FALSE)</f>
        <v>6</v>
      </c>
    </row>
    <row r="4046" spans="1:11" x14ac:dyDescent="0.3">
      <c r="A4046">
        <v>1389</v>
      </c>
      <c r="B4046">
        <v>2</v>
      </c>
      <c r="C4046">
        <v>171</v>
      </c>
      <c r="D4046" t="str">
        <f>VLOOKUP(B4046, Products!$A$2:$C$100, 2, FALSE)</f>
        <v>Ritchey Timberwolf Frameset - 2016</v>
      </c>
      <c r="E4046">
        <v>2</v>
      </c>
      <c r="F4046">
        <v>3199.99</v>
      </c>
      <c r="G4046">
        <v>0.05</v>
      </c>
      <c r="H4046">
        <v>159.99950000000001</v>
      </c>
      <c r="I4046">
        <f>order_items[[#This Row],[list_price]]-order_items[[#This Row],[Discounted_price]]</f>
        <v>3039.9904999999999</v>
      </c>
      <c r="J4046">
        <f>VLOOKUP(B4046, Products!$A$2:$E$100, 3, FALSE)</f>
        <v>5</v>
      </c>
      <c r="K4046">
        <f>VLOOKUP(B4046, Products!$A$2:$F$100, 4, FALSE)</f>
        <v>6</v>
      </c>
    </row>
    <row r="4047" spans="1:11" x14ac:dyDescent="0.3">
      <c r="A4047">
        <v>1389</v>
      </c>
      <c r="B4047">
        <v>3</v>
      </c>
      <c r="C4047">
        <v>227</v>
      </c>
      <c r="D4047" t="str">
        <f>VLOOKUP(B4047, Products!$A$2:$C$100, 2, FALSE)</f>
        <v>Surly Wednesday Frameset - 2016</v>
      </c>
      <c r="E4047">
        <v>1</v>
      </c>
      <c r="F4047">
        <v>319.99</v>
      </c>
      <c r="G4047">
        <v>7.0000000000000007E-2</v>
      </c>
      <c r="H4047">
        <v>22.399300000000004</v>
      </c>
      <c r="I4047">
        <f>order_items[[#This Row],[list_price]]-order_items[[#This Row],[Discounted_price]]</f>
        <v>297.59070000000003</v>
      </c>
      <c r="J4047">
        <f>VLOOKUP(B4047, Products!$A$2:$E$100, 3, FALSE)</f>
        <v>8</v>
      </c>
      <c r="K4047">
        <f>VLOOKUP(B4047, Products!$A$2:$F$100, 4, FALSE)</f>
        <v>6</v>
      </c>
    </row>
    <row r="4048" spans="1:11" x14ac:dyDescent="0.3">
      <c r="A4048">
        <v>1390</v>
      </c>
      <c r="B4048">
        <v>1</v>
      </c>
      <c r="C4048">
        <v>41</v>
      </c>
      <c r="D4048" t="str">
        <f>VLOOKUP(B4048, Products!$A$2:$C$100, 2, FALSE)</f>
        <v>Trek 820 - 2016</v>
      </c>
      <c r="E4048">
        <v>2</v>
      </c>
      <c r="F4048">
        <v>1469.99</v>
      </c>
      <c r="G4048">
        <v>0.05</v>
      </c>
      <c r="H4048">
        <v>73.499499999999998</v>
      </c>
      <c r="I4048">
        <f>order_items[[#This Row],[list_price]]-order_items[[#This Row],[Discounted_price]]</f>
        <v>1396.4905000000001</v>
      </c>
      <c r="J4048">
        <f>VLOOKUP(B4048, Products!$A$2:$E$100, 3, FALSE)</f>
        <v>9</v>
      </c>
      <c r="K4048">
        <f>VLOOKUP(B4048, Products!$A$2:$F$100, 4, FALSE)</f>
        <v>6</v>
      </c>
    </row>
    <row r="4049" spans="1:11" x14ac:dyDescent="0.3">
      <c r="A4049">
        <v>1390</v>
      </c>
      <c r="B4049">
        <v>2</v>
      </c>
      <c r="C4049">
        <v>27</v>
      </c>
      <c r="D4049" t="str">
        <f>VLOOKUP(B4049, Products!$A$2:$C$100, 2, FALSE)</f>
        <v>Ritchey Timberwolf Frameset - 2016</v>
      </c>
      <c r="E4049">
        <v>2</v>
      </c>
      <c r="F4049">
        <v>999.99</v>
      </c>
      <c r="G4049">
        <v>0.05</v>
      </c>
      <c r="H4049">
        <v>49.999500000000005</v>
      </c>
      <c r="I4049">
        <f>order_items[[#This Row],[list_price]]-order_items[[#This Row],[Discounted_price]]</f>
        <v>949.9905</v>
      </c>
      <c r="J4049">
        <f>VLOOKUP(B4049, Products!$A$2:$E$100, 3, FALSE)</f>
        <v>5</v>
      </c>
      <c r="K4049">
        <f>VLOOKUP(B4049, Products!$A$2:$F$100, 4, FALSE)</f>
        <v>6</v>
      </c>
    </row>
    <row r="4050" spans="1:11" x14ac:dyDescent="0.3">
      <c r="A4050">
        <v>1390</v>
      </c>
      <c r="B4050">
        <v>3</v>
      </c>
      <c r="C4050">
        <v>306</v>
      </c>
      <c r="D4050" t="str">
        <f>VLOOKUP(B4050, Products!$A$2:$C$100, 2, FALSE)</f>
        <v>Surly Wednesday Frameset - 2016</v>
      </c>
      <c r="E4050">
        <v>1</v>
      </c>
      <c r="F4050">
        <v>899.99</v>
      </c>
      <c r="G4050">
        <v>0.1</v>
      </c>
      <c r="H4050">
        <v>89.999000000000009</v>
      </c>
      <c r="I4050">
        <f>order_items[[#This Row],[list_price]]-order_items[[#This Row],[Discounted_price]]</f>
        <v>809.99099999999999</v>
      </c>
      <c r="J4050">
        <f>VLOOKUP(B4050, Products!$A$2:$E$100, 3, FALSE)</f>
        <v>8</v>
      </c>
      <c r="K4050">
        <f>VLOOKUP(B4050, Products!$A$2:$F$100, 4, FALSE)</f>
        <v>6</v>
      </c>
    </row>
    <row r="4051" spans="1:11" x14ac:dyDescent="0.3">
      <c r="A4051">
        <v>1390</v>
      </c>
      <c r="B4051">
        <v>4</v>
      </c>
      <c r="C4051">
        <v>104</v>
      </c>
      <c r="D4051" t="str">
        <f>VLOOKUP(B4051, Products!$A$2:$C$100, 2, FALSE)</f>
        <v>Trek Fuel EX 8 29 - 2016</v>
      </c>
      <c r="E4051">
        <v>1</v>
      </c>
      <c r="F4051">
        <v>481.99</v>
      </c>
      <c r="G4051">
        <v>0.05</v>
      </c>
      <c r="H4051">
        <v>24.099500000000003</v>
      </c>
      <c r="I4051">
        <f>order_items[[#This Row],[list_price]]-order_items[[#This Row],[Discounted_price]]</f>
        <v>457.89050000000003</v>
      </c>
      <c r="J4051">
        <f>VLOOKUP(B4051, Products!$A$2:$E$100, 3, FALSE)</f>
        <v>9</v>
      </c>
      <c r="K4051">
        <f>VLOOKUP(B4051, Products!$A$2:$F$100, 4, FALSE)</f>
        <v>6</v>
      </c>
    </row>
    <row r="4052" spans="1:11" x14ac:dyDescent="0.3">
      <c r="A4052">
        <v>1390</v>
      </c>
      <c r="B4052">
        <v>5</v>
      </c>
      <c r="C4052">
        <v>147</v>
      </c>
      <c r="D4052" t="str">
        <f>VLOOKUP(B4052, Products!$A$2:$C$100, 2, FALSE)</f>
        <v>Heller Shagamaw Frame - 2016</v>
      </c>
      <c r="E4052">
        <v>2</v>
      </c>
      <c r="F4052">
        <v>1799.99</v>
      </c>
      <c r="G4052">
        <v>0.1</v>
      </c>
      <c r="H4052">
        <v>179.99900000000002</v>
      </c>
      <c r="I4052">
        <f>order_items[[#This Row],[list_price]]-order_items[[#This Row],[Discounted_price]]</f>
        <v>1619.991</v>
      </c>
      <c r="J4052">
        <f>VLOOKUP(B4052, Products!$A$2:$E$100, 3, FALSE)</f>
        <v>3</v>
      </c>
      <c r="K4052">
        <f>VLOOKUP(B4052, Products!$A$2:$F$100, 4, FALSE)</f>
        <v>6</v>
      </c>
    </row>
    <row r="4053" spans="1:11" x14ac:dyDescent="0.3">
      <c r="A4053">
        <v>1391</v>
      </c>
      <c r="B4053">
        <v>1</v>
      </c>
      <c r="C4053">
        <v>223</v>
      </c>
      <c r="D4053" t="str">
        <f>VLOOKUP(B4053, Products!$A$2:$C$100, 2, FALSE)</f>
        <v>Trek 820 - 2016</v>
      </c>
      <c r="E4053">
        <v>2</v>
      </c>
      <c r="F4053">
        <v>529.99</v>
      </c>
      <c r="G4053">
        <v>7.0000000000000007E-2</v>
      </c>
      <c r="H4053">
        <v>37.099300000000007</v>
      </c>
      <c r="I4053">
        <f>order_items[[#This Row],[list_price]]-order_items[[#This Row],[Discounted_price]]</f>
        <v>492.89069999999998</v>
      </c>
      <c r="J4053">
        <f>VLOOKUP(B4053, Products!$A$2:$E$100, 3, FALSE)</f>
        <v>9</v>
      </c>
      <c r="K4053">
        <f>VLOOKUP(B4053, Products!$A$2:$F$100, 4, FALSE)</f>
        <v>6</v>
      </c>
    </row>
    <row r="4054" spans="1:11" x14ac:dyDescent="0.3">
      <c r="A4054">
        <v>1391</v>
      </c>
      <c r="B4054">
        <v>2</v>
      </c>
      <c r="C4054">
        <v>295</v>
      </c>
      <c r="D4054" t="str">
        <f>VLOOKUP(B4054, Products!$A$2:$C$100, 2, FALSE)</f>
        <v>Ritchey Timberwolf Frameset - 2016</v>
      </c>
      <c r="E4054">
        <v>2</v>
      </c>
      <c r="F4054">
        <v>319.99</v>
      </c>
      <c r="G4054">
        <v>0.2</v>
      </c>
      <c r="H4054">
        <v>63.998000000000005</v>
      </c>
      <c r="I4054">
        <f>order_items[[#This Row],[list_price]]-order_items[[#This Row],[Discounted_price]]</f>
        <v>255.99200000000002</v>
      </c>
      <c r="J4054">
        <f>VLOOKUP(B4054, Products!$A$2:$E$100, 3, FALSE)</f>
        <v>5</v>
      </c>
      <c r="K4054">
        <f>VLOOKUP(B4054, Products!$A$2:$F$100, 4, FALSE)</f>
        <v>6</v>
      </c>
    </row>
    <row r="4055" spans="1:11" x14ac:dyDescent="0.3">
      <c r="A4055">
        <v>1391</v>
      </c>
      <c r="B4055">
        <v>3</v>
      </c>
      <c r="C4055">
        <v>277</v>
      </c>
      <c r="D4055" t="str">
        <f>VLOOKUP(B4055, Products!$A$2:$C$100, 2, FALSE)</f>
        <v>Surly Wednesday Frameset - 2016</v>
      </c>
      <c r="E4055">
        <v>1</v>
      </c>
      <c r="F4055">
        <v>369.99</v>
      </c>
      <c r="G4055">
        <v>0.2</v>
      </c>
      <c r="H4055">
        <v>73.998000000000005</v>
      </c>
      <c r="I4055">
        <f>order_items[[#This Row],[list_price]]-order_items[[#This Row],[Discounted_price]]</f>
        <v>295.99200000000002</v>
      </c>
      <c r="J4055">
        <f>VLOOKUP(B4055, Products!$A$2:$E$100, 3, FALSE)</f>
        <v>8</v>
      </c>
      <c r="K4055">
        <f>VLOOKUP(B4055, Products!$A$2:$F$100, 4, FALSE)</f>
        <v>6</v>
      </c>
    </row>
    <row r="4056" spans="1:11" x14ac:dyDescent="0.3">
      <c r="A4056">
        <v>1392</v>
      </c>
      <c r="B4056">
        <v>1</v>
      </c>
      <c r="C4056">
        <v>87</v>
      </c>
      <c r="D4056" t="str">
        <f>VLOOKUP(B4056, Products!$A$2:$C$100, 2, FALSE)</f>
        <v>Trek 820 - 2016</v>
      </c>
      <c r="E4056">
        <v>2</v>
      </c>
      <c r="F4056">
        <v>189.99</v>
      </c>
      <c r="G4056">
        <v>0.2</v>
      </c>
      <c r="H4056">
        <v>37.998000000000005</v>
      </c>
      <c r="I4056">
        <f>order_items[[#This Row],[list_price]]-order_items[[#This Row],[Discounted_price]]</f>
        <v>151.99200000000002</v>
      </c>
      <c r="J4056">
        <f>VLOOKUP(B4056, Products!$A$2:$E$100, 3, FALSE)</f>
        <v>9</v>
      </c>
      <c r="K4056">
        <f>VLOOKUP(B4056, Products!$A$2:$F$100, 4, FALSE)</f>
        <v>6</v>
      </c>
    </row>
    <row r="4057" spans="1:11" x14ac:dyDescent="0.3">
      <c r="A4057">
        <v>1392</v>
      </c>
      <c r="B4057">
        <v>2</v>
      </c>
      <c r="C4057">
        <v>240</v>
      </c>
      <c r="D4057" t="str">
        <f>VLOOKUP(B4057, Products!$A$2:$C$100, 2, FALSE)</f>
        <v>Ritchey Timberwolf Frameset - 2016</v>
      </c>
      <c r="E4057">
        <v>2</v>
      </c>
      <c r="F4057">
        <v>899.99</v>
      </c>
      <c r="G4057">
        <v>0.05</v>
      </c>
      <c r="H4057">
        <v>44.999500000000005</v>
      </c>
      <c r="I4057">
        <f>order_items[[#This Row],[list_price]]-order_items[[#This Row],[Discounted_price]]</f>
        <v>854.9905</v>
      </c>
      <c r="J4057">
        <f>VLOOKUP(B4057, Products!$A$2:$E$100, 3, FALSE)</f>
        <v>5</v>
      </c>
      <c r="K4057">
        <f>VLOOKUP(B4057, Products!$A$2:$F$100, 4, FALSE)</f>
        <v>6</v>
      </c>
    </row>
    <row r="4058" spans="1:11" x14ac:dyDescent="0.3">
      <c r="A4058">
        <v>1393</v>
      </c>
      <c r="B4058">
        <v>1</v>
      </c>
      <c r="C4058">
        <v>92</v>
      </c>
      <c r="D4058" t="str">
        <f>VLOOKUP(B4058, Products!$A$2:$C$100, 2, FALSE)</f>
        <v>Trek 820 - 2016</v>
      </c>
      <c r="E4058">
        <v>1</v>
      </c>
      <c r="F4058">
        <v>209.99</v>
      </c>
      <c r="G4058">
        <v>7.0000000000000007E-2</v>
      </c>
      <c r="H4058">
        <v>14.699300000000003</v>
      </c>
      <c r="I4058">
        <f>order_items[[#This Row],[list_price]]-order_items[[#This Row],[Discounted_price]]</f>
        <v>195.29070000000002</v>
      </c>
      <c r="J4058">
        <f>VLOOKUP(B4058, Products!$A$2:$E$100, 3, FALSE)</f>
        <v>9</v>
      </c>
      <c r="K4058">
        <f>VLOOKUP(B4058, Products!$A$2:$F$100, 4, FALSE)</f>
        <v>6</v>
      </c>
    </row>
    <row r="4059" spans="1:11" x14ac:dyDescent="0.3">
      <c r="A4059">
        <v>1393</v>
      </c>
      <c r="B4059">
        <v>2</v>
      </c>
      <c r="C4059">
        <v>82</v>
      </c>
      <c r="D4059" t="str">
        <f>VLOOKUP(B4059, Products!$A$2:$C$100, 2, FALSE)</f>
        <v>Ritchey Timberwolf Frameset - 2016</v>
      </c>
      <c r="E4059">
        <v>1</v>
      </c>
      <c r="F4059">
        <v>659.99</v>
      </c>
      <c r="G4059">
        <v>7.0000000000000007E-2</v>
      </c>
      <c r="H4059">
        <v>46.199300000000008</v>
      </c>
      <c r="I4059">
        <f>order_items[[#This Row],[list_price]]-order_items[[#This Row],[Discounted_price]]</f>
        <v>613.79070000000002</v>
      </c>
      <c r="J4059">
        <f>VLOOKUP(B4059, Products!$A$2:$E$100, 3, FALSE)</f>
        <v>5</v>
      </c>
      <c r="K4059">
        <f>VLOOKUP(B4059, Products!$A$2:$F$100, 4, FALSE)</f>
        <v>6</v>
      </c>
    </row>
    <row r="4060" spans="1:11" x14ac:dyDescent="0.3">
      <c r="A4060">
        <v>1393</v>
      </c>
      <c r="B4060">
        <v>3</v>
      </c>
      <c r="C4060">
        <v>47</v>
      </c>
      <c r="D4060" t="str">
        <f>VLOOKUP(B4060, Products!$A$2:$C$100, 2, FALSE)</f>
        <v>Surly Wednesday Frameset - 2016</v>
      </c>
      <c r="E4060">
        <v>2</v>
      </c>
      <c r="F4060">
        <v>5299.99</v>
      </c>
      <c r="G4060">
        <v>0.05</v>
      </c>
      <c r="H4060">
        <v>264.99950000000001</v>
      </c>
      <c r="I4060">
        <f>order_items[[#This Row],[list_price]]-order_items[[#This Row],[Discounted_price]]</f>
        <v>5034.9904999999999</v>
      </c>
      <c r="J4060">
        <f>VLOOKUP(B4060, Products!$A$2:$E$100, 3, FALSE)</f>
        <v>8</v>
      </c>
      <c r="K4060">
        <f>VLOOKUP(B4060, Products!$A$2:$F$100, 4, FALSE)</f>
        <v>6</v>
      </c>
    </row>
    <row r="4061" spans="1:11" x14ac:dyDescent="0.3">
      <c r="A4061">
        <v>1393</v>
      </c>
      <c r="B4061">
        <v>4</v>
      </c>
      <c r="C4061">
        <v>268</v>
      </c>
      <c r="D4061" t="str">
        <f>VLOOKUP(B4061, Products!$A$2:$C$100, 2, FALSE)</f>
        <v>Trek Fuel EX 8 29 - 2016</v>
      </c>
      <c r="E4061">
        <v>2</v>
      </c>
      <c r="F4061">
        <v>159.99</v>
      </c>
      <c r="G4061">
        <v>0.05</v>
      </c>
      <c r="H4061">
        <v>7.9995000000000012</v>
      </c>
      <c r="I4061">
        <f>order_items[[#This Row],[list_price]]-order_items[[#This Row],[Discounted_price]]</f>
        <v>151.9905</v>
      </c>
      <c r="J4061">
        <f>VLOOKUP(B4061, Products!$A$2:$E$100, 3, FALSE)</f>
        <v>9</v>
      </c>
      <c r="K4061">
        <f>VLOOKUP(B4061, Products!$A$2:$F$100, 4, FALSE)</f>
        <v>6</v>
      </c>
    </row>
    <row r="4062" spans="1:11" x14ac:dyDescent="0.3">
      <c r="A4062">
        <v>1394</v>
      </c>
      <c r="B4062">
        <v>1</v>
      </c>
      <c r="C4062">
        <v>165</v>
      </c>
      <c r="D4062" t="str">
        <f>VLOOKUP(B4062, Products!$A$2:$C$100, 2, FALSE)</f>
        <v>Trek 820 - 2016</v>
      </c>
      <c r="E4062">
        <v>2</v>
      </c>
      <c r="F4062">
        <v>2499.9899999999998</v>
      </c>
      <c r="G4062">
        <v>0.05</v>
      </c>
      <c r="H4062">
        <v>124.9995</v>
      </c>
      <c r="I4062">
        <f>order_items[[#This Row],[list_price]]-order_items[[#This Row],[Discounted_price]]</f>
        <v>2374.9904999999999</v>
      </c>
      <c r="J4062">
        <f>VLOOKUP(B4062, Products!$A$2:$E$100, 3, FALSE)</f>
        <v>9</v>
      </c>
      <c r="K4062">
        <f>VLOOKUP(B4062, Products!$A$2:$F$100, 4, FALSE)</f>
        <v>6</v>
      </c>
    </row>
    <row r="4063" spans="1:11" x14ac:dyDescent="0.3">
      <c r="A4063">
        <v>1395</v>
      </c>
      <c r="B4063">
        <v>1</v>
      </c>
      <c r="C4063">
        <v>204</v>
      </c>
      <c r="D4063" t="str">
        <f>VLOOKUP(B4063, Products!$A$2:$C$100, 2, FALSE)</f>
        <v>Trek 820 - 2016</v>
      </c>
      <c r="E4063">
        <v>1</v>
      </c>
      <c r="F4063">
        <v>3599.99</v>
      </c>
      <c r="G4063">
        <v>0.2</v>
      </c>
      <c r="H4063">
        <v>719.99800000000005</v>
      </c>
      <c r="I4063">
        <f>order_items[[#This Row],[list_price]]-order_items[[#This Row],[Discounted_price]]</f>
        <v>2879.9919999999997</v>
      </c>
      <c r="J4063">
        <f>VLOOKUP(B4063, Products!$A$2:$E$100, 3, FALSE)</f>
        <v>9</v>
      </c>
      <c r="K4063">
        <f>VLOOKUP(B4063, Products!$A$2:$F$100, 4, FALSE)</f>
        <v>6</v>
      </c>
    </row>
    <row r="4064" spans="1:11" x14ac:dyDescent="0.3">
      <c r="A4064">
        <v>1395</v>
      </c>
      <c r="B4064">
        <v>2</v>
      </c>
      <c r="C4064">
        <v>48</v>
      </c>
      <c r="D4064" t="str">
        <f>VLOOKUP(B4064, Products!$A$2:$C$100, 2, FALSE)</f>
        <v>Ritchey Timberwolf Frameset - 2016</v>
      </c>
      <c r="E4064">
        <v>2</v>
      </c>
      <c r="F4064">
        <v>1499.99</v>
      </c>
      <c r="G4064">
        <v>0.1</v>
      </c>
      <c r="H4064">
        <v>149.999</v>
      </c>
      <c r="I4064">
        <f>order_items[[#This Row],[list_price]]-order_items[[#This Row],[Discounted_price]]</f>
        <v>1349.991</v>
      </c>
      <c r="J4064">
        <f>VLOOKUP(B4064, Products!$A$2:$E$100, 3, FALSE)</f>
        <v>5</v>
      </c>
      <c r="K4064">
        <f>VLOOKUP(B4064, Products!$A$2:$F$100, 4, FALSE)</f>
        <v>6</v>
      </c>
    </row>
    <row r="4065" spans="1:11" x14ac:dyDescent="0.3">
      <c r="A4065">
        <v>1395</v>
      </c>
      <c r="B4065">
        <v>3</v>
      </c>
      <c r="C4065">
        <v>180</v>
      </c>
      <c r="D4065" t="str">
        <f>VLOOKUP(B4065, Products!$A$2:$C$100, 2, FALSE)</f>
        <v>Surly Wednesday Frameset - 2016</v>
      </c>
      <c r="E4065">
        <v>2</v>
      </c>
      <c r="F4065">
        <v>919.99</v>
      </c>
      <c r="G4065">
        <v>0.2</v>
      </c>
      <c r="H4065">
        <v>183.99800000000002</v>
      </c>
      <c r="I4065">
        <f>order_items[[#This Row],[list_price]]-order_items[[#This Row],[Discounted_price]]</f>
        <v>735.99199999999996</v>
      </c>
      <c r="J4065">
        <f>VLOOKUP(B4065, Products!$A$2:$E$100, 3, FALSE)</f>
        <v>8</v>
      </c>
      <c r="K4065">
        <f>VLOOKUP(B4065, Products!$A$2:$F$100, 4, FALSE)</f>
        <v>6</v>
      </c>
    </row>
    <row r="4066" spans="1:11" x14ac:dyDescent="0.3">
      <c r="A4066">
        <v>1395</v>
      </c>
      <c r="B4066">
        <v>4</v>
      </c>
      <c r="C4066">
        <v>226</v>
      </c>
      <c r="D4066" t="str">
        <f>VLOOKUP(B4066, Products!$A$2:$C$100, 2, FALSE)</f>
        <v>Trek Fuel EX 8 29 - 2016</v>
      </c>
      <c r="E4066">
        <v>1</v>
      </c>
      <c r="F4066">
        <v>679.99</v>
      </c>
      <c r="G4066">
        <v>0.1</v>
      </c>
      <c r="H4066">
        <v>67.999000000000009</v>
      </c>
      <c r="I4066">
        <f>order_items[[#This Row],[list_price]]-order_items[[#This Row],[Discounted_price]]</f>
        <v>611.99099999999999</v>
      </c>
      <c r="J4066">
        <f>VLOOKUP(B4066, Products!$A$2:$E$100, 3, FALSE)</f>
        <v>9</v>
      </c>
      <c r="K4066">
        <f>VLOOKUP(B4066, Products!$A$2:$F$100, 4, FALSE)</f>
        <v>6</v>
      </c>
    </row>
    <row r="4067" spans="1:11" x14ac:dyDescent="0.3">
      <c r="A4067">
        <v>1396</v>
      </c>
      <c r="B4067">
        <v>1</v>
      </c>
      <c r="C4067">
        <v>57</v>
      </c>
      <c r="D4067" t="str">
        <f>VLOOKUP(B4067, Products!$A$2:$C$100, 2, FALSE)</f>
        <v>Trek 820 - 2016</v>
      </c>
      <c r="E4067">
        <v>1</v>
      </c>
      <c r="F4067">
        <v>1999.99</v>
      </c>
      <c r="G4067">
        <v>0.05</v>
      </c>
      <c r="H4067">
        <v>99.999500000000012</v>
      </c>
      <c r="I4067">
        <f>order_items[[#This Row],[list_price]]-order_items[[#This Row],[Discounted_price]]</f>
        <v>1899.9904999999999</v>
      </c>
      <c r="J4067">
        <f>VLOOKUP(B4067, Products!$A$2:$E$100, 3, FALSE)</f>
        <v>9</v>
      </c>
      <c r="K4067">
        <f>VLOOKUP(B4067, Products!$A$2:$F$100, 4, FALSE)</f>
        <v>6</v>
      </c>
    </row>
    <row r="4068" spans="1:11" x14ac:dyDescent="0.3">
      <c r="A4068">
        <v>1396</v>
      </c>
      <c r="B4068">
        <v>2</v>
      </c>
      <c r="C4068">
        <v>181</v>
      </c>
      <c r="D4068" t="str">
        <f>VLOOKUP(B4068, Products!$A$2:$C$100, 2, FALSE)</f>
        <v>Ritchey Timberwolf Frameset - 2016</v>
      </c>
      <c r="E4068">
        <v>1</v>
      </c>
      <c r="F4068">
        <v>2199.9899999999998</v>
      </c>
      <c r="G4068">
        <v>0.2</v>
      </c>
      <c r="H4068">
        <v>439.99799999999999</v>
      </c>
      <c r="I4068">
        <f>order_items[[#This Row],[list_price]]-order_items[[#This Row],[Discounted_price]]</f>
        <v>1759.9919999999997</v>
      </c>
      <c r="J4068">
        <f>VLOOKUP(B4068, Products!$A$2:$E$100, 3, FALSE)</f>
        <v>5</v>
      </c>
      <c r="K4068">
        <f>VLOOKUP(B4068, Products!$A$2:$F$100, 4, FALSE)</f>
        <v>6</v>
      </c>
    </row>
    <row r="4069" spans="1:11" x14ac:dyDescent="0.3">
      <c r="A4069">
        <v>1397</v>
      </c>
      <c r="B4069">
        <v>1</v>
      </c>
      <c r="C4069">
        <v>127</v>
      </c>
      <c r="D4069" t="str">
        <f>VLOOKUP(B4069, Products!$A$2:$C$100, 2, FALSE)</f>
        <v>Trek 820 - 2016</v>
      </c>
      <c r="E4069">
        <v>2</v>
      </c>
      <c r="F4069">
        <v>469.99</v>
      </c>
      <c r="G4069">
        <v>0.1</v>
      </c>
      <c r="H4069">
        <v>46.999000000000002</v>
      </c>
      <c r="I4069">
        <f>order_items[[#This Row],[list_price]]-order_items[[#This Row],[Discounted_price]]</f>
        <v>422.99099999999999</v>
      </c>
      <c r="J4069">
        <f>VLOOKUP(B4069, Products!$A$2:$E$100, 3, FALSE)</f>
        <v>9</v>
      </c>
      <c r="K4069">
        <f>VLOOKUP(B4069, Products!$A$2:$F$100, 4, FALSE)</f>
        <v>6</v>
      </c>
    </row>
    <row r="4070" spans="1:11" x14ac:dyDescent="0.3">
      <c r="A4070">
        <v>1397</v>
      </c>
      <c r="B4070">
        <v>2</v>
      </c>
      <c r="C4070">
        <v>139</v>
      </c>
      <c r="D4070" t="str">
        <f>VLOOKUP(B4070, Products!$A$2:$C$100, 2, FALSE)</f>
        <v>Ritchey Timberwolf Frameset - 2016</v>
      </c>
      <c r="E4070">
        <v>1</v>
      </c>
      <c r="F4070">
        <v>2999.99</v>
      </c>
      <c r="G4070">
        <v>7.0000000000000007E-2</v>
      </c>
      <c r="H4070">
        <v>209.99930000000001</v>
      </c>
      <c r="I4070">
        <f>order_items[[#This Row],[list_price]]-order_items[[#This Row],[Discounted_price]]</f>
        <v>2789.9906999999998</v>
      </c>
      <c r="J4070">
        <f>VLOOKUP(B4070, Products!$A$2:$E$100, 3, FALSE)</f>
        <v>5</v>
      </c>
      <c r="K4070">
        <f>VLOOKUP(B4070, Products!$A$2:$F$100, 4, FALSE)</f>
        <v>6</v>
      </c>
    </row>
    <row r="4071" spans="1:11" x14ac:dyDescent="0.3">
      <c r="A4071">
        <v>1397</v>
      </c>
      <c r="B4071">
        <v>3</v>
      </c>
      <c r="C4071">
        <v>7</v>
      </c>
      <c r="D4071" t="str">
        <f>VLOOKUP(B4071, Products!$A$2:$C$100, 2, FALSE)</f>
        <v>Surly Wednesday Frameset - 2016</v>
      </c>
      <c r="E4071">
        <v>1</v>
      </c>
      <c r="F4071">
        <v>3999.99</v>
      </c>
      <c r="G4071">
        <v>0.05</v>
      </c>
      <c r="H4071">
        <v>199.99950000000001</v>
      </c>
      <c r="I4071">
        <f>order_items[[#This Row],[list_price]]-order_items[[#This Row],[Discounted_price]]</f>
        <v>3799.9904999999999</v>
      </c>
      <c r="J4071">
        <f>VLOOKUP(B4071, Products!$A$2:$E$100, 3, FALSE)</f>
        <v>8</v>
      </c>
      <c r="K4071">
        <f>VLOOKUP(B4071, Products!$A$2:$F$100, 4, FALSE)</f>
        <v>6</v>
      </c>
    </row>
    <row r="4072" spans="1:11" x14ac:dyDescent="0.3">
      <c r="A4072">
        <v>1397</v>
      </c>
      <c r="B4072">
        <v>4</v>
      </c>
      <c r="C4072">
        <v>249</v>
      </c>
      <c r="D4072" t="str">
        <f>VLOOKUP(B4072, Products!$A$2:$C$100, 2, FALSE)</f>
        <v>Trek Fuel EX 8 29 - 2016</v>
      </c>
      <c r="E4072">
        <v>1</v>
      </c>
      <c r="F4072">
        <v>749.99</v>
      </c>
      <c r="G4072">
        <v>0.05</v>
      </c>
      <c r="H4072">
        <v>37.499500000000005</v>
      </c>
      <c r="I4072">
        <f>order_items[[#This Row],[list_price]]-order_items[[#This Row],[Discounted_price]]</f>
        <v>712.4905</v>
      </c>
      <c r="J4072">
        <f>VLOOKUP(B4072, Products!$A$2:$E$100, 3, FALSE)</f>
        <v>9</v>
      </c>
      <c r="K4072">
        <f>VLOOKUP(B4072, Products!$A$2:$F$100, 4, FALSE)</f>
        <v>6</v>
      </c>
    </row>
    <row r="4073" spans="1:11" x14ac:dyDescent="0.3">
      <c r="A4073">
        <v>1397</v>
      </c>
      <c r="B4073">
        <v>5</v>
      </c>
      <c r="C4073">
        <v>78</v>
      </c>
      <c r="D4073" t="str">
        <f>VLOOKUP(B4073, Products!$A$2:$C$100, 2, FALSE)</f>
        <v>Heller Shagamaw Frame - 2016</v>
      </c>
      <c r="E4073">
        <v>2</v>
      </c>
      <c r="F4073">
        <v>647.99</v>
      </c>
      <c r="G4073">
        <v>0.1</v>
      </c>
      <c r="H4073">
        <v>64.799000000000007</v>
      </c>
      <c r="I4073">
        <f>order_items[[#This Row],[list_price]]-order_items[[#This Row],[Discounted_price]]</f>
        <v>583.19100000000003</v>
      </c>
      <c r="J4073">
        <f>VLOOKUP(B4073, Products!$A$2:$E$100, 3, FALSE)</f>
        <v>3</v>
      </c>
      <c r="K4073">
        <f>VLOOKUP(B4073, Products!$A$2:$F$100, 4, FALSE)</f>
        <v>6</v>
      </c>
    </row>
    <row r="4074" spans="1:11" x14ac:dyDescent="0.3">
      <c r="A4074">
        <v>1398</v>
      </c>
      <c r="B4074">
        <v>1</v>
      </c>
      <c r="C4074">
        <v>69</v>
      </c>
      <c r="D4074" t="str">
        <f>VLOOKUP(B4074, Products!$A$2:$C$100, 2, FALSE)</f>
        <v>Trek 820 - 2016</v>
      </c>
      <c r="E4074">
        <v>2</v>
      </c>
      <c r="F4074">
        <v>416.99</v>
      </c>
      <c r="G4074">
        <v>0.05</v>
      </c>
      <c r="H4074">
        <v>20.849500000000003</v>
      </c>
      <c r="I4074">
        <f>order_items[[#This Row],[list_price]]-order_items[[#This Row],[Discounted_price]]</f>
        <v>396.14050000000003</v>
      </c>
      <c r="J4074">
        <f>VLOOKUP(B4074, Products!$A$2:$E$100, 3, FALSE)</f>
        <v>9</v>
      </c>
      <c r="K4074">
        <f>VLOOKUP(B4074, Products!$A$2:$F$100, 4, FALSE)</f>
        <v>6</v>
      </c>
    </row>
    <row r="4075" spans="1:11" x14ac:dyDescent="0.3">
      <c r="A4075">
        <v>1398</v>
      </c>
      <c r="B4075">
        <v>2</v>
      </c>
      <c r="C4075">
        <v>53</v>
      </c>
      <c r="D4075" t="str">
        <f>VLOOKUP(B4075, Products!$A$2:$C$100, 2, FALSE)</f>
        <v>Ritchey Timberwolf Frameset - 2016</v>
      </c>
      <c r="E4075">
        <v>1</v>
      </c>
      <c r="F4075">
        <v>749.99</v>
      </c>
      <c r="G4075">
        <v>0.2</v>
      </c>
      <c r="H4075">
        <v>149.99800000000002</v>
      </c>
      <c r="I4075">
        <f>order_items[[#This Row],[list_price]]-order_items[[#This Row],[Discounted_price]]</f>
        <v>599.99199999999996</v>
      </c>
      <c r="J4075">
        <f>VLOOKUP(B4075, Products!$A$2:$E$100, 3, FALSE)</f>
        <v>5</v>
      </c>
      <c r="K4075">
        <f>VLOOKUP(B4075, Products!$A$2:$F$100, 4, FALSE)</f>
        <v>6</v>
      </c>
    </row>
    <row r="4076" spans="1:11" x14ac:dyDescent="0.3">
      <c r="A4076">
        <v>1399</v>
      </c>
      <c r="B4076">
        <v>1</v>
      </c>
      <c r="C4076">
        <v>210</v>
      </c>
      <c r="D4076" t="str">
        <f>VLOOKUP(B4076, Products!$A$2:$C$100, 2, FALSE)</f>
        <v>Trek 820 - 2016</v>
      </c>
      <c r="E4076">
        <v>2</v>
      </c>
      <c r="F4076">
        <v>1549</v>
      </c>
      <c r="G4076">
        <v>0.2</v>
      </c>
      <c r="H4076">
        <v>309.8</v>
      </c>
      <c r="I4076">
        <f>order_items[[#This Row],[list_price]]-order_items[[#This Row],[Discounted_price]]</f>
        <v>1239.2</v>
      </c>
      <c r="J4076">
        <f>VLOOKUP(B4076, Products!$A$2:$E$100, 3, FALSE)</f>
        <v>9</v>
      </c>
      <c r="K4076">
        <f>VLOOKUP(B4076, Products!$A$2:$F$100, 4, FALSE)</f>
        <v>6</v>
      </c>
    </row>
    <row r="4077" spans="1:11" x14ac:dyDescent="0.3">
      <c r="A4077">
        <v>1399</v>
      </c>
      <c r="B4077">
        <v>2</v>
      </c>
      <c r="C4077">
        <v>224</v>
      </c>
      <c r="D4077" t="str">
        <f>VLOOKUP(B4077, Products!$A$2:$C$100, 2, FALSE)</f>
        <v>Ritchey Timberwolf Frameset - 2016</v>
      </c>
      <c r="E4077">
        <v>1</v>
      </c>
      <c r="F4077">
        <v>479.99</v>
      </c>
      <c r="G4077">
        <v>0.05</v>
      </c>
      <c r="H4077">
        <v>23.999500000000001</v>
      </c>
      <c r="I4077">
        <f>order_items[[#This Row],[list_price]]-order_items[[#This Row],[Discounted_price]]</f>
        <v>455.9905</v>
      </c>
      <c r="J4077">
        <f>VLOOKUP(B4077, Products!$A$2:$E$100, 3, FALSE)</f>
        <v>5</v>
      </c>
      <c r="K4077">
        <f>VLOOKUP(B4077, Products!$A$2:$F$100, 4, FALSE)</f>
        <v>6</v>
      </c>
    </row>
    <row r="4078" spans="1:11" x14ac:dyDescent="0.3">
      <c r="A4078">
        <v>1399</v>
      </c>
      <c r="B4078">
        <v>3</v>
      </c>
      <c r="C4078">
        <v>127</v>
      </c>
      <c r="D4078" t="str">
        <f>VLOOKUP(B4078, Products!$A$2:$C$100, 2, FALSE)</f>
        <v>Surly Wednesday Frameset - 2016</v>
      </c>
      <c r="E4078">
        <v>2</v>
      </c>
      <c r="F4078">
        <v>469.99</v>
      </c>
      <c r="G4078">
        <v>7.0000000000000007E-2</v>
      </c>
      <c r="H4078">
        <v>32.899300000000004</v>
      </c>
      <c r="I4078">
        <f>order_items[[#This Row],[list_price]]-order_items[[#This Row],[Discounted_price]]</f>
        <v>437.09070000000003</v>
      </c>
      <c r="J4078">
        <f>VLOOKUP(B4078, Products!$A$2:$E$100, 3, FALSE)</f>
        <v>8</v>
      </c>
      <c r="K4078">
        <f>VLOOKUP(B4078, Products!$A$2:$F$100, 4, FALSE)</f>
        <v>6</v>
      </c>
    </row>
    <row r="4079" spans="1:11" x14ac:dyDescent="0.3">
      <c r="A4079">
        <v>1399</v>
      </c>
      <c r="B4079">
        <v>4</v>
      </c>
      <c r="C4079">
        <v>28</v>
      </c>
      <c r="D4079" t="str">
        <f>VLOOKUP(B4079, Products!$A$2:$C$100, 2, FALSE)</f>
        <v>Trek Fuel EX 8 29 - 2016</v>
      </c>
      <c r="E4079">
        <v>1</v>
      </c>
      <c r="F4079">
        <v>2499.9899999999998</v>
      </c>
      <c r="G4079">
        <v>0.05</v>
      </c>
      <c r="H4079">
        <v>124.9995</v>
      </c>
      <c r="I4079">
        <f>order_items[[#This Row],[list_price]]-order_items[[#This Row],[Discounted_price]]</f>
        <v>2374.9904999999999</v>
      </c>
      <c r="J4079">
        <f>VLOOKUP(B4079, Products!$A$2:$E$100, 3, FALSE)</f>
        <v>9</v>
      </c>
      <c r="K4079">
        <f>VLOOKUP(B4079, Products!$A$2:$F$100, 4, FALSE)</f>
        <v>6</v>
      </c>
    </row>
    <row r="4080" spans="1:11" x14ac:dyDescent="0.3">
      <c r="A4080">
        <v>1400</v>
      </c>
      <c r="B4080">
        <v>1</v>
      </c>
      <c r="C4080">
        <v>24</v>
      </c>
      <c r="D4080" t="str">
        <f>VLOOKUP(B4080, Products!$A$2:$C$100, 2, FALSE)</f>
        <v>Trek 820 - 2016</v>
      </c>
      <c r="E4080">
        <v>2</v>
      </c>
      <c r="F4080">
        <v>549.99</v>
      </c>
      <c r="G4080">
        <v>0.2</v>
      </c>
      <c r="H4080">
        <v>109.998</v>
      </c>
      <c r="I4080">
        <f>order_items[[#This Row],[list_price]]-order_items[[#This Row],[Discounted_price]]</f>
        <v>439.99200000000002</v>
      </c>
      <c r="J4080">
        <f>VLOOKUP(B4080, Products!$A$2:$E$100, 3, FALSE)</f>
        <v>9</v>
      </c>
      <c r="K4080">
        <f>VLOOKUP(B4080, Products!$A$2:$F$100, 4, FALSE)</f>
        <v>6</v>
      </c>
    </row>
    <row r="4081" spans="1:11" x14ac:dyDescent="0.3">
      <c r="A4081">
        <v>1400</v>
      </c>
      <c r="B4081">
        <v>2</v>
      </c>
      <c r="C4081">
        <v>217</v>
      </c>
      <c r="D4081" t="str">
        <f>VLOOKUP(B4081, Products!$A$2:$C$100, 2, FALSE)</f>
        <v>Ritchey Timberwolf Frameset - 2016</v>
      </c>
      <c r="E4081">
        <v>2</v>
      </c>
      <c r="F4081">
        <v>909.99</v>
      </c>
      <c r="G4081">
        <v>0.2</v>
      </c>
      <c r="H4081">
        <v>181.99800000000002</v>
      </c>
      <c r="I4081">
        <f>order_items[[#This Row],[list_price]]-order_items[[#This Row],[Discounted_price]]</f>
        <v>727.99199999999996</v>
      </c>
      <c r="J4081">
        <f>VLOOKUP(B4081, Products!$A$2:$E$100, 3, FALSE)</f>
        <v>5</v>
      </c>
      <c r="K4081">
        <f>VLOOKUP(B4081, Products!$A$2:$F$100, 4, FALSE)</f>
        <v>6</v>
      </c>
    </row>
    <row r="4082" spans="1:11" x14ac:dyDescent="0.3">
      <c r="A4082">
        <v>1400</v>
      </c>
      <c r="B4082">
        <v>3</v>
      </c>
      <c r="C4082">
        <v>275</v>
      </c>
      <c r="D4082" t="str">
        <f>VLOOKUP(B4082, Products!$A$2:$C$100, 2, FALSE)</f>
        <v>Surly Wednesday Frameset - 2016</v>
      </c>
      <c r="E4082">
        <v>1</v>
      </c>
      <c r="F4082">
        <v>229.99</v>
      </c>
      <c r="G4082">
        <v>0.1</v>
      </c>
      <c r="H4082">
        <v>22.999000000000002</v>
      </c>
      <c r="I4082">
        <f>order_items[[#This Row],[list_price]]-order_items[[#This Row],[Discounted_price]]</f>
        <v>206.99100000000001</v>
      </c>
      <c r="J4082">
        <f>VLOOKUP(B4082, Products!$A$2:$E$100, 3, FALSE)</f>
        <v>8</v>
      </c>
      <c r="K4082">
        <f>VLOOKUP(B4082, Products!$A$2:$F$100, 4, FALSE)</f>
        <v>6</v>
      </c>
    </row>
    <row r="4083" spans="1:11" x14ac:dyDescent="0.3">
      <c r="A4083">
        <v>1400</v>
      </c>
      <c r="B4083">
        <v>4</v>
      </c>
      <c r="C4083">
        <v>90</v>
      </c>
      <c r="D4083" t="str">
        <f>VLOOKUP(B4083, Products!$A$2:$C$100, 2, FALSE)</f>
        <v>Trek Fuel EX 8 29 - 2016</v>
      </c>
      <c r="E4083">
        <v>1</v>
      </c>
      <c r="F4083">
        <v>209.99</v>
      </c>
      <c r="G4083">
        <v>7.0000000000000007E-2</v>
      </c>
      <c r="H4083">
        <v>14.699300000000003</v>
      </c>
      <c r="I4083">
        <f>order_items[[#This Row],[list_price]]-order_items[[#This Row],[Discounted_price]]</f>
        <v>195.29070000000002</v>
      </c>
      <c r="J4083">
        <f>VLOOKUP(B4083, Products!$A$2:$E$100, 3, FALSE)</f>
        <v>9</v>
      </c>
      <c r="K4083">
        <f>VLOOKUP(B4083, Products!$A$2:$F$100, 4, FALSE)</f>
        <v>6</v>
      </c>
    </row>
    <row r="4084" spans="1:11" x14ac:dyDescent="0.3">
      <c r="A4084">
        <v>1401</v>
      </c>
      <c r="B4084">
        <v>1</v>
      </c>
      <c r="C4084">
        <v>112</v>
      </c>
      <c r="D4084" t="str">
        <f>VLOOKUP(B4084, Products!$A$2:$C$100, 2, FALSE)</f>
        <v>Trek 820 - 2016</v>
      </c>
      <c r="E4084">
        <v>1</v>
      </c>
      <c r="F4084">
        <v>379.99</v>
      </c>
      <c r="G4084">
        <v>7.0000000000000007E-2</v>
      </c>
      <c r="H4084">
        <v>26.599300000000003</v>
      </c>
      <c r="I4084">
        <f>order_items[[#This Row],[list_price]]-order_items[[#This Row],[Discounted_price]]</f>
        <v>353.39069999999998</v>
      </c>
      <c r="J4084">
        <f>VLOOKUP(B4084, Products!$A$2:$E$100, 3, FALSE)</f>
        <v>9</v>
      </c>
      <c r="K4084">
        <f>VLOOKUP(B4084, Products!$A$2:$F$100, 4, FALSE)</f>
        <v>6</v>
      </c>
    </row>
    <row r="4085" spans="1:11" x14ac:dyDescent="0.3">
      <c r="A4085">
        <v>1401</v>
      </c>
      <c r="B4085">
        <v>2</v>
      </c>
      <c r="C4085">
        <v>230</v>
      </c>
      <c r="D4085" t="str">
        <f>VLOOKUP(B4085, Products!$A$2:$C$100, 2, FALSE)</f>
        <v>Ritchey Timberwolf Frameset - 2016</v>
      </c>
      <c r="E4085">
        <v>1</v>
      </c>
      <c r="F4085">
        <v>429.99</v>
      </c>
      <c r="G4085">
        <v>0.05</v>
      </c>
      <c r="H4085">
        <v>21.499500000000001</v>
      </c>
      <c r="I4085">
        <f>order_items[[#This Row],[list_price]]-order_items[[#This Row],[Discounted_price]]</f>
        <v>408.4905</v>
      </c>
      <c r="J4085">
        <f>VLOOKUP(B4085, Products!$A$2:$E$100, 3, FALSE)</f>
        <v>5</v>
      </c>
      <c r="K4085">
        <f>VLOOKUP(B4085, Products!$A$2:$F$100, 4, FALSE)</f>
        <v>6</v>
      </c>
    </row>
    <row r="4086" spans="1:11" x14ac:dyDescent="0.3">
      <c r="A4086">
        <v>1401</v>
      </c>
      <c r="B4086">
        <v>3</v>
      </c>
      <c r="C4086">
        <v>254</v>
      </c>
      <c r="D4086" t="str">
        <f>VLOOKUP(B4086, Products!$A$2:$C$100, 2, FALSE)</f>
        <v>Surly Wednesday Frameset - 2016</v>
      </c>
      <c r="E4086">
        <v>2</v>
      </c>
      <c r="F4086">
        <v>749.99</v>
      </c>
      <c r="G4086">
        <v>0.2</v>
      </c>
      <c r="H4086">
        <v>149.99800000000002</v>
      </c>
      <c r="I4086">
        <f>order_items[[#This Row],[list_price]]-order_items[[#This Row],[Discounted_price]]</f>
        <v>599.99199999999996</v>
      </c>
      <c r="J4086">
        <f>VLOOKUP(B4086, Products!$A$2:$E$100, 3, FALSE)</f>
        <v>8</v>
      </c>
      <c r="K4086">
        <f>VLOOKUP(B4086, Products!$A$2:$F$100, 4, FALSE)</f>
        <v>6</v>
      </c>
    </row>
    <row r="4087" spans="1:11" x14ac:dyDescent="0.3">
      <c r="A4087">
        <v>1402</v>
      </c>
      <c r="B4087">
        <v>1</v>
      </c>
      <c r="C4087">
        <v>189</v>
      </c>
      <c r="D4087" t="str">
        <f>VLOOKUP(B4087, Products!$A$2:$C$100, 2, FALSE)</f>
        <v>Trek 820 - 2016</v>
      </c>
      <c r="E4087">
        <v>2</v>
      </c>
      <c r="F4087">
        <v>2799.99</v>
      </c>
      <c r="G4087">
        <v>0.2</v>
      </c>
      <c r="H4087">
        <v>559.99799999999993</v>
      </c>
      <c r="I4087">
        <f>order_items[[#This Row],[list_price]]-order_items[[#This Row],[Discounted_price]]</f>
        <v>2239.9919999999997</v>
      </c>
      <c r="J4087">
        <f>VLOOKUP(B4087, Products!$A$2:$E$100, 3, FALSE)</f>
        <v>9</v>
      </c>
      <c r="K4087">
        <f>VLOOKUP(B4087, Products!$A$2:$F$100, 4, FALSE)</f>
        <v>6</v>
      </c>
    </row>
    <row r="4088" spans="1:11" x14ac:dyDescent="0.3">
      <c r="A4088">
        <v>1402</v>
      </c>
      <c r="B4088">
        <v>2</v>
      </c>
      <c r="C4088">
        <v>28</v>
      </c>
      <c r="D4088" t="str">
        <f>VLOOKUP(B4088, Products!$A$2:$C$100, 2, FALSE)</f>
        <v>Ritchey Timberwolf Frameset - 2016</v>
      </c>
      <c r="E4088">
        <v>2</v>
      </c>
      <c r="F4088">
        <v>2499.9899999999998</v>
      </c>
      <c r="G4088">
        <v>0.05</v>
      </c>
      <c r="H4088">
        <v>124.9995</v>
      </c>
      <c r="I4088">
        <f>order_items[[#This Row],[list_price]]-order_items[[#This Row],[Discounted_price]]</f>
        <v>2374.9904999999999</v>
      </c>
      <c r="J4088">
        <f>VLOOKUP(B4088, Products!$A$2:$E$100, 3, FALSE)</f>
        <v>5</v>
      </c>
      <c r="K4088">
        <f>VLOOKUP(B4088, Products!$A$2:$F$100, 4, FALSE)</f>
        <v>6</v>
      </c>
    </row>
    <row r="4089" spans="1:11" x14ac:dyDescent="0.3">
      <c r="A4089">
        <v>1402</v>
      </c>
      <c r="B4089">
        <v>3</v>
      </c>
      <c r="C4089">
        <v>203</v>
      </c>
      <c r="D4089" t="str">
        <f>VLOOKUP(B4089, Products!$A$2:$C$100, 2, FALSE)</f>
        <v>Surly Wednesday Frameset - 2016</v>
      </c>
      <c r="E4089">
        <v>1</v>
      </c>
      <c r="F4089">
        <v>4999.99</v>
      </c>
      <c r="G4089">
        <v>0.05</v>
      </c>
      <c r="H4089">
        <v>249.99950000000001</v>
      </c>
      <c r="I4089">
        <f>order_items[[#This Row],[list_price]]-order_items[[#This Row],[Discounted_price]]</f>
        <v>4749.9904999999999</v>
      </c>
      <c r="J4089">
        <f>VLOOKUP(B4089, Products!$A$2:$E$100, 3, FALSE)</f>
        <v>8</v>
      </c>
      <c r="K4089">
        <f>VLOOKUP(B4089, Products!$A$2:$F$100, 4, FALSE)</f>
        <v>6</v>
      </c>
    </row>
    <row r="4090" spans="1:11" x14ac:dyDescent="0.3">
      <c r="A4090">
        <v>1402</v>
      </c>
      <c r="B4090">
        <v>4</v>
      </c>
      <c r="C4090">
        <v>273</v>
      </c>
      <c r="D4090" t="str">
        <f>VLOOKUP(B4090, Products!$A$2:$C$100, 2, FALSE)</f>
        <v>Trek Fuel EX 8 29 - 2016</v>
      </c>
      <c r="E4090">
        <v>1</v>
      </c>
      <c r="F4090">
        <v>289.99</v>
      </c>
      <c r="G4090">
        <v>7.0000000000000007E-2</v>
      </c>
      <c r="H4090">
        <v>20.299300000000002</v>
      </c>
      <c r="I4090">
        <f>order_items[[#This Row],[list_price]]-order_items[[#This Row],[Discounted_price]]</f>
        <v>269.69069999999999</v>
      </c>
      <c r="J4090">
        <f>VLOOKUP(B4090, Products!$A$2:$E$100, 3, FALSE)</f>
        <v>9</v>
      </c>
      <c r="K4090">
        <f>VLOOKUP(B4090, Products!$A$2:$F$100, 4, FALSE)</f>
        <v>6</v>
      </c>
    </row>
    <row r="4091" spans="1:11" x14ac:dyDescent="0.3">
      <c r="A4091">
        <v>1403</v>
      </c>
      <c r="B4091">
        <v>1</v>
      </c>
      <c r="C4091">
        <v>93</v>
      </c>
      <c r="D4091" t="str">
        <f>VLOOKUP(B4091, Products!$A$2:$C$100, 2, FALSE)</f>
        <v>Trek 820 - 2016</v>
      </c>
      <c r="E4091">
        <v>2</v>
      </c>
      <c r="F4091">
        <v>209.99</v>
      </c>
      <c r="G4091">
        <v>0.1</v>
      </c>
      <c r="H4091">
        <v>20.999000000000002</v>
      </c>
      <c r="I4091">
        <f>order_items[[#This Row],[list_price]]-order_items[[#This Row],[Discounted_price]]</f>
        <v>188.99100000000001</v>
      </c>
      <c r="J4091">
        <f>VLOOKUP(B4091, Products!$A$2:$E$100, 3, FALSE)</f>
        <v>9</v>
      </c>
      <c r="K4091">
        <f>VLOOKUP(B4091, Products!$A$2:$F$100, 4, FALSE)</f>
        <v>6</v>
      </c>
    </row>
    <row r="4092" spans="1:11" x14ac:dyDescent="0.3">
      <c r="A4092">
        <v>1404</v>
      </c>
      <c r="B4092">
        <v>1</v>
      </c>
      <c r="C4092">
        <v>112</v>
      </c>
      <c r="D4092" t="str">
        <f>VLOOKUP(B4092, Products!$A$2:$C$100, 2, FALSE)</f>
        <v>Trek 820 - 2016</v>
      </c>
      <c r="E4092">
        <v>2</v>
      </c>
      <c r="F4092">
        <v>379.99</v>
      </c>
      <c r="G4092">
        <v>0.05</v>
      </c>
      <c r="H4092">
        <v>18.999500000000001</v>
      </c>
      <c r="I4092">
        <f>order_items[[#This Row],[list_price]]-order_items[[#This Row],[Discounted_price]]</f>
        <v>360.9905</v>
      </c>
      <c r="J4092">
        <f>VLOOKUP(B4092, Products!$A$2:$E$100, 3, FALSE)</f>
        <v>9</v>
      </c>
      <c r="K4092">
        <f>VLOOKUP(B4092, Products!$A$2:$F$100, 4, FALSE)</f>
        <v>6</v>
      </c>
    </row>
    <row r="4093" spans="1:11" x14ac:dyDescent="0.3">
      <c r="A4093">
        <v>1404</v>
      </c>
      <c r="B4093">
        <v>2</v>
      </c>
      <c r="C4093">
        <v>220</v>
      </c>
      <c r="D4093" t="str">
        <f>VLOOKUP(B4093, Products!$A$2:$C$100, 2, FALSE)</f>
        <v>Ritchey Timberwolf Frameset - 2016</v>
      </c>
      <c r="E4093">
        <v>1</v>
      </c>
      <c r="F4093">
        <v>269.99</v>
      </c>
      <c r="G4093">
        <v>0.1</v>
      </c>
      <c r="H4093">
        <v>26.999000000000002</v>
      </c>
      <c r="I4093">
        <f>order_items[[#This Row],[list_price]]-order_items[[#This Row],[Discounted_price]]</f>
        <v>242.99100000000001</v>
      </c>
      <c r="J4093">
        <f>VLOOKUP(B4093, Products!$A$2:$E$100, 3, FALSE)</f>
        <v>5</v>
      </c>
      <c r="K4093">
        <f>VLOOKUP(B4093, Products!$A$2:$F$100, 4, FALSE)</f>
        <v>6</v>
      </c>
    </row>
    <row r="4094" spans="1:11" x14ac:dyDescent="0.3">
      <c r="A4094">
        <v>1404</v>
      </c>
      <c r="B4094">
        <v>3</v>
      </c>
      <c r="C4094">
        <v>193</v>
      </c>
      <c r="D4094" t="str">
        <f>VLOOKUP(B4094, Products!$A$2:$C$100, 2, FALSE)</f>
        <v>Surly Wednesday Frameset - 2016</v>
      </c>
      <c r="E4094">
        <v>2</v>
      </c>
      <c r="F4094">
        <v>2799.99</v>
      </c>
      <c r="G4094">
        <v>0.2</v>
      </c>
      <c r="H4094">
        <v>559.99799999999993</v>
      </c>
      <c r="I4094">
        <f>order_items[[#This Row],[list_price]]-order_items[[#This Row],[Discounted_price]]</f>
        <v>2239.9919999999997</v>
      </c>
      <c r="J4094">
        <f>VLOOKUP(B4094, Products!$A$2:$E$100, 3, FALSE)</f>
        <v>8</v>
      </c>
      <c r="K4094">
        <f>VLOOKUP(B4094, Products!$A$2:$F$100, 4, FALSE)</f>
        <v>6</v>
      </c>
    </row>
    <row r="4095" spans="1:11" x14ac:dyDescent="0.3">
      <c r="A4095">
        <v>1405</v>
      </c>
      <c r="B4095">
        <v>1</v>
      </c>
      <c r="C4095">
        <v>162</v>
      </c>
      <c r="D4095" t="str">
        <f>VLOOKUP(B4095, Products!$A$2:$C$100, 2, FALSE)</f>
        <v>Trek 820 - 2016</v>
      </c>
      <c r="E4095">
        <v>2</v>
      </c>
      <c r="F4095">
        <v>2999.99</v>
      </c>
      <c r="G4095">
        <v>0.1</v>
      </c>
      <c r="H4095">
        <v>299.99899999999997</v>
      </c>
      <c r="I4095">
        <f>order_items[[#This Row],[list_price]]-order_items[[#This Row],[Discounted_price]]</f>
        <v>2699.991</v>
      </c>
      <c r="J4095">
        <f>VLOOKUP(B4095, Products!$A$2:$E$100, 3, FALSE)</f>
        <v>9</v>
      </c>
      <c r="K4095">
        <f>VLOOKUP(B4095, Products!$A$2:$F$100, 4, FALSE)</f>
        <v>6</v>
      </c>
    </row>
    <row r="4096" spans="1:11" x14ac:dyDescent="0.3">
      <c r="A4096">
        <v>1406</v>
      </c>
      <c r="B4096">
        <v>1</v>
      </c>
      <c r="C4096">
        <v>230</v>
      </c>
      <c r="D4096" t="str">
        <f>VLOOKUP(B4096, Products!$A$2:$C$100, 2, FALSE)</f>
        <v>Trek 820 - 2016</v>
      </c>
      <c r="E4096">
        <v>2</v>
      </c>
      <c r="F4096">
        <v>429.99</v>
      </c>
      <c r="G4096">
        <v>0.05</v>
      </c>
      <c r="H4096">
        <v>21.499500000000001</v>
      </c>
      <c r="I4096">
        <f>order_items[[#This Row],[list_price]]-order_items[[#This Row],[Discounted_price]]</f>
        <v>408.4905</v>
      </c>
      <c r="J4096">
        <f>VLOOKUP(B4096, Products!$A$2:$E$100, 3, FALSE)</f>
        <v>9</v>
      </c>
      <c r="K4096">
        <f>VLOOKUP(B4096, Products!$A$2:$F$100, 4, FALSE)</f>
        <v>6</v>
      </c>
    </row>
    <row r="4097" spans="1:11" x14ac:dyDescent="0.3">
      <c r="A4097">
        <v>1406</v>
      </c>
      <c r="B4097">
        <v>2</v>
      </c>
      <c r="C4097">
        <v>113</v>
      </c>
      <c r="D4097" t="str">
        <f>VLOOKUP(B4097, Products!$A$2:$C$100, 2, FALSE)</f>
        <v>Ritchey Timberwolf Frameset - 2016</v>
      </c>
      <c r="E4097">
        <v>1</v>
      </c>
      <c r="F4097">
        <v>489.99</v>
      </c>
      <c r="G4097">
        <v>0.1</v>
      </c>
      <c r="H4097">
        <v>48.999000000000002</v>
      </c>
      <c r="I4097">
        <f>order_items[[#This Row],[list_price]]-order_items[[#This Row],[Discounted_price]]</f>
        <v>440.99099999999999</v>
      </c>
      <c r="J4097">
        <f>VLOOKUP(B4097, Products!$A$2:$E$100, 3, FALSE)</f>
        <v>5</v>
      </c>
      <c r="K4097">
        <f>VLOOKUP(B4097, Products!$A$2:$F$100, 4, FALSE)</f>
        <v>6</v>
      </c>
    </row>
    <row r="4098" spans="1:11" x14ac:dyDescent="0.3">
      <c r="A4098">
        <v>1407</v>
      </c>
      <c r="B4098">
        <v>1</v>
      </c>
      <c r="C4098">
        <v>300</v>
      </c>
      <c r="D4098" t="str">
        <f>VLOOKUP(B4098, Products!$A$2:$C$100, 2, FALSE)</f>
        <v>Trek 820 - 2016</v>
      </c>
      <c r="E4098">
        <v>1</v>
      </c>
      <c r="F4098">
        <v>799.99</v>
      </c>
      <c r="G4098">
        <v>0.05</v>
      </c>
      <c r="H4098">
        <v>39.999500000000005</v>
      </c>
      <c r="I4098">
        <f>order_items[[#This Row],[list_price]]-order_items[[#This Row],[Discounted_price]]</f>
        <v>759.9905</v>
      </c>
      <c r="J4098">
        <f>VLOOKUP(B4098, Products!$A$2:$E$100, 3, FALSE)</f>
        <v>9</v>
      </c>
      <c r="K4098">
        <f>VLOOKUP(B4098, Products!$A$2:$F$100, 4, FALSE)</f>
        <v>6</v>
      </c>
    </row>
    <row r="4099" spans="1:11" x14ac:dyDescent="0.3">
      <c r="A4099">
        <v>1407</v>
      </c>
      <c r="B4099">
        <v>2</v>
      </c>
      <c r="C4099">
        <v>36</v>
      </c>
      <c r="D4099" t="str">
        <f>VLOOKUP(B4099, Products!$A$2:$C$100, 2, FALSE)</f>
        <v>Ritchey Timberwolf Frameset - 2016</v>
      </c>
      <c r="E4099">
        <v>2</v>
      </c>
      <c r="F4099">
        <v>832.99</v>
      </c>
      <c r="G4099">
        <v>0.1</v>
      </c>
      <c r="H4099">
        <v>83.299000000000007</v>
      </c>
      <c r="I4099">
        <f>order_items[[#This Row],[list_price]]-order_items[[#This Row],[Discounted_price]]</f>
        <v>749.69100000000003</v>
      </c>
      <c r="J4099">
        <f>VLOOKUP(B4099, Products!$A$2:$E$100, 3, FALSE)</f>
        <v>5</v>
      </c>
      <c r="K4099">
        <f>VLOOKUP(B4099, Products!$A$2:$F$100, 4, FALSE)</f>
        <v>6</v>
      </c>
    </row>
    <row r="4100" spans="1:11" x14ac:dyDescent="0.3">
      <c r="A4100">
        <v>1407</v>
      </c>
      <c r="B4100">
        <v>3</v>
      </c>
      <c r="C4100">
        <v>266</v>
      </c>
      <c r="D4100" t="str">
        <f>VLOOKUP(B4100, Products!$A$2:$C$100, 2, FALSE)</f>
        <v>Surly Wednesday Frameset - 2016</v>
      </c>
      <c r="E4100">
        <v>1</v>
      </c>
      <c r="F4100">
        <v>399.99</v>
      </c>
      <c r="G4100">
        <v>0.1</v>
      </c>
      <c r="H4100">
        <v>39.999000000000002</v>
      </c>
      <c r="I4100">
        <f>order_items[[#This Row],[list_price]]-order_items[[#This Row],[Discounted_price]]</f>
        <v>359.99099999999999</v>
      </c>
      <c r="J4100">
        <f>VLOOKUP(B4100, Products!$A$2:$E$100, 3, FALSE)</f>
        <v>8</v>
      </c>
      <c r="K4100">
        <f>VLOOKUP(B4100, Products!$A$2:$F$100, 4, FALSE)</f>
        <v>6</v>
      </c>
    </row>
    <row r="4101" spans="1:11" x14ac:dyDescent="0.3">
      <c r="A4101">
        <v>1407</v>
      </c>
      <c r="B4101">
        <v>4</v>
      </c>
      <c r="C4101">
        <v>35</v>
      </c>
      <c r="D4101" t="str">
        <f>VLOOKUP(B4101, Products!$A$2:$C$100, 2, FALSE)</f>
        <v>Trek Fuel EX 8 29 - 2016</v>
      </c>
      <c r="E4101">
        <v>1</v>
      </c>
      <c r="F4101">
        <v>832.99</v>
      </c>
      <c r="G4101">
        <v>0.2</v>
      </c>
      <c r="H4101">
        <v>166.59800000000001</v>
      </c>
      <c r="I4101">
        <f>order_items[[#This Row],[list_price]]-order_items[[#This Row],[Discounted_price]]</f>
        <v>666.39200000000005</v>
      </c>
      <c r="J4101">
        <f>VLOOKUP(B4101, Products!$A$2:$E$100, 3, FALSE)</f>
        <v>9</v>
      </c>
      <c r="K4101">
        <f>VLOOKUP(B4101, Products!$A$2:$F$100, 4, FALSE)</f>
        <v>6</v>
      </c>
    </row>
    <row r="4102" spans="1:11" x14ac:dyDescent="0.3">
      <c r="A4102">
        <v>1408</v>
      </c>
      <c r="B4102">
        <v>1</v>
      </c>
      <c r="C4102">
        <v>23</v>
      </c>
      <c r="D4102" t="str">
        <f>VLOOKUP(B4102, Products!$A$2:$C$100, 2, FALSE)</f>
        <v>Trek 820 - 2016</v>
      </c>
      <c r="E4102">
        <v>2</v>
      </c>
      <c r="F4102">
        <v>299.99</v>
      </c>
      <c r="G4102">
        <v>0.2</v>
      </c>
      <c r="H4102">
        <v>59.998000000000005</v>
      </c>
      <c r="I4102">
        <f>order_items[[#This Row],[list_price]]-order_items[[#This Row],[Discounted_price]]</f>
        <v>239.99200000000002</v>
      </c>
      <c r="J4102">
        <f>VLOOKUP(B4102, Products!$A$2:$E$100, 3, FALSE)</f>
        <v>9</v>
      </c>
      <c r="K4102">
        <f>VLOOKUP(B4102, Products!$A$2:$F$100, 4, FALSE)</f>
        <v>6</v>
      </c>
    </row>
    <row r="4103" spans="1:11" x14ac:dyDescent="0.3">
      <c r="A4103">
        <v>1408</v>
      </c>
      <c r="B4103">
        <v>2</v>
      </c>
      <c r="C4103">
        <v>166</v>
      </c>
      <c r="D4103" t="str">
        <f>VLOOKUP(B4103, Products!$A$2:$C$100, 2, FALSE)</f>
        <v>Ritchey Timberwolf Frameset - 2016</v>
      </c>
      <c r="E4103">
        <v>1</v>
      </c>
      <c r="F4103">
        <v>749.99</v>
      </c>
      <c r="G4103">
        <v>0.2</v>
      </c>
      <c r="H4103">
        <v>149.99800000000002</v>
      </c>
      <c r="I4103">
        <f>order_items[[#This Row],[list_price]]-order_items[[#This Row],[Discounted_price]]</f>
        <v>599.99199999999996</v>
      </c>
      <c r="J4103">
        <f>VLOOKUP(B4103, Products!$A$2:$E$100, 3, FALSE)</f>
        <v>5</v>
      </c>
      <c r="K4103">
        <f>VLOOKUP(B4103, Products!$A$2:$F$100, 4, FALSE)</f>
        <v>6</v>
      </c>
    </row>
    <row r="4104" spans="1:11" x14ac:dyDescent="0.3">
      <c r="A4104">
        <v>1408</v>
      </c>
      <c r="B4104">
        <v>3</v>
      </c>
      <c r="C4104">
        <v>114</v>
      </c>
      <c r="D4104" t="str">
        <f>VLOOKUP(B4104, Products!$A$2:$C$100, 2, FALSE)</f>
        <v>Surly Wednesday Frameset - 2016</v>
      </c>
      <c r="E4104">
        <v>1</v>
      </c>
      <c r="F4104">
        <v>579.99</v>
      </c>
      <c r="G4104">
        <v>7.0000000000000007E-2</v>
      </c>
      <c r="H4104">
        <v>40.599300000000007</v>
      </c>
      <c r="I4104">
        <f>order_items[[#This Row],[list_price]]-order_items[[#This Row],[Discounted_price]]</f>
        <v>539.39070000000004</v>
      </c>
      <c r="J4104">
        <f>VLOOKUP(B4104, Products!$A$2:$E$100, 3, FALSE)</f>
        <v>8</v>
      </c>
      <c r="K4104">
        <f>VLOOKUP(B4104, Products!$A$2:$F$100, 4, FALSE)</f>
        <v>6</v>
      </c>
    </row>
    <row r="4105" spans="1:11" x14ac:dyDescent="0.3">
      <c r="A4105">
        <v>1408</v>
      </c>
      <c r="B4105">
        <v>4</v>
      </c>
      <c r="C4105">
        <v>137</v>
      </c>
      <c r="D4105" t="str">
        <f>VLOOKUP(B4105, Products!$A$2:$C$100, 2, FALSE)</f>
        <v>Trek Fuel EX 8 29 - 2016</v>
      </c>
      <c r="E4105">
        <v>2</v>
      </c>
      <c r="F4105">
        <v>2599</v>
      </c>
      <c r="G4105">
        <v>0.2</v>
      </c>
      <c r="H4105">
        <v>519.80000000000007</v>
      </c>
      <c r="I4105">
        <f>order_items[[#This Row],[list_price]]-order_items[[#This Row],[Discounted_price]]</f>
        <v>2079.1999999999998</v>
      </c>
      <c r="J4105">
        <f>VLOOKUP(B4105, Products!$A$2:$E$100, 3, FALSE)</f>
        <v>9</v>
      </c>
      <c r="K4105">
        <f>VLOOKUP(B4105, Products!$A$2:$F$100, 4, FALSE)</f>
        <v>6</v>
      </c>
    </row>
    <row r="4106" spans="1:11" x14ac:dyDescent="0.3">
      <c r="A4106">
        <v>1409</v>
      </c>
      <c r="B4106">
        <v>1</v>
      </c>
      <c r="C4106">
        <v>301</v>
      </c>
      <c r="D4106" t="str">
        <f>VLOOKUP(B4106, Products!$A$2:$C$100, 2, FALSE)</f>
        <v>Trek 820 - 2016</v>
      </c>
      <c r="E4106">
        <v>2</v>
      </c>
      <c r="F4106">
        <v>899.99</v>
      </c>
      <c r="G4106">
        <v>7.0000000000000007E-2</v>
      </c>
      <c r="H4106">
        <v>62.999300000000005</v>
      </c>
      <c r="I4106">
        <f>order_items[[#This Row],[list_price]]-order_items[[#This Row],[Discounted_price]]</f>
        <v>836.99070000000006</v>
      </c>
      <c r="J4106">
        <f>VLOOKUP(B4106, Products!$A$2:$E$100, 3, FALSE)</f>
        <v>9</v>
      </c>
      <c r="K4106">
        <f>VLOOKUP(B4106, Products!$A$2:$F$100, 4, FALSE)</f>
        <v>6</v>
      </c>
    </row>
    <row r="4107" spans="1:11" x14ac:dyDescent="0.3">
      <c r="A4107">
        <v>1409</v>
      </c>
      <c r="B4107">
        <v>2</v>
      </c>
      <c r="C4107">
        <v>170</v>
      </c>
      <c r="D4107" t="str">
        <f>VLOOKUP(B4107, Products!$A$2:$C$100, 2, FALSE)</f>
        <v>Ritchey Timberwolf Frameset - 2016</v>
      </c>
      <c r="E4107">
        <v>1</v>
      </c>
      <c r="F4107">
        <v>1299.99</v>
      </c>
      <c r="G4107">
        <v>7.0000000000000007E-2</v>
      </c>
      <c r="H4107">
        <v>90.999300000000005</v>
      </c>
      <c r="I4107">
        <f>order_items[[#This Row],[list_price]]-order_items[[#This Row],[Discounted_price]]</f>
        <v>1208.9907000000001</v>
      </c>
      <c r="J4107">
        <f>VLOOKUP(B4107, Products!$A$2:$E$100, 3, FALSE)</f>
        <v>5</v>
      </c>
      <c r="K4107">
        <f>VLOOKUP(B4107, Products!$A$2:$F$100, 4, FALSE)</f>
        <v>6</v>
      </c>
    </row>
    <row r="4108" spans="1:11" x14ac:dyDescent="0.3">
      <c r="A4108">
        <v>1409</v>
      </c>
      <c r="B4108">
        <v>3</v>
      </c>
      <c r="C4108">
        <v>171</v>
      </c>
      <c r="D4108" t="str">
        <f>VLOOKUP(B4108, Products!$A$2:$C$100, 2, FALSE)</f>
        <v>Surly Wednesday Frameset - 2016</v>
      </c>
      <c r="E4108">
        <v>2</v>
      </c>
      <c r="F4108">
        <v>3199.99</v>
      </c>
      <c r="G4108">
        <v>0.05</v>
      </c>
      <c r="H4108">
        <v>159.99950000000001</v>
      </c>
      <c r="I4108">
        <f>order_items[[#This Row],[list_price]]-order_items[[#This Row],[Discounted_price]]</f>
        <v>3039.9904999999999</v>
      </c>
      <c r="J4108">
        <f>VLOOKUP(B4108, Products!$A$2:$E$100, 3, FALSE)</f>
        <v>8</v>
      </c>
      <c r="K4108">
        <f>VLOOKUP(B4108, Products!$A$2:$F$100, 4, FALSE)</f>
        <v>6</v>
      </c>
    </row>
    <row r="4109" spans="1:11" x14ac:dyDescent="0.3">
      <c r="A4109">
        <v>1409</v>
      </c>
      <c r="B4109">
        <v>4</v>
      </c>
      <c r="C4109">
        <v>265</v>
      </c>
      <c r="D4109" t="str">
        <f>VLOOKUP(B4109, Products!$A$2:$C$100, 2, FALSE)</f>
        <v>Trek Fuel EX 8 29 - 2016</v>
      </c>
      <c r="E4109">
        <v>1</v>
      </c>
      <c r="F4109">
        <v>289.99</v>
      </c>
      <c r="G4109">
        <v>0.05</v>
      </c>
      <c r="H4109">
        <v>14.499500000000001</v>
      </c>
      <c r="I4109">
        <f>order_items[[#This Row],[list_price]]-order_items[[#This Row],[Discounted_price]]</f>
        <v>275.4905</v>
      </c>
      <c r="J4109">
        <f>VLOOKUP(B4109, Products!$A$2:$E$100, 3, FALSE)</f>
        <v>9</v>
      </c>
      <c r="K4109">
        <f>VLOOKUP(B4109, Products!$A$2:$F$100, 4, FALSE)</f>
        <v>6</v>
      </c>
    </row>
    <row r="4110" spans="1:11" x14ac:dyDescent="0.3">
      <c r="A4110">
        <v>1409</v>
      </c>
      <c r="B4110">
        <v>5</v>
      </c>
      <c r="C4110">
        <v>222</v>
      </c>
      <c r="D4110" t="str">
        <f>VLOOKUP(B4110, Products!$A$2:$C$100, 2, FALSE)</f>
        <v>Heller Shagamaw Frame - 2016</v>
      </c>
      <c r="E4110">
        <v>1</v>
      </c>
      <c r="F4110">
        <v>269.99</v>
      </c>
      <c r="G4110">
        <v>0.1</v>
      </c>
      <c r="H4110">
        <v>26.999000000000002</v>
      </c>
      <c r="I4110">
        <f>order_items[[#This Row],[list_price]]-order_items[[#This Row],[Discounted_price]]</f>
        <v>242.99100000000001</v>
      </c>
      <c r="J4110">
        <f>VLOOKUP(B4110, Products!$A$2:$E$100, 3, FALSE)</f>
        <v>3</v>
      </c>
      <c r="K4110">
        <f>VLOOKUP(B4110, Products!$A$2:$F$100, 4, FALSE)</f>
        <v>6</v>
      </c>
    </row>
    <row r="4111" spans="1:11" x14ac:dyDescent="0.3">
      <c r="A4111">
        <v>1410</v>
      </c>
      <c r="B4111">
        <v>1</v>
      </c>
      <c r="C4111">
        <v>205</v>
      </c>
      <c r="D4111" t="str">
        <f>VLOOKUP(B4111, Products!$A$2:$C$100, 2, FALSE)</f>
        <v>Trek 820 - 2016</v>
      </c>
      <c r="E4111">
        <v>2</v>
      </c>
      <c r="F4111">
        <v>4999.99</v>
      </c>
      <c r="G4111">
        <v>0.1</v>
      </c>
      <c r="H4111">
        <v>499.99900000000002</v>
      </c>
      <c r="I4111">
        <f>order_items[[#This Row],[list_price]]-order_items[[#This Row],[Discounted_price]]</f>
        <v>4499.991</v>
      </c>
      <c r="J4111">
        <f>VLOOKUP(B4111, Products!$A$2:$E$100, 3, FALSE)</f>
        <v>9</v>
      </c>
      <c r="K4111">
        <f>VLOOKUP(B4111, Products!$A$2:$F$100, 4, FALSE)</f>
        <v>6</v>
      </c>
    </row>
    <row r="4112" spans="1:11" x14ac:dyDescent="0.3">
      <c r="A4112">
        <v>1410</v>
      </c>
      <c r="B4112">
        <v>2</v>
      </c>
      <c r="C4112">
        <v>203</v>
      </c>
      <c r="D4112" t="str">
        <f>VLOOKUP(B4112, Products!$A$2:$C$100, 2, FALSE)</f>
        <v>Ritchey Timberwolf Frameset - 2016</v>
      </c>
      <c r="E4112">
        <v>2</v>
      </c>
      <c r="F4112">
        <v>4999.99</v>
      </c>
      <c r="G4112">
        <v>0.2</v>
      </c>
      <c r="H4112">
        <v>999.99800000000005</v>
      </c>
      <c r="I4112">
        <f>order_items[[#This Row],[list_price]]-order_items[[#This Row],[Discounted_price]]</f>
        <v>3999.9919999999997</v>
      </c>
      <c r="J4112">
        <f>VLOOKUP(B4112, Products!$A$2:$E$100, 3, FALSE)</f>
        <v>5</v>
      </c>
      <c r="K4112">
        <f>VLOOKUP(B4112, Products!$A$2:$F$100, 4, FALSE)</f>
        <v>6</v>
      </c>
    </row>
    <row r="4113" spans="1:11" x14ac:dyDescent="0.3">
      <c r="A4113">
        <v>1410</v>
      </c>
      <c r="B4113">
        <v>3</v>
      </c>
      <c r="C4113">
        <v>304</v>
      </c>
      <c r="D4113" t="str">
        <f>VLOOKUP(B4113, Products!$A$2:$C$100, 2, FALSE)</f>
        <v>Surly Wednesday Frameset - 2016</v>
      </c>
      <c r="E4113">
        <v>1</v>
      </c>
      <c r="F4113">
        <v>679.99</v>
      </c>
      <c r="G4113">
        <v>0.1</v>
      </c>
      <c r="H4113">
        <v>67.999000000000009</v>
      </c>
      <c r="I4113">
        <f>order_items[[#This Row],[list_price]]-order_items[[#This Row],[Discounted_price]]</f>
        <v>611.99099999999999</v>
      </c>
      <c r="J4113">
        <f>VLOOKUP(B4113, Products!$A$2:$E$100, 3, FALSE)</f>
        <v>8</v>
      </c>
      <c r="K4113">
        <f>VLOOKUP(B4113, Products!$A$2:$F$100, 4, FALSE)</f>
        <v>6</v>
      </c>
    </row>
    <row r="4114" spans="1:11" x14ac:dyDescent="0.3">
      <c r="A4114">
        <v>1411</v>
      </c>
      <c r="B4114">
        <v>1</v>
      </c>
      <c r="C4114">
        <v>9</v>
      </c>
      <c r="D4114" t="str">
        <f>VLOOKUP(B4114, Products!$A$2:$C$100, 2, FALSE)</f>
        <v>Trek 820 - 2016</v>
      </c>
      <c r="E4114">
        <v>1</v>
      </c>
      <c r="F4114">
        <v>2999.99</v>
      </c>
      <c r="G4114">
        <v>0.1</v>
      </c>
      <c r="H4114">
        <v>299.99899999999997</v>
      </c>
      <c r="I4114">
        <f>order_items[[#This Row],[list_price]]-order_items[[#This Row],[Discounted_price]]</f>
        <v>2699.991</v>
      </c>
      <c r="J4114">
        <f>VLOOKUP(B4114, Products!$A$2:$E$100, 3, FALSE)</f>
        <v>9</v>
      </c>
      <c r="K4114">
        <f>VLOOKUP(B4114, Products!$A$2:$F$100, 4, FALSE)</f>
        <v>6</v>
      </c>
    </row>
    <row r="4115" spans="1:11" x14ac:dyDescent="0.3">
      <c r="A4115">
        <v>1411</v>
      </c>
      <c r="B4115">
        <v>2</v>
      </c>
      <c r="C4115">
        <v>308</v>
      </c>
      <c r="D4115" t="str">
        <f>VLOOKUP(B4115, Products!$A$2:$C$100, 2, FALSE)</f>
        <v>Ritchey Timberwolf Frameset - 2016</v>
      </c>
      <c r="E4115">
        <v>2</v>
      </c>
      <c r="F4115">
        <v>749.99</v>
      </c>
      <c r="G4115">
        <v>0.2</v>
      </c>
      <c r="H4115">
        <v>149.99800000000002</v>
      </c>
      <c r="I4115">
        <f>order_items[[#This Row],[list_price]]-order_items[[#This Row],[Discounted_price]]</f>
        <v>599.99199999999996</v>
      </c>
      <c r="J4115">
        <f>VLOOKUP(B4115, Products!$A$2:$E$100, 3, FALSE)</f>
        <v>5</v>
      </c>
      <c r="K4115">
        <f>VLOOKUP(B4115, Products!$A$2:$F$100, 4, FALSE)</f>
        <v>6</v>
      </c>
    </row>
    <row r="4116" spans="1:11" x14ac:dyDescent="0.3">
      <c r="A4116">
        <v>1412</v>
      </c>
      <c r="B4116">
        <v>1</v>
      </c>
      <c r="C4116">
        <v>180</v>
      </c>
      <c r="D4116" t="str">
        <f>VLOOKUP(B4116, Products!$A$2:$C$100, 2, FALSE)</f>
        <v>Trek 820 - 2016</v>
      </c>
      <c r="E4116">
        <v>2</v>
      </c>
      <c r="F4116">
        <v>919.99</v>
      </c>
      <c r="G4116">
        <v>7.0000000000000007E-2</v>
      </c>
      <c r="H4116">
        <v>64.399300000000011</v>
      </c>
      <c r="I4116">
        <f>order_items[[#This Row],[list_price]]-order_items[[#This Row],[Discounted_price]]</f>
        <v>855.59069999999997</v>
      </c>
      <c r="J4116">
        <f>VLOOKUP(B4116, Products!$A$2:$E$100, 3, FALSE)</f>
        <v>9</v>
      </c>
      <c r="K4116">
        <f>VLOOKUP(B4116, Products!$A$2:$F$100, 4, FALSE)</f>
        <v>6</v>
      </c>
    </row>
    <row r="4117" spans="1:11" x14ac:dyDescent="0.3">
      <c r="A4117">
        <v>1412</v>
      </c>
      <c r="B4117">
        <v>2</v>
      </c>
      <c r="C4117">
        <v>43</v>
      </c>
      <c r="D4117" t="str">
        <f>VLOOKUP(B4117, Products!$A$2:$C$100, 2, FALSE)</f>
        <v>Ritchey Timberwolf Frameset - 2016</v>
      </c>
      <c r="E4117">
        <v>1</v>
      </c>
      <c r="F4117">
        <v>5299.99</v>
      </c>
      <c r="G4117">
        <v>0.1</v>
      </c>
      <c r="H4117">
        <v>529.99900000000002</v>
      </c>
      <c r="I4117">
        <f>order_items[[#This Row],[list_price]]-order_items[[#This Row],[Discounted_price]]</f>
        <v>4769.991</v>
      </c>
      <c r="J4117">
        <f>VLOOKUP(B4117, Products!$A$2:$E$100, 3, FALSE)</f>
        <v>5</v>
      </c>
      <c r="K4117">
        <f>VLOOKUP(B4117, Products!$A$2:$F$100, 4, FALSE)</f>
        <v>6</v>
      </c>
    </row>
    <row r="4118" spans="1:11" x14ac:dyDescent="0.3">
      <c r="A4118">
        <v>1412</v>
      </c>
      <c r="B4118">
        <v>3</v>
      </c>
      <c r="C4118">
        <v>109</v>
      </c>
      <c r="D4118" t="str">
        <f>VLOOKUP(B4118, Products!$A$2:$C$100, 2, FALSE)</f>
        <v>Surly Wednesday Frameset - 2016</v>
      </c>
      <c r="E4118">
        <v>2</v>
      </c>
      <c r="F4118">
        <v>416.99</v>
      </c>
      <c r="G4118">
        <v>7.0000000000000007E-2</v>
      </c>
      <c r="H4118">
        <v>29.189300000000003</v>
      </c>
      <c r="I4118">
        <f>order_items[[#This Row],[list_price]]-order_items[[#This Row],[Discounted_price]]</f>
        <v>387.80070000000001</v>
      </c>
      <c r="J4118">
        <f>VLOOKUP(B4118, Products!$A$2:$E$100, 3, FALSE)</f>
        <v>8</v>
      </c>
      <c r="K4118">
        <f>VLOOKUP(B4118, Products!$A$2:$F$100, 4, FALSE)</f>
        <v>6</v>
      </c>
    </row>
    <row r="4119" spans="1:11" x14ac:dyDescent="0.3">
      <c r="A4119">
        <v>1413</v>
      </c>
      <c r="B4119">
        <v>1</v>
      </c>
      <c r="C4119">
        <v>297</v>
      </c>
      <c r="D4119" t="str">
        <f>VLOOKUP(B4119, Products!$A$2:$C$100, 2, FALSE)</f>
        <v>Trek 820 - 2016</v>
      </c>
      <c r="E4119">
        <v>2</v>
      </c>
      <c r="F4119">
        <v>279.99</v>
      </c>
      <c r="G4119">
        <v>0.05</v>
      </c>
      <c r="H4119">
        <v>13.999500000000001</v>
      </c>
      <c r="I4119">
        <f>order_items[[#This Row],[list_price]]-order_items[[#This Row],[Discounted_price]]</f>
        <v>265.9905</v>
      </c>
      <c r="J4119">
        <f>VLOOKUP(B4119, Products!$A$2:$E$100, 3, FALSE)</f>
        <v>9</v>
      </c>
      <c r="K4119">
        <f>VLOOKUP(B4119, Products!$A$2:$F$100, 4, FALSE)</f>
        <v>6</v>
      </c>
    </row>
    <row r="4120" spans="1:11" x14ac:dyDescent="0.3">
      <c r="A4120">
        <v>1414</v>
      </c>
      <c r="B4120">
        <v>1</v>
      </c>
      <c r="C4120">
        <v>162</v>
      </c>
      <c r="D4120" t="str">
        <f>VLOOKUP(B4120, Products!$A$2:$C$100, 2, FALSE)</f>
        <v>Trek 820 - 2016</v>
      </c>
      <c r="E4120">
        <v>2</v>
      </c>
      <c r="F4120">
        <v>2999.99</v>
      </c>
      <c r="G4120">
        <v>0.1</v>
      </c>
      <c r="H4120">
        <v>299.99899999999997</v>
      </c>
      <c r="I4120">
        <f>order_items[[#This Row],[list_price]]-order_items[[#This Row],[Discounted_price]]</f>
        <v>2699.991</v>
      </c>
      <c r="J4120">
        <f>VLOOKUP(B4120, Products!$A$2:$E$100, 3, FALSE)</f>
        <v>9</v>
      </c>
      <c r="K4120">
        <f>VLOOKUP(B4120, Products!$A$2:$F$100, 4, FALSE)</f>
        <v>6</v>
      </c>
    </row>
    <row r="4121" spans="1:11" x14ac:dyDescent="0.3">
      <c r="A4121">
        <v>1414</v>
      </c>
      <c r="B4121">
        <v>2</v>
      </c>
      <c r="C4121">
        <v>292</v>
      </c>
      <c r="D4121" t="str">
        <f>VLOOKUP(B4121, Products!$A$2:$C$100, 2, FALSE)</f>
        <v>Ritchey Timberwolf Frameset - 2016</v>
      </c>
      <c r="E4121">
        <v>2</v>
      </c>
      <c r="F4121">
        <v>369.99</v>
      </c>
      <c r="G4121">
        <v>0.05</v>
      </c>
      <c r="H4121">
        <v>18.499500000000001</v>
      </c>
      <c r="I4121">
        <f>order_items[[#This Row],[list_price]]-order_items[[#This Row],[Discounted_price]]</f>
        <v>351.4905</v>
      </c>
      <c r="J4121">
        <f>VLOOKUP(B4121, Products!$A$2:$E$100, 3, FALSE)</f>
        <v>5</v>
      </c>
      <c r="K4121">
        <f>VLOOKUP(B4121, Products!$A$2:$F$100, 4, FALSE)</f>
        <v>6</v>
      </c>
    </row>
    <row r="4122" spans="1:11" x14ac:dyDescent="0.3">
      <c r="A4122">
        <v>1415</v>
      </c>
      <c r="B4122">
        <v>1</v>
      </c>
      <c r="C4122">
        <v>31</v>
      </c>
      <c r="D4122" t="str">
        <f>VLOOKUP(B4122, Products!$A$2:$C$100, 2, FALSE)</f>
        <v>Trek 820 - 2016</v>
      </c>
      <c r="E4122">
        <v>2</v>
      </c>
      <c r="F4122">
        <v>1632.99</v>
      </c>
      <c r="G4122">
        <v>7.0000000000000007E-2</v>
      </c>
      <c r="H4122">
        <v>114.30930000000001</v>
      </c>
      <c r="I4122">
        <f>order_items[[#This Row],[list_price]]-order_items[[#This Row],[Discounted_price]]</f>
        <v>1518.6806999999999</v>
      </c>
      <c r="J4122">
        <f>VLOOKUP(B4122, Products!$A$2:$E$100, 3, FALSE)</f>
        <v>9</v>
      </c>
      <c r="K4122">
        <f>VLOOKUP(B4122, Products!$A$2:$F$100, 4, FALSE)</f>
        <v>6</v>
      </c>
    </row>
    <row r="4123" spans="1:11" x14ac:dyDescent="0.3">
      <c r="A4123">
        <v>1415</v>
      </c>
      <c r="B4123">
        <v>2</v>
      </c>
      <c r="C4123">
        <v>17</v>
      </c>
      <c r="D4123" t="str">
        <f>VLOOKUP(B4123, Products!$A$2:$C$100, 2, FALSE)</f>
        <v>Ritchey Timberwolf Frameset - 2016</v>
      </c>
      <c r="E4123">
        <v>1</v>
      </c>
      <c r="F4123">
        <v>429</v>
      </c>
      <c r="G4123">
        <v>0.05</v>
      </c>
      <c r="H4123">
        <v>21.450000000000003</v>
      </c>
      <c r="I4123">
        <f>order_items[[#This Row],[list_price]]-order_items[[#This Row],[Discounted_price]]</f>
        <v>407.55</v>
      </c>
      <c r="J4123">
        <f>VLOOKUP(B4123, Products!$A$2:$E$100, 3, FALSE)</f>
        <v>5</v>
      </c>
      <c r="K4123">
        <f>VLOOKUP(B4123, Products!$A$2:$F$100, 4, FALSE)</f>
        <v>6</v>
      </c>
    </row>
    <row r="4124" spans="1:11" x14ac:dyDescent="0.3">
      <c r="A4124">
        <v>1415</v>
      </c>
      <c r="B4124">
        <v>3</v>
      </c>
      <c r="C4124">
        <v>264</v>
      </c>
      <c r="D4124" t="str">
        <f>VLOOKUP(B4124, Products!$A$2:$C$100, 2, FALSE)</f>
        <v>Surly Wednesday Frameset - 2016</v>
      </c>
      <c r="E4124">
        <v>2</v>
      </c>
      <c r="F4124">
        <v>249.99</v>
      </c>
      <c r="G4124">
        <v>0.1</v>
      </c>
      <c r="H4124">
        <v>24.999000000000002</v>
      </c>
      <c r="I4124">
        <f>order_items[[#This Row],[list_price]]-order_items[[#This Row],[Discounted_price]]</f>
        <v>224.99100000000001</v>
      </c>
      <c r="J4124">
        <f>VLOOKUP(B4124, Products!$A$2:$E$100, 3, FALSE)</f>
        <v>8</v>
      </c>
      <c r="K4124">
        <f>VLOOKUP(B4124, Products!$A$2:$F$100, 4, FALSE)</f>
        <v>6</v>
      </c>
    </row>
    <row r="4125" spans="1:11" x14ac:dyDescent="0.3">
      <c r="A4125">
        <v>1415</v>
      </c>
      <c r="B4125">
        <v>4</v>
      </c>
      <c r="C4125">
        <v>245</v>
      </c>
      <c r="D4125" t="str">
        <f>VLOOKUP(B4125, Products!$A$2:$C$100, 2, FALSE)</f>
        <v>Trek Fuel EX 8 29 - 2016</v>
      </c>
      <c r="E4125">
        <v>1</v>
      </c>
      <c r="F4125">
        <v>659.99</v>
      </c>
      <c r="G4125">
        <v>0.05</v>
      </c>
      <c r="H4125">
        <v>32.999500000000005</v>
      </c>
      <c r="I4125">
        <f>order_items[[#This Row],[list_price]]-order_items[[#This Row],[Discounted_price]]</f>
        <v>626.9905</v>
      </c>
      <c r="J4125">
        <f>VLOOKUP(B4125, Products!$A$2:$E$100, 3, FALSE)</f>
        <v>9</v>
      </c>
      <c r="K4125">
        <f>VLOOKUP(B4125, Products!$A$2:$F$100, 4, FALSE)</f>
        <v>6</v>
      </c>
    </row>
    <row r="4126" spans="1:11" x14ac:dyDescent="0.3">
      <c r="A4126">
        <v>1416</v>
      </c>
      <c r="B4126">
        <v>1</v>
      </c>
      <c r="C4126">
        <v>194</v>
      </c>
      <c r="D4126" t="str">
        <f>VLOOKUP(B4126, Products!$A$2:$C$100, 2, FALSE)</f>
        <v>Trek 820 - 2016</v>
      </c>
      <c r="E4126">
        <v>1</v>
      </c>
      <c r="F4126">
        <v>3499.99</v>
      </c>
      <c r="G4126">
        <v>0.2</v>
      </c>
      <c r="H4126">
        <v>699.99800000000005</v>
      </c>
      <c r="I4126">
        <f>order_items[[#This Row],[list_price]]-order_items[[#This Row],[Discounted_price]]</f>
        <v>2799.9919999999997</v>
      </c>
      <c r="J4126">
        <f>VLOOKUP(B4126, Products!$A$2:$E$100, 3, FALSE)</f>
        <v>9</v>
      </c>
      <c r="K4126">
        <f>VLOOKUP(B4126, Products!$A$2:$F$100, 4, FALSE)</f>
        <v>6</v>
      </c>
    </row>
    <row r="4127" spans="1:11" x14ac:dyDescent="0.3">
      <c r="A4127">
        <v>1416</v>
      </c>
      <c r="B4127">
        <v>2</v>
      </c>
      <c r="C4127">
        <v>242</v>
      </c>
      <c r="D4127" t="str">
        <f>VLOOKUP(B4127, Products!$A$2:$C$100, 2, FALSE)</f>
        <v>Ritchey Timberwolf Frameset - 2016</v>
      </c>
      <c r="E4127">
        <v>2</v>
      </c>
      <c r="F4127">
        <v>699.99</v>
      </c>
      <c r="G4127">
        <v>0.1</v>
      </c>
      <c r="H4127">
        <v>69.999000000000009</v>
      </c>
      <c r="I4127">
        <f>order_items[[#This Row],[list_price]]-order_items[[#This Row],[Discounted_price]]</f>
        <v>629.99099999999999</v>
      </c>
      <c r="J4127">
        <f>VLOOKUP(B4127, Products!$A$2:$E$100, 3, FALSE)</f>
        <v>5</v>
      </c>
      <c r="K4127">
        <f>VLOOKUP(B4127, Products!$A$2:$F$100, 4, FALSE)</f>
        <v>6</v>
      </c>
    </row>
    <row r="4128" spans="1:11" x14ac:dyDescent="0.3">
      <c r="A4128">
        <v>1416</v>
      </c>
      <c r="B4128">
        <v>3</v>
      </c>
      <c r="C4128">
        <v>92</v>
      </c>
      <c r="D4128" t="str">
        <f>VLOOKUP(B4128, Products!$A$2:$C$100, 2, FALSE)</f>
        <v>Surly Wednesday Frameset - 2016</v>
      </c>
      <c r="E4128">
        <v>2</v>
      </c>
      <c r="F4128">
        <v>209.99</v>
      </c>
      <c r="G4128">
        <v>0.05</v>
      </c>
      <c r="H4128">
        <v>10.499500000000001</v>
      </c>
      <c r="I4128">
        <f>order_items[[#This Row],[list_price]]-order_items[[#This Row],[Discounted_price]]</f>
        <v>199.4905</v>
      </c>
      <c r="J4128">
        <f>VLOOKUP(B4128, Products!$A$2:$E$100, 3, FALSE)</f>
        <v>8</v>
      </c>
      <c r="K4128">
        <f>VLOOKUP(B4128, Products!$A$2:$F$100, 4, FALSE)</f>
        <v>6</v>
      </c>
    </row>
    <row r="4129" spans="1:11" x14ac:dyDescent="0.3">
      <c r="A4129">
        <v>1417</v>
      </c>
      <c r="B4129">
        <v>1</v>
      </c>
      <c r="C4129">
        <v>219</v>
      </c>
      <c r="D4129" t="str">
        <f>VLOOKUP(B4129, Products!$A$2:$C$100, 2, FALSE)</f>
        <v>Trek 820 - 2016</v>
      </c>
      <c r="E4129">
        <v>2</v>
      </c>
      <c r="F4129">
        <v>639.99</v>
      </c>
      <c r="G4129">
        <v>0.2</v>
      </c>
      <c r="H4129">
        <v>127.998</v>
      </c>
      <c r="I4129">
        <f>order_items[[#This Row],[list_price]]-order_items[[#This Row],[Discounted_price]]</f>
        <v>511.99200000000002</v>
      </c>
      <c r="J4129">
        <f>VLOOKUP(B4129, Products!$A$2:$E$100, 3, FALSE)</f>
        <v>9</v>
      </c>
      <c r="K4129">
        <f>VLOOKUP(B4129, Products!$A$2:$F$100, 4, FALSE)</f>
        <v>6</v>
      </c>
    </row>
    <row r="4130" spans="1:11" x14ac:dyDescent="0.3">
      <c r="A4130">
        <v>1418</v>
      </c>
      <c r="B4130">
        <v>1</v>
      </c>
      <c r="C4130">
        <v>120</v>
      </c>
      <c r="D4130" t="str">
        <f>VLOOKUP(B4130, Products!$A$2:$C$100, 2, FALSE)</f>
        <v>Trek 820 - 2016</v>
      </c>
      <c r="E4130">
        <v>2</v>
      </c>
      <c r="F4130">
        <v>2499.9899999999998</v>
      </c>
      <c r="G4130">
        <v>0.2</v>
      </c>
      <c r="H4130">
        <v>499.99799999999999</v>
      </c>
      <c r="I4130">
        <f>order_items[[#This Row],[list_price]]-order_items[[#This Row],[Discounted_price]]</f>
        <v>1999.9919999999997</v>
      </c>
      <c r="J4130">
        <f>VLOOKUP(B4130, Products!$A$2:$E$100, 3, FALSE)</f>
        <v>9</v>
      </c>
      <c r="K4130">
        <f>VLOOKUP(B4130, Products!$A$2:$F$100, 4, FALSE)</f>
        <v>6</v>
      </c>
    </row>
    <row r="4131" spans="1:11" x14ac:dyDescent="0.3">
      <c r="A4131">
        <v>1418</v>
      </c>
      <c r="B4131">
        <v>2</v>
      </c>
      <c r="C4131">
        <v>243</v>
      </c>
      <c r="D4131" t="str">
        <f>VLOOKUP(B4131, Products!$A$2:$C$100, 2, FALSE)</f>
        <v>Ritchey Timberwolf Frameset - 2016</v>
      </c>
      <c r="E4131">
        <v>2</v>
      </c>
      <c r="F4131">
        <v>679.99</v>
      </c>
      <c r="G4131">
        <v>0.05</v>
      </c>
      <c r="H4131">
        <v>33.999500000000005</v>
      </c>
      <c r="I4131">
        <f>order_items[[#This Row],[list_price]]-order_items[[#This Row],[Discounted_price]]</f>
        <v>645.9905</v>
      </c>
      <c r="J4131">
        <f>VLOOKUP(B4131, Products!$A$2:$E$100, 3, FALSE)</f>
        <v>5</v>
      </c>
      <c r="K4131">
        <f>VLOOKUP(B4131, Products!$A$2:$F$100, 4, FALSE)</f>
        <v>6</v>
      </c>
    </row>
    <row r="4132" spans="1:11" x14ac:dyDescent="0.3">
      <c r="A4132">
        <v>1419</v>
      </c>
      <c r="B4132">
        <v>1</v>
      </c>
      <c r="C4132">
        <v>124</v>
      </c>
      <c r="D4132" t="str">
        <f>VLOOKUP(B4132, Products!$A$2:$C$100, 2, FALSE)</f>
        <v>Trek 820 - 2016</v>
      </c>
      <c r="E4132">
        <v>1</v>
      </c>
      <c r="F4132">
        <v>1499</v>
      </c>
      <c r="G4132">
        <v>7.0000000000000007E-2</v>
      </c>
      <c r="H4132">
        <v>104.93</v>
      </c>
      <c r="I4132">
        <f>order_items[[#This Row],[list_price]]-order_items[[#This Row],[Discounted_price]]</f>
        <v>1394.07</v>
      </c>
      <c r="J4132">
        <f>VLOOKUP(B4132, Products!$A$2:$E$100, 3, FALSE)</f>
        <v>9</v>
      </c>
      <c r="K4132">
        <f>VLOOKUP(B4132, Products!$A$2:$F$100, 4, FALSE)</f>
        <v>6</v>
      </c>
    </row>
    <row r="4133" spans="1:11" x14ac:dyDescent="0.3">
      <c r="A4133">
        <v>1419</v>
      </c>
      <c r="B4133">
        <v>2</v>
      </c>
      <c r="C4133">
        <v>235</v>
      </c>
      <c r="D4133" t="str">
        <f>VLOOKUP(B4133, Products!$A$2:$C$100, 2, FALSE)</f>
        <v>Ritchey Timberwolf Frameset - 2016</v>
      </c>
      <c r="E4133">
        <v>2</v>
      </c>
      <c r="F4133">
        <v>899.99</v>
      </c>
      <c r="G4133">
        <v>0.2</v>
      </c>
      <c r="H4133">
        <v>179.99800000000002</v>
      </c>
      <c r="I4133">
        <f>order_items[[#This Row],[list_price]]-order_items[[#This Row],[Discounted_price]]</f>
        <v>719.99199999999996</v>
      </c>
      <c r="J4133">
        <f>VLOOKUP(B4133, Products!$A$2:$E$100, 3, FALSE)</f>
        <v>5</v>
      </c>
      <c r="K4133">
        <f>VLOOKUP(B4133, Products!$A$2:$F$100, 4, FALSE)</f>
        <v>6</v>
      </c>
    </row>
    <row r="4134" spans="1:11" x14ac:dyDescent="0.3">
      <c r="A4134">
        <v>1419</v>
      </c>
      <c r="B4134">
        <v>3</v>
      </c>
      <c r="C4134">
        <v>234</v>
      </c>
      <c r="D4134" t="str">
        <f>VLOOKUP(B4134, Products!$A$2:$C$100, 2, FALSE)</f>
        <v>Surly Wednesday Frameset - 2016</v>
      </c>
      <c r="E4134">
        <v>1</v>
      </c>
      <c r="F4134">
        <v>899.99</v>
      </c>
      <c r="G4134">
        <v>0.1</v>
      </c>
      <c r="H4134">
        <v>89.999000000000009</v>
      </c>
      <c r="I4134">
        <f>order_items[[#This Row],[list_price]]-order_items[[#This Row],[Discounted_price]]</f>
        <v>809.99099999999999</v>
      </c>
      <c r="J4134">
        <f>VLOOKUP(B4134, Products!$A$2:$E$100, 3, FALSE)</f>
        <v>8</v>
      </c>
      <c r="K4134">
        <f>VLOOKUP(B4134, Products!$A$2:$F$100, 4, FALSE)</f>
        <v>6</v>
      </c>
    </row>
    <row r="4135" spans="1:11" x14ac:dyDescent="0.3">
      <c r="A4135">
        <v>1420</v>
      </c>
      <c r="B4135">
        <v>1</v>
      </c>
      <c r="C4135">
        <v>197</v>
      </c>
      <c r="D4135" t="str">
        <f>VLOOKUP(B4135, Products!$A$2:$C$100, 2, FALSE)</f>
        <v>Trek 820 - 2016</v>
      </c>
      <c r="E4135">
        <v>1</v>
      </c>
      <c r="F4135">
        <v>2299.9899999999998</v>
      </c>
      <c r="G4135">
        <v>0.2</v>
      </c>
      <c r="H4135">
        <v>459.99799999999999</v>
      </c>
      <c r="I4135">
        <f>order_items[[#This Row],[list_price]]-order_items[[#This Row],[Discounted_price]]</f>
        <v>1839.9919999999997</v>
      </c>
      <c r="J4135">
        <f>VLOOKUP(B4135, Products!$A$2:$E$100, 3, FALSE)</f>
        <v>9</v>
      </c>
      <c r="K4135">
        <f>VLOOKUP(B4135, Products!$A$2:$F$100, 4, FALSE)</f>
        <v>6</v>
      </c>
    </row>
    <row r="4136" spans="1:11" x14ac:dyDescent="0.3">
      <c r="A4136">
        <v>1420</v>
      </c>
      <c r="B4136">
        <v>2</v>
      </c>
      <c r="C4136">
        <v>194</v>
      </c>
      <c r="D4136" t="str">
        <f>VLOOKUP(B4136, Products!$A$2:$C$100, 2, FALSE)</f>
        <v>Ritchey Timberwolf Frameset - 2016</v>
      </c>
      <c r="E4136">
        <v>2</v>
      </c>
      <c r="F4136">
        <v>3499.99</v>
      </c>
      <c r="G4136">
        <v>0.1</v>
      </c>
      <c r="H4136">
        <v>349.99900000000002</v>
      </c>
      <c r="I4136">
        <f>order_items[[#This Row],[list_price]]-order_items[[#This Row],[Discounted_price]]</f>
        <v>3149.991</v>
      </c>
      <c r="J4136">
        <f>VLOOKUP(B4136, Products!$A$2:$E$100, 3, FALSE)</f>
        <v>5</v>
      </c>
      <c r="K4136">
        <f>VLOOKUP(B4136, Products!$A$2:$F$100, 4, FALSE)</f>
        <v>6</v>
      </c>
    </row>
    <row r="4137" spans="1:11" x14ac:dyDescent="0.3">
      <c r="A4137">
        <v>1420</v>
      </c>
      <c r="B4137">
        <v>3</v>
      </c>
      <c r="C4137">
        <v>128</v>
      </c>
      <c r="D4137" t="str">
        <f>VLOOKUP(B4137, Products!$A$2:$C$100, 2, FALSE)</f>
        <v>Surly Wednesday Frameset - 2016</v>
      </c>
      <c r="E4137">
        <v>1</v>
      </c>
      <c r="F4137">
        <v>1899</v>
      </c>
      <c r="G4137">
        <v>0.1</v>
      </c>
      <c r="H4137">
        <v>189.9</v>
      </c>
      <c r="I4137">
        <f>order_items[[#This Row],[list_price]]-order_items[[#This Row],[Discounted_price]]</f>
        <v>1709.1</v>
      </c>
      <c r="J4137">
        <f>VLOOKUP(B4137, Products!$A$2:$E$100, 3, FALSE)</f>
        <v>8</v>
      </c>
      <c r="K4137">
        <f>VLOOKUP(B4137, Products!$A$2:$F$100, 4, FALSE)</f>
        <v>6</v>
      </c>
    </row>
    <row r="4138" spans="1:11" x14ac:dyDescent="0.3">
      <c r="A4138">
        <v>1421</v>
      </c>
      <c r="B4138">
        <v>1</v>
      </c>
      <c r="C4138">
        <v>298</v>
      </c>
      <c r="D4138" t="str">
        <f>VLOOKUP(B4138, Products!$A$2:$C$100, 2, FALSE)</f>
        <v>Trek 820 - 2016</v>
      </c>
      <c r="E4138">
        <v>2</v>
      </c>
      <c r="F4138">
        <v>279.99</v>
      </c>
      <c r="G4138">
        <v>0.05</v>
      </c>
      <c r="H4138">
        <v>13.999500000000001</v>
      </c>
      <c r="I4138">
        <f>order_items[[#This Row],[list_price]]-order_items[[#This Row],[Discounted_price]]</f>
        <v>265.9905</v>
      </c>
      <c r="J4138">
        <f>VLOOKUP(B4138, Products!$A$2:$E$100, 3, FALSE)</f>
        <v>9</v>
      </c>
      <c r="K4138">
        <f>VLOOKUP(B4138, Products!$A$2:$F$100, 4, FALSE)</f>
        <v>6</v>
      </c>
    </row>
    <row r="4139" spans="1:11" x14ac:dyDescent="0.3">
      <c r="A4139">
        <v>1422</v>
      </c>
      <c r="B4139">
        <v>1</v>
      </c>
      <c r="C4139">
        <v>80</v>
      </c>
      <c r="D4139" t="str">
        <f>VLOOKUP(B4139, Products!$A$2:$C$100, 2, FALSE)</f>
        <v>Trek 820 - 2016</v>
      </c>
      <c r="E4139">
        <v>2</v>
      </c>
      <c r="F4139">
        <v>761.99</v>
      </c>
      <c r="G4139">
        <v>7.0000000000000007E-2</v>
      </c>
      <c r="H4139">
        <v>53.339300000000009</v>
      </c>
      <c r="I4139">
        <f>order_items[[#This Row],[list_price]]-order_items[[#This Row],[Discounted_price]]</f>
        <v>708.65070000000003</v>
      </c>
      <c r="J4139">
        <f>VLOOKUP(B4139, Products!$A$2:$E$100, 3, FALSE)</f>
        <v>9</v>
      </c>
      <c r="K4139">
        <f>VLOOKUP(B4139, Products!$A$2:$F$100, 4, FALSE)</f>
        <v>6</v>
      </c>
    </row>
    <row r="4140" spans="1:11" x14ac:dyDescent="0.3">
      <c r="A4140">
        <v>1422</v>
      </c>
      <c r="B4140">
        <v>2</v>
      </c>
      <c r="C4140">
        <v>180</v>
      </c>
      <c r="D4140" t="str">
        <f>VLOOKUP(B4140, Products!$A$2:$C$100, 2, FALSE)</f>
        <v>Ritchey Timberwolf Frameset - 2016</v>
      </c>
      <c r="E4140">
        <v>2</v>
      </c>
      <c r="F4140">
        <v>919.99</v>
      </c>
      <c r="G4140">
        <v>0.2</v>
      </c>
      <c r="H4140">
        <v>183.99800000000002</v>
      </c>
      <c r="I4140">
        <f>order_items[[#This Row],[list_price]]-order_items[[#This Row],[Discounted_price]]</f>
        <v>735.99199999999996</v>
      </c>
      <c r="J4140">
        <f>VLOOKUP(B4140, Products!$A$2:$E$100, 3, FALSE)</f>
        <v>5</v>
      </c>
      <c r="K4140">
        <f>VLOOKUP(B4140, Products!$A$2:$F$100, 4, FALSE)</f>
        <v>6</v>
      </c>
    </row>
    <row r="4141" spans="1:11" x14ac:dyDescent="0.3">
      <c r="A4141">
        <v>1422</v>
      </c>
      <c r="B4141">
        <v>3</v>
      </c>
      <c r="C4141">
        <v>243</v>
      </c>
      <c r="D4141" t="str">
        <f>VLOOKUP(B4141, Products!$A$2:$C$100, 2, FALSE)</f>
        <v>Surly Wednesday Frameset - 2016</v>
      </c>
      <c r="E4141">
        <v>1</v>
      </c>
      <c r="F4141">
        <v>679.99</v>
      </c>
      <c r="G4141">
        <v>0.05</v>
      </c>
      <c r="H4141">
        <v>33.999500000000005</v>
      </c>
      <c r="I4141">
        <f>order_items[[#This Row],[list_price]]-order_items[[#This Row],[Discounted_price]]</f>
        <v>645.9905</v>
      </c>
      <c r="J4141">
        <f>VLOOKUP(B4141, Products!$A$2:$E$100, 3, FALSE)</f>
        <v>8</v>
      </c>
      <c r="K4141">
        <f>VLOOKUP(B4141, Products!$A$2:$F$100, 4, FALSE)</f>
        <v>6</v>
      </c>
    </row>
    <row r="4142" spans="1:11" x14ac:dyDescent="0.3">
      <c r="A4142">
        <v>1423</v>
      </c>
      <c r="B4142">
        <v>1</v>
      </c>
      <c r="C4142">
        <v>249</v>
      </c>
      <c r="D4142" t="str">
        <f>VLOOKUP(B4142, Products!$A$2:$C$100, 2, FALSE)</f>
        <v>Trek 820 - 2016</v>
      </c>
      <c r="E4142">
        <v>1</v>
      </c>
      <c r="F4142">
        <v>749.99</v>
      </c>
      <c r="G4142">
        <v>0.2</v>
      </c>
      <c r="H4142">
        <v>149.99800000000002</v>
      </c>
      <c r="I4142">
        <f>order_items[[#This Row],[list_price]]-order_items[[#This Row],[Discounted_price]]</f>
        <v>599.99199999999996</v>
      </c>
      <c r="J4142">
        <f>VLOOKUP(B4142, Products!$A$2:$E$100, 3, FALSE)</f>
        <v>9</v>
      </c>
      <c r="K4142">
        <f>VLOOKUP(B4142, Products!$A$2:$F$100, 4, FALSE)</f>
        <v>6</v>
      </c>
    </row>
    <row r="4143" spans="1:11" x14ac:dyDescent="0.3">
      <c r="A4143">
        <v>1423</v>
      </c>
      <c r="B4143">
        <v>2</v>
      </c>
      <c r="C4143">
        <v>71</v>
      </c>
      <c r="D4143" t="str">
        <f>VLOOKUP(B4143, Products!$A$2:$C$100, 2, FALSE)</f>
        <v>Ritchey Timberwolf Frameset - 2016</v>
      </c>
      <c r="E4143">
        <v>1</v>
      </c>
      <c r="F4143">
        <v>416.99</v>
      </c>
      <c r="G4143">
        <v>0.1</v>
      </c>
      <c r="H4143">
        <v>41.699000000000005</v>
      </c>
      <c r="I4143">
        <f>order_items[[#This Row],[list_price]]-order_items[[#This Row],[Discounted_price]]</f>
        <v>375.291</v>
      </c>
      <c r="J4143">
        <f>VLOOKUP(B4143, Products!$A$2:$E$100, 3, FALSE)</f>
        <v>5</v>
      </c>
      <c r="K4143">
        <f>VLOOKUP(B4143, Products!$A$2:$F$100, 4, FALSE)</f>
        <v>6</v>
      </c>
    </row>
    <row r="4144" spans="1:11" x14ac:dyDescent="0.3">
      <c r="A4144">
        <v>1423</v>
      </c>
      <c r="B4144">
        <v>3</v>
      </c>
      <c r="C4144">
        <v>302</v>
      </c>
      <c r="D4144" t="str">
        <f>VLOOKUP(B4144, Products!$A$2:$C$100, 2, FALSE)</f>
        <v>Surly Wednesday Frameset - 2016</v>
      </c>
      <c r="E4144">
        <v>1</v>
      </c>
      <c r="F4144">
        <v>449.99</v>
      </c>
      <c r="G4144">
        <v>0.2</v>
      </c>
      <c r="H4144">
        <v>89.998000000000005</v>
      </c>
      <c r="I4144">
        <f>order_items[[#This Row],[list_price]]-order_items[[#This Row],[Discounted_price]]</f>
        <v>359.99200000000002</v>
      </c>
      <c r="J4144">
        <f>VLOOKUP(B4144, Products!$A$2:$E$100, 3, FALSE)</f>
        <v>8</v>
      </c>
      <c r="K4144">
        <f>VLOOKUP(B4144, Products!$A$2:$F$100, 4, FALSE)</f>
        <v>6</v>
      </c>
    </row>
    <row r="4145" spans="1:11" x14ac:dyDescent="0.3">
      <c r="A4145">
        <v>1423</v>
      </c>
      <c r="B4145">
        <v>4</v>
      </c>
      <c r="C4145">
        <v>113</v>
      </c>
      <c r="D4145" t="str">
        <f>VLOOKUP(B4145, Products!$A$2:$C$100, 2, FALSE)</f>
        <v>Trek Fuel EX 8 29 - 2016</v>
      </c>
      <c r="E4145">
        <v>2</v>
      </c>
      <c r="F4145">
        <v>489.99</v>
      </c>
      <c r="G4145">
        <v>0.2</v>
      </c>
      <c r="H4145">
        <v>97.998000000000005</v>
      </c>
      <c r="I4145">
        <f>order_items[[#This Row],[list_price]]-order_items[[#This Row],[Discounted_price]]</f>
        <v>391.99200000000002</v>
      </c>
      <c r="J4145">
        <f>VLOOKUP(B4145, Products!$A$2:$E$100, 3, FALSE)</f>
        <v>9</v>
      </c>
      <c r="K4145">
        <f>VLOOKUP(B4145, Products!$A$2:$F$100, 4, FALSE)</f>
        <v>6</v>
      </c>
    </row>
    <row r="4146" spans="1:11" x14ac:dyDescent="0.3">
      <c r="A4146">
        <v>1424</v>
      </c>
      <c r="B4146">
        <v>1</v>
      </c>
      <c r="C4146">
        <v>140</v>
      </c>
      <c r="D4146" t="str">
        <f>VLOOKUP(B4146, Products!$A$2:$C$100, 2, FALSE)</f>
        <v>Trek 820 - 2016</v>
      </c>
      <c r="E4146">
        <v>2</v>
      </c>
      <c r="F4146">
        <v>4999.99</v>
      </c>
      <c r="G4146">
        <v>0.2</v>
      </c>
      <c r="H4146">
        <v>999.99800000000005</v>
      </c>
      <c r="I4146">
        <f>order_items[[#This Row],[list_price]]-order_items[[#This Row],[Discounted_price]]</f>
        <v>3999.9919999999997</v>
      </c>
      <c r="J4146">
        <f>VLOOKUP(B4146, Products!$A$2:$E$100, 3, FALSE)</f>
        <v>9</v>
      </c>
      <c r="K4146">
        <f>VLOOKUP(B4146, Products!$A$2:$F$100, 4, FALSE)</f>
        <v>6</v>
      </c>
    </row>
    <row r="4147" spans="1:11" x14ac:dyDescent="0.3">
      <c r="A4147">
        <v>1425</v>
      </c>
      <c r="B4147">
        <v>1</v>
      </c>
      <c r="C4147">
        <v>227</v>
      </c>
      <c r="D4147" t="str">
        <f>VLOOKUP(B4147, Products!$A$2:$C$100, 2, FALSE)</f>
        <v>Trek 820 - 2016</v>
      </c>
      <c r="E4147">
        <v>2</v>
      </c>
      <c r="F4147">
        <v>319.99</v>
      </c>
      <c r="G4147">
        <v>0.05</v>
      </c>
      <c r="H4147">
        <v>15.999500000000001</v>
      </c>
      <c r="I4147">
        <f>order_items[[#This Row],[list_price]]-order_items[[#This Row],[Discounted_price]]</f>
        <v>303.9905</v>
      </c>
      <c r="J4147">
        <f>VLOOKUP(B4147, Products!$A$2:$E$100, 3, FALSE)</f>
        <v>9</v>
      </c>
      <c r="K4147">
        <f>VLOOKUP(B4147, Products!$A$2:$F$100, 4, FALSE)</f>
        <v>6</v>
      </c>
    </row>
    <row r="4148" spans="1:11" x14ac:dyDescent="0.3">
      <c r="A4148">
        <v>1425</v>
      </c>
      <c r="B4148">
        <v>2</v>
      </c>
      <c r="C4148">
        <v>263</v>
      </c>
      <c r="D4148" t="str">
        <f>VLOOKUP(B4148, Products!$A$2:$C$100, 2, FALSE)</f>
        <v>Ritchey Timberwolf Frameset - 2016</v>
      </c>
      <c r="E4148">
        <v>1</v>
      </c>
      <c r="F4148">
        <v>89.99</v>
      </c>
      <c r="G4148">
        <v>7.0000000000000007E-2</v>
      </c>
      <c r="H4148">
        <v>6.2993000000000006</v>
      </c>
      <c r="I4148">
        <f>order_items[[#This Row],[list_price]]-order_items[[#This Row],[Discounted_price]]</f>
        <v>83.690699999999993</v>
      </c>
      <c r="J4148">
        <f>VLOOKUP(B4148, Products!$A$2:$E$100, 3, FALSE)</f>
        <v>5</v>
      </c>
      <c r="K4148">
        <f>VLOOKUP(B4148, Products!$A$2:$F$100, 4, FALSE)</f>
        <v>6</v>
      </c>
    </row>
    <row r="4149" spans="1:11" x14ac:dyDescent="0.3">
      <c r="A4149">
        <v>1425</v>
      </c>
      <c r="B4149">
        <v>3</v>
      </c>
      <c r="C4149">
        <v>93</v>
      </c>
      <c r="D4149" t="str">
        <f>VLOOKUP(B4149, Products!$A$2:$C$100, 2, FALSE)</f>
        <v>Surly Wednesday Frameset - 2016</v>
      </c>
      <c r="E4149">
        <v>1</v>
      </c>
      <c r="F4149">
        <v>209.99</v>
      </c>
      <c r="G4149">
        <v>7.0000000000000007E-2</v>
      </c>
      <c r="H4149">
        <v>14.699300000000003</v>
      </c>
      <c r="I4149">
        <f>order_items[[#This Row],[list_price]]-order_items[[#This Row],[Discounted_price]]</f>
        <v>195.29070000000002</v>
      </c>
      <c r="J4149">
        <f>VLOOKUP(B4149, Products!$A$2:$E$100, 3, FALSE)</f>
        <v>8</v>
      </c>
      <c r="K4149">
        <f>VLOOKUP(B4149, Products!$A$2:$F$100, 4, FALSE)</f>
        <v>6</v>
      </c>
    </row>
    <row r="4150" spans="1:11" x14ac:dyDescent="0.3">
      <c r="A4150">
        <v>1425</v>
      </c>
      <c r="B4150">
        <v>4</v>
      </c>
      <c r="C4150">
        <v>54</v>
      </c>
      <c r="D4150" t="str">
        <f>VLOOKUP(B4150, Products!$A$2:$C$100, 2, FALSE)</f>
        <v>Trek Fuel EX 8 29 - 2016</v>
      </c>
      <c r="E4150">
        <v>2</v>
      </c>
      <c r="F4150">
        <v>3199.99</v>
      </c>
      <c r="G4150">
        <v>0.05</v>
      </c>
      <c r="H4150">
        <v>159.99950000000001</v>
      </c>
      <c r="I4150">
        <f>order_items[[#This Row],[list_price]]-order_items[[#This Row],[Discounted_price]]</f>
        <v>3039.9904999999999</v>
      </c>
      <c r="J4150">
        <f>VLOOKUP(B4150, Products!$A$2:$E$100, 3, FALSE)</f>
        <v>9</v>
      </c>
      <c r="K4150">
        <f>VLOOKUP(B4150, Products!$A$2:$F$100, 4, FALSE)</f>
        <v>6</v>
      </c>
    </row>
    <row r="4151" spans="1:11" x14ac:dyDescent="0.3">
      <c r="A4151">
        <v>1425</v>
      </c>
      <c r="B4151">
        <v>5</v>
      </c>
      <c r="C4151">
        <v>145</v>
      </c>
      <c r="D4151" t="str">
        <f>VLOOKUP(B4151, Products!$A$2:$C$100, 2, FALSE)</f>
        <v>Heller Shagamaw Frame - 2016</v>
      </c>
      <c r="E4151">
        <v>2</v>
      </c>
      <c r="F4151">
        <v>1799.99</v>
      </c>
      <c r="G4151">
        <v>7.0000000000000007E-2</v>
      </c>
      <c r="H4151">
        <v>125.99930000000002</v>
      </c>
      <c r="I4151">
        <f>order_items[[#This Row],[list_price]]-order_items[[#This Row],[Discounted_price]]</f>
        <v>1673.9907000000001</v>
      </c>
      <c r="J4151">
        <f>VLOOKUP(B4151, Products!$A$2:$E$100, 3, FALSE)</f>
        <v>3</v>
      </c>
      <c r="K4151">
        <f>VLOOKUP(B4151, Products!$A$2:$F$100, 4, FALSE)</f>
        <v>6</v>
      </c>
    </row>
    <row r="4152" spans="1:11" x14ac:dyDescent="0.3">
      <c r="A4152">
        <v>1426</v>
      </c>
      <c r="B4152">
        <v>1</v>
      </c>
      <c r="C4152">
        <v>215</v>
      </c>
      <c r="D4152" t="str">
        <f>VLOOKUP(B4152, Products!$A$2:$C$100, 2, FALSE)</f>
        <v>Trek 820 - 2016</v>
      </c>
      <c r="E4152">
        <v>1</v>
      </c>
      <c r="F4152">
        <v>749.99</v>
      </c>
      <c r="G4152">
        <v>7.0000000000000007E-2</v>
      </c>
      <c r="H4152">
        <v>52.499300000000005</v>
      </c>
      <c r="I4152">
        <f>order_items[[#This Row],[list_price]]-order_items[[#This Row],[Discounted_price]]</f>
        <v>697.49070000000006</v>
      </c>
      <c r="J4152">
        <f>VLOOKUP(B4152, Products!$A$2:$E$100, 3, FALSE)</f>
        <v>9</v>
      </c>
      <c r="K4152">
        <f>VLOOKUP(B4152, Products!$A$2:$F$100, 4, FALSE)</f>
        <v>6</v>
      </c>
    </row>
    <row r="4153" spans="1:11" x14ac:dyDescent="0.3">
      <c r="A4153">
        <v>1426</v>
      </c>
      <c r="B4153">
        <v>2</v>
      </c>
      <c r="C4153">
        <v>20</v>
      </c>
      <c r="D4153" t="str">
        <f>VLOOKUP(B4153, Products!$A$2:$C$100, 2, FALSE)</f>
        <v>Ritchey Timberwolf Frameset - 2016</v>
      </c>
      <c r="E4153">
        <v>2</v>
      </c>
      <c r="F4153">
        <v>599.99</v>
      </c>
      <c r="G4153">
        <v>0.05</v>
      </c>
      <c r="H4153">
        <v>29.999500000000001</v>
      </c>
      <c r="I4153">
        <f>order_items[[#This Row],[list_price]]-order_items[[#This Row],[Discounted_price]]</f>
        <v>569.9905</v>
      </c>
      <c r="J4153">
        <f>VLOOKUP(B4153, Products!$A$2:$E$100, 3, FALSE)</f>
        <v>5</v>
      </c>
      <c r="K4153">
        <f>VLOOKUP(B4153, Products!$A$2:$F$100, 4, FALSE)</f>
        <v>6</v>
      </c>
    </row>
    <row r="4154" spans="1:11" x14ac:dyDescent="0.3">
      <c r="A4154">
        <v>1426</v>
      </c>
      <c r="B4154">
        <v>3</v>
      </c>
      <c r="C4154">
        <v>281</v>
      </c>
      <c r="D4154" t="str">
        <f>VLOOKUP(B4154, Products!$A$2:$C$100, 2, FALSE)</f>
        <v>Surly Wednesday Frameset - 2016</v>
      </c>
      <c r="E4154">
        <v>1</v>
      </c>
      <c r="F4154">
        <v>319.99</v>
      </c>
      <c r="G4154">
        <v>7.0000000000000007E-2</v>
      </c>
      <c r="H4154">
        <v>22.399300000000004</v>
      </c>
      <c r="I4154">
        <f>order_items[[#This Row],[list_price]]-order_items[[#This Row],[Discounted_price]]</f>
        <v>297.59070000000003</v>
      </c>
      <c r="J4154">
        <f>VLOOKUP(B4154, Products!$A$2:$E$100, 3, FALSE)</f>
        <v>8</v>
      </c>
      <c r="K4154">
        <f>VLOOKUP(B4154, Products!$A$2:$F$100, 4, FALSE)</f>
        <v>6</v>
      </c>
    </row>
    <row r="4155" spans="1:11" x14ac:dyDescent="0.3">
      <c r="A4155">
        <v>1427</v>
      </c>
      <c r="B4155">
        <v>1</v>
      </c>
      <c r="C4155">
        <v>230</v>
      </c>
      <c r="D4155" t="str">
        <f>VLOOKUP(B4155, Products!$A$2:$C$100, 2, FALSE)</f>
        <v>Trek 820 - 2016</v>
      </c>
      <c r="E4155">
        <v>2</v>
      </c>
      <c r="F4155">
        <v>429.99</v>
      </c>
      <c r="G4155">
        <v>7.0000000000000007E-2</v>
      </c>
      <c r="H4155">
        <v>30.099300000000003</v>
      </c>
      <c r="I4155">
        <f>order_items[[#This Row],[list_price]]-order_items[[#This Row],[Discounted_price]]</f>
        <v>399.89069999999998</v>
      </c>
      <c r="J4155">
        <f>VLOOKUP(B4155, Products!$A$2:$E$100, 3, FALSE)</f>
        <v>9</v>
      </c>
      <c r="K4155">
        <f>VLOOKUP(B4155, Products!$A$2:$F$100, 4, FALSE)</f>
        <v>6</v>
      </c>
    </row>
    <row r="4156" spans="1:11" x14ac:dyDescent="0.3">
      <c r="A4156">
        <v>1427</v>
      </c>
      <c r="B4156">
        <v>2</v>
      </c>
      <c r="C4156">
        <v>139</v>
      </c>
      <c r="D4156" t="str">
        <f>VLOOKUP(B4156, Products!$A$2:$C$100, 2, FALSE)</f>
        <v>Ritchey Timberwolf Frameset - 2016</v>
      </c>
      <c r="E4156">
        <v>1</v>
      </c>
      <c r="F4156">
        <v>2999.99</v>
      </c>
      <c r="G4156">
        <v>0.05</v>
      </c>
      <c r="H4156">
        <v>149.99949999999998</v>
      </c>
      <c r="I4156">
        <f>order_items[[#This Row],[list_price]]-order_items[[#This Row],[Discounted_price]]</f>
        <v>2849.9904999999999</v>
      </c>
      <c r="J4156">
        <f>VLOOKUP(B4156, Products!$A$2:$E$100, 3, FALSE)</f>
        <v>5</v>
      </c>
      <c r="K4156">
        <f>VLOOKUP(B4156, Products!$A$2:$F$100, 4, FALSE)</f>
        <v>6</v>
      </c>
    </row>
    <row r="4157" spans="1:11" x14ac:dyDescent="0.3">
      <c r="A4157">
        <v>1427</v>
      </c>
      <c r="B4157">
        <v>3</v>
      </c>
      <c r="C4157">
        <v>164</v>
      </c>
      <c r="D4157" t="str">
        <f>VLOOKUP(B4157, Products!$A$2:$C$100, 2, FALSE)</f>
        <v>Surly Wednesday Frameset - 2016</v>
      </c>
      <c r="E4157">
        <v>2</v>
      </c>
      <c r="F4157">
        <v>1549</v>
      </c>
      <c r="G4157">
        <v>7.0000000000000007E-2</v>
      </c>
      <c r="H4157">
        <v>108.43</v>
      </c>
      <c r="I4157">
        <f>order_items[[#This Row],[list_price]]-order_items[[#This Row],[Discounted_price]]</f>
        <v>1440.57</v>
      </c>
      <c r="J4157">
        <f>VLOOKUP(B4157, Products!$A$2:$E$100, 3, FALSE)</f>
        <v>8</v>
      </c>
      <c r="K4157">
        <f>VLOOKUP(B4157, Products!$A$2:$F$100, 4, FALSE)</f>
        <v>6</v>
      </c>
    </row>
    <row r="4158" spans="1:11" x14ac:dyDescent="0.3">
      <c r="A4158">
        <v>1428</v>
      </c>
      <c r="B4158">
        <v>1</v>
      </c>
      <c r="C4158">
        <v>216</v>
      </c>
      <c r="D4158" t="str">
        <f>VLOOKUP(B4158, Products!$A$2:$C$100, 2, FALSE)</f>
        <v>Trek 820 - 2016</v>
      </c>
      <c r="E4158">
        <v>2</v>
      </c>
      <c r="F4158">
        <v>899.99</v>
      </c>
      <c r="G4158">
        <v>0.2</v>
      </c>
      <c r="H4158">
        <v>179.99800000000002</v>
      </c>
      <c r="I4158">
        <f>order_items[[#This Row],[list_price]]-order_items[[#This Row],[Discounted_price]]</f>
        <v>719.99199999999996</v>
      </c>
      <c r="J4158">
        <f>VLOOKUP(B4158, Products!$A$2:$E$100, 3, FALSE)</f>
        <v>9</v>
      </c>
      <c r="K4158">
        <f>VLOOKUP(B4158, Products!$A$2:$F$100, 4, FALSE)</f>
        <v>6</v>
      </c>
    </row>
    <row r="4159" spans="1:11" x14ac:dyDescent="0.3">
      <c r="A4159">
        <v>1428</v>
      </c>
      <c r="B4159">
        <v>2</v>
      </c>
      <c r="C4159">
        <v>126</v>
      </c>
      <c r="D4159" t="str">
        <f>VLOOKUP(B4159, Products!$A$2:$C$100, 2, FALSE)</f>
        <v>Ritchey Timberwolf Frameset - 2016</v>
      </c>
      <c r="E4159">
        <v>1</v>
      </c>
      <c r="F4159">
        <v>469.99</v>
      </c>
      <c r="G4159">
        <v>7.0000000000000007E-2</v>
      </c>
      <c r="H4159">
        <v>32.899300000000004</v>
      </c>
      <c r="I4159">
        <f>order_items[[#This Row],[list_price]]-order_items[[#This Row],[Discounted_price]]</f>
        <v>437.09070000000003</v>
      </c>
      <c r="J4159">
        <f>VLOOKUP(B4159, Products!$A$2:$E$100, 3, FALSE)</f>
        <v>5</v>
      </c>
      <c r="K4159">
        <f>VLOOKUP(B4159, Products!$A$2:$F$100, 4, FALSE)</f>
        <v>6</v>
      </c>
    </row>
    <row r="4160" spans="1:11" x14ac:dyDescent="0.3">
      <c r="A4160">
        <v>1428</v>
      </c>
      <c r="B4160">
        <v>3</v>
      </c>
      <c r="C4160">
        <v>187</v>
      </c>
      <c r="D4160" t="str">
        <f>VLOOKUP(B4160, Products!$A$2:$C$100, 2, FALSE)</f>
        <v>Surly Wednesday Frameset - 2016</v>
      </c>
      <c r="E4160">
        <v>2</v>
      </c>
      <c r="F4160">
        <v>2799.99</v>
      </c>
      <c r="G4160">
        <v>7.0000000000000007E-2</v>
      </c>
      <c r="H4160">
        <v>195.99930000000001</v>
      </c>
      <c r="I4160">
        <f>order_items[[#This Row],[list_price]]-order_items[[#This Row],[Discounted_price]]</f>
        <v>2603.9906999999998</v>
      </c>
      <c r="J4160">
        <f>VLOOKUP(B4160, Products!$A$2:$E$100, 3, FALSE)</f>
        <v>8</v>
      </c>
      <c r="K4160">
        <f>VLOOKUP(B4160, Products!$A$2:$F$100, 4, FALSE)</f>
        <v>6</v>
      </c>
    </row>
    <row r="4161" spans="1:11" x14ac:dyDescent="0.3">
      <c r="A4161">
        <v>1428</v>
      </c>
      <c r="B4161">
        <v>4</v>
      </c>
      <c r="C4161">
        <v>28</v>
      </c>
      <c r="D4161" t="str">
        <f>VLOOKUP(B4161, Products!$A$2:$C$100, 2, FALSE)</f>
        <v>Trek Fuel EX 8 29 - 2016</v>
      </c>
      <c r="E4161">
        <v>1</v>
      </c>
      <c r="F4161">
        <v>2499.9899999999998</v>
      </c>
      <c r="G4161">
        <v>0.1</v>
      </c>
      <c r="H4161">
        <v>249.999</v>
      </c>
      <c r="I4161">
        <f>order_items[[#This Row],[list_price]]-order_items[[#This Row],[Discounted_price]]</f>
        <v>2249.991</v>
      </c>
      <c r="J4161">
        <f>VLOOKUP(B4161, Products!$A$2:$E$100, 3, FALSE)</f>
        <v>9</v>
      </c>
      <c r="K4161">
        <f>VLOOKUP(B4161, Products!$A$2:$F$100, 4, FALSE)</f>
        <v>6</v>
      </c>
    </row>
    <row r="4162" spans="1:11" x14ac:dyDescent="0.3">
      <c r="A4162">
        <v>1428</v>
      </c>
      <c r="B4162">
        <v>5</v>
      </c>
      <c r="C4162">
        <v>194</v>
      </c>
      <c r="D4162" t="str">
        <f>VLOOKUP(B4162, Products!$A$2:$C$100, 2, FALSE)</f>
        <v>Heller Shagamaw Frame - 2016</v>
      </c>
      <c r="E4162">
        <v>2</v>
      </c>
      <c r="F4162">
        <v>3499.99</v>
      </c>
      <c r="G4162">
        <v>0.2</v>
      </c>
      <c r="H4162">
        <v>699.99800000000005</v>
      </c>
      <c r="I4162">
        <f>order_items[[#This Row],[list_price]]-order_items[[#This Row],[Discounted_price]]</f>
        <v>2799.9919999999997</v>
      </c>
      <c r="J4162">
        <f>VLOOKUP(B4162, Products!$A$2:$E$100, 3, FALSE)</f>
        <v>3</v>
      </c>
      <c r="K4162">
        <f>VLOOKUP(B4162, Products!$A$2:$F$100, 4, FALSE)</f>
        <v>6</v>
      </c>
    </row>
    <row r="4163" spans="1:11" x14ac:dyDescent="0.3">
      <c r="A4163">
        <v>1429</v>
      </c>
      <c r="B4163">
        <v>1</v>
      </c>
      <c r="C4163">
        <v>70</v>
      </c>
      <c r="D4163" t="str">
        <f>VLOOKUP(B4163, Products!$A$2:$C$100, 2, FALSE)</f>
        <v>Trek 820 - 2016</v>
      </c>
      <c r="E4163">
        <v>2</v>
      </c>
      <c r="F4163">
        <v>659.99</v>
      </c>
      <c r="G4163">
        <v>0.2</v>
      </c>
      <c r="H4163">
        <v>131.99800000000002</v>
      </c>
      <c r="I4163">
        <f>order_items[[#This Row],[list_price]]-order_items[[#This Row],[Discounted_price]]</f>
        <v>527.99199999999996</v>
      </c>
      <c r="J4163">
        <f>VLOOKUP(B4163, Products!$A$2:$E$100, 3, FALSE)</f>
        <v>9</v>
      </c>
      <c r="K4163">
        <f>VLOOKUP(B4163, Products!$A$2:$F$100, 4, FALSE)</f>
        <v>6</v>
      </c>
    </row>
    <row r="4164" spans="1:11" x14ac:dyDescent="0.3">
      <c r="A4164">
        <v>1430</v>
      </c>
      <c r="B4164">
        <v>1</v>
      </c>
      <c r="C4164">
        <v>221</v>
      </c>
      <c r="D4164" t="str">
        <f>VLOOKUP(B4164, Products!$A$2:$C$100, 2, FALSE)</f>
        <v>Trek 820 - 2016</v>
      </c>
      <c r="E4164">
        <v>1</v>
      </c>
      <c r="F4164">
        <v>319.99</v>
      </c>
      <c r="G4164">
        <v>0.05</v>
      </c>
      <c r="H4164">
        <v>15.999500000000001</v>
      </c>
      <c r="I4164">
        <f>order_items[[#This Row],[list_price]]-order_items[[#This Row],[Discounted_price]]</f>
        <v>303.9905</v>
      </c>
      <c r="J4164">
        <f>VLOOKUP(B4164, Products!$A$2:$E$100, 3, FALSE)</f>
        <v>9</v>
      </c>
      <c r="K4164">
        <f>VLOOKUP(B4164, Products!$A$2:$F$100, 4, FALSE)</f>
        <v>6</v>
      </c>
    </row>
    <row r="4165" spans="1:11" x14ac:dyDescent="0.3">
      <c r="A4165">
        <v>1430</v>
      </c>
      <c r="B4165">
        <v>2</v>
      </c>
      <c r="C4165">
        <v>281</v>
      </c>
      <c r="D4165" t="str">
        <f>VLOOKUP(B4165, Products!$A$2:$C$100, 2, FALSE)</f>
        <v>Ritchey Timberwolf Frameset - 2016</v>
      </c>
      <c r="E4165">
        <v>1</v>
      </c>
      <c r="F4165">
        <v>319.99</v>
      </c>
      <c r="G4165">
        <v>7.0000000000000007E-2</v>
      </c>
      <c r="H4165">
        <v>22.399300000000004</v>
      </c>
      <c r="I4165">
        <f>order_items[[#This Row],[list_price]]-order_items[[#This Row],[Discounted_price]]</f>
        <v>297.59070000000003</v>
      </c>
      <c r="J4165">
        <f>VLOOKUP(B4165, Products!$A$2:$E$100, 3, FALSE)</f>
        <v>5</v>
      </c>
      <c r="K4165">
        <f>VLOOKUP(B4165, Products!$A$2:$F$100, 4, FALSE)</f>
        <v>6</v>
      </c>
    </row>
    <row r="4166" spans="1:11" x14ac:dyDescent="0.3">
      <c r="A4166">
        <v>1431</v>
      </c>
      <c r="B4166">
        <v>1</v>
      </c>
      <c r="C4166">
        <v>207</v>
      </c>
      <c r="D4166" t="str">
        <f>VLOOKUP(B4166, Products!$A$2:$C$100, 2, FALSE)</f>
        <v>Trek 820 - 2016</v>
      </c>
      <c r="E4166">
        <v>1</v>
      </c>
      <c r="F4166">
        <v>3999.99</v>
      </c>
      <c r="G4166">
        <v>0.1</v>
      </c>
      <c r="H4166">
        <v>399.99900000000002</v>
      </c>
      <c r="I4166">
        <f>order_items[[#This Row],[list_price]]-order_items[[#This Row],[Discounted_price]]</f>
        <v>3599.991</v>
      </c>
      <c r="J4166">
        <f>VLOOKUP(B4166, Products!$A$2:$E$100, 3, FALSE)</f>
        <v>9</v>
      </c>
      <c r="K4166">
        <f>VLOOKUP(B4166, Products!$A$2:$F$100, 4, FALSE)</f>
        <v>6</v>
      </c>
    </row>
    <row r="4167" spans="1:11" x14ac:dyDescent="0.3">
      <c r="A4167">
        <v>1431</v>
      </c>
      <c r="B4167">
        <v>2</v>
      </c>
      <c r="C4167">
        <v>53</v>
      </c>
      <c r="D4167" t="str">
        <f>VLOOKUP(B4167, Products!$A$2:$C$100, 2, FALSE)</f>
        <v>Ritchey Timberwolf Frameset - 2016</v>
      </c>
      <c r="E4167">
        <v>1</v>
      </c>
      <c r="F4167">
        <v>749.99</v>
      </c>
      <c r="G4167">
        <v>7.0000000000000007E-2</v>
      </c>
      <c r="H4167">
        <v>52.499300000000005</v>
      </c>
      <c r="I4167">
        <f>order_items[[#This Row],[list_price]]-order_items[[#This Row],[Discounted_price]]</f>
        <v>697.49070000000006</v>
      </c>
      <c r="J4167">
        <f>VLOOKUP(B4167, Products!$A$2:$E$100, 3, FALSE)</f>
        <v>5</v>
      </c>
      <c r="K4167">
        <f>VLOOKUP(B4167, Products!$A$2:$F$100, 4, FALSE)</f>
        <v>6</v>
      </c>
    </row>
    <row r="4168" spans="1:11" x14ac:dyDescent="0.3">
      <c r="A4168">
        <v>1431</v>
      </c>
      <c r="B4168">
        <v>3</v>
      </c>
      <c r="C4168">
        <v>252</v>
      </c>
      <c r="D4168" t="str">
        <f>VLOOKUP(B4168, Products!$A$2:$C$100, 2, FALSE)</f>
        <v>Surly Wednesday Frameset - 2016</v>
      </c>
      <c r="E4168">
        <v>1</v>
      </c>
      <c r="F4168">
        <v>2999.99</v>
      </c>
      <c r="G4168">
        <v>0.2</v>
      </c>
      <c r="H4168">
        <v>599.99799999999993</v>
      </c>
      <c r="I4168">
        <f>order_items[[#This Row],[list_price]]-order_items[[#This Row],[Discounted_price]]</f>
        <v>2399.9919999999997</v>
      </c>
      <c r="J4168">
        <f>VLOOKUP(B4168, Products!$A$2:$E$100, 3, FALSE)</f>
        <v>8</v>
      </c>
      <c r="K4168">
        <f>VLOOKUP(B4168, Products!$A$2:$F$100, 4, FALSE)</f>
        <v>6</v>
      </c>
    </row>
    <row r="4169" spans="1:11" x14ac:dyDescent="0.3">
      <c r="A4169">
        <v>1431</v>
      </c>
      <c r="B4169">
        <v>4</v>
      </c>
      <c r="C4169">
        <v>254</v>
      </c>
      <c r="D4169" t="str">
        <f>VLOOKUP(B4169, Products!$A$2:$C$100, 2, FALSE)</f>
        <v>Trek Fuel EX 8 29 - 2016</v>
      </c>
      <c r="E4169">
        <v>1</v>
      </c>
      <c r="F4169">
        <v>749.99</v>
      </c>
      <c r="G4169">
        <v>7.0000000000000007E-2</v>
      </c>
      <c r="H4169">
        <v>52.499300000000005</v>
      </c>
      <c r="I4169">
        <f>order_items[[#This Row],[list_price]]-order_items[[#This Row],[Discounted_price]]</f>
        <v>697.49070000000006</v>
      </c>
      <c r="J4169">
        <f>VLOOKUP(B4169, Products!$A$2:$E$100, 3, FALSE)</f>
        <v>9</v>
      </c>
      <c r="K4169">
        <f>VLOOKUP(B4169, Products!$A$2:$F$100, 4, FALSE)</f>
        <v>6</v>
      </c>
    </row>
    <row r="4170" spans="1:11" x14ac:dyDescent="0.3">
      <c r="A4170">
        <v>1432</v>
      </c>
      <c r="B4170">
        <v>1</v>
      </c>
      <c r="C4170">
        <v>161</v>
      </c>
      <c r="D4170" t="str">
        <f>VLOOKUP(B4170, Products!$A$2:$C$100, 2, FALSE)</f>
        <v>Trek 820 - 2016</v>
      </c>
      <c r="E4170">
        <v>1</v>
      </c>
      <c r="F4170">
        <v>1899</v>
      </c>
      <c r="G4170">
        <v>0.2</v>
      </c>
      <c r="H4170">
        <v>379.8</v>
      </c>
      <c r="I4170">
        <f>order_items[[#This Row],[list_price]]-order_items[[#This Row],[Discounted_price]]</f>
        <v>1519.2</v>
      </c>
      <c r="J4170">
        <f>VLOOKUP(B4170, Products!$A$2:$E$100, 3, FALSE)</f>
        <v>9</v>
      </c>
      <c r="K4170">
        <f>VLOOKUP(B4170, Products!$A$2:$F$100, 4, FALSE)</f>
        <v>6</v>
      </c>
    </row>
    <row r="4171" spans="1:11" x14ac:dyDescent="0.3">
      <c r="A4171">
        <v>1433</v>
      </c>
      <c r="B4171">
        <v>1</v>
      </c>
      <c r="C4171">
        <v>264</v>
      </c>
      <c r="D4171" t="str">
        <f>VLOOKUP(B4171, Products!$A$2:$C$100, 2, FALSE)</f>
        <v>Trek 820 - 2016</v>
      </c>
      <c r="E4171">
        <v>1</v>
      </c>
      <c r="F4171">
        <v>249.99</v>
      </c>
      <c r="G4171">
        <v>7.0000000000000007E-2</v>
      </c>
      <c r="H4171">
        <v>17.499300000000002</v>
      </c>
      <c r="I4171">
        <f>order_items[[#This Row],[list_price]]-order_items[[#This Row],[Discounted_price]]</f>
        <v>232.4907</v>
      </c>
      <c r="J4171">
        <f>VLOOKUP(B4171, Products!$A$2:$E$100, 3, FALSE)</f>
        <v>9</v>
      </c>
      <c r="K4171">
        <f>VLOOKUP(B4171, Products!$A$2:$F$100, 4, FALSE)</f>
        <v>6</v>
      </c>
    </row>
    <row r="4172" spans="1:11" x14ac:dyDescent="0.3">
      <c r="A4172">
        <v>1434</v>
      </c>
      <c r="B4172">
        <v>1</v>
      </c>
      <c r="C4172">
        <v>229</v>
      </c>
      <c r="D4172" t="str">
        <f>VLOOKUP(B4172, Products!$A$2:$C$100, 2, FALSE)</f>
        <v>Trek 820 - 2016</v>
      </c>
      <c r="E4172">
        <v>2</v>
      </c>
      <c r="F4172">
        <v>429.99</v>
      </c>
      <c r="G4172">
        <v>0.2</v>
      </c>
      <c r="H4172">
        <v>85.998000000000005</v>
      </c>
      <c r="I4172">
        <f>order_items[[#This Row],[list_price]]-order_items[[#This Row],[Discounted_price]]</f>
        <v>343.99200000000002</v>
      </c>
      <c r="J4172">
        <f>VLOOKUP(B4172, Products!$A$2:$E$100, 3, FALSE)</f>
        <v>9</v>
      </c>
      <c r="K4172">
        <f>VLOOKUP(B4172, Products!$A$2:$F$100, 4, FALSE)</f>
        <v>6</v>
      </c>
    </row>
    <row r="4173" spans="1:11" x14ac:dyDescent="0.3">
      <c r="A4173">
        <v>1434</v>
      </c>
      <c r="B4173">
        <v>2</v>
      </c>
      <c r="C4173">
        <v>198</v>
      </c>
      <c r="D4173" t="str">
        <f>VLOOKUP(B4173, Products!$A$2:$C$100, 2, FALSE)</f>
        <v>Ritchey Timberwolf Frameset - 2016</v>
      </c>
      <c r="E4173">
        <v>1</v>
      </c>
      <c r="F4173">
        <v>2999.99</v>
      </c>
      <c r="G4173">
        <v>0.1</v>
      </c>
      <c r="H4173">
        <v>299.99899999999997</v>
      </c>
      <c r="I4173">
        <f>order_items[[#This Row],[list_price]]-order_items[[#This Row],[Discounted_price]]</f>
        <v>2699.991</v>
      </c>
      <c r="J4173">
        <f>VLOOKUP(B4173, Products!$A$2:$E$100, 3, FALSE)</f>
        <v>5</v>
      </c>
      <c r="K4173">
        <f>VLOOKUP(B4173, Products!$A$2:$F$100, 4, FALSE)</f>
        <v>6</v>
      </c>
    </row>
    <row r="4174" spans="1:11" x14ac:dyDescent="0.3">
      <c r="A4174">
        <v>1434</v>
      </c>
      <c r="B4174">
        <v>3</v>
      </c>
      <c r="C4174">
        <v>286</v>
      </c>
      <c r="D4174" t="str">
        <f>VLOOKUP(B4174, Products!$A$2:$C$100, 2, FALSE)</f>
        <v>Surly Wednesday Frameset - 2016</v>
      </c>
      <c r="E4174">
        <v>2</v>
      </c>
      <c r="F4174">
        <v>279.99</v>
      </c>
      <c r="G4174">
        <v>0.1</v>
      </c>
      <c r="H4174">
        <v>27.999000000000002</v>
      </c>
      <c r="I4174">
        <f>order_items[[#This Row],[list_price]]-order_items[[#This Row],[Discounted_price]]</f>
        <v>251.99100000000001</v>
      </c>
      <c r="J4174">
        <f>VLOOKUP(B4174, Products!$A$2:$E$100, 3, FALSE)</f>
        <v>8</v>
      </c>
      <c r="K4174">
        <f>VLOOKUP(B4174, Products!$A$2:$F$100, 4, FALSE)</f>
        <v>6</v>
      </c>
    </row>
    <row r="4175" spans="1:11" x14ac:dyDescent="0.3">
      <c r="A4175">
        <v>1434</v>
      </c>
      <c r="B4175">
        <v>4</v>
      </c>
      <c r="C4175">
        <v>61</v>
      </c>
      <c r="D4175" t="str">
        <f>VLOOKUP(B4175, Products!$A$2:$C$100, 2, FALSE)</f>
        <v>Trek Fuel EX 8 29 - 2016</v>
      </c>
      <c r="E4175">
        <v>2</v>
      </c>
      <c r="F4175">
        <v>4999.99</v>
      </c>
      <c r="G4175">
        <v>7.0000000000000007E-2</v>
      </c>
      <c r="H4175">
        <v>349.99930000000001</v>
      </c>
      <c r="I4175">
        <f>order_items[[#This Row],[list_price]]-order_items[[#This Row],[Discounted_price]]</f>
        <v>4649.9906999999994</v>
      </c>
      <c r="J4175">
        <f>VLOOKUP(B4175, Products!$A$2:$E$100, 3, FALSE)</f>
        <v>9</v>
      </c>
      <c r="K4175">
        <f>VLOOKUP(B4175, Products!$A$2:$F$100, 4, FALSE)</f>
        <v>6</v>
      </c>
    </row>
    <row r="4176" spans="1:11" x14ac:dyDescent="0.3">
      <c r="A4176">
        <v>1435</v>
      </c>
      <c r="B4176">
        <v>1</v>
      </c>
      <c r="C4176">
        <v>141</v>
      </c>
      <c r="D4176" t="str">
        <f>VLOOKUP(B4176, Products!$A$2:$C$100, 2, FALSE)</f>
        <v>Trek 820 - 2016</v>
      </c>
      <c r="E4176">
        <v>2</v>
      </c>
      <c r="F4176">
        <v>1599.99</v>
      </c>
      <c r="G4176">
        <v>7.0000000000000007E-2</v>
      </c>
      <c r="H4176">
        <v>111.99930000000001</v>
      </c>
      <c r="I4176">
        <f>order_items[[#This Row],[list_price]]-order_items[[#This Row],[Discounted_price]]</f>
        <v>1487.9907000000001</v>
      </c>
      <c r="J4176">
        <f>VLOOKUP(B4176, Products!$A$2:$E$100, 3, FALSE)</f>
        <v>9</v>
      </c>
      <c r="K4176">
        <f>VLOOKUP(B4176, Products!$A$2:$F$100, 4, FALSE)</f>
        <v>6</v>
      </c>
    </row>
    <row r="4177" spans="1:11" x14ac:dyDescent="0.3">
      <c r="A4177">
        <v>1435</v>
      </c>
      <c r="B4177">
        <v>2</v>
      </c>
      <c r="C4177">
        <v>29</v>
      </c>
      <c r="D4177" t="str">
        <f>VLOOKUP(B4177, Products!$A$2:$C$100, 2, FALSE)</f>
        <v>Ritchey Timberwolf Frameset - 2016</v>
      </c>
      <c r="E4177">
        <v>1</v>
      </c>
      <c r="F4177">
        <v>999.99</v>
      </c>
      <c r="G4177">
        <v>0.2</v>
      </c>
      <c r="H4177">
        <v>199.99800000000002</v>
      </c>
      <c r="I4177">
        <f>order_items[[#This Row],[list_price]]-order_items[[#This Row],[Discounted_price]]</f>
        <v>799.99199999999996</v>
      </c>
      <c r="J4177">
        <f>VLOOKUP(B4177, Products!$A$2:$E$100, 3, FALSE)</f>
        <v>5</v>
      </c>
      <c r="K4177">
        <f>VLOOKUP(B4177, Products!$A$2:$F$100, 4, FALSE)</f>
        <v>6</v>
      </c>
    </row>
    <row r="4178" spans="1:11" x14ac:dyDescent="0.3">
      <c r="A4178">
        <v>1435</v>
      </c>
      <c r="B4178">
        <v>3</v>
      </c>
      <c r="C4178">
        <v>60</v>
      </c>
      <c r="D4178" t="str">
        <f>VLOOKUP(B4178, Products!$A$2:$C$100, 2, FALSE)</f>
        <v>Surly Wednesday Frameset - 2016</v>
      </c>
      <c r="E4178">
        <v>1</v>
      </c>
      <c r="F4178">
        <v>1559.99</v>
      </c>
      <c r="G4178">
        <v>0.1</v>
      </c>
      <c r="H4178">
        <v>155.99900000000002</v>
      </c>
      <c r="I4178">
        <f>order_items[[#This Row],[list_price]]-order_items[[#This Row],[Discounted_price]]</f>
        <v>1403.991</v>
      </c>
      <c r="J4178">
        <f>VLOOKUP(B4178, Products!$A$2:$E$100, 3, FALSE)</f>
        <v>8</v>
      </c>
      <c r="K4178">
        <f>VLOOKUP(B4178, Products!$A$2:$F$100, 4, FALSE)</f>
        <v>6</v>
      </c>
    </row>
    <row r="4179" spans="1:11" x14ac:dyDescent="0.3">
      <c r="A4179">
        <v>1435</v>
      </c>
      <c r="B4179">
        <v>4</v>
      </c>
      <c r="C4179">
        <v>260</v>
      </c>
      <c r="D4179" t="str">
        <f>VLOOKUP(B4179, Products!$A$2:$C$100, 2, FALSE)</f>
        <v>Trek Fuel EX 8 29 - 2016</v>
      </c>
      <c r="E4179">
        <v>1</v>
      </c>
      <c r="F4179">
        <v>799.99</v>
      </c>
      <c r="G4179">
        <v>7.0000000000000007E-2</v>
      </c>
      <c r="H4179">
        <v>55.999300000000005</v>
      </c>
      <c r="I4179">
        <f>order_items[[#This Row],[list_price]]-order_items[[#This Row],[Discounted_price]]</f>
        <v>743.99070000000006</v>
      </c>
      <c r="J4179">
        <f>VLOOKUP(B4179, Products!$A$2:$E$100, 3, FALSE)</f>
        <v>9</v>
      </c>
      <c r="K4179">
        <f>VLOOKUP(B4179, Products!$A$2:$F$100, 4, FALSE)</f>
        <v>6</v>
      </c>
    </row>
    <row r="4180" spans="1:11" x14ac:dyDescent="0.3">
      <c r="A4180">
        <v>1436</v>
      </c>
      <c r="B4180">
        <v>1</v>
      </c>
      <c r="C4180">
        <v>244</v>
      </c>
      <c r="D4180" t="str">
        <f>VLOOKUP(B4180, Products!$A$2:$C$100, 2, FALSE)</f>
        <v>Trek 820 - 2016</v>
      </c>
      <c r="E4180">
        <v>2</v>
      </c>
      <c r="F4180">
        <v>559.99</v>
      </c>
      <c r="G4180">
        <v>7.0000000000000007E-2</v>
      </c>
      <c r="H4180">
        <v>39.199300000000001</v>
      </c>
      <c r="I4180">
        <f>order_items[[#This Row],[list_price]]-order_items[[#This Row],[Discounted_price]]</f>
        <v>520.79070000000002</v>
      </c>
      <c r="J4180">
        <f>VLOOKUP(B4180, Products!$A$2:$E$100, 3, FALSE)</f>
        <v>9</v>
      </c>
      <c r="K4180">
        <f>VLOOKUP(B4180, Products!$A$2:$F$100, 4, FALSE)</f>
        <v>6</v>
      </c>
    </row>
    <row r="4181" spans="1:11" x14ac:dyDescent="0.3">
      <c r="A4181">
        <v>1437</v>
      </c>
      <c r="B4181">
        <v>1</v>
      </c>
      <c r="C4181">
        <v>141</v>
      </c>
      <c r="D4181" t="str">
        <f>VLOOKUP(B4181, Products!$A$2:$C$100, 2, FALSE)</f>
        <v>Trek 820 - 2016</v>
      </c>
      <c r="E4181">
        <v>2</v>
      </c>
      <c r="F4181">
        <v>1599.99</v>
      </c>
      <c r="G4181">
        <v>0.05</v>
      </c>
      <c r="H4181">
        <v>79.999500000000012</v>
      </c>
      <c r="I4181">
        <f>order_items[[#This Row],[list_price]]-order_items[[#This Row],[Discounted_price]]</f>
        <v>1519.9904999999999</v>
      </c>
      <c r="J4181">
        <f>VLOOKUP(B4181, Products!$A$2:$E$100, 3, FALSE)</f>
        <v>9</v>
      </c>
      <c r="K4181">
        <f>VLOOKUP(B4181, Products!$A$2:$F$100, 4, FALSE)</f>
        <v>6</v>
      </c>
    </row>
    <row r="4182" spans="1:11" x14ac:dyDescent="0.3">
      <c r="A4182">
        <v>1438</v>
      </c>
      <c r="B4182">
        <v>1</v>
      </c>
      <c r="C4182">
        <v>225</v>
      </c>
      <c r="D4182" t="str">
        <f>VLOOKUP(B4182, Products!$A$2:$C$100, 2, FALSE)</f>
        <v>Trek 820 - 2016</v>
      </c>
      <c r="E4182">
        <v>1</v>
      </c>
      <c r="F4182">
        <v>959.99</v>
      </c>
      <c r="G4182">
        <v>0.2</v>
      </c>
      <c r="H4182">
        <v>191.99800000000002</v>
      </c>
      <c r="I4182">
        <f>order_items[[#This Row],[list_price]]-order_items[[#This Row],[Discounted_price]]</f>
        <v>767.99199999999996</v>
      </c>
      <c r="J4182">
        <f>VLOOKUP(B4182, Products!$A$2:$E$100, 3, FALSE)</f>
        <v>9</v>
      </c>
      <c r="K4182">
        <f>VLOOKUP(B4182, Products!$A$2:$F$100, 4, FALSE)</f>
        <v>6</v>
      </c>
    </row>
    <row r="4183" spans="1:11" x14ac:dyDescent="0.3">
      <c r="A4183">
        <v>1438</v>
      </c>
      <c r="B4183">
        <v>2</v>
      </c>
      <c r="C4183">
        <v>140</v>
      </c>
      <c r="D4183" t="str">
        <f>VLOOKUP(B4183, Products!$A$2:$C$100, 2, FALSE)</f>
        <v>Ritchey Timberwolf Frameset - 2016</v>
      </c>
      <c r="E4183">
        <v>1</v>
      </c>
      <c r="F4183">
        <v>4999.99</v>
      </c>
      <c r="G4183">
        <v>0.2</v>
      </c>
      <c r="H4183">
        <v>999.99800000000005</v>
      </c>
      <c r="I4183">
        <f>order_items[[#This Row],[list_price]]-order_items[[#This Row],[Discounted_price]]</f>
        <v>3999.9919999999997</v>
      </c>
      <c r="J4183">
        <f>VLOOKUP(B4183, Products!$A$2:$E$100, 3, FALSE)</f>
        <v>5</v>
      </c>
      <c r="K4183">
        <f>VLOOKUP(B4183, Products!$A$2:$F$100, 4, FALSE)</f>
        <v>6</v>
      </c>
    </row>
    <row r="4184" spans="1:11" x14ac:dyDescent="0.3">
      <c r="A4184">
        <v>1438</v>
      </c>
      <c r="B4184">
        <v>3</v>
      </c>
      <c r="C4184">
        <v>81</v>
      </c>
      <c r="D4184" t="str">
        <f>VLOOKUP(B4184, Products!$A$2:$C$100, 2, FALSE)</f>
        <v>Surly Wednesday Frameset - 2016</v>
      </c>
      <c r="E4184">
        <v>2</v>
      </c>
      <c r="F4184">
        <v>1099.99</v>
      </c>
      <c r="G4184">
        <v>0.05</v>
      </c>
      <c r="H4184">
        <v>54.999500000000005</v>
      </c>
      <c r="I4184">
        <f>order_items[[#This Row],[list_price]]-order_items[[#This Row],[Discounted_price]]</f>
        <v>1044.9905000000001</v>
      </c>
      <c r="J4184">
        <f>VLOOKUP(B4184, Products!$A$2:$E$100, 3, FALSE)</f>
        <v>8</v>
      </c>
      <c r="K4184">
        <f>VLOOKUP(B4184, Products!$A$2:$F$100, 4, FALSE)</f>
        <v>6</v>
      </c>
    </row>
    <row r="4185" spans="1:11" x14ac:dyDescent="0.3">
      <c r="A4185">
        <v>1438</v>
      </c>
      <c r="B4185">
        <v>4</v>
      </c>
      <c r="C4185">
        <v>137</v>
      </c>
      <c r="D4185" t="str">
        <f>VLOOKUP(B4185, Products!$A$2:$C$100, 2, FALSE)</f>
        <v>Trek Fuel EX 8 29 - 2016</v>
      </c>
      <c r="E4185">
        <v>1</v>
      </c>
      <c r="F4185">
        <v>2599</v>
      </c>
      <c r="G4185">
        <v>0.1</v>
      </c>
      <c r="H4185">
        <v>259.90000000000003</v>
      </c>
      <c r="I4185">
        <f>order_items[[#This Row],[list_price]]-order_items[[#This Row],[Discounted_price]]</f>
        <v>2339.1</v>
      </c>
      <c r="J4185">
        <f>VLOOKUP(B4185, Products!$A$2:$E$100, 3, FALSE)</f>
        <v>9</v>
      </c>
      <c r="K4185">
        <f>VLOOKUP(B4185, Products!$A$2:$F$100, 4, FALSE)</f>
        <v>6</v>
      </c>
    </row>
    <row r="4186" spans="1:11" x14ac:dyDescent="0.3">
      <c r="A4186">
        <v>1438</v>
      </c>
      <c r="B4186">
        <v>5</v>
      </c>
      <c r="C4186">
        <v>190</v>
      </c>
      <c r="D4186" t="str">
        <f>VLOOKUP(B4186, Products!$A$2:$C$100, 2, FALSE)</f>
        <v>Heller Shagamaw Frame - 2016</v>
      </c>
      <c r="E4186">
        <v>2</v>
      </c>
      <c r="F4186">
        <v>2799.99</v>
      </c>
      <c r="G4186">
        <v>7.0000000000000007E-2</v>
      </c>
      <c r="H4186">
        <v>195.99930000000001</v>
      </c>
      <c r="I4186">
        <f>order_items[[#This Row],[list_price]]-order_items[[#This Row],[Discounted_price]]</f>
        <v>2603.9906999999998</v>
      </c>
      <c r="J4186">
        <f>VLOOKUP(B4186, Products!$A$2:$E$100, 3, FALSE)</f>
        <v>3</v>
      </c>
      <c r="K4186">
        <f>VLOOKUP(B4186, Products!$A$2:$F$100, 4, FALSE)</f>
        <v>6</v>
      </c>
    </row>
    <row r="4187" spans="1:11" x14ac:dyDescent="0.3">
      <c r="A4187">
        <v>1439</v>
      </c>
      <c r="B4187">
        <v>1</v>
      </c>
      <c r="C4187">
        <v>42</v>
      </c>
      <c r="D4187" t="str">
        <f>VLOOKUP(B4187, Products!$A$2:$C$100, 2, FALSE)</f>
        <v>Trek 820 - 2016</v>
      </c>
      <c r="E4187">
        <v>1</v>
      </c>
      <c r="F4187">
        <v>2299.9899999999998</v>
      </c>
      <c r="G4187">
        <v>7.0000000000000007E-2</v>
      </c>
      <c r="H4187">
        <v>160.99930000000001</v>
      </c>
      <c r="I4187">
        <f>order_items[[#This Row],[list_price]]-order_items[[#This Row],[Discounted_price]]</f>
        <v>2138.9906999999998</v>
      </c>
      <c r="J4187">
        <f>VLOOKUP(B4187, Products!$A$2:$E$100, 3, FALSE)</f>
        <v>9</v>
      </c>
      <c r="K4187">
        <f>VLOOKUP(B4187, Products!$A$2:$F$100, 4, FALSE)</f>
        <v>6</v>
      </c>
    </row>
    <row r="4188" spans="1:11" x14ac:dyDescent="0.3">
      <c r="A4188">
        <v>1439</v>
      </c>
      <c r="B4188">
        <v>2</v>
      </c>
      <c r="C4188">
        <v>263</v>
      </c>
      <c r="D4188" t="str">
        <f>VLOOKUP(B4188, Products!$A$2:$C$100, 2, FALSE)</f>
        <v>Ritchey Timberwolf Frameset - 2016</v>
      </c>
      <c r="E4188">
        <v>1</v>
      </c>
      <c r="F4188">
        <v>89.99</v>
      </c>
      <c r="G4188">
        <v>0.2</v>
      </c>
      <c r="H4188">
        <v>17.998000000000001</v>
      </c>
      <c r="I4188">
        <f>order_items[[#This Row],[list_price]]-order_items[[#This Row],[Discounted_price]]</f>
        <v>71.99199999999999</v>
      </c>
      <c r="J4188">
        <f>VLOOKUP(B4188, Products!$A$2:$E$100, 3, FALSE)</f>
        <v>5</v>
      </c>
      <c r="K4188">
        <f>VLOOKUP(B4188, Products!$A$2:$F$100, 4, FALSE)</f>
        <v>6</v>
      </c>
    </row>
    <row r="4189" spans="1:11" x14ac:dyDescent="0.3">
      <c r="A4189">
        <v>1439</v>
      </c>
      <c r="B4189">
        <v>3</v>
      </c>
      <c r="C4189">
        <v>102</v>
      </c>
      <c r="D4189" t="str">
        <f>VLOOKUP(B4189, Products!$A$2:$C$100, 2, FALSE)</f>
        <v>Surly Wednesday Frameset - 2016</v>
      </c>
      <c r="E4189">
        <v>2</v>
      </c>
      <c r="F4189">
        <v>489.99</v>
      </c>
      <c r="G4189">
        <v>0.05</v>
      </c>
      <c r="H4189">
        <v>24.499500000000001</v>
      </c>
      <c r="I4189">
        <f>order_items[[#This Row],[list_price]]-order_items[[#This Row],[Discounted_price]]</f>
        <v>465.4905</v>
      </c>
      <c r="J4189">
        <f>VLOOKUP(B4189, Products!$A$2:$E$100, 3, FALSE)</f>
        <v>8</v>
      </c>
      <c r="K4189">
        <f>VLOOKUP(B4189, Products!$A$2:$F$100, 4, FALSE)</f>
        <v>6</v>
      </c>
    </row>
    <row r="4190" spans="1:11" x14ac:dyDescent="0.3">
      <c r="A4190">
        <v>1439</v>
      </c>
      <c r="B4190">
        <v>4</v>
      </c>
      <c r="C4190">
        <v>149</v>
      </c>
      <c r="D4190" t="str">
        <f>VLOOKUP(B4190, Products!$A$2:$C$100, 2, FALSE)</f>
        <v>Trek Fuel EX 8 29 - 2016</v>
      </c>
      <c r="E4190">
        <v>1</v>
      </c>
      <c r="F4190">
        <v>7499.99</v>
      </c>
      <c r="G4190">
        <v>0.05</v>
      </c>
      <c r="H4190">
        <v>374.99950000000001</v>
      </c>
      <c r="I4190">
        <f>order_items[[#This Row],[list_price]]-order_items[[#This Row],[Discounted_price]]</f>
        <v>7124.9904999999999</v>
      </c>
      <c r="J4190">
        <f>VLOOKUP(B4190, Products!$A$2:$E$100, 3, FALSE)</f>
        <v>9</v>
      </c>
      <c r="K4190">
        <f>VLOOKUP(B4190, Products!$A$2:$F$100, 4, FALSE)</f>
        <v>6</v>
      </c>
    </row>
    <row r="4191" spans="1:11" x14ac:dyDescent="0.3">
      <c r="A4191">
        <v>1440</v>
      </c>
      <c r="B4191">
        <v>1</v>
      </c>
      <c r="C4191">
        <v>116</v>
      </c>
      <c r="D4191" t="str">
        <f>VLOOKUP(B4191, Products!$A$2:$C$100, 2, FALSE)</f>
        <v>Trek 820 - 2016</v>
      </c>
      <c r="E4191">
        <v>2</v>
      </c>
      <c r="F4191">
        <v>749.99</v>
      </c>
      <c r="G4191">
        <v>7.0000000000000007E-2</v>
      </c>
      <c r="H4191">
        <v>52.499300000000005</v>
      </c>
      <c r="I4191">
        <f>order_items[[#This Row],[list_price]]-order_items[[#This Row],[Discounted_price]]</f>
        <v>697.49070000000006</v>
      </c>
      <c r="J4191">
        <f>VLOOKUP(B4191, Products!$A$2:$E$100, 3, FALSE)</f>
        <v>9</v>
      </c>
      <c r="K4191">
        <f>VLOOKUP(B4191, Products!$A$2:$F$100, 4, FALSE)</f>
        <v>6</v>
      </c>
    </row>
    <row r="4192" spans="1:11" x14ac:dyDescent="0.3">
      <c r="A4192">
        <v>1440</v>
      </c>
      <c r="B4192">
        <v>2</v>
      </c>
      <c r="C4192">
        <v>109</v>
      </c>
      <c r="D4192" t="str">
        <f>VLOOKUP(B4192, Products!$A$2:$C$100, 2, FALSE)</f>
        <v>Ritchey Timberwolf Frameset - 2016</v>
      </c>
      <c r="E4192">
        <v>1</v>
      </c>
      <c r="F4192">
        <v>416.99</v>
      </c>
      <c r="G4192">
        <v>7.0000000000000007E-2</v>
      </c>
      <c r="H4192">
        <v>29.189300000000003</v>
      </c>
      <c r="I4192">
        <f>order_items[[#This Row],[list_price]]-order_items[[#This Row],[Discounted_price]]</f>
        <v>387.80070000000001</v>
      </c>
      <c r="J4192">
        <f>VLOOKUP(B4192, Products!$A$2:$E$100, 3, FALSE)</f>
        <v>5</v>
      </c>
      <c r="K4192">
        <f>VLOOKUP(B4192, Products!$A$2:$F$100, 4, FALSE)</f>
        <v>6</v>
      </c>
    </row>
    <row r="4193" spans="1:11" x14ac:dyDescent="0.3">
      <c r="A4193">
        <v>1440</v>
      </c>
      <c r="B4193">
        <v>3</v>
      </c>
      <c r="C4193">
        <v>186</v>
      </c>
      <c r="D4193" t="str">
        <f>VLOOKUP(B4193, Products!$A$2:$C$100, 2, FALSE)</f>
        <v>Surly Wednesday Frameset - 2016</v>
      </c>
      <c r="E4193">
        <v>1</v>
      </c>
      <c r="F4193">
        <v>4499.99</v>
      </c>
      <c r="G4193">
        <v>0.1</v>
      </c>
      <c r="H4193">
        <v>449.99900000000002</v>
      </c>
      <c r="I4193">
        <f>order_items[[#This Row],[list_price]]-order_items[[#This Row],[Discounted_price]]</f>
        <v>4049.991</v>
      </c>
      <c r="J4193">
        <f>VLOOKUP(B4193, Products!$A$2:$E$100, 3, FALSE)</f>
        <v>8</v>
      </c>
      <c r="K4193">
        <f>VLOOKUP(B4193, Products!$A$2:$F$100, 4, FALSE)</f>
        <v>6</v>
      </c>
    </row>
    <row r="4194" spans="1:11" x14ac:dyDescent="0.3">
      <c r="A4194">
        <v>1440</v>
      </c>
      <c r="B4194">
        <v>4</v>
      </c>
      <c r="C4194">
        <v>178</v>
      </c>
      <c r="D4194" t="str">
        <f>VLOOKUP(B4194, Products!$A$2:$C$100, 2, FALSE)</f>
        <v>Trek Fuel EX 8 29 - 2016</v>
      </c>
      <c r="E4194">
        <v>2</v>
      </c>
      <c r="F4194">
        <v>749.99</v>
      </c>
      <c r="G4194">
        <v>0.05</v>
      </c>
      <c r="H4194">
        <v>37.499500000000005</v>
      </c>
      <c r="I4194">
        <f>order_items[[#This Row],[list_price]]-order_items[[#This Row],[Discounted_price]]</f>
        <v>712.4905</v>
      </c>
      <c r="J4194">
        <f>VLOOKUP(B4194, Products!$A$2:$E$100, 3, FALSE)</f>
        <v>9</v>
      </c>
      <c r="K4194">
        <f>VLOOKUP(B4194, Products!$A$2:$F$100, 4, FALSE)</f>
        <v>6</v>
      </c>
    </row>
    <row r="4195" spans="1:11" x14ac:dyDescent="0.3">
      <c r="A4195">
        <v>1440</v>
      </c>
      <c r="B4195">
        <v>5</v>
      </c>
      <c r="C4195">
        <v>67</v>
      </c>
      <c r="D4195" t="str">
        <f>VLOOKUP(B4195, Products!$A$2:$C$100, 2, FALSE)</f>
        <v>Heller Shagamaw Frame - 2016</v>
      </c>
      <c r="E4195">
        <v>2</v>
      </c>
      <c r="F4195">
        <v>250.99</v>
      </c>
      <c r="G4195">
        <v>0.2</v>
      </c>
      <c r="H4195">
        <v>50.198000000000008</v>
      </c>
      <c r="I4195">
        <f>order_items[[#This Row],[list_price]]-order_items[[#This Row],[Discounted_price]]</f>
        <v>200.792</v>
      </c>
      <c r="J4195">
        <f>VLOOKUP(B4195, Products!$A$2:$E$100, 3, FALSE)</f>
        <v>3</v>
      </c>
      <c r="K4195">
        <f>VLOOKUP(B4195, Products!$A$2:$F$100, 4, FALSE)</f>
        <v>6</v>
      </c>
    </row>
    <row r="4196" spans="1:11" x14ac:dyDescent="0.3">
      <c r="A4196">
        <v>1441</v>
      </c>
      <c r="B4196">
        <v>1</v>
      </c>
      <c r="C4196">
        <v>6</v>
      </c>
      <c r="D4196" t="str">
        <f>VLOOKUP(B4196, Products!$A$2:$C$100, 2, FALSE)</f>
        <v>Trek 820 - 2016</v>
      </c>
      <c r="E4196">
        <v>1</v>
      </c>
      <c r="F4196">
        <v>469.99</v>
      </c>
      <c r="G4196">
        <v>0.05</v>
      </c>
      <c r="H4196">
        <v>23.499500000000001</v>
      </c>
      <c r="I4196">
        <f>order_items[[#This Row],[list_price]]-order_items[[#This Row],[Discounted_price]]</f>
        <v>446.4905</v>
      </c>
      <c r="J4196">
        <f>VLOOKUP(B4196, Products!$A$2:$E$100, 3, FALSE)</f>
        <v>9</v>
      </c>
      <c r="K4196">
        <f>VLOOKUP(B4196, Products!$A$2:$F$100, 4, FALSE)</f>
        <v>6</v>
      </c>
    </row>
    <row r="4197" spans="1:11" x14ac:dyDescent="0.3">
      <c r="A4197">
        <v>1441</v>
      </c>
      <c r="B4197">
        <v>2</v>
      </c>
      <c r="C4197">
        <v>242</v>
      </c>
      <c r="D4197" t="str">
        <f>VLOOKUP(B4197, Products!$A$2:$C$100, 2, FALSE)</f>
        <v>Ritchey Timberwolf Frameset - 2016</v>
      </c>
      <c r="E4197">
        <v>2</v>
      </c>
      <c r="F4197">
        <v>699.99</v>
      </c>
      <c r="G4197">
        <v>0.2</v>
      </c>
      <c r="H4197">
        <v>139.99800000000002</v>
      </c>
      <c r="I4197">
        <f>order_items[[#This Row],[list_price]]-order_items[[#This Row],[Discounted_price]]</f>
        <v>559.99199999999996</v>
      </c>
      <c r="J4197">
        <f>VLOOKUP(B4197, Products!$A$2:$E$100, 3, FALSE)</f>
        <v>5</v>
      </c>
      <c r="K4197">
        <f>VLOOKUP(B4197, Products!$A$2:$F$100, 4, FALSE)</f>
        <v>6</v>
      </c>
    </row>
    <row r="4198" spans="1:11" x14ac:dyDescent="0.3">
      <c r="A4198">
        <v>1441</v>
      </c>
      <c r="B4198">
        <v>3</v>
      </c>
      <c r="C4198">
        <v>46</v>
      </c>
      <c r="D4198" t="str">
        <f>VLOOKUP(B4198, Products!$A$2:$C$100, 2, FALSE)</f>
        <v>Surly Wednesday Frameset - 2016</v>
      </c>
      <c r="E4198">
        <v>1</v>
      </c>
      <c r="F4198">
        <v>1409.99</v>
      </c>
      <c r="G4198">
        <v>7.0000000000000007E-2</v>
      </c>
      <c r="H4198">
        <v>98.699300000000008</v>
      </c>
      <c r="I4198">
        <f>order_items[[#This Row],[list_price]]-order_items[[#This Row],[Discounted_price]]</f>
        <v>1311.2907</v>
      </c>
      <c r="J4198">
        <f>VLOOKUP(B4198, Products!$A$2:$E$100, 3, FALSE)</f>
        <v>8</v>
      </c>
      <c r="K4198">
        <f>VLOOKUP(B4198, Products!$A$2:$F$100, 4, FALSE)</f>
        <v>6</v>
      </c>
    </row>
    <row r="4199" spans="1:11" x14ac:dyDescent="0.3">
      <c r="A4199">
        <v>1442</v>
      </c>
      <c r="B4199">
        <v>1</v>
      </c>
      <c r="C4199">
        <v>160</v>
      </c>
      <c r="D4199" t="str">
        <f>VLOOKUP(B4199, Products!$A$2:$C$100, 2, FALSE)</f>
        <v>Trek 820 - 2016</v>
      </c>
      <c r="E4199">
        <v>1</v>
      </c>
      <c r="F4199">
        <v>4499.99</v>
      </c>
      <c r="G4199">
        <v>0.1</v>
      </c>
      <c r="H4199">
        <v>449.99900000000002</v>
      </c>
      <c r="I4199">
        <f>order_items[[#This Row],[list_price]]-order_items[[#This Row],[Discounted_price]]</f>
        <v>4049.991</v>
      </c>
      <c r="J4199">
        <f>VLOOKUP(B4199, Products!$A$2:$E$100, 3, FALSE)</f>
        <v>9</v>
      </c>
      <c r="K4199">
        <f>VLOOKUP(B4199, Products!$A$2:$F$100, 4, FALSE)</f>
        <v>6</v>
      </c>
    </row>
    <row r="4200" spans="1:11" x14ac:dyDescent="0.3">
      <c r="A4200">
        <v>1442</v>
      </c>
      <c r="B4200">
        <v>2</v>
      </c>
      <c r="C4200">
        <v>220</v>
      </c>
      <c r="D4200" t="str">
        <f>VLOOKUP(B4200, Products!$A$2:$C$100, 2, FALSE)</f>
        <v>Ritchey Timberwolf Frameset - 2016</v>
      </c>
      <c r="E4200">
        <v>1</v>
      </c>
      <c r="F4200">
        <v>269.99</v>
      </c>
      <c r="G4200">
        <v>7.0000000000000007E-2</v>
      </c>
      <c r="H4200">
        <v>18.899300000000004</v>
      </c>
      <c r="I4200">
        <f>order_items[[#This Row],[list_price]]-order_items[[#This Row],[Discounted_price]]</f>
        <v>251.0907</v>
      </c>
      <c r="J4200">
        <f>VLOOKUP(B4200, Products!$A$2:$E$100, 3, FALSE)</f>
        <v>5</v>
      </c>
      <c r="K4200">
        <f>VLOOKUP(B4200, Products!$A$2:$F$100, 4, FALSE)</f>
        <v>6</v>
      </c>
    </row>
    <row r="4201" spans="1:11" x14ac:dyDescent="0.3">
      <c r="A4201">
        <v>1442</v>
      </c>
      <c r="B4201">
        <v>3</v>
      </c>
      <c r="C4201">
        <v>271</v>
      </c>
      <c r="D4201" t="str">
        <f>VLOOKUP(B4201, Products!$A$2:$C$100, 2, FALSE)</f>
        <v>Surly Wednesday Frameset - 2016</v>
      </c>
      <c r="E4201">
        <v>2</v>
      </c>
      <c r="F4201">
        <v>209.99</v>
      </c>
      <c r="G4201">
        <v>0.05</v>
      </c>
      <c r="H4201">
        <v>10.499500000000001</v>
      </c>
      <c r="I4201">
        <f>order_items[[#This Row],[list_price]]-order_items[[#This Row],[Discounted_price]]</f>
        <v>199.4905</v>
      </c>
      <c r="J4201">
        <f>VLOOKUP(B4201, Products!$A$2:$E$100, 3, FALSE)</f>
        <v>8</v>
      </c>
      <c r="K4201">
        <f>VLOOKUP(B4201, Products!$A$2:$F$100, 4, FALSE)</f>
        <v>6</v>
      </c>
    </row>
    <row r="4202" spans="1:11" x14ac:dyDescent="0.3">
      <c r="A4202">
        <v>1443</v>
      </c>
      <c r="B4202">
        <v>1</v>
      </c>
      <c r="C4202">
        <v>160</v>
      </c>
      <c r="D4202" t="str">
        <f>VLOOKUP(B4202, Products!$A$2:$C$100, 2, FALSE)</f>
        <v>Trek 820 - 2016</v>
      </c>
      <c r="E4202">
        <v>1</v>
      </c>
      <c r="F4202">
        <v>4499.99</v>
      </c>
      <c r="G4202">
        <v>7.0000000000000007E-2</v>
      </c>
      <c r="H4202">
        <v>314.99930000000001</v>
      </c>
      <c r="I4202">
        <f>order_items[[#This Row],[list_price]]-order_items[[#This Row],[Discounted_price]]</f>
        <v>4184.9906999999994</v>
      </c>
      <c r="J4202">
        <f>VLOOKUP(B4202, Products!$A$2:$E$100, 3, FALSE)</f>
        <v>9</v>
      </c>
      <c r="K4202">
        <f>VLOOKUP(B4202, Products!$A$2:$F$100, 4, FALSE)</f>
        <v>6</v>
      </c>
    </row>
    <row r="4203" spans="1:11" x14ac:dyDescent="0.3">
      <c r="A4203">
        <v>1443</v>
      </c>
      <c r="B4203">
        <v>2</v>
      </c>
      <c r="C4203">
        <v>57</v>
      </c>
      <c r="D4203" t="str">
        <f>VLOOKUP(B4203, Products!$A$2:$C$100, 2, FALSE)</f>
        <v>Ritchey Timberwolf Frameset - 2016</v>
      </c>
      <c r="E4203">
        <v>1</v>
      </c>
      <c r="F4203">
        <v>1999.99</v>
      </c>
      <c r="G4203">
        <v>0.2</v>
      </c>
      <c r="H4203">
        <v>399.99800000000005</v>
      </c>
      <c r="I4203">
        <f>order_items[[#This Row],[list_price]]-order_items[[#This Row],[Discounted_price]]</f>
        <v>1599.992</v>
      </c>
      <c r="J4203">
        <f>VLOOKUP(B4203, Products!$A$2:$E$100, 3, FALSE)</f>
        <v>5</v>
      </c>
      <c r="K4203">
        <f>VLOOKUP(B4203, Products!$A$2:$F$100, 4, FALSE)</f>
        <v>6</v>
      </c>
    </row>
    <row r="4204" spans="1:11" x14ac:dyDescent="0.3">
      <c r="A4204">
        <v>1443</v>
      </c>
      <c r="B4204">
        <v>3</v>
      </c>
      <c r="C4204">
        <v>101</v>
      </c>
      <c r="D4204" t="str">
        <f>VLOOKUP(B4204, Products!$A$2:$C$100, 2, FALSE)</f>
        <v>Surly Wednesday Frameset - 2016</v>
      </c>
      <c r="E4204">
        <v>2</v>
      </c>
      <c r="F4204">
        <v>339.99</v>
      </c>
      <c r="G4204">
        <v>0.1</v>
      </c>
      <c r="H4204">
        <v>33.999000000000002</v>
      </c>
      <c r="I4204">
        <f>order_items[[#This Row],[list_price]]-order_items[[#This Row],[Discounted_price]]</f>
        <v>305.99099999999999</v>
      </c>
      <c r="J4204">
        <f>VLOOKUP(B4204, Products!$A$2:$E$100, 3, FALSE)</f>
        <v>8</v>
      </c>
      <c r="K4204">
        <f>VLOOKUP(B4204, Products!$A$2:$F$100, 4, FALSE)</f>
        <v>6</v>
      </c>
    </row>
    <row r="4205" spans="1:11" x14ac:dyDescent="0.3">
      <c r="A4205">
        <v>1444</v>
      </c>
      <c r="B4205">
        <v>1</v>
      </c>
      <c r="C4205">
        <v>90</v>
      </c>
      <c r="D4205" t="str">
        <f>VLOOKUP(B4205, Products!$A$2:$C$100, 2, FALSE)</f>
        <v>Trek 820 - 2016</v>
      </c>
      <c r="E4205">
        <v>1</v>
      </c>
      <c r="F4205">
        <v>209.99</v>
      </c>
      <c r="G4205">
        <v>0.1</v>
      </c>
      <c r="H4205">
        <v>20.999000000000002</v>
      </c>
      <c r="I4205">
        <f>order_items[[#This Row],[list_price]]-order_items[[#This Row],[Discounted_price]]</f>
        <v>188.99100000000001</v>
      </c>
      <c r="J4205">
        <f>VLOOKUP(B4205, Products!$A$2:$E$100, 3, FALSE)</f>
        <v>9</v>
      </c>
      <c r="K4205">
        <f>VLOOKUP(B4205, Products!$A$2:$F$100, 4, FALSE)</f>
        <v>6</v>
      </c>
    </row>
    <row r="4206" spans="1:11" x14ac:dyDescent="0.3">
      <c r="A4206">
        <v>1444</v>
      </c>
      <c r="B4206">
        <v>2</v>
      </c>
      <c r="C4206">
        <v>128</v>
      </c>
      <c r="D4206" t="str">
        <f>VLOOKUP(B4206, Products!$A$2:$C$100, 2, FALSE)</f>
        <v>Ritchey Timberwolf Frameset - 2016</v>
      </c>
      <c r="E4206">
        <v>2</v>
      </c>
      <c r="F4206">
        <v>1899</v>
      </c>
      <c r="G4206">
        <v>0.2</v>
      </c>
      <c r="H4206">
        <v>379.8</v>
      </c>
      <c r="I4206">
        <f>order_items[[#This Row],[list_price]]-order_items[[#This Row],[Discounted_price]]</f>
        <v>1519.2</v>
      </c>
      <c r="J4206">
        <f>VLOOKUP(B4206, Products!$A$2:$E$100, 3, FALSE)</f>
        <v>5</v>
      </c>
      <c r="K4206">
        <f>VLOOKUP(B4206, Products!$A$2:$F$100, 4, FALSE)</f>
        <v>6</v>
      </c>
    </row>
    <row r="4207" spans="1:11" x14ac:dyDescent="0.3">
      <c r="A4207">
        <v>1445</v>
      </c>
      <c r="B4207">
        <v>1</v>
      </c>
      <c r="C4207">
        <v>219</v>
      </c>
      <c r="D4207" t="str">
        <f>VLOOKUP(B4207, Products!$A$2:$C$100, 2, FALSE)</f>
        <v>Trek 820 - 2016</v>
      </c>
      <c r="E4207">
        <v>2</v>
      </c>
      <c r="F4207">
        <v>639.99</v>
      </c>
      <c r="G4207">
        <v>0.1</v>
      </c>
      <c r="H4207">
        <v>63.999000000000002</v>
      </c>
      <c r="I4207">
        <f>order_items[[#This Row],[list_price]]-order_items[[#This Row],[Discounted_price]]</f>
        <v>575.99099999999999</v>
      </c>
      <c r="J4207">
        <f>VLOOKUP(B4207, Products!$A$2:$E$100, 3, FALSE)</f>
        <v>9</v>
      </c>
      <c r="K4207">
        <f>VLOOKUP(B4207, Products!$A$2:$F$100, 4, FALSE)</f>
        <v>6</v>
      </c>
    </row>
    <row r="4208" spans="1:11" x14ac:dyDescent="0.3">
      <c r="A4208">
        <v>1445</v>
      </c>
      <c r="B4208">
        <v>2</v>
      </c>
      <c r="C4208">
        <v>52</v>
      </c>
      <c r="D4208" t="str">
        <f>VLOOKUP(B4208, Products!$A$2:$C$100, 2, FALSE)</f>
        <v>Ritchey Timberwolf Frameset - 2016</v>
      </c>
      <c r="E4208">
        <v>1</v>
      </c>
      <c r="F4208">
        <v>875.99</v>
      </c>
      <c r="G4208">
        <v>7.0000000000000007E-2</v>
      </c>
      <c r="H4208">
        <v>61.319300000000005</v>
      </c>
      <c r="I4208">
        <f>order_items[[#This Row],[list_price]]-order_items[[#This Row],[Discounted_price]]</f>
        <v>814.67070000000001</v>
      </c>
      <c r="J4208">
        <f>VLOOKUP(B4208, Products!$A$2:$E$100, 3, FALSE)</f>
        <v>5</v>
      </c>
      <c r="K4208">
        <f>VLOOKUP(B4208, Products!$A$2:$F$100, 4, FALSE)</f>
        <v>6</v>
      </c>
    </row>
    <row r="4209" spans="1:11" x14ac:dyDescent="0.3">
      <c r="A4209">
        <v>1445</v>
      </c>
      <c r="B4209">
        <v>3</v>
      </c>
      <c r="C4209">
        <v>123</v>
      </c>
      <c r="D4209" t="str">
        <f>VLOOKUP(B4209, Products!$A$2:$C$100, 2, FALSE)</f>
        <v>Surly Wednesday Frameset - 2016</v>
      </c>
      <c r="E4209">
        <v>2</v>
      </c>
      <c r="F4209">
        <v>999.99</v>
      </c>
      <c r="G4209">
        <v>0.1</v>
      </c>
      <c r="H4209">
        <v>99.999000000000009</v>
      </c>
      <c r="I4209">
        <f>order_items[[#This Row],[list_price]]-order_items[[#This Row],[Discounted_price]]</f>
        <v>899.99099999999999</v>
      </c>
      <c r="J4209">
        <f>VLOOKUP(B4209, Products!$A$2:$E$100, 3, FALSE)</f>
        <v>8</v>
      </c>
      <c r="K4209">
        <f>VLOOKUP(B4209, Products!$A$2:$F$100, 4, FALSE)</f>
        <v>6</v>
      </c>
    </row>
    <row r="4210" spans="1:11" x14ac:dyDescent="0.3">
      <c r="A4210">
        <v>1446</v>
      </c>
      <c r="B4210">
        <v>1</v>
      </c>
      <c r="C4210">
        <v>227</v>
      </c>
      <c r="D4210" t="str">
        <f>VLOOKUP(B4210, Products!$A$2:$C$100, 2, FALSE)</f>
        <v>Trek 820 - 2016</v>
      </c>
      <c r="E4210">
        <v>1</v>
      </c>
      <c r="F4210">
        <v>319.99</v>
      </c>
      <c r="G4210">
        <v>0.05</v>
      </c>
      <c r="H4210">
        <v>15.999500000000001</v>
      </c>
      <c r="I4210">
        <f>order_items[[#This Row],[list_price]]-order_items[[#This Row],[Discounted_price]]</f>
        <v>303.9905</v>
      </c>
      <c r="J4210">
        <f>VLOOKUP(B4210, Products!$A$2:$E$100, 3, FALSE)</f>
        <v>9</v>
      </c>
      <c r="K4210">
        <f>VLOOKUP(B4210, Products!$A$2:$F$100, 4, FALSE)</f>
        <v>6</v>
      </c>
    </row>
    <row r="4211" spans="1:11" x14ac:dyDescent="0.3">
      <c r="A4211">
        <v>1446</v>
      </c>
      <c r="B4211">
        <v>2</v>
      </c>
      <c r="C4211">
        <v>233</v>
      </c>
      <c r="D4211" t="str">
        <f>VLOOKUP(B4211, Products!$A$2:$C$100, 2, FALSE)</f>
        <v>Ritchey Timberwolf Frameset - 2016</v>
      </c>
      <c r="E4211">
        <v>2</v>
      </c>
      <c r="F4211">
        <v>639.99</v>
      </c>
      <c r="G4211">
        <v>0.05</v>
      </c>
      <c r="H4211">
        <v>31.999500000000001</v>
      </c>
      <c r="I4211">
        <f>order_items[[#This Row],[list_price]]-order_items[[#This Row],[Discounted_price]]</f>
        <v>607.9905</v>
      </c>
      <c r="J4211">
        <f>VLOOKUP(B4211, Products!$A$2:$E$100, 3, FALSE)</f>
        <v>5</v>
      </c>
      <c r="K4211">
        <f>VLOOKUP(B4211, Products!$A$2:$F$100, 4, FALSE)</f>
        <v>6</v>
      </c>
    </row>
    <row r="4212" spans="1:11" x14ac:dyDescent="0.3">
      <c r="A4212">
        <v>1446</v>
      </c>
      <c r="B4212">
        <v>3</v>
      </c>
      <c r="C4212">
        <v>234</v>
      </c>
      <c r="D4212" t="str">
        <f>VLOOKUP(B4212, Products!$A$2:$C$100, 2, FALSE)</f>
        <v>Surly Wednesday Frameset - 2016</v>
      </c>
      <c r="E4212">
        <v>2</v>
      </c>
      <c r="F4212">
        <v>899.99</v>
      </c>
      <c r="G4212">
        <v>0.05</v>
      </c>
      <c r="H4212">
        <v>44.999500000000005</v>
      </c>
      <c r="I4212">
        <f>order_items[[#This Row],[list_price]]-order_items[[#This Row],[Discounted_price]]</f>
        <v>854.9905</v>
      </c>
      <c r="J4212">
        <f>VLOOKUP(B4212, Products!$A$2:$E$100, 3, FALSE)</f>
        <v>8</v>
      </c>
      <c r="K4212">
        <f>VLOOKUP(B4212, Products!$A$2:$F$100, 4, FALSE)</f>
        <v>6</v>
      </c>
    </row>
    <row r="4213" spans="1:11" x14ac:dyDescent="0.3">
      <c r="A4213">
        <v>1447</v>
      </c>
      <c r="B4213">
        <v>1</v>
      </c>
      <c r="C4213">
        <v>148</v>
      </c>
      <c r="D4213" t="str">
        <f>VLOOKUP(B4213, Products!$A$2:$C$100, 2, FALSE)</f>
        <v>Trek 820 - 2016</v>
      </c>
      <c r="E4213">
        <v>1</v>
      </c>
      <c r="F4213">
        <v>5499.99</v>
      </c>
      <c r="G4213">
        <v>0.2</v>
      </c>
      <c r="H4213">
        <v>1099.998</v>
      </c>
      <c r="I4213">
        <f>order_items[[#This Row],[list_price]]-order_items[[#This Row],[Discounted_price]]</f>
        <v>4399.9920000000002</v>
      </c>
      <c r="J4213">
        <f>VLOOKUP(B4213, Products!$A$2:$E$100, 3, FALSE)</f>
        <v>9</v>
      </c>
      <c r="K4213">
        <f>VLOOKUP(B4213, Products!$A$2:$F$100, 4, FALSE)</f>
        <v>6</v>
      </c>
    </row>
    <row r="4214" spans="1:11" x14ac:dyDescent="0.3">
      <c r="A4214">
        <v>1448</v>
      </c>
      <c r="B4214">
        <v>1</v>
      </c>
      <c r="C4214">
        <v>239</v>
      </c>
      <c r="D4214" t="str">
        <f>VLOOKUP(B4214, Products!$A$2:$C$100, 2, FALSE)</f>
        <v>Trek 820 - 2016</v>
      </c>
      <c r="E4214">
        <v>1</v>
      </c>
      <c r="F4214">
        <v>749.99</v>
      </c>
      <c r="G4214">
        <v>0.1</v>
      </c>
      <c r="H4214">
        <v>74.999000000000009</v>
      </c>
      <c r="I4214">
        <f>order_items[[#This Row],[list_price]]-order_items[[#This Row],[Discounted_price]]</f>
        <v>674.99099999999999</v>
      </c>
      <c r="J4214">
        <f>VLOOKUP(B4214, Products!$A$2:$E$100, 3, FALSE)</f>
        <v>9</v>
      </c>
      <c r="K4214">
        <f>VLOOKUP(B4214, Products!$A$2:$F$100, 4, FALSE)</f>
        <v>6</v>
      </c>
    </row>
    <row r="4215" spans="1:11" x14ac:dyDescent="0.3">
      <c r="A4215">
        <v>1449</v>
      </c>
      <c r="B4215">
        <v>1</v>
      </c>
      <c r="C4215">
        <v>159</v>
      </c>
      <c r="D4215" t="str">
        <f>VLOOKUP(B4215, Products!$A$2:$C$100, 2, FALSE)</f>
        <v>Trek 820 - 2016</v>
      </c>
      <c r="E4215">
        <v>1</v>
      </c>
      <c r="F4215">
        <v>2299.9899999999998</v>
      </c>
      <c r="G4215">
        <v>7.0000000000000007E-2</v>
      </c>
      <c r="H4215">
        <v>160.99930000000001</v>
      </c>
      <c r="I4215">
        <f>order_items[[#This Row],[list_price]]-order_items[[#This Row],[Discounted_price]]</f>
        <v>2138.9906999999998</v>
      </c>
      <c r="J4215">
        <f>VLOOKUP(B4215, Products!$A$2:$E$100, 3, FALSE)</f>
        <v>9</v>
      </c>
      <c r="K4215">
        <f>VLOOKUP(B4215, Products!$A$2:$F$100, 4, FALSE)</f>
        <v>6</v>
      </c>
    </row>
    <row r="4216" spans="1:11" x14ac:dyDescent="0.3">
      <c r="A4216">
        <v>1449</v>
      </c>
      <c r="B4216">
        <v>2</v>
      </c>
      <c r="C4216">
        <v>55</v>
      </c>
      <c r="D4216" t="str">
        <f>VLOOKUP(B4216, Products!$A$2:$C$100, 2, FALSE)</f>
        <v>Ritchey Timberwolf Frameset - 2016</v>
      </c>
      <c r="E4216">
        <v>1</v>
      </c>
      <c r="F4216">
        <v>2699.99</v>
      </c>
      <c r="G4216">
        <v>0.2</v>
      </c>
      <c r="H4216">
        <v>539.99799999999993</v>
      </c>
      <c r="I4216">
        <f>order_items[[#This Row],[list_price]]-order_items[[#This Row],[Discounted_price]]</f>
        <v>2159.9919999999997</v>
      </c>
      <c r="J4216">
        <f>VLOOKUP(B4216, Products!$A$2:$E$100, 3, FALSE)</f>
        <v>5</v>
      </c>
      <c r="K4216">
        <f>VLOOKUP(B4216, Products!$A$2:$F$100, 4, FALSE)</f>
        <v>6</v>
      </c>
    </row>
    <row r="4217" spans="1:11" x14ac:dyDescent="0.3">
      <c r="A4217">
        <v>1449</v>
      </c>
      <c r="B4217">
        <v>3</v>
      </c>
      <c r="C4217">
        <v>260</v>
      </c>
      <c r="D4217" t="str">
        <f>VLOOKUP(B4217, Products!$A$2:$C$100, 2, FALSE)</f>
        <v>Surly Wednesday Frameset - 2016</v>
      </c>
      <c r="E4217">
        <v>2</v>
      </c>
      <c r="F4217">
        <v>799.99</v>
      </c>
      <c r="G4217">
        <v>7.0000000000000007E-2</v>
      </c>
      <c r="H4217">
        <v>55.999300000000005</v>
      </c>
      <c r="I4217">
        <f>order_items[[#This Row],[list_price]]-order_items[[#This Row],[Discounted_price]]</f>
        <v>743.99070000000006</v>
      </c>
      <c r="J4217">
        <f>VLOOKUP(B4217, Products!$A$2:$E$100, 3, FALSE)</f>
        <v>8</v>
      </c>
      <c r="K4217">
        <f>VLOOKUP(B4217, Products!$A$2:$F$100, 4, FALSE)</f>
        <v>6</v>
      </c>
    </row>
    <row r="4218" spans="1:11" x14ac:dyDescent="0.3">
      <c r="A4218">
        <v>1449</v>
      </c>
      <c r="B4218">
        <v>4</v>
      </c>
      <c r="C4218">
        <v>252</v>
      </c>
      <c r="D4218" t="str">
        <f>VLOOKUP(B4218, Products!$A$2:$C$100, 2, FALSE)</f>
        <v>Trek Fuel EX 8 29 - 2016</v>
      </c>
      <c r="E4218">
        <v>2</v>
      </c>
      <c r="F4218">
        <v>2999.99</v>
      </c>
      <c r="G4218">
        <v>0.05</v>
      </c>
      <c r="H4218">
        <v>149.99949999999998</v>
      </c>
      <c r="I4218">
        <f>order_items[[#This Row],[list_price]]-order_items[[#This Row],[Discounted_price]]</f>
        <v>2849.9904999999999</v>
      </c>
      <c r="J4218">
        <f>VLOOKUP(B4218, Products!$A$2:$E$100, 3, FALSE)</f>
        <v>9</v>
      </c>
      <c r="K4218">
        <f>VLOOKUP(B4218, Products!$A$2:$F$100, 4, FALSE)</f>
        <v>6</v>
      </c>
    </row>
    <row r="4219" spans="1:11" x14ac:dyDescent="0.3">
      <c r="A4219">
        <v>1449</v>
      </c>
      <c r="B4219">
        <v>5</v>
      </c>
      <c r="C4219">
        <v>14</v>
      </c>
      <c r="D4219" t="str">
        <f>VLOOKUP(B4219, Products!$A$2:$C$100, 2, FALSE)</f>
        <v>Heller Shagamaw Frame - 2016</v>
      </c>
      <c r="E4219">
        <v>2</v>
      </c>
      <c r="F4219">
        <v>269.99</v>
      </c>
      <c r="G4219">
        <v>0.1</v>
      </c>
      <c r="H4219">
        <v>26.999000000000002</v>
      </c>
      <c r="I4219">
        <f>order_items[[#This Row],[list_price]]-order_items[[#This Row],[Discounted_price]]</f>
        <v>242.99100000000001</v>
      </c>
      <c r="J4219">
        <f>VLOOKUP(B4219, Products!$A$2:$E$100, 3, FALSE)</f>
        <v>3</v>
      </c>
      <c r="K4219">
        <f>VLOOKUP(B4219, Products!$A$2:$F$100, 4, FALSE)</f>
        <v>6</v>
      </c>
    </row>
    <row r="4220" spans="1:11" x14ac:dyDescent="0.3">
      <c r="A4220">
        <v>1450</v>
      </c>
      <c r="B4220">
        <v>1</v>
      </c>
      <c r="C4220">
        <v>98</v>
      </c>
      <c r="D4220" t="str">
        <f>VLOOKUP(B4220, Products!$A$2:$C$100, 2, FALSE)</f>
        <v>Trek 820 - 2016</v>
      </c>
      <c r="E4220">
        <v>1</v>
      </c>
      <c r="F4220">
        <v>489.99</v>
      </c>
      <c r="G4220">
        <v>7.0000000000000007E-2</v>
      </c>
      <c r="H4220">
        <v>34.299300000000002</v>
      </c>
      <c r="I4220">
        <f>order_items[[#This Row],[list_price]]-order_items[[#This Row],[Discounted_price]]</f>
        <v>455.69069999999999</v>
      </c>
      <c r="J4220">
        <f>VLOOKUP(B4220, Products!$A$2:$E$100, 3, FALSE)</f>
        <v>9</v>
      </c>
      <c r="K4220">
        <f>VLOOKUP(B4220, Products!$A$2:$F$100, 4, FALSE)</f>
        <v>6</v>
      </c>
    </row>
    <row r="4221" spans="1:11" x14ac:dyDescent="0.3">
      <c r="A4221">
        <v>1450</v>
      </c>
      <c r="B4221">
        <v>2</v>
      </c>
      <c r="C4221">
        <v>173</v>
      </c>
      <c r="D4221" t="str">
        <f>VLOOKUP(B4221, Products!$A$2:$C$100, 2, FALSE)</f>
        <v>Ritchey Timberwolf Frameset - 2016</v>
      </c>
      <c r="E4221">
        <v>2</v>
      </c>
      <c r="F4221">
        <v>3199.99</v>
      </c>
      <c r="G4221">
        <v>0.1</v>
      </c>
      <c r="H4221">
        <v>319.99900000000002</v>
      </c>
      <c r="I4221">
        <f>order_items[[#This Row],[list_price]]-order_items[[#This Row],[Discounted_price]]</f>
        <v>2879.991</v>
      </c>
      <c r="J4221">
        <f>VLOOKUP(B4221, Products!$A$2:$E$100, 3, FALSE)</f>
        <v>5</v>
      </c>
      <c r="K4221">
        <f>VLOOKUP(B4221, Products!$A$2:$F$100, 4, FALSE)</f>
        <v>6</v>
      </c>
    </row>
    <row r="4222" spans="1:11" x14ac:dyDescent="0.3">
      <c r="A4222">
        <v>1450</v>
      </c>
      <c r="B4222">
        <v>3</v>
      </c>
      <c r="C4222">
        <v>299</v>
      </c>
      <c r="D4222" t="str">
        <f>VLOOKUP(B4222, Products!$A$2:$C$100, 2, FALSE)</f>
        <v>Surly Wednesday Frameset - 2016</v>
      </c>
      <c r="E4222">
        <v>1</v>
      </c>
      <c r="F4222">
        <v>559.99</v>
      </c>
      <c r="G4222">
        <v>0.2</v>
      </c>
      <c r="H4222">
        <v>111.998</v>
      </c>
      <c r="I4222">
        <f>order_items[[#This Row],[list_price]]-order_items[[#This Row],[Discounted_price]]</f>
        <v>447.99200000000002</v>
      </c>
      <c r="J4222">
        <f>VLOOKUP(B4222, Products!$A$2:$E$100, 3, FALSE)</f>
        <v>8</v>
      </c>
      <c r="K4222">
        <f>VLOOKUP(B4222, Products!$A$2:$F$100, 4, FALSE)</f>
        <v>6</v>
      </c>
    </row>
    <row r="4223" spans="1:11" x14ac:dyDescent="0.3">
      <c r="A4223">
        <v>1450</v>
      </c>
      <c r="B4223">
        <v>4</v>
      </c>
      <c r="C4223">
        <v>209</v>
      </c>
      <c r="D4223" t="str">
        <f>VLOOKUP(B4223, Products!$A$2:$C$100, 2, FALSE)</f>
        <v>Trek Fuel EX 8 29 - 2016</v>
      </c>
      <c r="E4223">
        <v>2</v>
      </c>
      <c r="F4223">
        <v>2999.99</v>
      </c>
      <c r="G4223">
        <v>0.1</v>
      </c>
      <c r="H4223">
        <v>299.99899999999997</v>
      </c>
      <c r="I4223">
        <f>order_items[[#This Row],[list_price]]-order_items[[#This Row],[Discounted_price]]</f>
        <v>2699.991</v>
      </c>
      <c r="J4223">
        <f>VLOOKUP(B4223, Products!$A$2:$E$100, 3, FALSE)</f>
        <v>9</v>
      </c>
      <c r="K4223">
        <f>VLOOKUP(B4223, Products!$A$2:$F$100, 4, FALSE)</f>
        <v>6</v>
      </c>
    </row>
    <row r="4224" spans="1:11" x14ac:dyDescent="0.3">
      <c r="A4224">
        <v>1450</v>
      </c>
      <c r="B4224">
        <v>5</v>
      </c>
      <c r="C4224">
        <v>235</v>
      </c>
      <c r="D4224" t="str">
        <f>VLOOKUP(B4224, Products!$A$2:$C$100, 2, FALSE)</f>
        <v>Heller Shagamaw Frame - 2016</v>
      </c>
      <c r="E4224">
        <v>2</v>
      </c>
      <c r="F4224">
        <v>899.99</v>
      </c>
      <c r="G4224">
        <v>0.05</v>
      </c>
      <c r="H4224">
        <v>44.999500000000005</v>
      </c>
      <c r="I4224">
        <f>order_items[[#This Row],[list_price]]-order_items[[#This Row],[Discounted_price]]</f>
        <v>854.9905</v>
      </c>
      <c r="J4224">
        <f>VLOOKUP(B4224, Products!$A$2:$E$100, 3, FALSE)</f>
        <v>3</v>
      </c>
      <c r="K4224">
        <f>VLOOKUP(B4224, Products!$A$2:$F$100, 4, FALSE)</f>
        <v>6</v>
      </c>
    </row>
    <row r="4225" spans="1:11" x14ac:dyDescent="0.3">
      <c r="A4225">
        <v>1451</v>
      </c>
      <c r="B4225">
        <v>1</v>
      </c>
      <c r="C4225">
        <v>117</v>
      </c>
      <c r="D4225" t="str">
        <f>VLOOKUP(B4225, Products!$A$2:$C$100, 2, FALSE)</f>
        <v>Trek 820 - 2016</v>
      </c>
      <c r="E4225">
        <v>1</v>
      </c>
      <c r="F4225">
        <v>1469.99</v>
      </c>
      <c r="G4225">
        <v>0.05</v>
      </c>
      <c r="H4225">
        <v>73.499499999999998</v>
      </c>
      <c r="I4225">
        <f>order_items[[#This Row],[list_price]]-order_items[[#This Row],[Discounted_price]]</f>
        <v>1396.4905000000001</v>
      </c>
      <c r="J4225">
        <f>VLOOKUP(B4225, Products!$A$2:$E$100, 3, FALSE)</f>
        <v>9</v>
      </c>
      <c r="K4225">
        <f>VLOOKUP(B4225, Products!$A$2:$F$100, 4, FALSE)</f>
        <v>6</v>
      </c>
    </row>
    <row r="4226" spans="1:11" x14ac:dyDescent="0.3">
      <c r="A4226">
        <v>1452</v>
      </c>
      <c r="B4226">
        <v>1</v>
      </c>
      <c r="C4226">
        <v>99</v>
      </c>
      <c r="D4226" t="str">
        <f>VLOOKUP(B4226, Products!$A$2:$C$100, 2, FALSE)</f>
        <v>Trek 820 - 2016</v>
      </c>
      <c r="E4226">
        <v>2</v>
      </c>
      <c r="F4226">
        <v>299.99</v>
      </c>
      <c r="G4226">
        <v>0.1</v>
      </c>
      <c r="H4226">
        <v>29.999000000000002</v>
      </c>
      <c r="I4226">
        <f>order_items[[#This Row],[list_price]]-order_items[[#This Row],[Discounted_price]]</f>
        <v>269.99099999999999</v>
      </c>
      <c r="J4226">
        <f>VLOOKUP(B4226, Products!$A$2:$E$100, 3, FALSE)</f>
        <v>9</v>
      </c>
      <c r="K4226">
        <f>VLOOKUP(B4226, Products!$A$2:$F$100, 4, FALSE)</f>
        <v>6</v>
      </c>
    </row>
    <row r="4227" spans="1:11" x14ac:dyDescent="0.3">
      <c r="A4227">
        <v>1452</v>
      </c>
      <c r="B4227">
        <v>2</v>
      </c>
      <c r="C4227">
        <v>234</v>
      </c>
      <c r="D4227" t="str">
        <f>VLOOKUP(B4227, Products!$A$2:$C$100, 2, FALSE)</f>
        <v>Ritchey Timberwolf Frameset - 2016</v>
      </c>
      <c r="E4227">
        <v>1</v>
      </c>
      <c r="F4227">
        <v>899.99</v>
      </c>
      <c r="G4227">
        <v>0.2</v>
      </c>
      <c r="H4227">
        <v>179.99800000000002</v>
      </c>
      <c r="I4227">
        <f>order_items[[#This Row],[list_price]]-order_items[[#This Row],[Discounted_price]]</f>
        <v>719.99199999999996</v>
      </c>
      <c r="J4227">
        <f>VLOOKUP(B4227, Products!$A$2:$E$100, 3, FALSE)</f>
        <v>5</v>
      </c>
      <c r="K4227">
        <f>VLOOKUP(B4227, Products!$A$2:$F$100, 4, FALSE)</f>
        <v>6</v>
      </c>
    </row>
    <row r="4228" spans="1:11" x14ac:dyDescent="0.3">
      <c r="A4228">
        <v>1452</v>
      </c>
      <c r="B4228">
        <v>3</v>
      </c>
      <c r="C4228">
        <v>86</v>
      </c>
      <c r="D4228" t="str">
        <f>VLOOKUP(B4228, Products!$A$2:$C$100, 2, FALSE)</f>
        <v>Surly Wednesday Frameset - 2016</v>
      </c>
      <c r="E4228">
        <v>2</v>
      </c>
      <c r="F4228">
        <v>149.99</v>
      </c>
      <c r="G4228">
        <v>0.05</v>
      </c>
      <c r="H4228">
        <v>7.4995000000000012</v>
      </c>
      <c r="I4228">
        <f>order_items[[#This Row],[list_price]]-order_items[[#This Row],[Discounted_price]]</f>
        <v>142.4905</v>
      </c>
      <c r="J4228">
        <f>VLOOKUP(B4228, Products!$A$2:$E$100, 3, FALSE)</f>
        <v>8</v>
      </c>
      <c r="K4228">
        <f>VLOOKUP(B4228, Products!$A$2:$F$100, 4, FALSE)</f>
        <v>6</v>
      </c>
    </row>
    <row r="4229" spans="1:11" x14ac:dyDescent="0.3">
      <c r="A4229">
        <v>1452</v>
      </c>
      <c r="B4229">
        <v>4</v>
      </c>
      <c r="C4229">
        <v>109</v>
      </c>
      <c r="D4229" t="str">
        <f>VLOOKUP(B4229, Products!$A$2:$C$100, 2, FALSE)</f>
        <v>Trek Fuel EX 8 29 - 2016</v>
      </c>
      <c r="E4229">
        <v>2</v>
      </c>
      <c r="F4229">
        <v>416.99</v>
      </c>
      <c r="G4229">
        <v>7.0000000000000007E-2</v>
      </c>
      <c r="H4229">
        <v>29.189300000000003</v>
      </c>
      <c r="I4229">
        <f>order_items[[#This Row],[list_price]]-order_items[[#This Row],[Discounted_price]]</f>
        <v>387.80070000000001</v>
      </c>
      <c r="J4229">
        <f>VLOOKUP(B4229, Products!$A$2:$E$100, 3, FALSE)</f>
        <v>9</v>
      </c>
      <c r="K4229">
        <f>VLOOKUP(B4229, Products!$A$2:$F$100, 4, FALSE)</f>
        <v>6</v>
      </c>
    </row>
    <row r="4230" spans="1:11" x14ac:dyDescent="0.3">
      <c r="A4230">
        <v>1453</v>
      </c>
      <c r="B4230">
        <v>1</v>
      </c>
      <c r="C4230">
        <v>89</v>
      </c>
      <c r="D4230" t="str">
        <f>VLOOKUP(B4230, Products!$A$2:$C$100, 2, FALSE)</f>
        <v>Trek 820 - 2016</v>
      </c>
      <c r="E4230">
        <v>2</v>
      </c>
      <c r="F4230">
        <v>209.99</v>
      </c>
      <c r="G4230">
        <v>0.1</v>
      </c>
      <c r="H4230">
        <v>20.999000000000002</v>
      </c>
      <c r="I4230">
        <f>order_items[[#This Row],[list_price]]-order_items[[#This Row],[Discounted_price]]</f>
        <v>188.99100000000001</v>
      </c>
      <c r="J4230">
        <f>VLOOKUP(B4230, Products!$A$2:$E$100, 3, FALSE)</f>
        <v>9</v>
      </c>
      <c r="K4230">
        <f>VLOOKUP(B4230, Products!$A$2:$F$100, 4, FALSE)</f>
        <v>6</v>
      </c>
    </row>
    <row r="4231" spans="1:11" x14ac:dyDescent="0.3">
      <c r="A4231">
        <v>1454</v>
      </c>
      <c r="B4231">
        <v>1</v>
      </c>
      <c r="C4231">
        <v>283</v>
      </c>
      <c r="D4231" t="str">
        <f>VLOOKUP(B4231, Products!$A$2:$C$100, 2, FALSE)</f>
        <v>Trek 820 - 2016</v>
      </c>
      <c r="E4231">
        <v>1</v>
      </c>
      <c r="F4231">
        <v>319.99</v>
      </c>
      <c r="G4231">
        <v>7.0000000000000007E-2</v>
      </c>
      <c r="H4231">
        <v>22.399300000000004</v>
      </c>
      <c r="I4231">
        <f>order_items[[#This Row],[list_price]]-order_items[[#This Row],[Discounted_price]]</f>
        <v>297.59070000000003</v>
      </c>
      <c r="J4231">
        <f>VLOOKUP(B4231, Products!$A$2:$E$100, 3, FALSE)</f>
        <v>9</v>
      </c>
      <c r="K4231">
        <f>VLOOKUP(B4231, Products!$A$2:$F$100, 4, FALSE)</f>
        <v>6</v>
      </c>
    </row>
    <row r="4232" spans="1:11" x14ac:dyDescent="0.3">
      <c r="A4232">
        <v>1454</v>
      </c>
      <c r="B4232">
        <v>2</v>
      </c>
      <c r="C4232">
        <v>35</v>
      </c>
      <c r="D4232" t="str">
        <f>VLOOKUP(B4232, Products!$A$2:$C$100, 2, FALSE)</f>
        <v>Ritchey Timberwolf Frameset - 2016</v>
      </c>
      <c r="E4232">
        <v>2</v>
      </c>
      <c r="F4232">
        <v>832.99</v>
      </c>
      <c r="G4232">
        <v>0.1</v>
      </c>
      <c r="H4232">
        <v>83.299000000000007</v>
      </c>
      <c r="I4232">
        <f>order_items[[#This Row],[list_price]]-order_items[[#This Row],[Discounted_price]]</f>
        <v>749.69100000000003</v>
      </c>
      <c r="J4232">
        <f>VLOOKUP(B4232, Products!$A$2:$E$100, 3, FALSE)</f>
        <v>5</v>
      </c>
      <c r="K4232">
        <f>VLOOKUP(B4232, Products!$A$2:$F$100, 4, FALSE)</f>
        <v>6</v>
      </c>
    </row>
    <row r="4233" spans="1:11" x14ac:dyDescent="0.3">
      <c r="A4233">
        <v>1454</v>
      </c>
      <c r="B4233">
        <v>3</v>
      </c>
      <c r="C4233">
        <v>124</v>
      </c>
      <c r="D4233" t="str">
        <f>VLOOKUP(B4233, Products!$A$2:$C$100, 2, FALSE)</f>
        <v>Surly Wednesday Frameset - 2016</v>
      </c>
      <c r="E4233">
        <v>1</v>
      </c>
      <c r="F4233">
        <v>1499</v>
      </c>
      <c r="G4233">
        <v>0.2</v>
      </c>
      <c r="H4233">
        <v>299.8</v>
      </c>
      <c r="I4233">
        <f>order_items[[#This Row],[list_price]]-order_items[[#This Row],[Discounted_price]]</f>
        <v>1199.2</v>
      </c>
      <c r="J4233">
        <f>VLOOKUP(B4233, Products!$A$2:$E$100, 3, FALSE)</f>
        <v>8</v>
      </c>
      <c r="K4233">
        <f>VLOOKUP(B4233, Products!$A$2:$F$100, 4, FALSE)</f>
        <v>6</v>
      </c>
    </row>
    <row r="4234" spans="1:11" x14ac:dyDescent="0.3">
      <c r="A4234">
        <v>1454</v>
      </c>
      <c r="B4234">
        <v>4</v>
      </c>
      <c r="C4234">
        <v>38</v>
      </c>
      <c r="D4234" t="str">
        <f>VLOOKUP(B4234, Products!$A$2:$C$100, 2, FALSE)</f>
        <v>Trek Fuel EX 8 29 - 2016</v>
      </c>
      <c r="E4234">
        <v>2</v>
      </c>
      <c r="F4234">
        <v>549.99</v>
      </c>
      <c r="G4234">
        <v>0.05</v>
      </c>
      <c r="H4234">
        <v>27.499500000000001</v>
      </c>
      <c r="I4234">
        <f>order_items[[#This Row],[list_price]]-order_items[[#This Row],[Discounted_price]]</f>
        <v>522.4905</v>
      </c>
      <c r="J4234">
        <f>VLOOKUP(B4234, Products!$A$2:$E$100, 3, FALSE)</f>
        <v>9</v>
      </c>
      <c r="K4234">
        <f>VLOOKUP(B4234, Products!$A$2:$F$100, 4, FALSE)</f>
        <v>6</v>
      </c>
    </row>
    <row r="4235" spans="1:11" x14ac:dyDescent="0.3">
      <c r="A4235">
        <v>1455</v>
      </c>
      <c r="B4235">
        <v>1</v>
      </c>
      <c r="C4235">
        <v>101</v>
      </c>
      <c r="D4235" t="str">
        <f>VLOOKUP(B4235, Products!$A$2:$C$100, 2, FALSE)</f>
        <v>Trek 820 - 2016</v>
      </c>
      <c r="E4235">
        <v>2</v>
      </c>
      <c r="F4235">
        <v>339.99</v>
      </c>
      <c r="G4235">
        <v>0.05</v>
      </c>
      <c r="H4235">
        <v>16.999500000000001</v>
      </c>
      <c r="I4235">
        <f>order_items[[#This Row],[list_price]]-order_items[[#This Row],[Discounted_price]]</f>
        <v>322.9905</v>
      </c>
      <c r="J4235">
        <f>VLOOKUP(B4235, Products!$A$2:$E$100, 3, FALSE)</f>
        <v>9</v>
      </c>
      <c r="K4235">
        <f>VLOOKUP(B4235, Products!$A$2:$F$100, 4, FALSE)</f>
        <v>6</v>
      </c>
    </row>
    <row r="4236" spans="1:11" x14ac:dyDescent="0.3">
      <c r="A4236">
        <v>1455</v>
      </c>
      <c r="B4236">
        <v>2</v>
      </c>
      <c r="C4236">
        <v>254</v>
      </c>
      <c r="D4236" t="str">
        <f>VLOOKUP(B4236, Products!$A$2:$C$100, 2, FALSE)</f>
        <v>Ritchey Timberwolf Frameset - 2016</v>
      </c>
      <c r="E4236">
        <v>1</v>
      </c>
      <c r="F4236">
        <v>749.99</v>
      </c>
      <c r="G4236">
        <v>0.2</v>
      </c>
      <c r="H4236">
        <v>149.99800000000002</v>
      </c>
      <c r="I4236">
        <f>order_items[[#This Row],[list_price]]-order_items[[#This Row],[Discounted_price]]</f>
        <v>599.99199999999996</v>
      </c>
      <c r="J4236">
        <f>VLOOKUP(B4236, Products!$A$2:$E$100, 3, FALSE)</f>
        <v>5</v>
      </c>
      <c r="K4236">
        <f>VLOOKUP(B4236, Products!$A$2:$F$100, 4, FALSE)</f>
        <v>6</v>
      </c>
    </row>
    <row r="4237" spans="1:11" x14ac:dyDescent="0.3">
      <c r="A4237">
        <v>1456</v>
      </c>
      <c r="B4237">
        <v>1</v>
      </c>
      <c r="C4237">
        <v>193</v>
      </c>
      <c r="D4237" t="str">
        <f>VLOOKUP(B4237, Products!$A$2:$C$100, 2, FALSE)</f>
        <v>Trek 820 - 2016</v>
      </c>
      <c r="E4237">
        <v>2</v>
      </c>
      <c r="F4237">
        <v>2799.99</v>
      </c>
      <c r="G4237">
        <v>0.05</v>
      </c>
      <c r="H4237">
        <v>139.99949999999998</v>
      </c>
      <c r="I4237">
        <f>order_items[[#This Row],[list_price]]-order_items[[#This Row],[Discounted_price]]</f>
        <v>2659.9904999999999</v>
      </c>
      <c r="J4237">
        <f>VLOOKUP(B4237, Products!$A$2:$E$100, 3, FALSE)</f>
        <v>9</v>
      </c>
      <c r="K4237">
        <f>VLOOKUP(B4237, Products!$A$2:$F$100, 4, FALSE)</f>
        <v>6</v>
      </c>
    </row>
    <row r="4238" spans="1:11" x14ac:dyDescent="0.3">
      <c r="A4238">
        <v>1456</v>
      </c>
      <c r="B4238">
        <v>2</v>
      </c>
      <c r="C4238">
        <v>246</v>
      </c>
      <c r="D4238" t="str">
        <f>VLOOKUP(B4238, Products!$A$2:$C$100, 2, FALSE)</f>
        <v>Ritchey Timberwolf Frameset - 2016</v>
      </c>
      <c r="E4238">
        <v>1</v>
      </c>
      <c r="F4238">
        <v>639.99</v>
      </c>
      <c r="G4238">
        <v>7.0000000000000007E-2</v>
      </c>
      <c r="H4238">
        <v>44.799300000000002</v>
      </c>
      <c r="I4238">
        <f>order_items[[#This Row],[list_price]]-order_items[[#This Row],[Discounted_price]]</f>
        <v>595.19069999999999</v>
      </c>
      <c r="J4238">
        <f>VLOOKUP(B4238, Products!$A$2:$E$100, 3, FALSE)</f>
        <v>5</v>
      </c>
      <c r="K4238">
        <f>VLOOKUP(B4238, Products!$A$2:$F$100, 4, FALSE)</f>
        <v>6</v>
      </c>
    </row>
    <row r="4239" spans="1:11" x14ac:dyDescent="0.3">
      <c r="A4239">
        <v>1456</v>
      </c>
      <c r="B4239">
        <v>3</v>
      </c>
      <c r="C4239">
        <v>268</v>
      </c>
      <c r="D4239" t="str">
        <f>VLOOKUP(B4239, Products!$A$2:$C$100, 2, FALSE)</f>
        <v>Surly Wednesday Frameset - 2016</v>
      </c>
      <c r="E4239">
        <v>2</v>
      </c>
      <c r="F4239">
        <v>159.99</v>
      </c>
      <c r="G4239">
        <v>0.1</v>
      </c>
      <c r="H4239">
        <v>15.999000000000002</v>
      </c>
      <c r="I4239">
        <f>order_items[[#This Row],[list_price]]-order_items[[#This Row],[Discounted_price]]</f>
        <v>143.99100000000001</v>
      </c>
      <c r="J4239">
        <f>VLOOKUP(B4239, Products!$A$2:$E$100, 3, FALSE)</f>
        <v>8</v>
      </c>
      <c r="K4239">
        <f>VLOOKUP(B4239, Products!$A$2:$F$100, 4, FALSE)</f>
        <v>6</v>
      </c>
    </row>
    <row r="4240" spans="1:11" x14ac:dyDescent="0.3">
      <c r="A4240">
        <v>1456</v>
      </c>
      <c r="B4240">
        <v>4</v>
      </c>
      <c r="C4240">
        <v>272</v>
      </c>
      <c r="D4240" t="str">
        <f>VLOOKUP(B4240, Products!$A$2:$C$100, 2, FALSE)</f>
        <v>Trek Fuel EX 8 29 - 2016</v>
      </c>
      <c r="E4240">
        <v>1</v>
      </c>
      <c r="F4240">
        <v>289.99</v>
      </c>
      <c r="G4240">
        <v>0.1</v>
      </c>
      <c r="H4240">
        <v>28.999000000000002</v>
      </c>
      <c r="I4240">
        <f>order_items[[#This Row],[list_price]]-order_items[[#This Row],[Discounted_price]]</f>
        <v>260.99099999999999</v>
      </c>
      <c r="J4240">
        <f>VLOOKUP(B4240, Products!$A$2:$E$100, 3, FALSE)</f>
        <v>9</v>
      </c>
      <c r="K4240">
        <f>VLOOKUP(B4240, Products!$A$2:$F$100, 4, FALSE)</f>
        <v>6</v>
      </c>
    </row>
    <row r="4241" spans="1:11" x14ac:dyDescent="0.3">
      <c r="A4241">
        <v>1456</v>
      </c>
      <c r="B4241">
        <v>5</v>
      </c>
      <c r="C4241">
        <v>126</v>
      </c>
      <c r="D4241" t="str">
        <f>VLOOKUP(B4241, Products!$A$2:$C$100, 2, FALSE)</f>
        <v>Heller Shagamaw Frame - 2016</v>
      </c>
      <c r="E4241">
        <v>1</v>
      </c>
      <c r="F4241">
        <v>469.99</v>
      </c>
      <c r="G4241">
        <v>0.1</v>
      </c>
      <c r="H4241">
        <v>46.999000000000002</v>
      </c>
      <c r="I4241">
        <f>order_items[[#This Row],[list_price]]-order_items[[#This Row],[Discounted_price]]</f>
        <v>422.99099999999999</v>
      </c>
      <c r="J4241">
        <f>VLOOKUP(B4241, Products!$A$2:$E$100, 3, FALSE)</f>
        <v>3</v>
      </c>
      <c r="K4241">
        <f>VLOOKUP(B4241, Products!$A$2:$F$100, 4, FALSE)</f>
        <v>6</v>
      </c>
    </row>
    <row r="4242" spans="1:11" x14ac:dyDescent="0.3">
      <c r="A4242">
        <v>1457</v>
      </c>
      <c r="B4242">
        <v>1</v>
      </c>
      <c r="C4242">
        <v>113</v>
      </c>
      <c r="D4242" t="str">
        <f>VLOOKUP(B4242, Products!$A$2:$C$100, 2, FALSE)</f>
        <v>Trek 820 - 2016</v>
      </c>
      <c r="E4242">
        <v>1</v>
      </c>
      <c r="F4242">
        <v>489.99</v>
      </c>
      <c r="G4242">
        <v>7.0000000000000007E-2</v>
      </c>
      <c r="H4242">
        <v>34.299300000000002</v>
      </c>
      <c r="I4242">
        <f>order_items[[#This Row],[list_price]]-order_items[[#This Row],[Discounted_price]]</f>
        <v>455.69069999999999</v>
      </c>
      <c r="J4242">
        <f>VLOOKUP(B4242, Products!$A$2:$E$100, 3, FALSE)</f>
        <v>9</v>
      </c>
      <c r="K4242">
        <f>VLOOKUP(B4242, Products!$A$2:$F$100, 4, FALSE)</f>
        <v>6</v>
      </c>
    </row>
    <row r="4243" spans="1:11" x14ac:dyDescent="0.3">
      <c r="A4243">
        <v>1457</v>
      </c>
      <c r="B4243">
        <v>2</v>
      </c>
      <c r="C4243">
        <v>111</v>
      </c>
      <c r="D4243" t="str">
        <f>VLOOKUP(B4243, Products!$A$2:$C$100, 2, FALSE)</f>
        <v>Ritchey Timberwolf Frameset - 2016</v>
      </c>
      <c r="E4243">
        <v>1</v>
      </c>
      <c r="F4243">
        <v>470.99</v>
      </c>
      <c r="G4243">
        <v>0.2</v>
      </c>
      <c r="H4243">
        <v>94.198000000000008</v>
      </c>
      <c r="I4243">
        <f>order_items[[#This Row],[list_price]]-order_items[[#This Row],[Discounted_price]]</f>
        <v>376.79200000000003</v>
      </c>
      <c r="J4243">
        <f>VLOOKUP(B4243, Products!$A$2:$E$100, 3, FALSE)</f>
        <v>5</v>
      </c>
      <c r="K4243">
        <f>VLOOKUP(B4243, Products!$A$2:$F$100, 4, FALSE)</f>
        <v>6</v>
      </c>
    </row>
    <row r="4244" spans="1:11" x14ac:dyDescent="0.3">
      <c r="A4244">
        <v>1457</v>
      </c>
      <c r="B4244">
        <v>3</v>
      </c>
      <c r="C4244">
        <v>268</v>
      </c>
      <c r="D4244" t="str">
        <f>VLOOKUP(B4244, Products!$A$2:$C$100, 2, FALSE)</f>
        <v>Surly Wednesday Frameset - 2016</v>
      </c>
      <c r="E4244">
        <v>1</v>
      </c>
      <c r="F4244">
        <v>159.99</v>
      </c>
      <c r="G4244">
        <v>0.2</v>
      </c>
      <c r="H4244">
        <v>31.998000000000005</v>
      </c>
      <c r="I4244">
        <f>order_items[[#This Row],[list_price]]-order_items[[#This Row],[Discounted_price]]</f>
        <v>127.992</v>
      </c>
      <c r="J4244">
        <f>VLOOKUP(B4244, Products!$A$2:$E$100, 3, FALSE)</f>
        <v>8</v>
      </c>
      <c r="K4244">
        <f>VLOOKUP(B4244, Products!$A$2:$F$100, 4, FALSE)</f>
        <v>6</v>
      </c>
    </row>
    <row r="4245" spans="1:11" x14ac:dyDescent="0.3">
      <c r="A4245">
        <v>1457</v>
      </c>
      <c r="B4245">
        <v>4</v>
      </c>
      <c r="C4245">
        <v>152</v>
      </c>
      <c r="D4245" t="str">
        <f>VLOOKUP(B4245, Products!$A$2:$C$100, 2, FALSE)</f>
        <v>Trek Fuel EX 8 29 - 2016</v>
      </c>
      <c r="E4245">
        <v>2</v>
      </c>
      <c r="F4245">
        <v>2499.9899999999998</v>
      </c>
      <c r="G4245">
        <v>0.2</v>
      </c>
      <c r="H4245">
        <v>499.99799999999999</v>
      </c>
      <c r="I4245">
        <f>order_items[[#This Row],[list_price]]-order_items[[#This Row],[Discounted_price]]</f>
        <v>1999.9919999999997</v>
      </c>
      <c r="J4245">
        <f>VLOOKUP(B4245, Products!$A$2:$E$100, 3, FALSE)</f>
        <v>9</v>
      </c>
      <c r="K4245">
        <f>VLOOKUP(B4245, Products!$A$2:$F$100, 4, FALSE)</f>
        <v>6</v>
      </c>
    </row>
    <row r="4246" spans="1:11" x14ac:dyDescent="0.3">
      <c r="A4246">
        <v>1458</v>
      </c>
      <c r="B4246">
        <v>1</v>
      </c>
      <c r="C4246">
        <v>295</v>
      </c>
      <c r="D4246" t="str">
        <f>VLOOKUP(B4246, Products!$A$2:$C$100, 2, FALSE)</f>
        <v>Trek 820 - 2016</v>
      </c>
      <c r="E4246">
        <v>2</v>
      </c>
      <c r="F4246">
        <v>319.99</v>
      </c>
      <c r="G4246">
        <v>0.05</v>
      </c>
      <c r="H4246">
        <v>15.999500000000001</v>
      </c>
      <c r="I4246">
        <f>order_items[[#This Row],[list_price]]-order_items[[#This Row],[Discounted_price]]</f>
        <v>303.9905</v>
      </c>
      <c r="J4246">
        <f>VLOOKUP(B4246, Products!$A$2:$E$100, 3, FALSE)</f>
        <v>9</v>
      </c>
      <c r="K4246">
        <f>VLOOKUP(B4246, Products!$A$2:$F$100, 4, FALSE)</f>
        <v>6</v>
      </c>
    </row>
    <row r="4247" spans="1:11" x14ac:dyDescent="0.3">
      <c r="A4247">
        <v>1458</v>
      </c>
      <c r="B4247">
        <v>2</v>
      </c>
      <c r="C4247">
        <v>105</v>
      </c>
      <c r="D4247" t="str">
        <f>VLOOKUP(B4247, Products!$A$2:$C$100, 2, FALSE)</f>
        <v>Ritchey Timberwolf Frameset - 2016</v>
      </c>
      <c r="E4247">
        <v>1</v>
      </c>
      <c r="F4247">
        <v>533.99</v>
      </c>
      <c r="G4247">
        <v>0.05</v>
      </c>
      <c r="H4247">
        <v>26.6995</v>
      </c>
      <c r="I4247">
        <f>order_items[[#This Row],[list_price]]-order_items[[#This Row],[Discounted_price]]</f>
        <v>507.29050000000001</v>
      </c>
      <c r="J4247">
        <f>VLOOKUP(B4247, Products!$A$2:$E$100, 3, FALSE)</f>
        <v>5</v>
      </c>
      <c r="K4247">
        <f>VLOOKUP(B4247, Products!$A$2:$F$100, 4, FALSE)</f>
        <v>6</v>
      </c>
    </row>
    <row r="4248" spans="1:11" x14ac:dyDescent="0.3">
      <c r="A4248">
        <v>1458</v>
      </c>
      <c r="B4248">
        <v>3</v>
      </c>
      <c r="C4248">
        <v>12</v>
      </c>
      <c r="D4248" t="str">
        <f>VLOOKUP(B4248, Products!$A$2:$C$100, 2, FALSE)</f>
        <v>Surly Wednesday Frameset - 2016</v>
      </c>
      <c r="E4248">
        <v>1</v>
      </c>
      <c r="F4248">
        <v>549.99</v>
      </c>
      <c r="G4248">
        <v>0.05</v>
      </c>
      <c r="H4248">
        <v>27.499500000000001</v>
      </c>
      <c r="I4248">
        <f>order_items[[#This Row],[list_price]]-order_items[[#This Row],[Discounted_price]]</f>
        <v>522.4905</v>
      </c>
      <c r="J4248">
        <f>VLOOKUP(B4248, Products!$A$2:$E$100, 3, FALSE)</f>
        <v>8</v>
      </c>
      <c r="K4248">
        <f>VLOOKUP(B4248, Products!$A$2:$F$100, 4, FALSE)</f>
        <v>6</v>
      </c>
    </row>
    <row r="4249" spans="1:11" x14ac:dyDescent="0.3">
      <c r="A4249">
        <v>1458</v>
      </c>
      <c r="B4249">
        <v>4</v>
      </c>
      <c r="C4249">
        <v>78</v>
      </c>
      <c r="D4249" t="str">
        <f>VLOOKUP(B4249, Products!$A$2:$C$100, 2, FALSE)</f>
        <v>Trek Fuel EX 8 29 - 2016</v>
      </c>
      <c r="E4249">
        <v>2</v>
      </c>
      <c r="F4249">
        <v>647.99</v>
      </c>
      <c r="G4249">
        <v>0.1</v>
      </c>
      <c r="H4249">
        <v>64.799000000000007</v>
      </c>
      <c r="I4249">
        <f>order_items[[#This Row],[list_price]]-order_items[[#This Row],[Discounted_price]]</f>
        <v>583.19100000000003</v>
      </c>
      <c r="J4249">
        <f>VLOOKUP(B4249, Products!$A$2:$E$100, 3, FALSE)</f>
        <v>9</v>
      </c>
      <c r="K4249">
        <f>VLOOKUP(B4249, Products!$A$2:$F$100, 4, FALSE)</f>
        <v>6</v>
      </c>
    </row>
    <row r="4250" spans="1:11" x14ac:dyDescent="0.3">
      <c r="A4250">
        <v>1459</v>
      </c>
      <c r="B4250">
        <v>1</v>
      </c>
      <c r="C4250">
        <v>258</v>
      </c>
      <c r="D4250" t="str">
        <f>VLOOKUP(B4250, Products!$A$2:$C$100, 2, FALSE)</f>
        <v>Trek 820 - 2016</v>
      </c>
      <c r="E4250">
        <v>1</v>
      </c>
      <c r="F4250">
        <v>1259.9000000000001</v>
      </c>
      <c r="G4250">
        <v>0.1</v>
      </c>
      <c r="H4250">
        <v>125.99000000000001</v>
      </c>
      <c r="I4250">
        <f>order_items[[#This Row],[list_price]]-order_items[[#This Row],[Discounted_price]]</f>
        <v>1133.9100000000001</v>
      </c>
      <c r="J4250">
        <f>VLOOKUP(B4250, Products!$A$2:$E$100, 3, FALSE)</f>
        <v>9</v>
      </c>
      <c r="K4250">
        <f>VLOOKUP(B4250, Products!$A$2:$F$100, 4, FALSE)</f>
        <v>6</v>
      </c>
    </row>
    <row r="4251" spans="1:11" x14ac:dyDescent="0.3">
      <c r="A4251">
        <v>1460</v>
      </c>
      <c r="B4251">
        <v>1</v>
      </c>
      <c r="C4251">
        <v>201</v>
      </c>
      <c r="D4251" t="str">
        <f>VLOOKUP(B4251, Products!$A$2:$C$100, 2, FALSE)</f>
        <v>Trek 820 - 2016</v>
      </c>
      <c r="E4251">
        <v>1</v>
      </c>
      <c r="F4251">
        <v>4499.99</v>
      </c>
      <c r="G4251">
        <v>0.05</v>
      </c>
      <c r="H4251">
        <v>224.99950000000001</v>
      </c>
      <c r="I4251">
        <f>order_items[[#This Row],[list_price]]-order_items[[#This Row],[Discounted_price]]</f>
        <v>4274.9904999999999</v>
      </c>
      <c r="J4251">
        <f>VLOOKUP(B4251, Products!$A$2:$E$100, 3, FALSE)</f>
        <v>9</v>
      </c>
      <c r="K4251">
        <f>VLOOKUP(B4251, Products!$A$2:$F$100, 4, FALSE)</f>
        <v>6</v>
      </c>
    </row>
    <row r="4252" spans="1:11" x14ac:dyDescent="0.3">
      <c r="A4252">
        <v>1460</v>
      </c>
      <c r="B4252">
        <v>2</v>
      </c>
      <c r="C4252">
        <v>76</v>
      </c>
      <c r="D4252" t="str">
        <f>VLOOKUP(B4252, Products!$A$2:$C$100, 2, FALSE)</f>
        <v>Ritchey Timberwolf Frameset - 2016</v>
      </c>
      <c r="E4252">
        <v>1</v>
      </c>
      <c r="F4252">
        <v>299.99</v>
      </c>
      <c r="G4252">
        <v>7.0000000000000007E-2</v>
      </c>
      <c r="H4252">
        <v>20.999300000000002</v>
      </c>
      <c r="I4252">
        <f>order_items[[#This Row],[list_price]]-order_items[[#This Row],[Discounted_price]]</f>
        <v>278.9907</v>
      </c>
      <c r="J4252">
        <f>VLOOKUP(B4252, Products!$A$2:$E$100, 3, FALSE)</f>
        <v>5</v>
      </c>
      <c r="K4252">
        <f>VLOOKUP(B4252, Products!$A$2:$F$100, 4, FALSE)</f>
        <v>6</v>
      </c>
    </row>
    <row r="4253" spans="1:11" x14ac:dyDescent="0.3">
      <c r="A4253">
        <v>1460</v>
      </c>
      <c r="B4253">
        <v>3</v>
      </c>
      <c r="C4253">
        <v>167</v>
      </c>
      <c r="D4253" t="str">
        <f>VLOOKUP(B4253, Products!$A$2:$C$100, 2, FALSE)</f>
        <v>Surly Wednesday Frameset - 2016</v>
      </c>
      <c r="E4253">
        <v>1</v>
      </c>
      <c r="F4253">
        <v>749.99</v>
      </c>
      <c r="G4253">
        <v>0.05</v>
      </c>
      <c r="H4253">
        <v>37.499500000000005</v>
      </c>
      <c r="I4253">
        <f>order_items[[#This Row],[list_price]]-order_items[[#This Row],[Discounted_price]]</f>
        <v>712.4905</v>
      </c>
      <c r="J4253">
        <f>VLOOKUP(B4253, Products!$A$2:$E$100, 3, FALSE)</f>
        <v>8</v>
      </c>
      <c r="K4253">
        <f>VLOOKUP(B4253, Products!$A$2:$F$100, 4, FALSE)</f>
        <v>6</v>
      </c>
    </row>
    <row r="4254" spans="1:11" x14ac:dyDescent="0.3">
      <c r="A4254">
        <v>1460</v>
      </c>
      <c r="B4254">
        <v>4</v>
      </c>
      <c r="C4254">
        <v>7</v>
      </c>
      <c r="D4254" t="str">
        <f>VLOOKUP(B4254, Products!$A$2:$C$100, 2, FALSE)</f>
        <v>Trek Fuel EX 8 29 - 2016</v>
      </c>
      <c r="E4254">
        <v>2</v>
      </c>
      <c r="F4254">
        <v>3999.99</v>
      </c>
      <c r="G4254">
        <v>7.0000000000000007E-2</v>
      </c>
      <c r="H4254">
        <v>279.99930000000001</v>
      </c>
      <c r="I4254">
        <f>order_items[[#This Row],[list_price]]-order_items[[#This Row],[Discounted_price]]</f>
        <v>3719.9906999999998</v>
      </c>
      <c r="J4254">
        <f>VLOOKUP(B4254, Products!$A$2:$E$100, 3, FALSE)</f>
        <v>9</v>
      </c>
      <c r="K4254">
        <f>VLOOKUP(B4254, Products!$A$2:$F$100, 4, FALSE)</f>
        <v>6</v>
      </c>
    </row>
    <row r="4255" spans="1:11" x14ac:dyDescent="0.3">
      <c r="A4255">
        <v>1460</v>
      </c>
      <c r="B4255">
        <v>5</v>
      </c>
      <c r="C4255">
        <v>123</v>
      </c>
      <c r="D4255" t="str">
        <f>VLOOKUP(B4255, Products!$A$2:$C$100, 2, FALSE)</f>
        <v>Heller Shagamaw Frame - 2016</v>
      </c>
      <c r="E4255">
        <v>2</v>
      </c>
      <c r="F4255">
        <v>999.99</v>
      </c>
      <c r="G4255">
        <v>7.0000000000000007E-2</v>
      </c>
      <c r="H4255">
        <v>69.999300000000005</v>
      </c>
      <c r="I4255">
        <f>order_items[[#This Row],[list_price]]-order_items[[#This Row],[Discounted_price]]</f>
        <v>929.99070000000006</v>
      </c>
      <c r="J4255">
        <f>VLOOKUP(B4255, Products!$A$2:$E$100, 3, FALSE)</f>
        <v>3</v>
      </c>
      <c r="K4255">
        <f>VLOOKUP(B4255, Products!$A$2:$F$100, 4, FALSE)</f>
        <v>6</v>
      </c>
    </row>
    <row r="4256" spans="1:11" x14ac:dyDescent="0.3">
      <c r="A4256">
        <v>1461</v>
      </c>
      <c r="B4256">
        <v>1</v>
      </c>
      <c r="C4256">
        <v>48</v>
      </c>
      <c r="D4256" t="str">
        <f>VLOOKUP(B4256, Products!$A$2:$C$100, 2, FALSE)</f>
        <v>Trek 820 - 2016</v>
      </c>
      <c r="E4256">
        <v>1</v>
      </c>
      <c r="F4256">
        <v>1499.99</v>
      </c>
      <c r="G4256">
        <v>0.2</v>
      </c>
      <c r="H4256">
        <v>299.99799999999999</v>
      </c>
      <c r="I4256">
        <f>order_items[[#This Row],[list_price]]-order_items[[#This Row],[Discounted_price]]</f>
        <v>1199.992</v>
      </c>
      <c r="J4256">
        <f>VLOOKUP(B4256, Products!$A$2:$E$100, 3, FALSE)</f>
        <v>9</v>
      </c>
      <c r="K4256">
        <f>VLOOKUP(B4256, Products!$A$2:$F$100, 4, FALSE)</f>
        <v>6</v>
      </c>
    </row>
    <row r="4257" spans="1:11" x14ac:dyDescent="0.3">
      <c r="A4257">
        <v>1461</v>
      </c>
      <c r="B4257">
        <v>2</v>
      </c>
      <c r="C4257">
        <v>242</v>
      </c>
      <c r="D4257" t="str">
        <f>VLOOKUP(B4257, Products!$A$2:$C$100, 2, FALSE)</f>
        <v>Ritchey Timberwolf Frameset - 2016</v>
      </c>
      <c r="E4257">
        <v>2</v>
      </c>
      <c r="F4257">
        <v>699.99</v>
      </c>
      <c r="G4257">
        <v>0.2</v>
      </c>
      <c r="H4257">
        <v>139.99800000000002</v>
      </c>
      <c r="I4257">
        <f>order_items[[#This Row],[list_price]]-order_items[[#This Row],[Discounted_price]]</f>
        <v>559.99199999999996</v>
      </c>
      <c r="J4257">
        <f>VLOOKUP(B4257, Products!$A$2:$E$100, 3, FALSE)</f>
        <v>5</v>
      </c>
      <c r="K4257">
        <f>VLOOKUP(B4257, Products!$A$2:$F$100, 4, FALSE)</f>
        <v>6</v>
      </c>
    </row>
    <row r="4258" spans="1:11" x14ac:dyDescent="0.3">
      <c r="A4258">
        <v>1462</v>
      </c>
      <c r="B4258">
        <v>1</v>
      </c>
      <c r="C4258">
        <v>263</v>
      </c>
      <c r="D4258" t="str">
        <f>VLOOKUP(B4258, Products!$A$2:$C$100, 2, FALSE)</f>
        <v>Trek 820 - 2016</v>
      </c>
      <c r="E4258">
        <v>1</v>
      </c>
      <c r="F4258">
        <v>89.99</v>
      </c>
      <c r="G4258">
        <v>0.2</v>
      </c>
      <c r="H4258">
        <v>17.998000000000001</v>
      </c>
      <c r="I4258">
        <f>order_items[[#This Row],[list_price]]-order_items[[#This Row],[Discounted_price]]</f>
        <v>71.99199999999999</v>
      </c>
      <c r="J4258">
        <f>VLOOKUP(B4258, Products!$A$2:$E$100, 3, FALSE)</f>
        <v>9</v>
      </c>
      <c r="K4258">
        <f>VLOOKUP(B4258, Products!$A$2:$F$100, 4, FALSE)</f>
        <v>6</v>
      </c>
    </row>
    <row r="4259" spans="1:11" x14ac:dyDescent="0.3">
      <c r="A4259">
        <v>1462</v>
      </c>
      <c r="B4259">
        <v>2</v>
      </c>
      <c r="C4259">
        <v>25</v>
      </c>
      <c r="D4259" t="str">
        <f>VLOOKUP(B4259, Products!$A$2:$C$100, 2, FALSE)</f>
        <v>Ritchey Timberwolf Frameset - 2016</v>
      </c>
      <c r="E4259">
        <v>1</v>
      </c>
      <c r="F4259">
        <v>499.99</v>
      </c>
      <c r="G4259">
        <v>7.0000000000000007E-2</v>
      </c>
      <c r="H4259">
        <v>34.999300000000005</v>
      </c>
      <c r="I4259">
        <f>order_items[[#This Row],[list_price]]-order_items[[#This Row],[Discounted_price]]</f>
        <v>464.9907</v>
      </c>
      <c r="J4259">
        <f>VLOOKUP(B4259, Products!$A$2:$E$100, 3, FALSE)</f>
        <v>5</v>
      </c>
      <c r="K4259">
        <f>VLOOKUP(B4259, Products!$A$2:$F$100, 4, FALSE)</f>
        <v>6</v>
      </c>
    </row>
    <row r="4260" spans="1:11" x14ac:dyDescent="0.3">
      <c r="A4260">
        <v>1462</v>
      </c>
      <c r="B4260">
        <v>3</v>
      </c>
      <c r="C4260">
        <v>223</v>
      </c>
      <c r="D4260" t="str">
        <f>VLOOKUP(B4260, Products!$A$2:$C$100, 2, FALSE)</f>
        <v>Surly Wednesday Frameset - 2016</v>
      </c>
      <c r="E4260">
        <v>1</v>
      </c>
      <c r="F4260">
        <v>529.99</v>
      </c>
      <c r="G4260">
        <v>0.1</v>
      </c>
      <c r="H4260">
        <v>52.999000000000002</v>
      </c>
      <c r="I4260">
        <f>order_items[[#This Row],[list_price]]-order_items[[#This Row],[Discounted_price]]</f>
        <v>476.99099999999999</v>
      </c>
      <c r="J4260">
        <f>VLOOKUP(B4260, Products!$A$2:$E$100, 3, FALSE)</f>
        <v>8</v>
      </c>
      <c r="K4260">
        <f>VLOOKUP(B4260, Products!$A$2:$F$100, 4, FALSE)</f>
        <v>6</v>
      </c>
    </row>
    <row r="4261" spans="1:11" x14ac:dyDescent="0.3">
      <c r="A4261">
        <v>1462</v>
      </c>
      <c r="B4261">
        <v>4</v>
      </c>
      <c r="C4261">
        <v>294</v>
      </c>
      <c r="D4261" t="str">
        <f>VLOOKUP(B4261, Products!$A$2:$C$100, 2, FALSE)</f>
        <v>Trek Fuel EX 8 29 - 2016</v>
      </c>
      <c r="E4261">
        <v>1</v>
      </c>
      <c r="F4261">
        <v>369.99</v>
      </c>
      <c r="G4261">
        <v>0.1</v>
      </c>
      <c r="H4261">
        <v>36.999000000000002</v>
      </c>
      <c r="I4261">
        <f>order_items[[#This Row],[list_price]]-order_items[[#This Row],[Discounted_price]]</f>
        <v>332.99099999999999</v>
      </c>
      <c r="J4261">
        <f>VLOOKUP(B4261, Products!$A$2:$E$100, 3, FALSE)</f>
        <v>9</v>
      </c>
      <c r="K4261">
        <f>VLOOKUP(B4261, Products!$A$2:$F$100, 4, FALSE)</f>
        <v>6</v>
      </c>
    </row>
    <row r="4262" spans="1:11" x14ac:dyDescent="0.3">
      <c r="A4262">
        <v>1462</v>
      </c>
      <c r="B4262">
        <v>5</v>
      </c>
      <c r="C4262">
        <v>251</v>
      </c>
      <c r="D4262" t="str">
        <f>VLOOKUP(B4262, Products!$A$2:$C$100, 2, FALSE)</f>
        <v>Heller Shagamaw Frame - 2016</v>
      </c>
      <c r="E4262">
        <v>1</v>
      </c>
      <c r="F4262">
        <v>2999.99</v>
      </c>
      <c r="G4262">
        <v>0.05</v>
      </c>
      <c r="H4262">
        <v>149.99949999999998</v>
      </c>
      <c r="I4262">
        <f>order_items[[#This Row],[list_price]]-order_items[[#This Row],[Discounted_price]]</f>
        <v>2849.9904999999999</v>
      </c>
      <c r="J4262">
        <f>VLOOKUP(B4262, Products!$A$2:$E$100, 3, FALSE)</f>
        <v>3</v>
      </c>
      <c r="K4262">
        <f>VLOOKUP(B4262, Products!$A$2:$F$100, 4, FALSE)</f>
        <v>6</v>
      </c>
    </row>
    <row r="4263" spans="1:11" x14ac:dyDescent="0.3">
      <c r="A4263">
        <v>1463</v>
      </c>
      <c r="B4263">
        <v>1</v>
      </c>
      <c r="C4263">
        <v>51</v>
      </c>
      <c r="D4263" t="str">
        <f>VLOOKUP(B4263, Products!$A$2:$C$100, 2, FALSE)</f>
        <v>Trek 820 - 2016</v>
      </c>
      <c r="E4263">
        <v>2</v>
      </c>
      <c r="F4263">
        <v>6499.99</v>
      </c>
      <c r="G4263">
        <v>0.05</v>
      </c>
      <c r="H4263">
        <v>324.99950000000001</v>
      </c>
      <c r="I4263">
        <f>order_items[[#This Row],[list_price]]-order_items[[#This Row],[Discounted_price]]</f>
        <v>6174.9904999999999</v>
      </c>
      <c r="J4263">
        <f>VLOOKUP(B4263, Products!$A$2:$E$100, 3, FALSE)</f>
        <v>9</v>
      </c>
      <c r="K4263">
        <f>VLOOKUP(B4263, Products!$A$2:$F$100, 4, FALSE)</f>
        <v>6</v>
      </c>
    </row>
    <row r="4264" spans="1:11" x14ac:dyDescent="0.3">
      <c r="A4264">
        <v>1463</v>
      </c>
      <c r="B4264">
        <v>2</v>
      </c>
      <c r="C4264">
        <v>168</v>
      </c>
      <c r="D4264" t="str">
        <f>VLOOKUP(B4264, Products!$A$2:$C$100, 2, FALSE)</f>
        <v>Ritchey Timberwolf Frameset - 2016</v>
      </c>
      <c r="E4264">
        <v>1</v>
      </c>
      <c r="F4264">
        <v>1549</v>
      </c>
      <c r="G4264">
        <v>0.05</v>
      </c>
      <c r="H4264">
        <v>77.45</v>
      </c>
      <c r="I4264">
        <f>order_items[[#This Row],[list_price]]-order_items[[#This Row],[Discounted_price]]</f>
        <v>1471.55</v>
      </c>
      <c r="J4264">
        <f>VLOOKUP(B4264, Products!$A$2:$E$100, 3, FALSE)</f>
        <v>5</v>
      </c>
      <c r="K4264">
        <f>VLOOKUP(B4264, Products!$A$2:$F$100, 4, FALSE)</f>
        <v>6</v>
      </c>
    </row>
    <row r="4265" spans="1:11" x14ac:dyDescent="0.3">
      <c r="A4265">
        <v>1464</v>
      </c>
      <c r="B4265">
        <v>1</v>
      </c>
      <c r="C4265">
        <v>109</v>
      </c>
      <c r="D4265" t="str">
        <f>VLOOKUP(B4265, Products!$A$2:$C$100, 2, FALSE)</f>
        <v>Trek 820 - 2016</v>
      </c>
      <c r="E4265">
        <v>2</v>
      </c>
      <c r="F4265">
        <v>416.99</v>
      </c>
      <c r="G4265">
        <v>0.05</v>
      </c>
      <c r="H4265">
        <v>20.849500000000003</v>
      </c>
      <c r="I4265">
        <f>order_items[[#This Row],[list_price]]-order_items[[#This Row],[Discounted_price]]</f>
        <v>396.14050000000003</v>
      </c>
      <c r="J4265">
        <f>VLOOKUP(B4265, Products!$A$2:$E$100, 3, FALSE)</f>
        <v>9</v>
      </c>
      <c r="K4265">
        <f>VLOOKUP(B4265, Products!$A$2:$F$100, 4, FALSE)</f>
        <v>6</v>
      </c>
    </row>
    <row r="4266" spans="1:11" x14ac:dyDescent="0.3">
      <c r="A4266">
        <v>1464</v>
      </c>
      <c r="B4266">
        <v>2</v>
      </c>
      <c r="C4266">
        <v>124</v>
      </c>
      <c r="D4266" t="str">
        <f>VLOOKUP(B4266, Products!$A$2:$C$100, 2, FALSE)</f>
        <v>Ritchey Timberwolf Frameset - 2016</v>
      </c>
      <c r="E4266">
        <v>1</v>
      </c>
      <c r="F4266">
        <v>1499</v>
      </c>
      <c r="G4266">
        <v>0.2</v>
      </c>
      <c r="H4266">
        <v>299.8</v>
      </c>
      <c r="I4266">
        <f>order_items[[#This Row],[list_price]]-order_items[[#This Row],[Discounted_price]]</f>
        <v>1199.2</v>
      </c>
      <c r="J4266">
        <f>VLOOKUP(B4266, Products!$A$2:$E$100, 3, FALSE)</f>
        <v>5</v>
      </c>
      <c r="K4266">
        <f>VLOOKUP(B4266, Products!$A$2:$F$100, 4, FALSE)</f>
        <v>6</v>
      </c>
    </row>
    <row r="4267" spans="1:11" x14ac:dyDescent="0.3">
      <c r="A4267">
        <v>1464</v>
      </c>
      <c r="B4267">
        <v>3</v>
      </c>
      <c r="C4267">
        <v>165</v>
      </c>
      <c r="D4267" t="str">
        <f>VLOOKUP(B4267, Products!$A$2:$C$100, 2, FALSE)</f>
        <v>Surly Wednesday Frameset - 2016</v>
      </c>
      <c r="E4267">
        <v>2</v>
      </c>
      <c r="F4267">
        <v>2499.9899999999998</v>
      </c>
      <c r="G4267">
        <v>0.2</v>
      </c>
      <c r="H4267">
        <v>499.99799999999999</v>
      </c>
      <c r="I4267">
        <f>order_items[[#This Row],[list_price]]-order_items[[#This Row],[Discounted_price]]</f>
        <v>1999.9919999999997</v>
      </c>
      <c r="J4267">
        <f>VLOOKUP(B4267, Products!$A$2:$E$100, 3, FALSE)</f>
        <v>8</v>
      </c>
      <c r="K4267">
        <f>VLOOKUP(B4267, Products!$A$2:$F$100, 4, FALSE)</f>
        <v>6</v>
      </c>
    </row>
    <row r="4268" spans="1:11" x14ac:dyDescent="0.3">
      <c r="A4268">
        <v>1464</v>
      </c>
      <c r="B4268">
        <v>4</v>
      </c>
      <c r="C4268">
        <v>151</v>
      </c>
      <c r="D4268" t="str">
        <f>VLOOKUP(B4268, Products!$A$2:$C$100, 2, FALSE)</f>
        <v>Trek Fuel EX 8 29 - 2016</v>
      </c>
      <c r="E4268">
        <v>2</v>
      </c>
      <c r="F4268">
        <v>1549.99</v>
      </c>
      <c r="G4268">
        <v>0.05</v>
      </c>
      <c r="H4268">
        <v>77.499500000000012</v>
      </c>
      <c r="I4268">
        <f>order_items[[#This Row],[list_price]]-order_items[[#This Row],[Discounted_price]]</f>
        <v>1472.4904999999999</v>
      </c>
      <c r="J4268">
        <f>VLOOKUP(B4268, Products!$A$2:$E$100, 3, FALSE)</f>
        <v>9</v>
      </c>
      <c r="K4268">
        <f>VLOOKUP(B4268, Products!$A$2:$F$100, 4, FALSE)</f>
        <v>6</v>
      </c>
    </row>
    <row r="4269" spans="1:11" x14ac:dyDescent="0.3">
      <c r="A4269">
        <v>1465</v>
      </c>
      <c r="B4269">
        <v>1</v>
      </c>
      <c r="C4269">
        <v>70</v>
      </c>
      <c r="D4269" t="str">
        <f>VLOOKUP(B4269, Products!$A$2:$C$100, 2, FALSE)</f>
        <v>Trek 820 - 2016</v>
      </c>
      <c r="E4269">
        <v>2</v>
      </c>
      <c r="F4269">
        <v>659.99</v>
      </c>
      <c r="G4269">
        <v>0.05</v>
      </c>
      <c r="H4269">
        <v>32.999500000000005</v>
      </c>
      <c r="I4269">
        <f>order_items[[#This Row],[list_price]]-order_items[[#This Row],[Discounted_price]]</f>
        <v>626.9905</v>
      </c>
      <c r="J4269">
        <f>VLOOKUP(B4269, Products!$A$2:$E$100, 3, FALSE)</f>
        <v>9</v>
      </c>
      <c r="K4269">
        <f>VLOOKUP(B4269, Products!$A$2:$F$100, 4, FALSE)</f>
        <v>6</v>
      </c>
    </row>
    <row r="4270" spans="1:11" x14ac:dyDescent="0.3">
      <c r="A4270">
        <v>1466</v>
      </c>
      <c r="B4270">
        <v>1</v>
      </c>
      <c r="C4270">
        <v>310</v>
      </c>
      <c r="D4270" t="str">
        <f>VLOOKUP(B4270, Products!$A$2:$C$100, 2, FALSE)</f>
        <v>Trek 820 - 2016</v>
      </c>
      <c r="E4270">
        <v>2</v>
      </c>
      <c r="F4270">
        <v>899.99</v>
      </c>
      <c r="G4270">
        <v>7.0000000000000007E-2</v>
      </c>
      <c r="H4270">
        <v>62.999300000000005</v>
      </c>
      <c r="I4270">
        <f>order_items[[#This Row],[list_price]]-order_items[[#This Row],[Discounted_price]]</f>
        <v>836.99070000000006</v>
      </c>
      <c r="J4270">
        <f>VLOOKUP(B4270, Products!$A$2:$E$100, 3, FALSE)</f>
        <v>9</v>
      </c>
      <c r="K4270">
        <f>VLOOKUP(B4270, Products!$A$2:$F$100, 4, FALSE)</f>
        <v>6</v>
      </c>
    </row>
    <row r="4271" spans="1:11" x14ac:dyDescent="0.3">
      <c r="A4271">
        <v>1466</v>
      </c>
      <c r="B4271">
        <v>2</v>
      </c>
      <c r="C4271">
        <v>251</v>
      </c>
      <c r="D4271" t="str">
        <f>VLOOKUP(B4271, Products!$A$2:$C$100, 2, FALSE)</f>
        <v>Ritchey Timberwolf Frameset - 2016</v>
      </c>
      <c r="E4271">
        <v>1</v>
      </c>
      <c r="F4271">
        <v>2999.99</v>
      </c>
      <c r="G4271">
        <v>0.05</v>
      </c>
      <c r="H4271">
        <v>149.99949999999998</v>
      </c>
      <c r="I4271">
        <f>order_items[[#This Row],[list_price]]-order_items[[#This Row],[Discounted_price]]</f>
        <v>2849.9904999999999</v>
      </c>
      <c r="J4271">
        <f>VLOOKUP(B4271, Products!$A$2:$E$100, 3, FALSE)</f>
        <v>5</v>
      </c>
      <c r="K4271">
        <f>VLOOKUP(B4271, Products!$A$2:$F$100, 4, FALSE)</f>
        <v>6</v>
      </c>
    </row>
    <row r="4272" spans="1:11" x14ac:dyDescent="0.3">
      <c r="A4272">
        <v>1466</v>
      </c>
      <c r="B4272">
        <v>3</v>
      </c>
      <c r="C4272">
        <v>163</v>
      </c>
      <c r="D4272" t="str">
        <f>VLOOKUP(B4272, Products!$A$2:$C$100, 2, FALSE)</f>
        <v>Surly Wednesday Frameset - 2016</v>
      </c>
      <c r="E4272">
        <v>2</v>
      </c>
      <c r="F4272">
        <v>1349</v>
      </c>
      <c r="G4272">
        <v>0.2</v>
      </c>
      <c r="H4272">
        <v>269.8</v>
      </c>
      <c r="I4272">
        <f>order_items[[#This Row],[list_price]]-order_items[[#This Row],[Discounted_price]]</f>
        <v>1079.2</v>
      </c>
      <c r="J4272">
        <f>VLOOKUP(B4272, Products!$A$2:$E$100, 3, FALSE)</f>
        <v>8</v>
      </c>
      <c r="K4272">
        <f>VLOOKUP(B4272, Products!$A$2:$F$100, 4, FALSE)</f>
        <v>6</v>
      </c>
    </row>
    <row r="4273" spans="1:11" x14ac:dyDescent="0.3">
      <c r="A4273">
        <v>1466</v>
      </c>
      <c r="B4273">
        <v>4</v>
      </c>
      <c r="C4273">
        <v>39</v>
      </c>
      <c r="D4273" t="str">
        <f>VLOOKUP(B4273, Products!$A$2:$C$100, 2, FALSE)</f>
        <v>Trek Fuel EX 8 29 - 2016</v>
      </c>
      <c r="E4273">
        <v>2</v>
      </c>
      <c r="F4273">
        <v>1499.99</v>
      </c>
      <c r="G4273">
        <v>0.05</v>
      </c>
      <c r="H4273">
        <v>74.999499999999998</v>
      </c>
      <c r="I4273">
        <f>order_items[[#This Row],[list_price]]-order_items[[#This Row],[Discounted_price]]</f>
        <v>1424.9905000000001</v>
      </c>
      <c r="J4273">
        <f>VLOOKUP(B4273, Products!$A$2:$E$100, 3, FALSE)</f>
        <v>9</v>
      </c>
      <c r="K4273">
        <f>VLOOKUP(B4273, Products!$A$2:$F$100, 4, FALSE)</f>
        <v>6</v>
      </c>
    </row>
    <row r="4274" spans="1:11" x14ac:dyDescent="0.3">
      <c r="A4274">
        <v>1467</v>
      </c>
      <c r="B4274">
        <v>1</v>
      </c>
      <c r="C4274">
        <v>18</v>
      </c>
      <c r="D4274" t="str">
        <f>VLOOKUP(B4274, Products!$A$2:$C$100, 2, FALSE)</f>
        <v>Trek 820 - 2016</v>
      </c>
      <c r="E4274">
        <v>1</v>
      </c>
      <c r="F4274">
        <v>449</v>
      </c>
      <c r="G4274">
        <v>7.0000000000000007E-2</v>
      </c>
      <c r="H4274">
        <v>31.430000000000003</v>
      </c>
      <c r="I4274">
        <f>order_items[[#This Row],[list_price]]-order_items[[#This Row],[Discounted_price]]</f>
        <v>417.57</v>
      </c>
      <c r="J4274">
        <f>VLOOKUP(B4274, Products!$A$2:$E$100, 3, FALSE)</f>
        <v>9</v>
      </c>
      <c r="K4274">
        <f>VLOOKUP(B4274, Products!$A$2:$F$100, 4, FALSE)</f>
        <v>6</v>
      </c>
    </row>
    <row r="4275" spans="1:11" x14ac:dyDescent="0.3">
      <c r="A4275">
        <v>1467</v>
      </c>
      <c r="B4275">
        <v>2</v>
      </c>
      <c r="C4275">
        <v>115</v>
      </c>
      <c r="D4275" t="str">
        <f>VLOOKUP(B4275, Products!$A$2:$C$100, 2, FALSE)</f>
        <v>Ritchey Timberwolf Frameset - 2016</v>
      </c>
      <c r="E4275">
        <v>1</v>
      </c>
      <c r="F4275">
        <v>3199.99</v>
      </c>
      <c r="G4275">
        <v>0.2</v>
      </c>
      <c r="H4275">
        <v>639.99800000000005</v>
      </c>
      <c r="I4275">
        <f>order_items[[#This Row],[list_price]]-order_items[[#This Row],[Discounted_price]]</f>
        <v>2559.9919999999997</v>
      </c>
      <c r="J4275">
        <f>VLOOKUP(B4275, Products!$A$2:$E$100, 3, FALSE)</f>
        <v>5</v>
      </c>
      <c r="K4275">
        <f>VLOOKUP(B4275, Products!$A$2:$F$100, 4, FALSE)</f>
        <v>6</v>
      </c>
    </row>
    <row r="4276" spans="1:11" x14ac:dyDescent="0.3">
      <c r="A4276">
        <v>1467</v>
      </c>
      <c r="B4276">
        <v>3</v>
      </c>
      <c r="C4276">
        <v>278</v>
      </c>
      <c r="D4276" t="str">
        <f>VLOOKUP(B4276, Products!$A$2:$C$100, 2, FALSE)</f>
        <v>Surly Wednesday Frameset - 2016</v>
      </c>
      <c r="E4276">
        <v>2</v>
      </c>
      <c r="F4276">
        <v>369.99</v>
      </c>
      <c r="G4276">
        <v>0.1</v>
      </c>
      <c r="H4276">
        <v>36.999000000000002</v>
      </c>
      <c r="I4276">
        <f>order_items[[#This Row],[list_price]]-order_items[[#This Row],[Discounted_price]]</f>
        <v>332.99099999999999</v>
      </c>
      <c r="J4276">
        <f>VLOOKUP(B4276, Products!$A$2:$E$100, 3, FALSE)</f>
        <v>8</v>
      </c>
      <c r="K4276">
        <f>VLOOKUP(B4276, Products!$A$2:$F$100, 4, FALSE)</f>
        <v>6</v>
      </c>
    </row>
    <row r="4277" spans="1:11" x14ac:dyDescent="0.3">
      <c r="A4277">
        <v>1468</v>
      </c>
      <c r="B4277">
        <v>1</v>
      </c>
      <c r="C4277">
        <v>269</v>
      </c>
      <c r="D4277" t="str">
        <f>VLOOKUP(B4277, Products!$A$2:$C$100, 2, FALSE)</f>
        <v>Trek 820 - 2016</v>
      </c>
      <c r="E4277">
        <v>1</v>
      </c>
      <c r="F4277">
        <v>199.99</v>
      </c>
      <c r="G4277">
        <v>0.05</v>
      </c>
      <c r="H4277">
        <v>9.9995000000000012</v>
      </c>
      <c r="I4277">
        <f>order_items[[#This Row],[list_price]]-order_items[[#This Row],[Discounted_price]]</f>
        <v>189.9905</v>
      </c>
      <c r="J4277">
        <f>VLOOKUP(B4277, Products!$A$2:$E$100, 3, FALSE)</f>
        <v>9</v>
      </c>
      <c r="K4277">
        <f>VLOOKUP(B4277, Products!$A$2:$F$100, 4, FALSE)</f>
        <v>6</v>
      </c>
    </row>
    <row r="4278" spans="1:11" x14ac:dyDescent="0.3">
      <c r="A4278">
        <v>1468</v>
      </c>
      <c r="B4278">
        <v>2</v>
      </c>
      <c r="C4278">
        <v>58</v>
      </c>
      <c r="D4278" t="str">
        <f>VLOOKUP(B4278, Products!$A$2:$C$100, 2, FALSE)</f>
        <v>Ritchey Timberwolf Frameset - 2016</v>
      </c>
      <c r="E4278">
        <v>1</v>
      </c>
      <c r="F4278">
        <v>4999.99</v>
      </c>
      <c r="G4278">
        <v>7.0000000000000007E-2</v>
      </c>
      <c r="H4278">
        <v>349.99930000000001</v>
      </c>
      <c r="I4278">
        <f>order_items[[#This Row],[list_price]]-order_items[[#This Row],[Discounted_price]]</f>
        <v>4649.9906999999994</v>
      </c>
      <c r="J4278">
        <f>VLOOKUP(B4278, Products!$A$2:$E$100, 3, FALSE)</f>
        <v>5</v>
      </c>
      <c r="K4278">
        <f>VLOOKUP(B4278, Products!$A$2:$F$100, 4, FALSE)</f>
        <v>6</v>
      </c>
    </row>
    <row r="4279" spans="1:11" x14ac:dyDescent="0.3">
      <c r="A4279">
        <v>1468</v>
      </c>
      <c r="B4279">
        <v>3</v>
      </c>
      <c r="C4279">
        <v>50</v>
      </c>
      <c r="D4279" t="str">
        <f>VLOOKUP(B4279, Products!$A$2:$C$100, 2, FALSE)</f>
        <v>Surly Wednesday Frameset - 2016</v>
      </c>
      <c r="E4279">
        <v>2</v>
      </c>
      <c r="F4279">
        <v>5999.99</v>
      </c>
      <c r="G4279">
        <v>7.0000000000000007E-2</v>
      </c>
      <c r="H4279">
        <v>419.99930000000001</v>
      </c>
      <c r="I4279">
        <f>order_items[[#This Row],[list_price]]-order_items[[#This Row],[Discounted_price]]</f>
        <v>5579.9906999999994</v>
      </c>
      <c r="J4279">
        <f>VLOOKUP(B4279, Products!$A$2:$E$100, 3, FALSE)</f>
        <v>8</v>
      </c>
      <c r="K4279">
        <f>VLOOKUP(B4279, Products!$A$2:$F$100, 4, FALSE)</f>
        <v>6</v>
      </c>
    </row>
    <row r="4280" spans="1:11" x14ac:dyDescent="0.3">
      <c r="A4280">
        <v>1469</v>
      </c>
      <c r="B4280">
        <v>1</v>
      </c>
      <c r="C4280">
        <v>77</v>
      </c>
      <c r="D4280" t="str">
        <f>VLOOKUP(B4280, Products!$A$2:$C$100, 2, FALSE)</f>
        <v>Trek 820 - 2016</v>
      </c>
      <c r="E4280">
        <v>2</v>
      </c>
      <c r="F4280">
        <v>799.99</v>
      </c>
      <c r="G4280">
        <v>0.2</v>
      </c>
      <c r="H4280">
        <v>159.99800000000002</v>
      </c>
      <c r="I4280">
        <f>order_items[[#This Row],[list_price]]-order_items[[#This Row],[Discounted_price]]</f>
        <v>639.99199999999996</v>
      </c>
      <c r="J4280">
        <f>VLOOKUP(B4280, Products!$A$2:$E$100, 3, FALSE)</f>
        <v>9</v>
      </c>
      <c r="K4280">
        <f>VLOOKUP(B4280, Products!$A$2:$F$100, 4, FALSE)</f>
        <v>6</v>
      </c>
    </row>
    <row r="4281" spans="1:11" x14ac:dyDescent="0.3">
      <c r="A4281">
        <v>1469</v>
      </c>
      <c r="B4281">
        <v>2</v>
      </c>
      <c r="C4281">
        <v>237</v>
      </c>
      <c r="D4281" t="str">
        <f>VLOOKUP(B4281, Products!$A$2:$C$100, 2, FALSE)</f>
        <v>Ritchey Timberwolf Frameset - 2016</v>
      </c>
      <c r="E4281">
        <v>2</v>
      </c>
      <c r="F4281">
        <v>849.99</v>
      </c>
      <c r="G4281">
        <v>0.05</v>
      </c>
      <c r="H4281">
        <v>42.499500000000005</v>
      </c>
      <c r="I4281">
        <f>order_items[[#This Row],[list_price]]-order_items[[#This Row],[Discounted_price]]</f>
        <v>807.4905</v>
      </c>
      <c r="J4281">
        <f>VLOOKUP(B4281, Products!$A$2:$E$100, 3, FALSE)</f>
        <v>5</v>
      </c>
      <c r="K4281">
        <f>VLOOKUP(B4281, Products!$A$2:$F$100, 4, FALSE)</f>
        <v>6</v>
      </c>
    </row>
    <row r="4282" spans="1:11" x14ac:dyDescent="0.3">
      <c r="A4282">
        <v>1469</v>
      </c>
      <c r="B4282">
        <v>3</v>
      </c>
      <c r="C4282">
        <v>182</v>
      </c>
      <c r="D4282" t="str">
        <f>VLOOKUP(B4282, Products!$A$2:$C$100, 2, FALSE)</f>
        <v>Surly Wednesday Frameset - 2016</v>
      </c>
      <c r="E4282">
        <v>1</v>
      </c>
      <c r="F4282">
        <v>2499.9899999999998</v>
      </c>
      <c r="G4282">
        <v>7.0000000000000007E-2</v>
      </c>
      <c r="H4282">
        <v>174.99930000000001</v>
      </c>
      <c r="I4282">
        <f>order_items[[#This Row],[list_price]]-order_items[[#This Row],[Discounted_price]]</f>
        <v>2324.9906999999998</v>
      </c>
      <c r="J4282">
        <f>VLOOKUP(B4282, Products!$A$2:$E$100, 3, FALSE)</f>
        <v>8</v>
      </c>
      <c r="K4282">
        <f>VLOOKUP(B4282, Products!$A$2:$F$100, 4, FALSE)</f>
        <v>6</v>
      </c>
    </row>
    <row r="4283" spans="1:11" x14ac:dyDescent="0.3">
      <c r="A4283">
        <v>1469</v>
      </c>
      <c r="B4283">
        <v>4</v>
      </c>
      <c r="C4283">
        <v>100</v>
      </c>
      <c r="D4283" t="str">
        <f>VLOOKUP(B4283, Products!$A$2:$C$100, 2, FALSE)</f>
        <v>Trek Fuel EX 8 29 - 2016</v>
      </c>
      <c r="E4283">
        <v>2</v>
      </c>
      <c r="F4283">
        <v>489.99</v>
      </c>
      <c r="G4283">
        <v>0.05</v>
      </c>
      <c r="H4283">
        <v>24.499500000000001</v>
      </c>
      <c r="I4283">
        <f>order_items[[#This Row],[list_price]]-order_items[[#This Row],[Discounted_price]]</f>
        <v>465.4905</v>
      </c>
      <c r="J4283">
        <f>VLOOKUP(B4283, Products!$A$2:$E$100, 3, FALSE)</f>
        <v>9</v>
      </c>
      <c r="K4283">
        <f>VLOOKUP(B4283, Products!$A$2:$F$100, 4, FALSE)</f>
        <v>6</v>
      </c>
    </row>
    <row r="4284" spans="1:11" x14ac:dyDescent="0.3">
      <c r="A4284">
        <v>1470</v>
      </c>
      <c r="B4284">
        <v>1</v>
      </c>
      <c r="C4284">
        <v>110</v>
      </c>
      <c r="D4284" t="str">
        <f>VLOOKUP(B4284, Products!$A$2:$C$100, 2, FALSE)</f>
        <v>Trek 820 - 2016</v>
      </c>
      <c r="E4284">
        <v>2</v>
      </c>
      <c r="F4284">
        <v>470.99</v>
      </c>
      <c r="G4284">
        <v>0.1</v>
      </c>
      <c r="H4284">
        <v>47.099000000000004</v>
      </c>
      <c r="I4284">
        <f>order_items[[#This Row],[list_price]]-order_items[[#This Row],[Discounted_price]]</f>
        <v>423.89100000000002</v>
      </c>
      <c r="J4284">
        <f>VLOOKUP(B4284, Products!$A$2:$E$100, 3, FALSE)</f>
        <v>9</v>
      </c>
      <c r="K4284">
        <f>VLOOKUP(B4284, Products!$A$2:$F$100, 4, FALSE)</f>
        <v>6</v>
      </c>
    </row>
    <row r="4285" spans="1:11" x14ac:dyDescent="0.3">
      <c r="A4285">
        <v>1470</v>
      </c>
      <c r="B4285">
        <v>2</v>
      </c>
      <c r="C4285">
        <v>287</v>
      </c>
      <c r="D4285" t="str">
        <f>VLOOKUP(B4285, Products!$A$2:$C$100, 2, FALSE)</f>
        <v>Ritchey Timberwolf Frameset - 2016</v>
      </c>
      <c r="E4285">
        <v>1</v>
      </c>
      <c r="F4285">
        <v>279.99</v>
      </c>
      <c r="G4285">
        <v>0.05</v>
      </c>
      <c r="H4285">
        <v>13.999500000000001</v>
      </c>
      <c r="I4285">
        <f>order_items[[#This Row],[list_price]]-order_items[[#This Row],[Discounted_price]]</f>
        <v>265.9905</v>
      </c>
      <c r="J4285">
        <f>VLOOKUP(B4285, Products!$A$2:$E$100, 3, FALSE)</f>
        <v>5</v>
      </c>
      <c r="K4285">
        <f>VLOOKUP(B4285, Products!$A$2:$F$100, 4, FALSE)</f>
        <v>6</v>
      </c>
    </row>
    <row r="4286" spans="1:11" x14ac:dyDescent="0.3">
      <c r="A4286">
        <v>1470</v>
      </c>
      <c r="B4286">
        <v>3</v>
      </c>
      <c r="C4286">
        <v>252</v>
      </c>
      <c r="D4286" t="str">
        <f>VLOOKUP(B4286, Products!$A$2:$C$100, 2, FALSE)</f>
        <v>Surly Wednesday Frameset - 2016</v>
      </c>
      <c r="E4286">
        <v>2</v>
      </c>
      <c r="F4286">
        <v>2999.99</v>
      </c>
      <c r="G4286">
        <v>0.05</v>
      </c>
      <c r="H4286">
        <v>149.99949999999998</v>
      </c>
      <c r="I4286">
        <f>order_items[[#This Row],[list_price]]-order_items[[#This Row],[Discounted_price]]</f>
        <v>2849.9904999999999</v>
      </c>
      <c r="J4286">
        <f>VLOOKUP(B4286, Products!$A$2:$E$100, 3, FALSE)</f>
        <v>8</v>
      </c>
      <c r="K4286">
        <f>VLOOKUP(B4286, Products!$A$2:$F$100, 4, FALSE)</f>
        <v>6</v>
      </c>
    </row>
    <row r="4287" spans="1:11" x14ac:dyDescent="0.3">
      <c r="A4287">
        <v>1471</v>
      </c>
      <c r="B4287">
        <v>1</v>
      </c>
      <c r="C4287">
        <v>59</v>
      </c>
      <c r="D4287" t="str">
        <f>VLOOKUP(B4287, Products!$A$2:$C$100, 2, FALSE)</f>
        <v>Trek 820 - 2016</v>
      </c>
      <c r="E4287">
        <v>2</v>
      </c>
      <c r="F4287">
        <v>2599.9899999999998</v>
      </c>
      <c r="G4287">
        <v>0.2</v>
      </c>
      <c r="H4287">
        <v>519.99799999999993</v>
      </c>
      <c r="I4287">
        <f>order_items[[#This Row],[list_price]]-order_items[[#This Row],[Discounted_price]]</f>
        <v>2079.9919999999997</v>
      </c>
      <c r="J4287">
        <f>VLOOKUP(B4287, Products!$A$2:$E$100, 3, FALSE)</f>
        <v>9</v>
      </c>
      <c r="K4287">
        <f>VLOOKUP(B4287, Products!$A$2:$F$100, 4, FALSE)</f>
        <v>6</v>
      </c>
    </row>
    <row r="4288" spans="1:11" x14ac:dyDescent="0.3">
      <c r="A4288">
        <v>1471</v>
      </c>
      <c r="B4288">
        <v>2</v>
      </c>
      <c r="C4288">
        <v>136</v>
      </c>
      <c r="D4288" t="str">
        <f>VLOOKUP(B4288, Products!$A$2:$C$100, 2, FALSE)</f>
        <v>Ritchey Timberwolf Frameset - 2016</v>
      </c>
      <c r="E4288">
        <v>1</v>
      </c>
      <c r="F4288">
        <v>1799.99</v>
      </c>
      <c r="G4288">
        <v>7.0000000000000007E-2</v>
      </c>
      <c r="H4288">
        <v>125.99930000000002</v>
      </c>
      <c r="I4288">
        <f>order_items[[#This Row],[list_price]]-order_items[[#This Row],[Discounted_price]]</f>
        <v>1673.9907000000001</v>
      </c>
      <c r="J4288">
        <f>VLOOKUP(B4288, Products!$A$2:$E$100, 3, FALSE)</f>
        <v>5</v>
      </c>
      <c r="K4288">
        <f>VLOOKUP(B4288, Products!$A$2:$F$100, 4, FALSE)</f>
        <v>6</v>
      </c>
    </row>
    <row r="4289" spans="1:11" x14ac:dyDescent="0.3">
      <c r="A4289">
        <v>1472</v>
      </c>
      <c r="B4289">
        <v>1</v>
      </c>
      <c r="C4289">
        <v>84</v>
      </c>
      <c r="D4289" t="str">
        <f>VLOOKUP(B4289, Products!$A$2:$C$100, 2, FALSE)</f>
        <v>Trek 820 - 2016</v>
      </c>
      <c r="E4289">
        <v>1</v>
      </c>
      <c r="F4289">
        <v>109.99</v>
      </c>
      <c r="G4289">
        <v>0.2</v>
      </c>
      <c r="H4289">
        <v>21.998000000000001</v>
      </c>
      <c r="I4289">
        <f>order_items[[#This Row],[list_price]]-order_items[[#This Row],[Discounted_price]]</f>
        <v>87.99199999999999</v>
      </c>
      <c r="J4289">
        <f>VLOOKUP(B4289, Products!$A$2:$E$100, 3, FALSE)</f>
        <v>9</v>
      </c>
      <c r="K4289">
        <f>VLOOKUP(B4289, Products!$A$2:$F$100, 4, FALSE)</f>
        <v>6</v>
      </c>
    </row>
    <row r="4290" spans="1:11" x14ac:dyDescent="0.3">
      <c r="A4290">
        <v>1472</v>
      </c>
      <c r="B4290">
        <v>2</v>
      </c>
      <c r="C4290">
        <v>300</v>
      </c>
      <c r="D4290" t="str">
        <f>VLOOKUP(B4290, Products!$A$2:$C$100, 2, FALSE)</f>
        <v>Ritchey Timberwolf Frameset - 2016</v>
      </c>
      <c r="E4290">
        <v>1</v>
      </c>
      <c r="F4290">
        <v>799.99</v>
      </c>
      <c r="G4290">
        <v>0.2</v>
      </c>
      <c r="H4290">
        <v>159.99800000000002</v>
      </c>
      <c r="I4290">
        <f>order_items[[#This Row],[list_price]]-order_items[[#This Row],[Discounted_price]]</f>
        <v>639.99199999999996</v>
      </c>
      <c r="J4290">
        <f>VLOOKUP(B4290, Products!$A$2:$E$100, 3, FALSE)</f>
        <v>5</v>
      </c>
      <c r="K4290">
        <f>VLOOKUP(B4290, Products!$A$2:$F$100, 4, FALSE)</f>
        <v>6</v>
      </c>
    </row>
    <row r="4291" spans="1:11" x14ac:dyDescent="0.3">
      <c r="A4291">
        <v>1473</v>
      </c>
      <c r="B4291">
        <v>1</v>
      </c>
      <c r="C4291">
        <v>84</v>
      </c>
      <c r="D4291" t="str">
        <f>VLOOKUP(B4291, Products!$A$2:$C$100, 2, FALSE)</f>
        <v>Trek 820 - 2016</v>
      </c>
      <c r="E4291">
        <v>2</v>
      </c>
      <c r="F4291">
        <v>109.99</v>
      </c>
      <c r="G4291">
        <v>0.2</v>
      </c>
      <c r="H4291">
        <v>21.998000000000001</v>
      </c>
      <c r="I4291">
        <f>order_items[[#This Row],[list_price]]-order_items[[#This Row],[Discounted_price]]</f>
        <v>87.99199999999999</v>
      </c>
      <c r="J4291">
        <f>VLOOKUP(B4291, Products!$A$2:$E$100, 3, FALSE)</f>
        <v>9</v>
      </c>
      <c r="K4291">
        <f>VLOOKUP(B4291, Products!$A$2:$F$100, 4, FALSE)</f>
        <v>6</v>
      </c>
    </row>
    <row r="4292" spans="1:11" x14ac:dyDescent="0.3">
      <c r="A4292">
        <v>1473</v>
      </c>
      <c r="B4292">
        <v>2</v>
      </c>
      <c r="C4292">
        <v>102</v>
      </c>
      <c r="D4292" t="str">
        <f>VLOOKUP(B4292, Products!$A$2:$C$100, 2, FALSE)</f>
        <v>Ritchey Timberwolf Frameset - 2016</v>
      </c>
      <c r="E4292">
        <v>1</v>
      </c>
      <c r="F4292">
        <v>489.99</v>
      </c>
      <c r="G4292">
        <v>7.0000000000000007E-2</v>
      </c>
      <c r="H4292">
        <v>34.299300000000002</v>
      </c>
      <c r="I4292">
        <f>order_items[[#This Row],[list_price]]-order_items[[#This Row],[Discounted_price]]</f>
        <v>455.69069999999999</v>
      </c>
      <c r="J4292">
        <f>VLOOKUP(B4292, Products!$A$2:$E$100, 3, FALSE)</f>
        <v>5</v>
      </c>
      <c r="K4292">
        <f>VLOOKUP(B4292, Products!$A$2:$F$100, 4, FALSE)</f>
        <v>6</v>
      </c>
    </row>
    <row r="4293" spans="1:11" x14ac:dyDescent="0.3">
      <c r="A4293">
        <v>1474</v>
      </c>
      <c r="B4293">
        <v>1</v>
      </c>
      <c r="C4293">
        <v>301</v>
      </c>
      <c r="D4293" t="str">
        <f>VLOOKUP(B4293, Products!$A$2:$C$100, 2, FALSE)</f>
        <v>Trek 820 - 2016</v>
      </c>
      <c r="E4293">
        <v>1</v>
      </c>
      <c r="F4293">
        <v>899.99</v>
      </c>
      <c r="G4293">
        <v>0.2</v>
      </c>
      <c r="H4293">
        <v>179.99800000000002</v>
      </c>
      <c r="I4293">
        <f>order_items[[#This Row],[list_price]]-order_items[[#This Row],[Discounted_price]]</f>
        <v>719.99199999999996</v>
      </c>
      <c r="J4293">
        <f>VLOOKUP(B4293, Products!$A$2:$E$100, 3, FALSE)</f>
        <v>9</v>
      </c>
      <c r="K4293">
        <f>VLOOKUP(B4293, Products!$A$2:$F$100, 4, FALSE)</f>
        <v>6</v>
      </c>
    </row>
    <row r="4294" spans="1:11" x14ac:dyDescent="0.3">
      <c r="A4294">
        <v>1474</v>
      </c>
      <c r="B4294">
        <v>2</v>
      </c>
      <c r="C4294">
        <v>123</v>
      </c>
      <c r="D4294" t="str">
        <f>VLOOKUP(B4294, Products!$A$2:$C$100, 2, FALSE)</f>
        <v>Ritchey Timberwolf Frameset - 2016</v>
      </c>
      <c r="E4294">
        <v>1</v>
      </c>
      <c r="F4294">
        <v>999.99</v>
      </c>
      <c r="G4294">
        <v>0.05</v>
      </c>
      <c r="H4294">
        <v>49.999500000000005</v>
      </c>
      <c r="I4294">
        <f>order_items[[#This Row],[list_price]]-order_items[[#This Row],[Discounted_price]]</f>
        <v>949.9905</v>
      </c>
      <c r="J4294">
        <f>VLOOKUP(B4294, Products!$A$2:$E$100, 3, FALSE)</f>
        <v>5</v>
      </c>
      <c r="K4294">
        <f>VLOOKUP(B4294, Products!$A$2:$F$100, 4, FALSE)</f>
        <v>6</v>
      </c>
    </row>
    <row r="4295" spans="1:11" x14ac:dyDescent="0.3">
      <c r="A4295">
        <v>1475</v>
      </c>
      <c r="B4295">
        <v>1</v>
      </c>
      <c r="C4295">
        <v>306</v>
      </c>
      <c r="D4295" t="str">
        <f>VLOOKUP(B4295, Products!$A$2:$C$100, 2, FALSE)</f>
        <v>Trek 820 - 2016</v>
      </c>
      <c r="E4295">
        <v>2</v>
      </c>
      <c r="F4295">
        <v>899.99</v>
      </c>
      <c r="G4295">
        <v>0.05</v>
      </c>
      <c r="H4295">
        <v>44.999500000000005</v>
      </c>
      <c r="I4295">
        <f>order_items[[#This Row],[list_price]]-order_items[[#This Row],[Discounted_price]]</f>
        <v>854.9905</v>
      </c>
      <c r="J4295">
        <f>VLOOKUP(B4295, Products!$A$2:$E$100, 3, FALSE)</f>
        <v>9</v>
      </c>
      <c r="K4295">
        <f>VLOOKUP(B4295, Products!$A$2:$F$100, 4, FALSE)</f>
        <v>6</v>
      </c>
    </row>
    <row r="4296" spans="1:11" x14ac:dyDescent="0.3">
      <c r="A4296">
        <v>1475</v>
      </c>
      <c r="B4296">
        <v>2</v>
      </c>
      <c r="C4296">
        <v>261</v>
      </c>
      <c r="D4296" t="str">
        <f>VLOOKUP(B4296, Products!$A$2:$C$100, 2, FALSE)</f>
        <v>Ritchey Timberwolf Frameset - 2016</v>
      </c>
      <c r="E4296">
        <v>2</v>
      </c>
      <c r="F4296">
        <v>899.99</v>
      </c>
      <c r="G4296">
        <v>7.0000000000000007E-2</v>
      </c>
      <c r="H4296">
        <v>62.999300000000005</v>
      </c>
      <c r="I4296">
        <f>order_items[[#This Row],[list_price]]-order_items[[#This Row],[Discounted_price]]</f>
        <v>836.99070000000006</v>
      </c>
      <c r="J4296">
        <f>VLOOKUP(B4296, Products!$A$2:$E$100, 3, FALSE)</f>
        <v>5</v>
      </c>
      <c r="K4296">
        <f>VLOOKUP(B4296, Products!$A$2:$F$100, 4, FALSE)</f>
        <v>6</v>
      </c>
    </row>
    <row r="4297" spans="1:11" x14ac:dyDescent="0.3">
      <c r="A4297">
        <v>1475</v>
      </c>
      <c r="B4297">
        <v>3</v>
      </c>
      <c r="C4297">
        <v>161</v>
      </c>
      <c r="D4297" t="str">
        <f>VLOOKUP(B4297, Products!$A$2:$C$100, 2, FALSE)</f>
        <v>Surly Wednesday Frameset - 2016</v>
      </c>
      <c r="E4297">
        <v>2</v>
      </c>
      <c r="F4297">
        <v>1899</v>
      </c>
      <c r="G4297">
        <v>0.05</v>
      </c>
      <c r="H4297">
        <v>94.95</v>
      </c>
      <c r="I4297">
        <f>order_items[[#This Row],[list_price]]-order_items[[#This Row],[Discounted_price]]</f>
        <v>1804.05</v>
      </c>
      <c r="J4297">
        <f>VLOOKUP(B4297, Products!$A$2:$E$100, 3, FALSE)</f>
        <v>8</v>
      </c>
      <c r="K4297">
        <f>VLOOKUP(B4297, Products!$A$2:$F$100, 4, FALSE)</f>
        <v>6</v>
      </c>
    </row>
    <row r="4298" spans="1:11" x14ac:dyDescent="0.3">
      <c r="A4298">
        <v>1475</v>
      </c>
      <c r="B4298">
        <v>4</v>
      </c>
      <c r="C4298">
        <v>248</v>
      </c>
      <c r="D4298" t="str">
        <f>VLOOKUP(B4298, Products!$A$2:$C$100, 2, FALSE)</f>
        <v>Trek Fuel EX 8 29 - 2016</v>
      </c>
      <c r="E4298">
        <v>2</v>
      </c>
      <c r="F4298">
        <v>599.99</v>
      </c>
      <c r="G4298">
        <v>0.2</v>
      </c>
      <c r="H4298">
        <v>119.998</v>
      </c>
      <c r="I4298">
        <f>order_items[[#This Row],[list_price]]-order_items[[#This Row],[Discounted_price]]</f>
        <v>479.99200000000002</v>
      </c>
      <c r="J4298">
        <f>VLOOKUP(B4298, Products!$A$2:$E$100, 3, FALSE)</f>
        <v>9</v>
      </c>
      <c r="K4298">
        <f>VLOOKUP(B4298, Products!$A$2:$F$100, 4, FALSE)</f>
        <v>6</v>
      </c>
    </row>
    <row r="4299" spans="1:11" x14ac:dyDescent="0.3">
      <c r="A4299">
        <v>1476</v>
      </c>
      <c r="B4299">
        <v>1</v>
      </c>
      <c r="C4299">
        <v>142</v>
      </c>
      <c r="D4299" t="str">
        <f>VLOOKUP(B4299, Products!$A$2:$C$100, 2, FALSE)</f>
        <v>Trek 820 - 2016</v>
      </c>
      <c r="E4299">
        <v>2</v>
      </c>
      <c r="F4299">
        <v>3199.99</v>
      </c>
      <c r="G4299">
        <v>7.0000000000000007E-2</v>
      </c>
      <c r="H4299">
        <v>223.99930000000001</v>
      </c>
      <c r="I4299">
        <f>order_items[[#This Row],[list_price]]-order_items[[#This Row],[Discounted_price]]</f>
        <v>2975.9906999999998</v>
      </c>
      <c r="J4299">
        <f>VLOOKUP(B4299, Products!$A$2:$E$100, 3, FALSE)</f>
        <v>9</v>
      </c>
      <c r="K4299">
        <f>VLOOKUP(B4299, Products!$A$2:$F$100, 4, FALSE)</f>
        <v>6</v>
      </c>
    </row>
    <row r="4300" spans="1:11" x14ac:dyDescent="0.3">
      <c r="A4300">
        <v>1476</v>
      </c>
      <c r="B4300">
        <v>2</v>
      </c>
      <c r="C4300">
        <v>91</v>
      </c>
      <c r="D4300" t="str">
        <f>VLOOKUP(B4300, Products!$A$2:$C$100, 2, FALSE)</f>
        <v>Ritchey Timberwolf Frameset - 2016</v>
      </c>
      <c r="E4300">
        <v>2</v>
      </c>
      <c r="F4300">
        <v>349.99</v>
      </c>
      <c r="G4300">
        <v>7.0000000000000007E-2</v>
      </c>
      <c r="H4300">
        <v>24.499300000000002</v>
      </c>
      <c r="I4300">
        <f>order_items[[#This Row],[list_price]]-order_items[[#This Row],[Discounted_price]]</f>
        <v>325.4907</v>
      </c>
      <c r="J4300">
        <f>VLOOKUP(B4300, Products!$A$2:$E$100, 3, FALSE)</f>
        <v>5</v>
      </c>
      <c r="K4300">
        <f>VLOOKUP(B4300, Products!$A$2:$F$100, 4, FALSE)</f>
        <v>6</v>
      </c>
    </row>
    <row r="4301" spans="1:11" x14ac:dyDescent="0.3">
      <c r="A4301">
        <v>1476</v>
      </c>
      <c r="B4301">
        <v>3</v>
      </c>
      <c r="C4301">
        <v>43</v>
      </c>
      <c r="D4301" t="str">
        <f>VLOOKUP(B4301, Products!$A$2:$C$100, 2, FALSE)</f>
        <v>Surly Wednesday Frameset - 2016</v>
      </c>
      <c r="E4301">
        <v>1</v>
      </c>
      <c r="F4301">
        <v>5299.99</v>
      </c>
      <c r="G4301">
        <v>7.0000000000000007E-2</v>
      </c>
      <c r="H4301">
        <v>370.99930000000001</v>
      </c>
      <c r="I4301">
        <f>order_items[[#This Row],[list_price]]-order_items[[#This Row],[Discounted_price]]</f>
        <v>4928.9906999999994</v>
      </c>
      <c r="J4301">
        <f>VLOOKUP(B4301, Products!$A$2:$E$100, 3, FALSE)</f>
        <v>8</v>
      </c>
      <c r="K4301">
        <f>VLOOKUP(B4301, Products!$A$2:$F$100, 4, FALSE)</f>
        <v>6</v>
      </c>
    </row>
    <row r="4302" spans="1:11" x14ac:dyDescent="0.3">
      <c r="A4302">
        <v>1476</v>
      </c>
      <c r="B4302">
        <v>4</v>
      </c>
      <c r="C4302">
        <v>191</v>
      </c>
      <c r="D4302" t="str">
        <f>VLOOKUP(B4302, Products!$A$2:$C$100, 2, FALSE)</f>
        <v>Trek Fuel EX 8 29 - 2016</v>
      </c>
      <c r="E4302">
        <v>1</v>
      </c>
      <c r="F4302">
        <v>2799.99</v>
      </c>
      <c r="G4302">
        <v>0.1</v>
      </c>
      <c r="H4302">
        <v>279.99899999999997</v>
      </c>
      <c r="I4302">
        <f>order_items[[#This Row],[list_price]]-order_items[[#This Row],[Discounted_price]]</f>
        <v>2519.991</v>
      </c>
      <c r="J4302">
        <f>VLOOKUP(B4302, Products!$A$2:$E$100, 3, FALSE)</f>
        <v>9</v>
      </c>
      <c r="K4302">
        <f>VLOOKUP(B4302, Products!$A$2:$F$100, 4, FALSE)</f>
        <v>6</v>
      </c>
    </row>
    <row r="4303" spans="1:11" x14ac:dyDescent="0.3">
      <c r="A4303">
        <v>1476</v>
      </c>
      <c r="B4303">
        <v>5</v>
      </c>
      <c r="C4303">
        <v>265</v>
      </c>
      <c r="D4303" t="str">
        <f>VLOOKUP(B4303, Products!$A$2:$C$100, 2, FALSE)</f>
        <v>Heller Shagamaw Frame - 2016</v>
      </c>
      <c r="E4303">
        <v>2</v>
      </c>
      <c r="F4303">
        <v>289.99</v>
      </c>
      <c r="G4303">
        <v>0.1</v>
      </c>
      <c r="H4303">
        <v>28.999000000000002</v>
      </c>
      <c r="I4303">
        <f>order_items[[#This Row],[list_price]]-order_items[[#This Row],[Discounted_price]]</f>
        <v>260.99099999999999</v>
      </c>
      <c r="J4303">
        <f>VLOOKUP(B4303, Products!$A$2:$E$100, 3, FALSE)</f>
        <v>3</v>
      </c>
      <c r="K4303">
        <f>VLOOKUP(B4303, Products!$A$2:$F$100, 4, FALSE)</f>
        <v>6</v>
      </c>
    </row>
    <row r="4304" spans="1:11" x14ac:dyDescent="0.3">
      <c r="A4304">
        <v>1477</v>
      </c>
      <c r="B4304">
        <v>1</v>
      </c>
      <c r="C4304">
        <v>210</v>
      </c>
      <c r="D4304" t="str">
        <f>VLOOKUP(B4304, Products!$A$2:$C$100, 2, FALSE)</f>
        <v>Trek 820 - 2016</v>
      </c>
      <c r="E4304">
        <v>2</v>
      </c>
      <c r="F4304">
        <v>1549</v>
      </c>
      <c r="G4304">
        <v>0.2</v>
      </c>
      <c r="H4304">
        <v>309.8</v>
      </c>
      <c r="I4304">
        <f>order_items[[#This Row],[list_price]]-order_items[[#This Row],[Discounted_price]]</f>
        <v>1239.2</v>
      </c>
      <c r="J4304">
        <f>VLOOKUP(B4304, Products!$A$2:$E$100, 3, FALSE)</f>
        <v>9</v>
      </c>
      <c r="K4304">
        <f>VLOOKUP(B4304, Products!$A$2:$F$100, 4, FALSE)</f>
        <v>6</v>
      </c>
    </row>
    <row r="4305" spans="1:11" x14ac:dyDescent="0.3">
      <c r="A4305">
        <v>1478</v>
      </c>
      <c r="B4305">
        <v>1</v>
      </c>
      <c r="C4305">
        <v>100</v>
      </c>
      <c r="D4305" t="str">
        <f>VLOOKUP(B4305, Products!$A$2:$C$100, 2, FALSE)</f>
        <v>Trek 820 - 2016</v>
      </c>
      <c r="E4305">
        <v>2</v>
      </c>
      <c r="F4305">
        <v>489.99</v>
      </c>
      <c r="G4305">
        <v>0.1</v>
      </c>
      <c r="H4305">
        <v>48.999000000000002</v>
      </c>
      <c r="I4305">
        <f>order_items[[#This Row],[list_price]]-order_items[[#This Row],[Discounted_price]]</f>
        <v>440.99099999999999</v>
      </c>
      <c r="J4305">
        <f>VLOOKUP(B4305, Products!$A$2:$E$100, 3, FALSE)</f>
        <v>9</v>
      </c>
      <c r="K4305">
        <f>VLOOKUP(B4305, Products!$A$2:$F$100, 4, FALSE)</f>
        <v>6</v>
      </c>
    </row>
    <row r="4306" spans="1:11" x14ac:dyDescent="0.3">
      <c r="A4306">
        <v>1478</v>
      </c>
      <c r="B4306">
        <v>2</v>
      </c>
      <c r="C4306">
        <v>123</v>
      </c>
      <c r="D4306" t="str">
        <f>VLOOKUP(B4306, Products!$A$2:$C$100, 2, FALSE)</f>
        <v>Ritchey Timberwolf Frameset - 2016</v>
      </c>
      <c r="E4306">
        <v>1</v>
      </c>
      <c r="F4306">
        <v>999.99</v>
      </c>
      <c r="G4306">
        <v>0.2</v>
      </c>
      <c r="H4306">
        <v>199.99800000000002</v>
      </c>
      <c r="I4306">
        <f>order_items[[#This Row],[list_price]]-order_items[[#This Row],[Discounted_price]]</f>
        <v>799.99199999999996</v>
      </c>
      <c r="J4306">
        <f>VLOOKUP(B4306, Products!$A$2:$E$100, 3, FALSE)</f>
        <v>5</v>
      </c>
      <c r="K4306">
        <f>VLOOKUP(B4306, Products!$A$2:$F$100, 4, FALSE)</f>
        <v>6</v>
      </c>
    </row>
    <row r="4307" spans="1:11" x14ac:dyDescent="0.3">
      <c r="A4307">
        <v>1479</v>
      </c>
      <c r="B4307">
        <v>1</v>
      </c>
      <c r="C4307">
        <v>252</v>
      </c>
      <c r="D4307" t="str">
        <f>VLOOKUP(B4307, Products!$A$2:$C$100, 2, FALSE)</f>
        <v>Trek 820 - 2016</v>
      </c>
      <c r="E4307">
        <v>1</v>
      </c>
      <c r="F4307">
        <v>2999.99</v>
      </c>
      <c r="G4307">
        <v>0.05</v>
      </c>
      <c r="H4307">
        <v>149.99949999999998</v>
      </c>
      <c r="I4307">
        <f>order_items[[#This Row],[list_price]]-order_items[[#This Row],[Discounted_price]]</f>
        <v>2849.9904999999999</v>
      </c>
      <c r="J4307">
        <f>VLOOKUP(B4307, Products!$A$2:$E$100, 3, FALSE)</f>
        <v>9</v>
      </c>
      <c r="K4307">
        <f>VLOOKUP(B4307, Products!$A$2:$F$100, 4, FALSE)</f>
        <v>6</v>
      </c>
    </row>
    <row r="4308" spans="1:11" x14ac:dyDescent="0.3">
      <c r="A4308">
        <v>1479</v>
      </c>
      <c r="B4308">
        <v>2</v>
      </c>
      <c r="C4308">
        <v>256</v>
      </c>
      <c r="D4308" t="str">
        <f>VLOOKUP(B4308, Products!$A$2:$C$100, 2, FALSE)</f>
        <v>Ritchey Timberwolf Frameset - 2016</v>
      </c>
      <c r="E4308">
        <v>1</v>
      </c>
      <c r="F4308">
        <v>899.99</v>
      </c>
      <c r="G4308">
        <v>0.1</v>
      </c>
      <c r="H4308">
        <v>89.999000000000009</v>
      </c>
      <c r="I4308">
        <f>order_items[[#This Row],[list_price]]-order_items[[#This Row],[Discounted_price]]</f>
        <v>809.99099999999999</v>
      </c>
      <c r="J4308">
        <f>VLOOKUP(B4308, Products!$A$2:$E$100, 3, FALSE)</f>
        <v>5</v>
      </c>
      <c r="K4308">
        <f>VLOOKUP(B4308, Products!$A$2:$F$100, 4, FALSE)</f>
        <v>6</v>
      </c>
    </row>
    <row r="4309" spans="1:11" x14ac:dyDescent="0.3">
      <c r="A4309">
        <v>1480</v>
      </c>
      <c r="B4309">
        <v>1</v>
      </c>
      <c r="C4309">
        <v>308</v>
      </c>
      <c r="D4309" t="str">
        <f>VLOOKUP(B4309, Products!$A$2:$C$100, 2, FALSE)</f>
        <v>Trek 820 - 2016</v>
      </c>
      <c r="E4309">
        <v>2</v>
      </c>
      <c r="F4309">
        <v>749.99</v>
      </c>
      <c r="G4309">
        <v>0.1</v>
      </c>
      <c r="H4309">
        <v>74.999000000000009</v>
      </c>
      <c r="I4309">
        <f>order_items[[#This Row],[list_price]]-order_items[[#This Row],[Discounted_price]]</f>
        <v>674.99099999999999</v>
      </c>
      <c r="J4309">
        <f>VLOOKUP(B4309, Products!$A$2:$E$100, 3, FALSE)</f>
        <v>9</v>
      </c>
      <c r="K4309">
        <f>VLOOKUP(B4309, Products!$A$2:$F$100, 4, FALSE)</f>
        <v>6</v>
      </c>
    </row>
    <row r="4310" spans="1:11" x14ac:dyDescent="0.3">
      <c r="A4310">
        <v>1480</v>
      </c>
      <c r="B4310">
        <v>2</v>
      </c>
      <c r="C4310">
        <v>82</v>
      </c>
      <c r="D4310" t="str">
        <f>VLOOKUP(B4310, Products!$A$2:$C$100, 2, FALSE)</f>
        <v>Ritchey Timberwolf Frameset - 2016</v>
      </c>
      <c r="E4310">
        <v>2</v>
      </c>
      <c r="F4310">
        <v>659.99</v>
      </c>
      <c r="G4310">
        <v>0.1</v>
      </c>
      <c r="H4310">
        <v>65.999000000000009</v>
      </c>
      <c r="I4310">
        <f>order_items[[#This Row],[list_price]]-order_items[[#This Row],[Discounted_price]]</f>
        <v>593.99099999999999</v>
      </c>
      <c r="J4310">
        <f>VLOOKUP(B4310, Products!$A$2:$E$100, 3, FALSE)</f>
        <v>5</v>
      </c>
      <c r="K4310">
        <f>VLOOKUP(B4310, Products!$A$2:$F$100, 4, FALSE)</f>
        <v>6</v>
      </c>
    </row>
    <row r="4311" spans="1:11" x14ac:dyDescent="0.3">
      <c r="A4311">
        <v>1480</v>
      </c>
      <c r="B4311">
        <v>3</v>
      </c>
      <c r="C4311">
        <v>92</v>
      </c>
      <c r="D4311" t="str">
        <f>VLOOKUP(B4311, Products!$A$2:$C$100, 2, FALSE)</f>
        <v>Surly Wednesday Frameset - 2016</v>
      </c>
      <c r="E4311">
        <v>2</v>
      </c>
      <c r="F4311">
        <v>209.99</v>
      </c>
      <c r="G4311">
        <v>7.0000000000000007E-2</v>
      </c>
      <c r="H4311">
        <v>14.699300000000003</v>
      </c>
      <c r="I4311">
        <f>order_items[[#This Row],[list_price]]-order_items[[#This Row],[Discounted_price]]</f>
        <v>195.29070000000002</v>
      </c>
      <c r="J4311">
        <f>VLOOKUP(B4311, Products!$A$2:$E$100, 3, FALSE)</f>
        <v>8</v>
      </c>
      <c r="K4311">
        <f>VLOOKUP(B4311, Products!$A$2:$F$100, 4, FALSE)</f>
        <v>6</v>
      </c>
    </row>
    <row r="4312" spans="1:11" x14ac:dyDescent="0.3">
      <c r="A4312">
        <v>1480</v>
      </c>
      <c r="B4312">
        <v>4</v>
      </c>
      <c r="C4312">
        <v>225</v>
      </c>
      <c r="D4312" t="str">
        <f>VLOOKUP(B4312, Products!$A$2:$C$100, 2, FALSE)</f>
        <v>Trek Fuel EX 8 29 - 2016</v>
      </c>
      <c r="E4312">
        <v>2</v>
      </c>
      <c r="F4312">
        <v>959.99</v>
      </c>
      <c r="G4312">
        <v>7.0000000000000007E-2</v>
      </c>
      <c r="H4312">
        <v>67.199300000000008</v>
      </c>
      <c r="I4312">
        <f>order_items[[#This Row],[list_price]]-order_items[[#This Row],[Discounted_price]]</f>
        <v>892.79070000000002</v>
      </c>
      <c r="J4312">
        <f>VLOOKUP(B4312, Products!$A$2:$E$100, 3, FALSE)</f>
        <v>9</v>
      </c>
      <c r="K4312">
        <f>VLOOKUP(B4312, Products!$A$2:$F$100, 4, FALSE)</f>
        <v>6</v>
      </c>
    </row>
    <row r="4313" spans="1:11" x14ac:dyDescent="0.3">
      <c r="A4313">
        <v>1481</v>
      </c>
      <c r="B4313">
        <v>1</v>
      </c>
      <c r="C4313">
        <v>53</v>
      </c>
      <c r="D4313" t="str">
        <f>VLOOKUP(B4313, Products!$A$2:$C$100, 2, FALSE)</f>
        <v>Trek 820 - 2016</v>
      </c>
      <c r="E4313">
        <v>2</v>
      </c>
      <c r="F4313">
        <v>749.99</v>
      </c>
      <c r="G4313">
        <v>7.0000000000000007E-2</v>
      </c>
      <c r="H4313">
        <v>52.499300000000005</v>
      </c>
      <c r="I4313">
        <f>order_items[[#This Row],[list_price]]-order_items[[#This Row],[Discounted_price]]</f>
        <v>697.49070000000006</v>
      </c>
      <c r="J4313">
        <f>VLOOKUP(B4313, Products!$A$2:$E$100, 3, FALSE)</f>
        <v>9</v>
      </c>
      <c r="K4313">
        <f>VLOOKUP(B4313, Products!$A$2:$F$100, 4, FALSE)</f>
        <v>6</v>
      </c>
    </row>
    <row r="4314" spans="1:11" x14ac:dyDescent="0.3">
      <c r="A4314">
        <v>1481</v>
      </c>
      <c r="B4314">
        <v>2</v>
      </c>
      <c r="C4314">
        <v>130</v>
      </c>
      <c r="D4314" t="str">
        <f>VLOOKUP(B4314, Products!$A$2:$C$100, 2, FALSE)</f>
        <v>Ritchey Timberwolf Frameset - 2016</v>
      </c>
      <c r="E4314">
        <v>1</v>
      </c>
      <c r="F4314">
        <v>919.99</v>
      </c>
      <c r="G4314">
        <v>0.1</v>
      </c>
      <c r="H4314">
        <v>91.999000000000009</v>
      </c>
      <c r="I4314">
        <f>order_items[[#This Row],[list_price]]-order_items[[#This Row],[Discounted_price]]</f>
        <v>827.99099999999999</v>
      </c>
      <c r="J4314">
        <f>VLOOKUP(B4314, Products!$A$2:$E$100, 3, FALSE)</f>
        <v>5</v>
      </c>
      <c r="K4314">
        <f>VLOOKUP(B4314, Products!$A$2:$F$100, 4, FALSE)</f>
        <v>6</v>
      </c>
    </row>
    <row r="4315" spans="1:11" x14ac:dyDescent="0.3">
      <c r="A4315">
        <v>1482</v>
      </c>
      <c r="B4315">
        <v>1</v>
      </c>
      <c r="C4315">
        <v>48</v>
      </c>
      <c r="D4315" t="str">
        <f>VLOOKUP(B4315, Products!$A$2:$C$100, 2, FALSE)</f>
        <v>Trek 820 - 2016</v>
      </c>
      <c r="E4315">
        <v>1</v>
      </c>
      <c r="F4315">
        <v>1499.99</v>
      </c>
      <c r="G4315">
        <v>0.1</v>
      </c>
      <c r="H4315">
        <v>149.999</v>
      </c>
      <c r="I4315">
        <f>order_items[[#This Row],[list_price]]-order_items[[#This Row],[Discounted_price]]</f>
        <v>1349.991</v>
      </c>
      <c r="J4315">
        <f>VLOOKUP(B4315, Products!$A$2:$E$100, 3, FALSE)</f>
        <v>9</v>
      </c>
      <c r="K4315">
        <f>VLOOKUP(B4315, Products!$A$2:$F$100, 4, FALSE)</f>
        <v>6</v>
      </c>
    </row>
    <row r="4316" spans="1:11" x14ac:dyDescent="0.3">
      <c r="A4316">
        <v>1482</v>
      </c>
      <c r="B4316">
        <v>2</v>
      </c>
      <c r="C4316">
        <v>113</v>
      </c>
      <c r="D4316" t="str">
        <f>VLOOKUP(B4316, Products!$A$2:$C$100, 2, FALSE)</f>
        <v>Ritchey Timberwolf Frameset - 2016</v>
      </c>
      <c r="E4316">
        <v>1</v>
      </c>
      <c r="F4316">
        <v>489.99</v>
      </c>
      <c r="G4316">
        <v>0.05</v>
      </c>
      <c r="H4316">
        <v>24.499500000000001</v>
      </c>
      <c r="I4316">
        <f>order_items[[#This Row],[list_price]]-order_items[[#This Row],[Discounted_price]]</f>
        <v>465.4905</v>
      </c>
      <c r="J4316">
        <f>VLOOKUP(B4316, Products!$A$2:$E$100, 3, FALSE)</f>
        <v>5</v>
      </c>
      <c r="K4316">
        <f>VLOOKUP(B4316, Products!$A$2:$F$100, 4, FALSE)</f>
        <v>6</v>
      </c>
    </row>
    <row r="4317" spans="1:11" x14ac:dyDescent="0.3">
      <c r="A4317">
        <v>1482</v>
      </c>
      <c r="B4317">
        <v>3</v>
      </c>
      <c r="C4317">
        <v>58</v>
      </c>
      <c r="D4317" t="str">
        <f>VLOOKUP(B4317, Products!$A$2:$C$100, 2, FALSE)</f>
        <v>Surly Wednesday Frameset - 2016</v>
      </c>
      <c r="E4317">
        <v>2</v>
      </c>
      <c r="F4317">
        <v>4999.99</v>
      </c>
      <c r="G4317">
        <v>7.0000000000000007E-2</v>
      </c>
      <c r="H4317">
        <v>349.99930000000001</v>
      </c>
      <c r="I4317">
        <f>order_items[[#This Row],[list_price]]-order_items[[#This Row],[Discounted_price]]</f>
        <v>4649.9906999999994</v>
      </c>
      <c r="J4317">
        <f>VLOOKUP(B4317, Products!$A$2:$E$100, 3, FALSE)</f>
        <v>8</v>
      </c>
      <c r="K4317">
        <f>VLOOKUP(B4317, Products!$A$2:$F$100, 4, FALSE)</f>
        <v>6</v>
      </c>
    </row>
    <row r="4318" spans="1:11" x14ac:dyDescent="0.3">
      <c r="A4318">
        <v>1482</v>
      </c>
      <c r="B4318">
        <v>4</v>
      </c>
      <c r="C4318">
        <v>40</v>
      </c>
      <c r="D4318" t="str">
        <f>VLOOKUP(B4318, Products!$A$2:$C$100, 2, FALSE)</f>
        <v>Trek Fuel EX 8 29 - 2016</v>
      </c>
      <c r="E4318">
        <v>1</v>
      </c>
      <c r="F4318">
        <v>4999.99</v>
      </c>
      <c r="G4318">
        <v>0.05</v>
      </c>
      <c r="H4318">
        <v>249.99950000000001</v>
      </c>
      <c r="I4318">
        <f>order_items[[#This Row],[list_price]]-order_items[[#This Row],[Discounted_price]]</f>
        <v>4749.9904999999999</v>
      </c>
      <c r="J4318">
        <f>VLOOKUP(B4318, Products!$A$2:$E$100, 3, FALSE)</f>
        <v>9</v>
      </c>
      <c r="K4318">
        <f>VLOOKUP(B4318, Products!$A$2:$F$100, 4, FALSE)</f>
        <v>6</v>
      </c>
    </row>
    <row r="4319" spans="1:11" x14ac:dyDescent="0.3">
      <c r="A4319">
        <v>1482</v>
      </c>
      <c r="B4319">
        <v>5</v>
      </c>
      <c r="C4319">
        <v>205</v>
      </c>
      <c r="D4319" t="str">
        <f>VLOOKUP(B4319, Products!$A$2:$C$100, 2, FALSE)</f>
        <v>Heller Shagamaw Frame - 2016</v>
      </c>
      <c r="E4319">
        <v>2</v>
      </c>
      <c r="F4319">
        <v>4999.99</v>
      </c>
      <c r="G4319">
        <v>0.05</v>
      </c>
      <c r="H4319">
        <v>249.99950000000001</v>
      </c>
      <c r="I4319">
        <f>order_items[[#This Row],[list_price]]-order_items[[#This Row],[Discounted_price]]</f>
        <v>4749.9904999999999</v>
      </c>
      <c r="J4319">
        <f>VLOOKUP(B4319, Products!$A$2:$E$100, 3, FALSE)</f>
        <v>3</v>
      </c>
      <c r="K4319">
        <f>VLOOKUP(B4319, Products!$A$2:$F$100, 4, FALSE)</f>
        <v>6</v>
      </c>
    </row>
    <row r="4320" spans="1:11" x14ac:dyDescent="0.3">
      <c r="A4320">
        <v>1483</v>
      </c>
      <c r="B4320">
        <v>1</v>
      </c>
      <c r="C4320">
        <v>280</v>
      </c>
      <c r="D4320" t="str">
        <f>VLOOKUP(B4320, Products!$A$2:$C$100, 2, FALSE)</f>
        <v>Trek 820 - 2016</v>
      </c>
      <c r="E4320">
        <v>1</v>
      </c>
      <c r="F4320">
        <v>489.99</v>
      </c>
      <c r="G4320">
        <v>0.05</v>
      </c>
      <c r="H4320">
        <v>24.499500000000001</v>
      </c>
      <c r="I4320">
        <f>order_items[[#This Row],[list_price]]-order_items[[#This Row],[Discounted_price]]</f>
        <v>465.4905</v>
      </c>
      <c r="J4320">
        <f>VLOOKUP(B4320, Products!$A$2:$E$100, 3, FALSE)</f>
        <v>9</v>
      </c>
      <c r="K4320">
        <f>VLOOKUP(B4320, Products!$A$2:$F$100, 4, FALSE)</f>
        <v>6</v>
      </c>
    </row>
    <row r="4321" spans="1:11" x14ac:dyDescent="0.3">
      <c r="A4321">
        <v>1483</v>
      </c>
      <c r="B4321">
        <v>2</v>
      </c>
      <c r="C4321">
        <v>226</v>
      </c>
      <c r="D4321" t="str">
        <f>VLOOKUP(B4321, Products!$A$2:$C$100, 2, FALSE)</f>
        <v>Ritchey Timberwolf Frameset - 2016</v>
      </c>
      <c r="E4321">
        <v>2</v>
      </c>
      <c r="F4321">
        <v>679.99</v>
      </c>
      <c r="G4321">
        <v>7.0000000000000007E-2</v>
      </c>
      <c r="H4321">
        <v>47.599300000000007</v>
      </c>
      <c r="I4321">
        <f>order_items[[#This Row],[list_price]]-order_items[[#This Row],[Discounted_price]]</f>
        <v>632.39070000000004</v>
      </c>
      <c r="J4321">
        <f>VLOOKUP(B4321, Products!$A$2:$E$100, 3, FALSE)</f>
        <v>5</v>
      </c>
      <c r="K4321">
        <f>VLOOKUP(B4321, Products!$A$2:$F$100, 4, FALSE)</f>
        <v>6</v>
      </c>
    </row>
    <row r="4322" spans="1:11" x14ac:dyDescent="0.3">
      <c r="A4322">
        <v>1484</v>
      </c>
      <c r="B4322">
        <v>1</v>
      </c>
      <c r="C4322">
        <v>295</v>
      </c>
      <c r="D4322" t="str">
        <f>VLOOKUP(B4322, Products!$A$2:$C$100, 2, FALSE)</f>
        <v>Trek 820 - 2016</v>
      </c>
      <c r="E4322">
        <v>2</v>
      </c>
      <c r="F4322">
        <v>319.99</v>
      </c>
      <c r="G4322">
        <v>7.0000000000000007E-2</v>
      </c>
      <c r="H4322">
        <v>22.399300000000004</v>
      </c>
      <c r="I4322">
        <f>order_items[[#This Row],[list_price]]-order_items[[#This Row],[Discounted_price]]</f>
        <v>297.59070000000003</v>
      </c>
      <c r="J4322">
        <f>VLOOKUP(B4322, Products!$A$2:$E$100, 3, FALSE)</f>
        <v>9</v>
      </c>
      <c r="K4322">
        <f>VLOOKUP(B4322, Products!$A$2:$F$100, 4, FALSE)</f>
        <v>6</v>
      </c>
    </row>
    <row r="4323" spans="1:11" x14ac:dyDescent="0.3">
      <c r="A4323">
        <v>1484</v>
      </c>
      <c r="B4323">
        <v>2</v>
      </c>
      <c r="C4323">
        <v>49</v>
      </c>
      <c r="D4323" t="str">
        <f>VLOOKUP(B4323, Products!$A$2:$C$100, 2, FALSE)</f>
        <v>Ritchey Timberwolf Frameset - 2016</v>
      </c>
      <c r="E4323">
        <v>2</v>
      </c>
      <c r="F4323">
        <v>3499.99</v>
      </c>
      <c r="G4323">
        <v>0.2</v>
      </c>
      <c r="H4323">
        <v>699.99800000000005</v>
      </c>
      <c r="I4323">
        <f>order_items[[#This Row],[list_price]]-order_items[[#This Row],[Discounted_price]]</f>
        <v>2799.9919999999997</v>
      </c>
      <c r="J4323">
        <f>VLOOKUP(B4323, Products!$A$2:$E$100, 3, FALSE)</f>
        <v>5</v>
      </c>
      <c r="K4323">
        <f>VLOOKUP(B4323, Products!$A$2:$F$100, 4, FALSE)</f>
        <v>6</v>
      </c>
    </row>
    <row r="4324" spans="1:11" x14ac:dyDescent="0.3">
      <c r="A4324">
        <v>1484</v>
      </c>
      <c r="B4324">
        <v>3</v>
      </c>
      <c r="C4324">
        <v>304</v>
      </c>
      <c r="D4324" t="str">
        <f>VLOOKUP(B4324, Products!$A$2:$C$100, 2, FALSE)</f>
        <v>Surly Wednesday Frameset - 2016</v>
      </c>
      <c r="E4324">
        <v>2</v>
      </c>
      <c r="F4324">
        <v>679.99</v>
      </c>
      <c r="G4324">
        <v>0.05</v>
      </c>
      <c r="H4324">
        <v>33.999500000000005</v>
      </c>
      <c r="I4324">
        <f>order_items[[#This Row],[list_price]]-order_items[[#This Row],[Discounted_price]]</f>
        <v>645.9905</v>
      </c>
      <c r="J4324">
        <f>VLOOKUP(B4324, Products!$A$2:$E$100, 3, FALSE)</f>
        <v>8</v>
      </c>
      <c r="K4324">
        <f>VLOOKUP(B4324, Products!$A$2:$F$100, 4, FALSE)</f>
        <v>6</v>
      </c>
    </row>
    <row r="4325" spans="1:11" x14ac:dyDescent="0.3">
      <c r="A4325">
        <v>1485</v>
      </c>
      <c r="B4325">
        <v>1</v>
      </c>
      <c r="C4325">
        <v>122</v>
      </c>
      <c r="D4325" t="str">
        <f>VLOOKUP(B4325, Products!$A$2:$C$100, 2, FALSE)</f>
        <v>Trek 820 - 2016</v>
      </c>
      <c r="E4325">
        <v>2</v>
      </c>
      <c r="F4325">
        <v>2499.9899999999998</v>
      </c>
      <c r="G4325">
        <v>0.2</v>
      </c>
      <c r="H4325">
        <v>499.99799999999999</v>
      </c>
      <c r="I4325">
        <f>order_items[[#This Row],[list_price]]-order_items[[#This Row],[Discounted_price]]</f>
        <v>1999.9919999999997</v>
      </c>
      <c r="J4325">
        <f>VLOOKUP(B4325, Products!$A$2:$E$100, 3, FALSE)</f>
        <v>9</v>
      </c>
      <c r="K4325">
        <f>VLOOKUP(B4325, Products!$A$2:$F$100, 4, FALSE)</f>
        <v>6</v>
      </c>
    </row>
    <row r="4326" spans="1:11" x14ac:dyDescent="0.3">
      <c r="A4326">
        <v>1485</v>
      </c>
      <c r="B4326">
        <v>2</v>
      </c>
      <c r="C4326">
        <v>276</v>
      </c>
      <c r="D4326" t="str">
        <f>VLOOKUP(B4326, Products!$A$2:$C$100, 2, FALSE)</f>
        <v>Ritchey Timberwolf Frameset - 2016</v>
      </c>
      <c r="E4326">
        <v>1</v>
      </c>
      <c r="F4326">
        <v>319.99</v>
      </c>
      <c r="G4326">
        <v>0.2</v>
      </c>
      <c r="H4326">
        <v>63.998000000000005</v>
      </c>
      <c r="I4326">
        <f>order_items[[#This Row],[list_price]]-order_items[[#This Row],[Discounted_price]]</f>
        <v>255.99200000000002</v>
      </c>
      <c r="J4326">
        <f>VLOOKUP(B4326, Products!$A$2:$E$100, 3, FALSE)</f>
        <v>5</v>
      </c>
      <c r="K4326">
        <f>VLOOKUP(B4326, Products!$A$2:$F$100, 4, FALSE)</f>
        <v>6</v>
      </c>
    </row>
    <row r="4327" spans="1:11" x14ac:dyDescent="0.3">
      <c r="A4327">
        <v>1486</v>
      </c>
      <c r="B4327">
        <v>1</v>
      </c>
      <c r="C4327">
        <v>60</v>
      </c>
      <c r="D4327" t="str">
        <f>VLOOKUP(B4327, Products!$A$2:$C$100, 2, FALSE)</f>
        <v>Trek 820 - 2016</v>
      </c>
      <c r="E4327">
        <v>2</v>
      </c>
      <c r="F4327">
        <v>1559.99</v>
      </c>
      <c r="G4327">
        <v>0.05</v>
      </c>
      <c r="H4327">
        <v>77.999500000000012</v>
      </c>
      <c r="I4327">
        <f>order_items[[#This Row],[list_price]]-order_items[[#This Row],[Discounted_price]]</f>
        <v>1481.9904999999999</v>
      </c>
      <c r="J4327">
        <f>VLOOKUP(B4327, Products!$A$2:$E$100, 3, FALSE)</f>
        <v>9</v>
      </c>
      <c r="K4327">
        <f>VLOOKUP(B4327, Products!$A$2:$F$100, 4, FALSE)</f>
        <v>6</v>
      </c>
    </row>
    <row r="4328" spans="1:11" x14ac:dyDescent="0.3">
      <c r="A4328">
        <v>1486</v>
      </c>
      <c r="B4328">
        <v>2</v>
      </c>
      <c r="C4328">
        <v>98</v>
      </c>
      <c r="D4328" t="str">
        <f>VLOOKUP(B4328, Products!$A$2:$C$100, 2, FALSE)</f>
        <v>Ritchey Timberwolf Frameset - 2016</v>
      </c>
      <c r="E4328">
        <v>1</v>
      </c>
      <c r="F4328">
        <v>489.99</v>
      </c>
      <c r="G4328">
        <v>0.05</v>
      </c>
      <c r="H4328">
        <v>24.499500000000001</v>
      </c>
      <c r="I4328">
        <f>order_items[[#This Row],[list_price]]-order_items[[#This Row],[Discounted_price]]</f>
        <v>465.4905</v>
      </c>
      <c r="J4328">
        <f>VLOOKUP(B4328, Products!$A$2:$E$100, 3, FALSE)</f>
        <v>5</v>
      </c>
      <c r="K4328">
        <f>VLOOKUP(B4328, Products!$A$2:$F$100, 4, FALSE)</f>
        <v>6</v>
      </c>
    </row>
    <row r="4329" spans="1:11" x14ac:dyDescent="0.3">
      <c r="A4329">
        <v>1486</v>
      </c>
      <c r="B4329">
        <v>3</v>
      </c>
      <c r="C4329">
        <v>113</v>
      </c>
      <c r="D4329" t="str">
        <f>VLOOKUP(B4329, Products!$A$2:$C$100, 2, FALSE)</f>
        <v>Surly Wednesday Frameset - 2016</v>
      </c>
      <c r="E4329">
        <v>1</v>
      </c>
      <c r="F4329">
        <v>489.99</v>
      </c>
      <c r="G4329">
        <v>0.1</v>
      </c>
      <c r="H4329">
        <v>48.999000000000002</v>
      </c>
      <c r="I4329">
        <f>order_items[[#This Row],[list_price]]-order_items[[#This Row],[Discounted_price]]</f>
        <v>440.99099999999999</v>
      </c>
      <c r="J4329">
        <f>VLOOKUP(B4329, Products!$A$2:$E$100, 3, FALSE)</f>
        <v>8</v>
      </c>
      <c r="K4329">
        <f>VLOOKUP(B4329, Products!$A$2:$F$100, 4, FALSE)</f>
        <v>6</v>
      </c>
    </row>
    <row r="4330" spans="1:11" x14ac:dyDescent="0.3">
      <c r="A4330">
        <v>1486</v>
      </c>
      <c r="B4330">
        <v>4</v>
      </c>
      <c r="C4330">
        <v>269</v>
      </c>
      <c r="D4330" t="str">
        <f>VLOOKUP(B4330, Products!$A$2:$C$100, 2, FALSE)</f>
        <v>Trek Fuel EX 8 29 - 2016</v>
      </c>
      <c r="E4330">
        <v>1</v>
      </c>
      <c r="F4330">
        <v>199.99</v>
      </c>
      <c r="G4330">
        <v>0.1</v>
      </c>
      <c r="H4330">
        <v>19.999000000000002</v>
      </c>
      <c r="I4330">
        <f>order_items[[#This Row],[list_price]]-order_items[[#This Row],[Discounted_price]]</f>
        <v>179.99100000000001</v>
      </c>
      <c r="J4330">
        <f>VLOOKUP(B4330, Products!$A$2:$E$100, 3, FALSE)</f>
        <v>9</v>
      </c>
      <c r="K4330">
        <f>VLOOKUP(B4330, Products!$A$2:$F$100, 4, FALSE)</f>
        <v>6</v>
      </c>
    </row>
    <row r="4331" spans="1:11" x14ac:dyDescent="0.3">
      <c r="A4331">
        <v>1487</v>
      </c>
      <c r="B4331">
        <v>1</v>
      </c>
      <c r="C4331">
        <v>160</v>
      </c>
      <c r="D4331" t="str">
        <f>VLOOKUP(B4331, Products!$A$2:$C$100, 2, FALSE)</f>
        <v>Trek 820 - 2016</v>
      </c>
      <c r="E4331">
        <v>1</v>
      </c>
      <c r="F4331">
        <v>4499.99</v>
      </c>
      <c r="G4331">
        <v>7.0000000000000007E-2</v>
      </c>
      <c r="H4331">
        <v>314.99930000000001</v>
      </c>
      <c r="I4331">
        <f>order_items[[#This Row],[list_price]]-order_items[[#This Row],[Discounted_price]]</f>
        <v>4184.9906999999994</v>
      </c>
      <c r="J4331">
        <f>VLOOKUP(B4331, Products!$A$2:$E$100, 3, FALSE)</f>
        <v>9</v>
      </c>
      <c r="K4331">
        <f>VLOOKUP(B4331, Products!$A$2:$F$100, 4, FALSE)</f>
        <v>6</v>
      </c>
    </row>
    <row r="4332" spans="1:11" x14ac:dyDescent="0.3">
      <c r="A4332">
        <v>1487</v>
      </c>
      <c r="B4332">
        <v>2</v>
      </c>
      <c r="C4332">
        <v>151</v>
      </c>
      <c r="D4332" t="str">
        <f>VLOOKUP(B4332, Products!$A$2:$C$100, 2, FALSE)</f>
        <v>Ritchey Timberwolf Frameset - 2016</v>
      </c>
      <c r="E4332">
        <v>2</v>
      </c>
      <c r="F4332">
        <v>1549.99</v>
      </c>
      <c r="G4332">
        <v>0.2</v>
      </c>
      <c r="H4332">
        <v>309.99800000000005</v>
      </c>
      <c r="I4332">
        <f>order_items[[#This Row],[list_price]]-order_items[[#This Row],[Discounted_price]]</f>
        <v>1239.992</v>
      </c>
      <c r="J4332">
        <f>VLOOKUP(B4332, Products!$A$2:$E$100, 3, FALSE)</f>
        <v>5</v>
      </c>
      <c r="K4332">
        <f>VLOOKUP(B4332, Products!$A$2:$F$100, 4, FALSE)</f>
        <v>6</v>
      </c>
    </row>
    <row r="4333" spans="1:11" x14ac:dyDescent="0.3">
      <c r="A4333">
        <v>1487</v>
      </c>
      <c r="B4333">
        <v>3</v>
      </c>
      <c r="C4333">
        <v>198</v>
      </c>
      <c r="D4333" t="str">
        <f>VLOOKUP(B4333, Products!$A$2:$C$100, 2, FALSE)</f>
        <v>Surly Wednesday Frameset - 2016</v>
      </c>
      <c r="E4333">
        <v>1</v>
      </c>
      <c r="F4333">
        <v>2999.99</v>
      </c>
      <c r="G4333">
        <v>0.05</v>
      </c>
      <c r="H4333">
        <v>149.99949999999998</v>
      </c>
      <c r="I4333">
        <f>order_items[[#This Row],[list_price]]-order_items[[#This Row],[Discounted_price]]</f>
        <v>2849.9904999999999</v>
      </c>
      <c r="J4333">
        <f>VLOOKUP(B4333, Products!$A$2:$E$100, 3, FALSE)</f>
        <v>8</v>
      </c>
      <c r="K4333">
        <f>VLOOKUP(B4333, Products!$A$2:$F$100, 4, FALSE)</f>
        <v>6</v>
      </c>
    </row>
    <row r="4334" spans="1:11" x14ac:dyDescent="0.3">
      <c r="A4334">
        <v>1487</v>
      </c>
      <c r="B4334">
        <v>4</v>
      </c>
      <c r="C4334">
        <v>196</v>
      </c>
      <c r="D4334" t="str">
        <f>VLOOKUP(B4334, Products!$A$2:$C$100, 2, FALSE)</f>
        <v>Trek Fuel EX 8 29 - 2016</v>
      </c>
      <c r="E4334">
        <v>1</v>
      </c>
      <c r="F4334">
        <v>2299.9899999999998</v>
      </c>
      <c r="G4334">
        <v>0.05</v>
      </c>
      <c r="H4334">
        <v>114.9995</v>
      </c>
      <c r="I4334">
        <f>order_items[[#This Row],[list_price]]-order_items[[#This Row],[Discounted_price]]</f>
        <v>2184.9904999999999</v>
      </c>
      <c r="J4334">
        <f>VLOOKUP(B4334, Products!$A$2:$E$100, 3, FALSE)</f>
        <v>9</v>
      </c>
      <c r="K4334">
        <f>VLOOKUP(B4334, Products!$A$2:$F$100, 4, FALSE)</f>
        <v>6</v>
      </c>
    </row>
    <row r="4335" spans="1:11" x14ac:dyDescent="0.3">
      <c r="A4335">
        <v>1487</v>
      </c>
      <c r="B4335">
        <v>5</v>
      </c>
      <c r="C4335">
        <v>96</v>
      </c>
      <c r="D4335" t="str">
        <f>VLOOKUP(B4335, Products!$A$2:$C$100, 2, FALSE)</f>
        <v>Heller Shagamaw Frame - 2016</v>
      </c>
      <c r="E4335">
        <v>2</v>
      </c>
      <c r="F4335">
        <v>349.99</v>
      </c>
      <c r="G4335">
        <v>0.2</v>
      </c>
      <c r="H4335">
        <v>69.998000000000005</v>
      </c>
      <c r="I4335">
        <f>order_items[[#This Row],[list_price]]-order_items[[#This Row],[Discounted_price]]</f>
        <v>279.99200000000002</v>
      </c>
      <c r="J4335">
        <f>VLOOKUP(B4335, Products!$A$2:$E$100, 3, FALSE)</f>
        <v>3</v>
      </c>
      <c r="K4335">
        <f>VLOOKUP(B4335, Products!$A$2:$F$100, 4, FALSE)</f>
        <v>6</v>
      </c>
    </row>
    <row r="4336" spans="1:11" x14ac:dyDescent="0.3">
      <c r="A4336">
        <v>1488</v>
      </c>
      <c r="B4336">
        <v>1</v>
      </c>
      <c r="C4336">
        <v>42</v>
      </c>
      <c r="D4336" t="str">
        <f>VLOOKUP(B4336, Products!$A$2:$C$100, 2, FALSE)</f>
        <v>Trek 820 - 2016</v>
      </c>
      <c r="E4336">
        <v>1</v>
      </c>
      <c r="F4336">
        <v>2299.9899999999998</v>
      </c>
      <c r="G4336">
        <v>7.0000000000000007E-2</v>
      </c>
      <c r="H4336">
        <v>160.99930000000001</v>
      </c>
      <c r="I4336">
        <f>order_items[[#This Row],[list_price]]-order_items[[#This Row],[Discounted_price]]</f>
        <v>2138.9906999999998</v>
      </c>
      <c r="J4336">
        <f>VLOOKUP(B4336, Products!$A$2:$E$100, 3, FALSE)</f>
        <v>9</v>
      </c>
      <c r="K4336">
        <f>VLOOKUP(B4336, Products!$A$2:$F$100, 4, FALSE)</f>
        <v>6</v>
      </c>
    </row>
    <row r="4337" spans="1:11" x14ac:dyDescent="0.3">
      <c r="A4337">
        <v>1488</v>
      </c>
      <c r="B4337">
        <v>2</v>
      </c>
      <c r="C4337">
        <v>122</v>
      </c>
      <c r="D4337" t="str">
        <f>VLOOKUP(B4337, Products!$A$2:$C$100, 2, FALSE)</f>
        <v>Ritchey Timberwolf Frameset - 2016</v>
      </c>
      <c r="E4337">
        <v>1</v>
      </c>
      <c r="F4337">
        <v>2499.9899999999998</v>
      </c>
      <c r="G4337">
        <v>7.0000000000000007E-2</v>
      </c>
      <c r="H4337">
        <v>174.99930000000001</v>
      </c>
      <c r="I4337">
        <f>order_items[[#This Row],[list_price]]-order_items[[#This Row],[Discounted_price]]</f>
        <v>2324.9906999999998</v>
      </c>
      <c r="J4337">
        <f>VLOOKUP(B4337, Products!$A$2:$E$100, 3, FALSE)</f>
        <v>5</v>
      </c>
      <c r="K4337">
        <f>VLOOKUP(B4337, Products!$A$2:$F$100, 4, FALSE)</f>
        <v>6</v>
      </c>
    </row>
    <row r="4338" spans="1:11" x14ac:dyDescent="0.3">
      <c r="A4338">
        <v>1489</v>
      </c>
      <c r="B4338">
        <v>1</v>
      </c>
      <c r="C4338">
        <v>198</v>
      </c>
      <c r="D4338" t="str">
        <f>VLOOKUP(B4338, Products!$A$2:$C$100, 2, FALSE)</f>
        <v>Trek 820 - 2016</v>
      </c>
      <c r="E4338">
        <v>1</v>
      </c>
      <c r="F4338">
        <v>2999.99</v>
      </c>
      <c r="G4338">
        <v>0.2</v>
      </c>
      <c r="H4338">
        <v>599.99799999999993</v>
      </c>
      <c r="I4338">
        <f>order_items[[#This Row],[list_price]]-order_items[[#This Row],[Discounted_price]]</f>
        <v>2399.9919999999997</v>
      </c>
      <c r="J4338">
        <f>VLOOKUP(B4338, Products!$A$2:$E$100, 3, FALSE)</f>
        <v>9</v>
      </c>
      <c r="K4338">
        <f>VLOOKUP(B4338, Products!$A$2:$F$100, 4, FALSE)</f>
        <v>6</v>
      </c>
    </row>
    <row r="4339" spans="1:11" x14ac:dyDescent="0.3">
      <c r="A4339">
        <v>1489</v>
      </c>
      <c r="B4339">
        <v>2</v>
      </c>
      <c r="C4339">
        <v>282</v>
      </c>
      <c r="D4339" t="str">
        <f>VLOOKUP(B4339, Products!$A$2:$C$100, 2, FALSE)</f>
        <v>Ritchey Timberwolf Frameset - 2016</v>
      </c>
      <c r="E4339">
        <v>2</v>
      </c>
      <c r="F4339">
        <v>279.99</v>
      </c>
      <c r="G4339">
        <v>0.2</v>
      </c>
      <c r="H4339">
        <v>55.998000000000005</v>
      </c>
      <c r="I4339">
        <f>order_items[[#This Row],[list_price]]-order_items[[#This Row],[Discounted_price]]</f>
        <v>223.99200000000002</v>
      </c>
      <c r="J4339">
        <f>VLOOKUP(B4339, Products!$A$2:$E$100, 3, FALSE)</f>
        <v>5</v>
      </c>
      <c r="K4339">
        <f>VLOOKUP(B4339, Products!$A$2:$F$100, 4, FALSE)</f>
        <v>6</v>
      </c>
    </row>
    <row r="4340" spans="1:11" x14ac:dyDescent="0.3">
      <c r="A4340">
        <v>1489</v>
      </c>
      <c r="B4340">
        <v>3</v>
      </c>
      <c r="C4340">
        <v>52</v>
      </c>
      <c r="D4340" t="str">
        <f>VLOOKUP(B4340, Products!$A$2:$C$100, 2, FALSE)</f>
        <v>Surly Wednesday Frameset - 2016</v>
      </c>
      <c r="E4340">
        <v>1</v>
      </c>
      <c r="F4340">
        <v>875.99</v>
      </c>
      <c r="G4340">
        <v>0.1</v>
      </c>
      <c r="H4340">
        <v>87.599000000000004</v>
      </c>
      <c r="I4340">
        <f>order_items[[#This Row],[list_price]]-order_items[[#This Row],[Discounted_price]]</f>
        <v>788.39099999999996</v>
      </c>
      <c r="J4340">
        <f>VLOOKUP(B4340, Products!$A$2:$E$100, 3, FALSE)</f>
        <v>8</v>
      </c>
      <c r="K4340">
        <f>VLOOKUP(B4340, Products!$A$2:$F$100, 4, FALSE)</f>
        <v>6</v>
      </c>
    </row>
    <row r="4341" spans="1:11" x14ac:dyDescent="0.3">
      <c r="A4341">
        <v>1490</v>
      </c>
      <c r="B4341">
        <v>1</v>
      </c>
      <c r="C4341">
        <v>99</v>
      </c>
      <c r="D4341" t="str">
        <f>VLOOKUP(B4341, Products!$A$2:$C$100, 2, FALSE)</f>
        <v>Trek 820 - 2016</v>
      </c>
      <c r="E4341">
        <v>1</v>
      </c>
      <c r="F4341">
        <v>299.99</v>
      </c>
      <c r="G4341">
        <v>0.1</v>
      </c>
      <c r="H4341">
        <v>29.999000000000002</v>
      </c>
      <c r="I4341">
        <f>order_items[[#This Row],[list_price]]-order_items[[#This Row],[Discounted_price]]</f>
        <v>269.99099999999999</v>
      </c>
      <c r="J4341">
        <f>VLOOKUP(B4341, Products!$A$2:$E$100, 3, FALSE)</f>
        <v>9</v>
      </c>
      <c r="K4341">
        <f>VLOOKUP(B4341, Products!$A$2:$F$100, 4, FALSE)</f>
        <v>6</v>
      </c>
    </row>
    <row r="4342" spans="1:11" x14ac:dyDescent="0.3">
      <c r="A4342">
        <v>1490</v>
      </c>
      <c r="B4342">
        <v>2</v>
      </c>
      <c r="C4342">
        <v>254</v>
      </c>
      <c r="D4342" t="str">
        <f>VLOOKUP(B4342, Products!$A$2:$C$100, 2, FALSE)</f>
        <v>Ritchey Timberwolf Frameset - 2016</v>
      </c>
      <c r="E4342">
        <v>1</v>
      </c>
      <c r="F4342">
        <v>749.99</v>
      </c>
      <c r="G4342">
        <v>0.1</v>
      </c>
      <c r="H4342">
        <v>74.999000000000009</v>
      </c>
      <c r="I4342">
        <f>order_items[[#This Row],[list_price]]-order_items[[#This Row],[Discounted_price]]</f>
        <v>674.99099999999999</v>
      </c>
      <c r="J4342">
        <f>VLOOKUP(B4342, Products!$A$2:$E$100, 3, FALSE)</f>
        <v>5</v>
      </c>
      <c r="K4342">
        <f>VLOOKUP(B4342, Products!$A$2:$F$100, 4, FALSE)</f>
        <v>6</v>
      </c>
    </row>
    <row r="4343" spans="1:11" x14ac:dyDescent="0.3">
      <c r="A4343">
        <v>1490</v>
      </c>
      <c r="B4343">
        <v>3</v>
      </c>
      <c r="C4343">
        <v>218</v>
      </c>
      <c r="D4343" t="str">
        <f>VLOOKUP(B4343, Products!$A$2:$C$100, 2, FALSE)</f>
        <v>Surly Wednesday Frameset - 2016</v>
      </c>
      <c r="E4343">
        <v>1</v>
      </c>
      <c r="F4343">
        <v>319.99</v>
      </c>
      <c r="G4343">
        <v>0.05</v>
      </c>
      <c r="H4343">
        <v>15.999500000000001</v>
      </c>
      <c r="I4343">
        <f>order_items[[#This Row],[list_price]]-order_items[[#This Row],[Discounted_price]]</f>
        <v>303.9905</v>
      </c>
      <c r="J4343">
        <f>VLOOKUP(B4343, Products!$A$2:$E$100, 3, FALSE)</f>
        <v>8</v>
      </c>
      <c r="K4343">
        <f>VLOOKUP(B4343, Products!$A$2:$F$100, 4, FALSE)</f>
        <v>6</v>
      </c>
    </row>
    <row r="4344" spans="1:11" x14ac:dyDescent="0.3">
      <c r="A4344">
        <v>1491</v>
      </c>
      <c r="B4344">
        <v>1</v>
      </c>
      <c r="C4344">
        <v>95</v>
      </c>
      <c r="D4344" t="str">
        <f>VLOOKUP(B4344, Products!$A$2:$C$100, 2, FALSE)</f>
        <v>Trek 820 - 2016</v>
      </c>
      <c r="E4344">
        <v>2</v>
      </c>
      <c r="F4344">
        <v>299.99</v>
      </c>
      <c r="G4344">
        <v>0.2</v>
      </c>
      <c r="H4344">
        <v>59.998000000000005</v>
      </c>
      <c r="I4344">
        <f>order_items[[#This Row],[list_price]]-order_items[[#This Row],[Discounted_price]]</f>
        <v>239.99200000000002</v>
      </c>
      <c r="J4344">
        <f>VLOOKUP(B4344, Products!$A$2:$E$100, 3, FALSE)</f>
        <v>9</v>
      </c>
      <c r="K4344">
        <f>VLOOKUP(B4344, Products!$A$2:$F$100, 4, FALSE)</f>
        <v>6</v>
      </c>
    </row>
    <row r="4345" spans="1:11" x14ac:dyDescent="0.3">
      <c r="A4345">
        <v>1491</v>
      </c>
      <c r="B4345">
        <v>2</v>
      </c>
      <c r="C4345">
        <v>302</v>
      </c>
      <c r="D4345" t="str">
        <f>VLOOKUP(B4345, Products!$A$2:$C$100, 2, FALSE)</f>
        <v>Ritchey Timberwolf Frameset - 2016</v>
      </c>
      <c r="E4345">
        <v>1</v>
      </c>
      <c r="F4345">
        <v>449.99</v>
      </c>
      <c r="G4345">
        <v>0.05</v>
      </c>
      <c r="H4345">
        <v>22.499500000000001</v>
      </c>
      <c r="I4345">
        <f>order_items[[#This Row],[list_price]]-order_items[[#This Row],[Discounted_price]]</f>
        <v>427.4905</v>
      </c>
      <c r="J4345">
        <f>VLOOKUP(B4345, Products!$A$2:$E$100, 3, FALSE)</f>
        <v>5</v>
      </c>
      <c r="K4345">
        <f>VLOOKUP(B4345, Products!$A$2:$F$100, 4, FALSE)</f>
        <v>6</v>
      </c>
    </row>
    <row r="4346" spans="1:11" x14ac:dyDescent="0.3">
      <c r="A4346">
        <v>1491</v>
      </c>
      <c r="B4346">
        <v>3</v>
      </c>
      <c r="C4346">
        <v>60</v>
      </c>
      <c r="D4346" t="str">
        <f>VLOOKUP(B4346, Products!$A$2:$C$100, 2, FALSE)</f>
        <v>Surly Wednesday Frameset - 2016</v>
      </c>
      <c r="E4346">
        <v>2</v>
      </c>
      <c r="F4346">
        <v>1559.99</v>
      </c>
      <c r="G4346">
        <v>7.0000000000000007E-2</v>
      </c>
      <c r="H4346">
        <v>109.19930000000001</v>
      </c>
      <c r="I4346">
        <f>order_items[[#This Row],[list_price]]-order_items[[#This Row],[Discounted_price]]</f>
        <v>1450.7907</v>
      </c>
      <c r="J4346">
        <f>VLOOKUP(B4346, Products!$A$2:$E$100, 3, FALSE)</f>
        <v>8</v>
      </c>
      <c r="K4346">
        <f>VLOOKUP(B4346, Products!$A$2:$F$100, 4, FALSE)</f>
        <v>6</v>
      </c>
    </row>
    <row r="4347" spans="1:11" x14ac:dyDescent="0.3">
      <c r="A4347">
        <v>1491</v>
      </c>
      <c r="B4347">
        <v>4</v>
      </c>
      <c r="C4347">
        <v>139</v>
      </c>
      <c r="D4347" t="str">
        <f>VLOOKUP(B4347, Products!$A$2:$C$100, 2, FALSE)</f>
        <v>Trek Fuel EX 8 29 - 2016</v>
      </c>
      <c r="E4347">
        <v>2</v>
      </c>
      <c r="F4347">
        <v>2999.99</v>
      </c>
      <c r="G4347">
        <v>7.0000000000000007E-2</v>
      </c>
      <c r="H4347">
        <v>209.99930000000001</v>
      </c>
      <c r="I4347">
        <f>order_items[[#This Row],[list_price]]-order_items[[#This Row],[Discounted_price]]</f>
        <v>2789.9906999999998</v>
      </c>
      <c r="J4347">
        <f>VLOOKUP(B4347, Products!$A$2:$E$100, 3, FALSE)</f>
        <v>9</v>
      </c>
      <c r="K4347">
        <f>VLOOKUP(B4347, Products!$A$2:$F$100, 4, FALSE)</f>
        <v>6</v>
      </c>
    </row>
    <row r="4348" spans="1:11" x14ac:dyDescent="0.3">
      <c r="A4348">
        <v>1492</v>
      </c>
      <c r="B4348">
        <v>1</v>
      </c>
      <c r="C4348">
        <v>37</v>
      </c>
      <c r="D4348" t="str">
        <f>VLOOKUP(B4348, Products!$A$2:$C$100, 2, FALSE)</f>
        <v>Trek 820 - 2016</v>
      </c>
      <c r="E4348">
        <v>2</v>
      </c>
      <c r="F4348">
        <v>379.99</v>
      </c>
      <c r="G4348">
        <v>0.1</v>
      </c>
      <c r="H4348">
        <v>37.999000000000002</v>
      </c>
      <c r="I4348">
        <f>order_items[[#This Row],[list_price]]-order_items[[#This Row],[Discounted_price]]</f>
        <v>341.99099999999999</v>
      </c>
      <c r="J4348">
        <f>VLOOKUP(B4348, Products!$A$2:$E$100, 3, FALSE)</f>
        <v>9</v>
      </c>
      <c r="K4348">
        <f>VLOOKUP(B4348, Products!$A$2:$F$100, 4, FALSE)</f>
        <v>6</v>
      </c>
    </row>
    <row r="4349" spans="1:11" x14ac:dyDescent="0.3">
      <c r="A4349">
        <v>1493</v>
      </c>
      <c r="B4349">
        <v>1</v>
      </c>
      <c r="C4349">
        <v>230</v>
      </c>
      <c r="D4349" t="str">
        <f>VLOOKUP(B4349, Products!$A$2:$C$100, 2, FALSE)</f>
        <v>Trek 820 - 2016</v>
      </c>
      <c r="E4349">
        <v>1</v>
      </c>
      <c r="F4349">
        <v>429.99</v>
      </c>
      <c r="G4349">
        <v>0.1</v>
      </c>
      <c r="H4349">
        <v>42.999000000000002</v>
      </c>
      <c r="I4349">
        <f>order_items[[#This Row],[list_price]]-order_items[[#This Row],[Discounted_price]]</f>
        <v>386.99099999999999</v>
      </c>
      <c r="J4349">
        <f>VLOOKUP(B4349, Products!$A$2:$E$100, 3, FALSE)</f>
        <v>9</v>
      </c>
      <c r="K4349">
        <f>VLOOKUP(B4349, Products!$A$2:$F$100, 4, FALSE)</f>
        <v>6</v>
      </c>
    </row>
    <row r="4350" spans="1:11" x14ac:dyDescent="0.3">
      <c r="A4350">
        <v>1494</v>
      </c>
      <c r="B4350">
        <v>1</v>
      </c>
      <c r="C4350">
        <v>230</v>
      </c>
      <c r="D4350" t="str">
        <f>VLOOKUP(B4350, Products!$A$2:$C$100, 2, FALSE)</f>
        <v>Trek 820 - 2016</v>
      </c>
      <c r="E4350">
        <v>2</v>
      </c>
      <c r="F4350">
        <v>429.99</v>
      </c>
      <c r="G4350">
        <v>0.1</v>
      </c>
      <c r="H4350">
        <v>42.999000000000002</v>
      </c>
      <c r="I4350">
        <f>order_items[[#This Row],[list_price]]-order_items[[#This Row],[Discounted_price]]</f>
        <v>386.99099999999999</v>
      </c>
      <c r="J4350">
        <f>VLOOKUP(B4350, Products!$A$2:$E$100, 3, FALSE)</f>
        <v>9</v>
      </c>
      <c r="K4350">
        <f>VLOOKUP(B4350, Products!$A$2:$F$100, 4, FALSE)</f>
        <v>6</v>
      </c>
    </row>
    <row r="4351" spans="1:11" x14ac:dyDescent="0.3">
      <c r="A4351">
        <v>1494</v>
      </c>
      <c r="B4351">
        <v>2</v>
      </c>
      <c r="C4351">
        <v>178</v>
      </c>
      <c r="D4351" t="str">
        <f>VLOOKUP(B4351, Products!$A$2:$C$100, 2, FALSE)</f>
        <v>Ritchey Timberwolf Frameset - 2016</v>
      </c>
      <c r="E4351">
        <v>2</v>
      </c>
      <c r="F4351">
        <v>749.99</v>
      </c>
      <c r="G4351">
        <v>0.2</v>
      </c>
      <c r="H4351">
        <v>149.99800000000002</v>
      </c>
      <c r="I4351">
        <f>order_items[[#This Row],[list_price]]-order_items[[#This Row],[Discounted_price]]</f>
        <v>599.99199999999996</v>
      </c>
      <c r="J4351">
        <f>VLOOKUP(B4351, Products!$A$2:$E$100, 3, FALSE)</f>
        <v>5</v>
      </c>
      <c r="K4351">
        <f>VLOOKUP(B4351, Products!$A$2:$F$100, 4, FALSE)</f>
        <v>6</v>
      </c>
    </row>
    <row r="4352" spans="1:11" x14ac:dyDescent="0.3">
      <c r="A4352">
        <v>1494</v>
      </c>
      <c r="B4352">
        <v>3</v>
      </c>
      <c r="C4352">
        <v>264</v>
      </c>
      <c r="D4352" t="str">
        <f>VLOOKUP(B4352, Products!$A$2:$C$100, 2, FALSE)</f>
        <v>Surly Wednesday Frameset - 2016</v>
      </c>
      <c r="E4352">
        <v>2</v>
      </c>
      <c r="F4352">
        <v>249.99</v>
      </c>
      <c r="G4352">
        <v>0.05</v>
      </c>
      <c r="H4352">
        <v>12.499500000000001</v>
      </c>
      <c r="I4352">
        <f>order_items[[#This Row],[list_price]]-order_items[[#This Row],[Discounted_price]]</f>
        <v>237.4905</v>
      </c>
      <c r="J4352">
        <f>VLOOKUP(B4352, Products!$A$2:$E$100, 3, FALSE)</f>
        <v>8</v>
      </c>
      <c r="K4352">
        <f>VLOOKUP(B4352, Products!$A$2:$F$100, 4, FALSE)</f>
        <v>6</v>
      </c>
    </row>
    <row r="4353" spans="1:11" x14ac:dyDescent="0.3">
      <c r="A4353">
        <v>1495</v>
      </c>
      <c r="B4353">
        <v>1</v>
      </c>
      <c r="C4353">
        <v>292</v>
      </c>
      <c r="D4353" t="str">
        <f>VLOOKUP(B4353, Products!$A$2:$C$100, 2, FALSE)</f>
        <v>Trek 820 - 2016</v>
      </c>
      <c r="E4353">
        <v>2</v>
      </c>
      <c r="F4353">
        <v>369.99</v>
      </c>
      <c r="G4353">
        <v>0.05</v>
      </c>
      <c r="H4353">
        <v>18.499500000000001</v>
      </c>
      <c r="I4353">
        <f>order_items[[#This Row],[list_price]]-order_items[[#This Row],[Discounted_price]]</f>
        <v>351.4905</v>
      </c>
      <c r="J4353">
        <f>VLOOKUP(B4353, Products!$A$2:$E$100, 3, FALSE)</f>
        <v>9</v>
      </c>
      <c r="K4353">
        <f>VLOOKUP(B4353, Products!$A$2:$F$100, 4, FALSE)</f>
        <v>6</v>
      </c>
    </row>
    <row r="4354" spans="1:11" x14ac:dyDescent="0.3">
      <c r="A4354">
        <v>1495</v>
      </c>
      <c r="B4354">
        <v>2</v>
      </c>
      <c r="C4354">
        <v>308</v>
      </c>
      <c r="D4354" t="str">
        <f>VLOOKUP(B4354, Products!$A$2:$C$100, 2, FALSE)</f>
        <v>Ritchey Timberwolf Frameset - 2016</v>
      </c>
      <c r="E4354">
        <v>2</v>
      </c>
      <c r="F4354">
        <v>749.99</v>
      </c>
      <c r="G4354">
        <v>0.2</v>
      </c>
      <c r="H4354">
        <v>149.99800000000002</v>
      </c>
      <c r="I4354">
        <f>order_items[[#This Row],[list_price]]-order_items[[#This Row],[Discounted_price]]</f>
        <v>599.99199999999996</v>
      </c>
      <c r="J4354">
        <f>VLOOKUP(B4354, Products!$A$2:$E$100, 3, FALSE)</f>
        <v>5</v>
      </c>
      <c r="K4354">
        <f>VLOOKUP(B4354, Products!$A$2:$F$100, 4, FALSE)</f>
        <v>6</v>
      </c>
    </row>
    <row r="4355" spans="1:11" x14ac:dyDescent="0.3">
      <c r="A4355">
        <v>1495</v>
      </c>
      <c r="B4355">
        <v>3</v>
      </c>
      <c r="C4355">
        <v>137</v>
      </c>
      <c r="D4355" t="str">
        <f>VLOOKUP(B4355, Products!$A$2:$C$100, 2, FALSE)</f>
        <v>Surly Wednesday Frameset - 2016</v>
      </c>
      <c r="E4355">
        <v>1</v>
      </c>
      <c r="F4355">
        <v>2599</v>
      </c>
      <c r="G4355">
        <v>0.1</v>
      </c>
      <c r="H4355">
        <v>259.90000000000003</v>
      </c>
      <c r="I4355">
        <f>order_items[[#This Row],[list_price]]-order_items[[#This Row],[Discounted_price]]</f>
        <v>2339.1</v>
      </c>
      <c r="J4355">
        <f>VLOOKUP(B4355, Products!$A$2:$E$100, 3, FALSE)</f>
        <v>8</v>
      </c>
      <c r="K4355">
        <f>VLOOKUP(B4355, Products!$A$2:$F$100, 4, FALSE)</f>
        <v>6</v>
      </c>
    </row>
    <row r="4356" spans="1:11" x14ac:dyDescent="0.3">
      <c r="A4356">
        <v>1496</v>
      </c>
      <c r="B4356">
        <v>1</v>
      </c>
      <c r="C4356">
        <v>248</v>
      </c>
      <c r="D4356" t="str">
        <f>VLOOKUP(B4356, Products!$A$2:$C$100, 2, FALSE)</f>
        <v>Trek 820 - 2016</v>
      </c>
      <c r="E4356">
        <v>1</v>
      </c>
      <c r="F4356">
        <v>599.99</v>
      </c>
      <c r="G4356">
        <v>7.0000000000000007E-2</v>
      </c>
      <c r="H4356">
        <v>41.999300000000005</v>
      </c>
      <c r="I4356">
        <f>order_items[[#This Row],[list_price]]-order_items[[#This Row],[Discounted_price]]</f>
        <v>557.99070000000006</v>
      </c>
      <c r="J4356">
        <f>VLOOKUP(B4356, Products!$A$2:$E$100, 3, FALSE)</f>
        <v>9</v>
      </c>
      <c r="K4356">
        <f>VLOOKUP(B4356, Products!$A$2:$F$100, 4, FALSE)</f>
        <v>6</v>
      </c>
    </row>
    <row r="4357" spans="1:11" x14ac:dyDescent="0.3">
      <c r="A4357">
        <v>1496</v>
      </c>
      <c r="B4357">
        <v>2</v>
      </c>
      <c r="C4357">
        <v>214</v>
      </c>
      <c r="D4357" t="str">
        <f>VLOOKUP(B4357, Products!$A$2:$C$100, 2, FALSE)</f>
        <v>Ritchey Timberwolf Frameset - 2016</v>
      </c>
      <c r="E4357">
        <v>1</v>
      </c>
      <c r="F4357">
        <v>899.99</v>
      </c>
      <c r="G4357">
        <v>7.0000000000000007E-2</v>
      </c>
      <c r="H4357">
        <v>62.999300000000005</v>
      </c>
      <c r="I4357">
        <f>order_items[[#This Row],[list_price]]-order_items[[#This Row],[Discounted_price]]</f>
        <v>836.99070000000006</v>
      </c>
      <c r="J4357">
        <f>VLOOKUP(B4357, Products!$A$2:$E$100, 3, FALSE)</f>
        <v>5</v>
      </c>
      <c r="K4357">
        <f>VLOOKUP(B4357, Products!$A$2:$F$100, 4, FALSE)</f>
        <v>6</v>
      </c>
    </row>
    <row r="4358" spans="1:11" x14ac:dyDescent="0.3">
      <c r="A4358">
        <v>1496</v>
      </c>
      <c r="B4358">
        <v>3</v>
      </c>
      <c r="C4358">
        <v>224</v>
      </c>
      <c r="D4358" t="str">
        <f>VLOOKUP(B4358, Products!$A$2:$C$100, 2, FALSE)</f>
        <v>Surly Wednesday Frameset - 2016</v>
      </c>
      <c r="E4358">
        <v>2</v>
      </c>
      <c r="F4358">
        <v>479.99</v>
      </c>
      <c r="G4358">
        <v>0.05</v>
      </c>
      <c r="H4358">
        <v>23.999500000000001</v>
      </c>
      <c r="I4358">
        <f>order_items[[#This Row],[list_price]]-order_items[[#This Row],[Discounted_price]]</f>
        <v>455.9905</v>
      </c>
      <c r="J4358">
        <f>VLOOKUP(B4358, Products!$A$2:$E$100, 3, FALSE)</f>
        <v>8</v>
      </c>
      <c r="K4358">
        <f>VLOOKUP(B4358, Products!$A$2:$F$100, 4, FALSE)</f>
        <v>6</v>
      </c>
    </row>
    <row r="4359" spans="1:11" x14ac:dyDescent="0.3">
      <c r="A4359">
        <v>1496</v>
      </c>
      <c r="B4359">
        <v>4</v>
      </c>
      <c r="C4359">
        <v>302</v>
      </c>
      <c r="D4359" t="str">
        <f>VLOOKUP(B4359, Products!$A$2:$C$100, 2, FALSE)</f>
        <v>Trek Fuel EX 8 29 - 2016</v>
      </c>
      <c r="E4359">
        <v>1</v>
      </c>
      <c r="F4359">
        <v>449.99</v>
      </c>
      <c r="G4359">
        <v>0.05</v>
      </c>
      <c r="H4359">
        <v>22.499500000000001</v>
      </c>
      <c r="I4359">
        <f>order_items[[#This Row],[list_price]]-order_items[[#This Row],[Discounted_price]]</f>
        <v>427.4905</v>
      </c>
      <c r="J4359">
        <f>VLOOKUP(B4359, Products!$A$2:$E$100, 3, FALSE)</f>
        <v>9</v>
      </c>
      <c r="K4359">
        <f>VLOOKUP(B4359, Products!$A$2:$F$100, 4, FALSE)</f>
        <v>6</v>
      </c>
    </row>
    <row r="4360" spans="1:11" x14ac:dyDescent="0.3">
      <c r="A4360">
        <v>1496</v>
      </c>
      <c r="B4360">
        <v>5</v>
      </c>
      <c r="C4360">
        <v>225</v>
      </c>
      <c r="D4360" t="str">
        <f>VLOOKUP(B4360, Products!$A$2:$C$100, 2, FALSE)</f>
        <v>Heller Shagamaw Frame - 2016</v>
      </c>
      <c r="E4360">
        <v>2</v>
      </c>
      <c r="F4360">
        <v>959.99</v>
      </c>
      <c r="G4360">
        <v>0.2</v>
      </c>
      <c r="H4360">
        <v>191.99800000000002</v>
      </c>
      <c r="I4360">
        <f>order_items[[#This Row],[list_price]]-order_items[[#This Row],[Discounted_price]]</f>
        <v>767.99199999999996</v>
      </c>
      <c r="J4360">
        <f>VLOOKUP(B4360, Products!$A$2:$E$100, 3, FALSE)</f>
        <v>3</v>
      </c>
      <c r="K4360">
        <f>VLOOKUP(B4360, Products!$A$2:$F$100, 4, FALSE)</f>
        <v>6</v>
      </c>
    </row>
    <row r="4361" spans="1:11" x14ac:dyDescent="0.3">
      <c r="A4361">
        <v>1497</v>
      </c>
      <c r="B4361">
        <v>1</v>
      </c>
      <c r="C4361">
        <v>141</v>
      </c>
      <c r="D4361" t="str">
        <f>VLOOKUP(B4361, Products!$A$2:$C$100, 2, FALSE)</f>
        <v>Trek 820 - 2016</v>
      </c>
      <c r="E4361">
        <v>2</v>
      </c>
      <c r="F4361">
        <v>1599.99</v>
      </c>
      <c r="G4361">
        <v>0.2</v>
      </c>
      <c r="H4361">
        <v>319.99800000000005</v>
      </c>
      <c r="I4361">
        <f>order_items[[#This Row],[list_price]]-order_items[[#This Row],[Discounted_price]]</f>
        <v>1279.992</v>
      </c>
      <c r="J4361">
        <f>VLOOKUP(B4361, Products!$A$2:$E$100, 3, FALSE)</f>
        <v>9</v>
      </c>
      <c r="K4361">
        <f>VLOOKUP(B4361, Products!$A$2:$F$100, 4, FALSE)</f>
        <v>6</v>
      </c>
    </row>
    <row r="4362" spans="1:11" x14ac:dyDescent="0.3">
      <c r="A4362">
        <v>1497</v>
      </c>
      <c r="B4362">
        <v>2</v>
      </c>
      <c r="C4362">
        <v>198</v>
      </c>
      <c r="D4362" t="str">
        <f>VLOOKUP(B4362, Products!$A$2:$C$100, 2, FALSE)</f>
        <v>Ritchey Timberwolf Frameset - 2016</v>
      </c>
      <c r="E4362">
        <v>2</v>
      </c>
      <c r="F4362">
        <v>2999.99</v>
      </c>
      <c r="G4362">
        <v>0.1</v>
      </c>
      <c r="H4362">
        <v>299.99899999999997</v>
      </c>
      <c r="I4362">
        <f>order_items[[#This Row],[list_price]]-order_items[[#This Row],[Discounted_price]]</f>
        <v>2699.991</v>
      </c>
      <c r="J4362">
        <f>VLOOKUP(B4362, Products!$A$2:$E$100, 3, FALSE)</f>
        <v>5</v>
      </c>
      <c r="K4362">
        <f>VLOOKUP(B4362, Products!$A$2:$F$100, 4, FALSE)</f>
        <v>6</v>
      </c>
    </row>
    <row r="4363" spans="1:11" x14ac:dyDescent="0.3">
      <c r="A4363">
        <v>1497</v>
      </c>
      <c r="B4363">
        <v>3</v>
      </c>
      <c r="C4363">
        <v>204</v>
      </c>
      <c r="D4363" t="str">
        <f>VLOOKUP(B4363, Products!$A$2:$C$100, 2, FALSE)</f>
        <v>Surly Wednesday Frameset - 2016</v>
      </c>
      <c r="E4363">
        <v>2</v>
      </c>
      <c r="F4363">
        <v>3599.99</v>
      </c>
      <c r="G4363">
        <v>7.0000000000000007E-2</v>
      </c>
      <c r="H4363">
        <v>251.99930000000001</v>
      </c>
      <c r="I4363">
        <f>order_items[[#This Row],[list_price]]-order_items[[#This Row],[Discounted_price]]</f>
        <v>3347.9906999999998</v>
      </c>
      <c r="J4363">
        <f>VLOOKUP(B4363, Products!$A$2:$E$100, 3, FALSE)</f>
        <v>8</v>
      </c>
      <c r="K4363">
        <f>VLOOKUP(B4363, Products!$A$2:$F$100, 4, FALSE)</f>
        <v>6</v>
      </c>
    </row>
    <row r="4364" spans="1:11" x14ac:dyDescent="0.3">
      <c r="A4364">
        <v>1498</v>
      </c>
      <c r="B4364">
        <v>1</v>
      </c>
      <c r="C4364">
        <v>172</v>
      </c>
      <c r="D4364" t="str">
        <f>VLOOKUP(B4364, Products!$A$2:$C$100, 2, FALSE)</f>
        <v>Trek 820 - 2016</v>
      </c>
      <c r="E4364">
        <v>1</v>
      </c>
      <c r="F4364">
        <v>3199.99</v>
      </c>
      <c r="G4364">
        <v>0.05</v>
      </c>
      <c r="H4364">
        <v>159.99950000000001</v>
      </c>
      <c r="I4364">
        <f>order_items[[#This Row],[list_price]]-order_items[[#This Row],[Discounted_price]]</f>
        <v>3039.9904999999999</v>
      </c>
      <c r="J4364">
        <f>VLOOKUP(B4364, Products!$A$2:$E$100, 3, FALSE)</f>
        <v>9</v>
      </c>
      <c r="K4364">
        <f>VLOOKUP(B4364, Products!$A$2:$F$100, 4, FALSE)</f>
        <v>6</v>
      </c>
    </row>
    <row r="4365" spans="1:11" x14ac:dyDescent="0.3">
      <c r="A4365">
        <v>1498</v>
      </c>
      <c r="B4365">
        <v>2</v>
      </c>
      <c r="C4365">
        <v>260</v>
      </c>
      <c r="D4365" t="str">
        <f>VLOOKUP(B4365, Products!$A$2:$C$100, 2, FALSE)</f>
        <v>Ritchey Timberwolf Frameset - 2016</v>
      </c>
      <c r="E4365">
        <v>2</v>
      </c>
      <c r="F4365">
        <v>799.99</v>
      </c>
      <c r="G4365">
        <v>7.0000000000000007E-2</v>
      </c>
      <c r="H4365">
        <v>55.999300000000005</v>
      </c>
      <c r="I4365">
        <f>order_items[[#This Row],[list_price]]-order_items[[#This Row],[Discounted_price]]</f>
        <v>743.99070000000006</v>
      </c>
      <c r="J4365">
        <f>VLOOKUP(B4365, Products!$A$2:$E$100, 3, FALSE)</f>
        <v>5</v>
      </c>
      <c r="K4365">
        <f>VLOOKUP(B4365, Products!$A$2:$F$100, 4, FALSE)</f>
        <v>6</v>
      </c>
    </row>
    <row r="4366" spans="1:11" x14ac:dyDescent="0.3">
      <c r="A4366">
        <v>1499</v>
      </c>
      <c r="B4366">
        <v>1</v>
      </c>
      <c r="C4366">
        <v>110</v>
      </c>
      <c r="D4366" t="str">
        <f>VLOOKUP(B4366, Products!$A$2:$C$100, 2, FALSE)</f>
        <v>Trek 820 - 2016</v>
      </c>
      <c r="E4366">
        <v>1</v>
      </c>
      <c r="F4366">
        <v>470.99</v>
      </c>
      <c r="G4366">
        <v>0.05</v>
      </c>
      <c r="H4366">
        <v>23.549500000000002</v>
      </c>
      <c r="I4366">
        <f>order_items[[#This Row],[list_price]]-order_items[[#This Row],[Discounted_price]]</f>
        <v>447.44049999999999</v>
      </c>
      <c r="J4366">
        <f>VLOOKUP(B4366, Products!$A$2:$E$100, 3, FALSE)</f>
        <v>9</v>
      </c>
      <c r="K4366">
        <f>VLOOKUP(B4366, Products!$A$2:$F$100, 4, FALSE)</f>
        <v>6</v>
      </c>
    </row>
    <row r="4367" spans="1:11" x14ac:dyDescent="0.3">
      <c r="A4367">
        <v>1499</v>
      </c>
      <c r="B4367">
        <v>2</v>
      </c>
      <c r="C4367">
        <v>208</v>
      </c>
      <c r="D4367" t="str">
        <f>VLOOKUP(B4367, Products!$A$2:$C$100, 2, FALSE)</f>
        <v>Ritchey Timberwolf Frameset - 2016</v>
      </c>
      <c r="E4367">
        <v>1</v>
      </c>
      <c r="F4367">
        <v>1799.99</v>
      </c>
      <c r="G4367">
        <v>7.0000000000000007E-2</v>
      </c>
      <c r="H4367">
        <v>125.99930000000002</v>
      </c>
      <c r="I4367">
        <f>order_items[[#This Row],[list_price]]-order_items[[#This Row],[Discounted_price]]</f>
        <v>1673.9907000000001</v>
      </c>
      <c r="J4367">
        <f>VLOOKUP(B4367, Products!$A$2:$E$100, 3, FALSE)</f>
        <v>5</v>
      </c>
      <c r="K4367">
        <f>VLOOKUP(B4367, Products!$A$2:$F$100, 4, FALSE)</f>
        <v>6</v>
      </c>
    </row>
    <row r="4368" spans="1:11" x14ac:dyDescent="0.3">
      <c r="A4368">
        <v>1499</v>
      </c>
      <c r="B4368">
        <v>3</v>
      </c>
      <c r="C4368">
        <v>268</v>
      </c>
      <c r="D4368" t="str">
        <f>VLOOKUP(B4368, Products!$A$2:$C$100, 2, FALSE)</f>
        <v>Surly Wednesday Frameset - 2016</v>
      </c>
      <c r="E4368">
        <v>2</v>
      </c>
      <c r="F4368">
        <v>159.99</v>
      </c>
      <c r="G4368">
        <v>0.05</v>
      </c>
      <c r="H4368">
        <v>7.9995000000000012</v>
      </c>
      <c r="I4368">
        <f>order_items[[#This Row],[list_price]]-order_items[[#This Row],[Discounted_price]]</f>
        <v>151.9905</v>
      </c>
      <c r="J4368">
        <f>VLOOKUP(B4368, Products!$A$2:$E$100, 3, FALSE)</f>
        <v>8</v>
      </c>
      <c r="K4368">
        <f>VLOOKUP(B4368, Products!$A$2:$F$100, 4, FALSE)</f>
        <v>6</v>
      </c>
    </row>
    <row r="4369" spans="1:11" x14ac:dyDescent="0.3">
      <c r="A4369">
        <v>1499</v>
      </c>
      <c r="B4369">
        <v>4</v>
      </c>
      <c r="C4369">
        <v>2</v>
      </c>
      <c r="D4369" t="str">
        <f>VLOOKUP(B4369, Products!$A$2:$C$100, 2, FALSE)</f>
        <v>Trek Fuel EX 8 29 - 2016</v>
      </c>
      <c r="E4369">
        <v>1</v>
      </c>
      <c r="F4369">
        <v>749.99</v>
      </c>
      <c r="G4369">
        <v>0.05</v>
      </c>
      <c r="H4369">
        <v>37.499500000000005</v>
      </c>
      <c r="I4369">
        <f>order_items[[#This Row],[list_price]]-order_items[[#This Row],[Discounted_price]]</f>
        <v>712.4905</v>
      </c>
      <c r="J4369">
        <f>VLOOKUP(B4369, Products!$A$2:$E$100, 3, FALSE)</f>
        <v>9</v>
      </c>
      <c r="K4369">
        <f>VLOOKUP(B4369, Products!$A$2:$F$100, 4, FALSE)</f>
        <v>6</v>
      </c>
    </row>
    <row r="4370" spans="1:11" x14ac:dyDescent="0.3">
      <c r="A4370">
        <v>1499</v>
      </c>
      <c r="B4370">
        <v>5</v>
      </c>
      <c r="C4370">
        <v>171</v>
      </c>
      <c r="D4370" t="str">
        <f>VLOOKUP(B4370, Products!$A$2:$C$100, 2, FALSE)</f>
        <v>Heller Shagamaw Frame - 2016</v>
      </c>
      <c r="E4370">
        <v>2</v>
      </c>
      <c r="F4370">
        <v>3199.99</v>
      </c>
      <c r="G4370">
        <v>0.1</v>
      </c>
      <c r="H4370">
        <v>319.99900000000002</v>
      </c>
      <c r="I4370">
        <f>order_items[[#This Row],[list_price]]-order_items[[#This Row],[Discounted_price]]</f>
        <v>2879.991</v>
      </c>
      <c r="J4370">
        <f>VLOOKUP(B4370, Products!$A$2:$E$100, 3, FALSE)</f>
        <v>3</v>
      </c>
      <c r="K4370">
        <f>VLOOKUP(B4370, Products!$A$2:$F$100, 4, FALSE)</f>
        <v>6</v>
      </c>
    </row>
    <row r="4371" spans="1:11" x14ac:dyDescent="0.3">
      <c r="A4371">
        <v>1500</v>
      </c>
      <c r="B4371">
        <v>1</v>
      </c>
      <c r="C4371">
        <v>41</v>
      </c>
      <c r="D4371" t="str">
        <f>VLOOKUP(B4371, Products!$A$2:$C$100, 2, FALSE)</f>
        <v>Trek 820 - 2016</v>
      </c>
      <c r="E4371">
        <v>2</v>
      </c>
      <c r="F4371">
        <v>1469.99</v>
      </c>
      <c r="G4371">
        <v>7.0000000000000007E-2</v>
      </c>
      <c r="H4371">
        <v>102.89930000000001</v>
      </c>
      <c r="I4371">
        <f>order_items[[#This Row],[list_price]]-order_items[[#This Row],[Discounted_price]]</f>
        <v>1367.0907</v>
      </c>
      <c r="J4371">
        <f>VLOOKUP(B4371, Products!$A$2:$E$100, 3, FALSE)</f>
        <v>9</v>
      </c>
      <c r="K4371">
        <f>VLOOKUP(B4371, Products!$A$2:$F$100, 4, FALSE)</f>
        <v>6</v>
      </c>
    </row>
    <row r="4372" spans="1:11" x14ac:dyDescent="0.3">
      <c r="A4372">
        <v>1500</v>
      </c>
      <c r="B4372">
        <v>2</v>
      </c>
      <c r="C4372">
        <v>293</v>
      </c>
      <c r="D4372" t="str">
        <f>VLOOKUP(B4372, Products!$A$2:$C$100, 2, FALSE)</f>
        <v>Ritchey Timberwolf Frameset - 2016</v>
      </c>
      <c r="E4372">
        <v>1</v>
      </c>
      <c r="F4372">
        <v>319.99</v>
      </c>
      <c r="G4372">
        <v>7.0000000000000007E-2</v>
      </c>
      <c r="H4372">
        <v>22.399300000000004</v>
      </c>
      <c r="I4372">
        <f>order_items[[#This Row],[list_price]]-order_items[[#This Row],[Discounted_price]]</f>
        <v>297.59070000000003</v>
      </c>
      <c r="J4372">
        <f>VLOOKUP(B4372, Products!$A$2:$E$100, 3, FALSE)</f>
        <v>5</v>
      </c>
      <c r="K4372">
        <f>VLOOKUP(B4372, Products!$A$2:$F$100, 4, FALSE)</f>
        <v>6</v>
      </c>
    </row>
    <row r="4373" spans="1:11" x14ac:dyDescent="0.3">
      <c r="A4373">
        <v>1501</v>
      </c>
      <c r="B4373">
        <v>1</v>
      </c>
      <c r="C4373">
        <v>248</v>
      </c>
      <c r="D4373" t="str">
        <f>VLOOKUP(B4373, Products!$A$2:$C$100, 2, FALSE)</f>
        <v>Trek 820 - 2016</v>
      </c>
      <c r="E4373">
        <v>1</v>
      </c>
      <c r="F4373">
        <v>599.99</v>
      </c>
      <c r="G4373">
        <v>0.05</v>
      </c>
      <c r="H4373">
        <v>29.999500000000001</v>
      </c>
      <c r="I4373">
        <f>order_items[[#This Row],[list_price]]-order_items[[#This Row],[Discounted_price]]</f>
        <v>569.9905</v>
      </c>
      <c r="J4373">
        <f>VLOOKUP(B4373, Products!$A$2:$E$100, 3, FALSE)</f>
        <v>9</v>
      </c>
      <c r="K4373">
        <f>VLOOKUP(B4373, Products!$A$2:$F$100, 4, FALSE)</f>
        <v>6</v>
      </c>
    </row>
    <row r="4374" spans="1:11" x14ac:dyDescent="0.3">
      <c r="A4374">
        <v>1501</v>
      </c>
      <c r="B4374">
        <v>2</v>
      </c>
      <c r="C4374">
        <v>219</v>
      </c>
      <c r="D4374" t="str">
        <f>VLOOKUP(B4374, Products!$A$2:$C$100, 2, FALSE)</f>
        <v>Ritchey Timberwolf Frameset - 2016</v>
      </c>
      <c r="E4374">
        <v>1</v>
      </c>
      <c r="F4374">
        <v>639.99</v>
      </c>
      <c r="G4374">
        <v>7.0000000000000007E-2</v>
      </c>
      <c r="H4374">
        <v>44.799300000000002</v>
      </c>
      <c r="I4374">
        <f>order_items[[#This Row],[list_price]]-order_items[[#This Row],[Discounted_price]]</f>
        <v>595.19069999999999</v>
      </c>
      <c r="J4374">
        <f>VLOOKUP(B4374, Products!$A$2:$E$100, 3, FALSE)</f>
        <v>5</v>
      </c>
      <c r="K4374">
        <f>VLOOKUP(B4374, Products!$A$2:$F$100, 4, FALSE)</f>
        <v>6</v>
      </c>
    </row>
    <row r="4375" spans="1:11" x14ac:dyDescent="0.3">
      <c r="A4375">
        <v>1501</v>
      </c>
      <c r="B4375">
        <v>3</v>
      </c>
      <c r="C4375">
        <v>15</v>
      </c>
      <c r="D4375" t="str">
        <f>VLOOKUP(B4375, Products!$A$2:$C$100, 2, FALSE)</f>
        <v>Surly Wednesday Frameset - 2016</v>
      </c>
      <c r="E4375">
        <v>1</v>
      </c>
      <c r="F4375">
        <v>529.99</v>
      </c>
      <c r="G4375">
        <v>0.05</v>
      </c>
      <c r="H4375">
        <v>26.499500000000001</v>
      </c>
      <c r="I4375">
        <f>order_items[[#This Row],[list_price]]-order_items[[#This Row],[Discounted_price]]</f>
        <v>503.4905</v>
      </c>
      <c r="J4375">
        <f>VLOOKUP(B4375, Products!$A$2:$E$100, 3, FALSE)</f>
        <v>8</v>
      </c>
      <c r="K4375">
        <f>VLOOKUP(B4375, Products!$A$2:$F$100, 4, FALSE)</f>
        <v>6</v>
      </c>
    </row>
    <row r="4376" spans="1:11" x14ac:dyDescent="0.3">
      <c r="A4376">
        <v>1501</v>
      </c>
      <c r="B4376">
        <v>4</v>
      </c>
      <c r="C4376">
        <v>67</v>
      </c>
      <c r="D4376" t="str">
        <f>VLOOKUP(B4376, Products!$A$2:$C$100, 2, FALSE)</f>
        <v>Trek Fuel EX 8 29 - 2016</v>
      </c>
      <c r="E4376">
        <v>1</v>
      </c>
      <c r="F4376">
        <v>250.99</v>
      </c>
      <c r="G4376">
        <v>0.2</v>
      </c>
      <c r="H4376">
        <v>50.198000000000008</v>
      </c>
      <c r="I4376">
        <f>order_items[[#This Row],[list_price]]-order_items[[#This Row],[Discounted_price]]</f>
        <v>200.792</v>
      </c>
      <c r="J4376">
        <f>VLOOKUP(B4376, Products!$A$2:$E$100, 3, FALSE)</f>
        <v>9</v>
      </c>
      <c r="K4376">
        <f>VLOOKUP(B4376, Products!$A$2:$F$100, 4, FALSE)</f>
        <v>6</v>
      </c>
    </row>
    <row r="4377" spans="1:11" x14ac:dyDescent="0.3">
      <c r="A4377">
        <v>1501</v>
      </c>
      <c r="B4377">
        <v>5</v>
      </c>
      <c r="C4377">
        <v>210</v>
      </c>
      <c r="D4377" t="str">
        <f>VLOOKUP(B4377, Products!$A$2:$C$100, 2, FALSE)</f>
        <v>Heller Shagamaw Frame - 2016</v>
      </c>
      <c r="E4377">
        <v>1</v>
      </c>
      <c r="F4377">
        <v>1549</v>
      </c>
      <c r="G4377">
        <v>0.05</v>
      </c>
      <c r="H4377">
        <v>77.45</v>
      </c>
      <c r="I4377">
        <f>order_items[[#This Row],[list_price]]-order_items[[#This Row],[Discounted_price]]</f>
        <v>1471.55</v>
      </c>
      <c r="J4377">
        <f>VLOOKUP(B4377, Products!$A$2:$E$100, 3, FALSE)</f>
        <v>3</v>
      </c>
      <c r="K4377">
        <f>VLOOKUP(B4377, Products!$A$2:$F$100, 4, FALSE)</f>
        <v>6</v>
      </c>
    </row>
    <row r="4378" spans="1:11" x14ac:dyDescent="0.3">
      <c r="A4378">
        <v>1502</v>
      </c>
      <c r="B4378">
        <v>1</v>
      </c>
      <c r="C4378">
        <v>231</v>
      </c>
      <c r="D4378" t="str">
        <f>VLOOKUP(B4378, Products!$A$2:$C$100, 2, FALSE)</f>
        <v>Trek 820 - 2016</v>
      </c>
      <c r="E4378">
        <v>2</v>
      </c>
      <c r="F4378">
        <v>529.99</v>
      </c>
      <c r="G4378">
        <v>0.2</v>
      </c>
      <c r="H4378">
        <v>105.998</v>
      </c>
      <c r="I4378">
        <f>order_items[[#This Row],[list_price]]-order_items[[#This Row],[Discounted_price]]</f>
        <v>423.99200000000002</v>
      </c>
      <c r="J4378">
        <f>VLOOKUP(B4378, Products!$A$2:$E$100, 3, FALSE)</f>
        <v>9</v>
      </c>
      <c r="K4378">
        <f>VLOOKUP(B4378, Products!$A$2:$F$100, 4, FALSE)</f>
        <v>6</v>
      </c>
    </row>
    <row r="4379" spans="1:11" x14ac:dyDescent="0.3">
      <c r="A4379">
        <v>1502</v>
      </c>
      <c r="B4379">
        <v>2</v>
      </c>
      <c r="C4379">
        <v>19</v>
      </c>
      <c r="D4379" t="str">
        <f>VLOOKUP(B4379, Products!$A$2:$C$100, 2, FALSE)</f>
        <v>Ritchey Timberwolf Frameset - 2016</v>
      </c>
      <c r="E4379">
        <v>2</v>
      </c>
      <c r="F4379">
        <v>449</v>
      </c>
      <c r="G4379">
        <v>7.0000000000000007E-2</v>
      </c>
      <c r="H4379">
        <v>31.430000000000003</v>
      </c>
      <c r="I4379">
        <f>order_items[[#This Row],[list_price]]-order_items[[#This Row],[Discounted_price]]</f>
        <v>417.57</v>
      </c>
      <c r="J4379">
        <f>VLOOKUP(B4379, Products!$A$2:$E$100, 3, FALSE)</f>
        <v>5</v>
      </c>
      <c r="K4379">
        <f>VLOOKUP(B4379, Products!$A$2:$F$100, 4, FALSE)</f>
        <v>6</v>
      </c>
    </row>
    <row r="4380" spans="1:11" x14ac:dyDescent="0.3">
      <c r="A4380">
        <v>1502</v>
      </c>
      <c r="B4380">
        <v>3</v>
      </c>
      <c r="C4380">
        <v>26</v>
      </c>
      <c r="D4380" t="str">
        <f>VLOOKUP(B4380, Products!$A$2:$C$100, 2, FALSE)</f>
        <v>Surly Wednesday Frameset - 2016</v>
      </c>
      <c r="E4380">
        <v>2</v>
      </c>
      <c r="F4380">
        <v>599.99</v>
      </c>
      <c r="G4380">
        <v>7.0000000000000007E-2</v>
      </c>
      <c r="H4380">
        <v>41.999300000000005</v>
      </c>
      <c r="I4380">
        <f>order_items[[#This Row],[list_price]]-order_items[[#This Row],[Discounted_price]]</f>
        <v>557.99070000000006</v>
      </c>
      <c r="J4380">
        <f>VLOOKUP(B4380, Products!$A$2:$E$100, 3, FALSE)</f>
        <v>8</v>
      </c>
      <c r="K4380">
        <f>VLOOKUP(B4380, Products!$A$2:$F$100, 4, FALSE)</f>
        <v>6</v>
      </c>
    </row>
    <row r="4381" spans="1:11" x14ac:dyDescent="0.3">
      <c r="A4381">
        <v>1502</v>
      </c>
      <c r="B4381">
        <v>4</v>
      </c>
      <c r="C4381">
        <v>268</v>
      </c>
      <c r="D4381" t="str">
        <f>VLOOKUP(B4381, Products!$A$2:$C$100, 2, FALSE)</f>
        <v>Trek Fuel EX 8 29 - 2016</v>
      </c>
      <c r="E4381">
        <v>1</v>
      </c>
      <c r="F4381">
        <v>159.99</v>
      </c>
      <c r="G4381">
        <v>0.2</v>
      </c>
      <c r="H4381">
        <v>31.998000000000005</v>
      </c>
      <c r="I4381">
        <f>order_items[[#This Row],[list_price]]-order_items[[#This Row],[Discounted_price]]</f>
        <v>127.992</v>
      </c>
      <c r="J4381">
        <f>VLOOKUP(B4381, Products!$A$2:$E$100, 3, FALSE)</f>
        <v>9</v>
      </c>
      <c r="K4381">
        <f>VLOOKUP(B4381, Products!$A$2:$F$100, 4, FALSE)</f>
        <v>6</v>
      </c>
    </row>
    <row r="4382" spans="1:11" x14ac:dyDescent="0.3">
      <c r="A4382">
        <v>1502</v>
      </c>
      <c r="B4382">
        <v>5</v>
      </c>
      <c r="C4382">
        <v>255</v>
      </c>
      <c r="D4382" t="str">
        <f>VLOOKUP(B4382, Products!$A$2:$C$100, 2, FALSE)</f>
        <v>Heller Shagamaw Frame - 2016</v>
      </c>
      <c r="E4382">
        <v>1</v>
      </c>
      <c r="F4382">
        <v>899.99</v>
      </c>
      <c r="G4382">
        <v>7.0000000000000007E-2</v>
      </c>
      <c r="H4382">
        <v>62.999300000000005</v>
      </c>
      <c r="I4382">
        <f>order_items[[#This Row],[list_price]]-order_items[[#This Row],[Discounted_price]]</f>
        <v>836.99070000000006</v>
      </c>
      <c r="J4382">
        <f>VLOOKUP(B4382, Products!$A$2:$E$100, 3, FALSE)</f>
        <v>3</v>
      </c>
      <c r="K4382">
        <f>VLOOKUP(B4382, Products!$A$2:$F$100, 4, FALSE)</f>
        <v>6</v>
      </c>
    </row>
    <row r="4383" spans="1:11" x14ac:dyDescent="0.3">
      <c r="A4383">
        <v>1503</v>
      </c>
      <c r="B4383">
        <v>1</v>
      </c>
      <c r="C4383">
        <v>217</v>
      </c>
      <c r="D4383" t="str">
        <f>VLOOKUP(B4383, Products!$A$2:$C$100, 2, FALSE)</f>
        <v>Trek 820 - 2016</v>
      </c>
      <c r="E4383">
        <v>1</v>
      </c>
      <c r="F4383">
        <v>909.99</v>
      </c>
      <c r="G4383">
        <v>0.1</v>
      </c>
      <c r="H4383">
        <v>90.999000000000009</v>
      </c>
      <c r="I4383">
        <f>order_items[[#This Row],[list_price]]-order_items[[#This Row],[Discounted_price]]</f>
        <v>818.99099999999999</v>
      </c>
      <c r="J4383">
        <f>VLOOKUP(B4383, Products!$A$2:$E$100, 3, FALSE)</f>
        <v>9</v>
      </c>
      <c r="K4383">
        <f>VLOOKUP(B4383, Products!$A$2:$F$100, 4, FALSE)</f>
        <v>6</v>
      </c>
    </row>
    <row r="4384" spans="1:11" x14ac:dyDescent="0.3">
      <c r="A4384">
        <v>1503</v>
      </c>
      <c r="B4384">
        <v>2</v>
      </c>
      <c r="C4384">
        <v>302</v>
      </c>
      <c r="D4384" t="str">
        <f>VLOOKUP(B4384, Products!$A$2:$C$100, 2, FALSE)</f>
        <v>Ritchey Timberwolf Frameset - 2016</v>
      </c>
      <c r="E4384">
        <v>2</v>
      </c>
      <c r="F4384">
        <v>449.99</v>
      </c>
      <c r="G4384">
        <v>0.05</v>
      </c>
      <c r="H4384">
        <v>22.499500000000001</v>
      </c>
      <c r="I4384">
        <f>order_items[[#This Row],[list_price]]-order_items[[#This Row],[Discounted_price]]</f>
        <v>427.4905</v>
      </c>
      <c r="J4384">
        <f>VLOOKUP(B4384, Products!$A$2:$E$100, 3, FALSE)</f>
        <v>5</v>
      </c>
      <c r="K4384">
        <f>VLOOKUP(B4384, Products!$A$2:$F$100, 4, FALSE)</f>
        <v>6</v>
      </c>
    </row>
    <row r="4385" spans="1:11" x14ac:dyDescent="0.3">
      <c r="A4385">
        <v>1504</v>
      </c>
      <c r="B4385">
        <v>1</v>
      </c>
      <c r="C4385">
        <v>276</v>
      </c>
      <c r="D4385" t="str">
        <f>VLOOKUP(B4385, Products!$A$2:$C$100, 2, FALSE)</f>
        <v>Trek 820 - 2016</v>
      </c>
      <c r="E4385">
        <v>1</v>
      </c>
      <c r="F4385">
        <v>319.99</v>
      </c>
      <c r="G4385">
        <v>7.0000000000000007E-2</v>
      </c>
      <c r="H4385">
        <v>22.399300000000004</v>
      </c>
      <c r="I4385">
        <f>order_items[[#This Row],[list_price]]-order_items[[#This Row],[Discounted_price]]</f>
        <v>297.59070000000003</v>
      </c>
      <c r="J4385">
        <f>VLOOKUP(B4385, Products!$A$2:$E$100, 3, FALSE)</f>
        <v>9</v>
      </c>
      <c r="K4385">
        <f>VLOOKUP(B4385, Products!$A$2:$F$100, 4, FALSE)</f>
        <v>6</v>
      </c>
    </row>
    <row r="4386" spans="1:11" x14ac:dyDescent="0.3">
      <c r="A4386">
        <v>1505</v>
      </c>
      <c r="B4386">
        <v>1</v>
      </c>
      <c r="C4386">
        <v>223</v>
      </c>
      <c r="D4386" t="str">
        <f>VLOOKUP(B4386, Products!$A$2:$C$100, 2, FALSE)</f>
        <v>Trek 820 - 2016</v>
      </c>
      <c r="E4386">
        <v>2</v>
      </c>
      <c r="F4386">
        <v>529.99</v>
      </c>
      <c r="G4386">
        <v>0.05</v>
      </c>
      <c r="H4386">
        <v>26.499500000000001</v>
      </c>
      <c r="I4386">
        <f>order_items[[#This Row],[list_price]]-order_items[[#This Row],[Discounted_price]]</f>
        <v>503.4905</v>
      </c>
      <c r="J4386">
        <f>VLOOKUP(B4386, Products!$A$2:$E$100, 3, FALSE)</f>
        <v>9</v>
      </c>
      <c r="K4386">
        <f>VLOOKUP(B4386, Products!$A$2:$F$100, 4, FALSE)</f>
        <v>6</v>
      </c>
    </row>
    <row r="4387" spans="1:11" x14ac:dyDescent="0.3">
      <c r="A4387">
        <v>1505</v>
      </c>
      <c r="B4387">
        <v>2</v>
      </c>
      <c r="C4387">
        <v>24</v>
      </c>
      <c r="D4387" t="str">
        <f>VLOOKUP(B4387, Products!$A$2:$C$100, 2, FALSE)</f>
        <v>Ritchey Timberwolf Frameset - 2016</v>
      </c>
      <c r="E4387">
        <v>2</v>
      </c>
      <c r="F4387">
        <v>549.99</v>
      </c>
      <c r="G4387">
        <v>7.0000000000000007E-2</v>
      </c>
      <c r="H4387">
        <v>38.499300000000005</v>
      </c>
      <c r="I4387">
        <f>order_items[[#This Row],[list_price]]-order_items[[#This Row],[Discounted_price]]</f>
        <v>511.4907</v>
      </c>
      <c r="J4387">
        <f>VLOOKUP(B4387, Products!$A$2:$E$100, 3, FALSE)</f>
        <v>5</v>
      </c>
      <c r="K4387">
        <f>VLOOKUP(B4387, Products!$A$2:$F$100, 4, FALSE)</f>
        <v>6</v>
      </c>
    </row>
    <row r="4388" spans="1:11" x14ac:dyDescent="0.3">
      <c r="A4388">
        <v>1505</v>
      </c>
      <c r="B4388">
        <v>3</v>
      </c>
      <c r="C4388">
        <v>43</v>
      </c>
      <c r="D4388" t="str">
        <f>VLOOKUP(B4388, Products!$A$2:$C$100, 2, FALSE)</f>
        <v>Surly Wednesday Frameset - 2016</v>
      </c>
      <c r="E4388">
        <v>2</v>
      </c>
      <c r="F4388">
        <v>5299.99</v>
      </c>
      <c r="G4388">
        <v>0.05</v>
      </c>
      <c r="H4388">
        <v>264.99950000000001</v>
      </c>
      <c r="I4388">
        <f>order_items[[#This Row],[list_price]]-order_items[[#This Row],[Discounted_price]]</f>
        <v>5034.9904999999999</v>
      </c>
      <c r="J4388">
        <f>VLOOKUP(B4388, Products!$A$2:$E$100, 3, FALSE)</f>
        <v>8</v>
      </c>
      <c r="K4388">
        <f>VLOOKUP(B4388, Products!$A$2:$F$100, 4, FALSE)</f>
        <v>6</v>
      </c>
    </row>
    <row r="4389" spans="1:11" x14ac:dyDescent="0.3">
      <c r="A4389">
        <v>1506</v>
      </c>
      <c r="B4389">
        <v>1</v>
      </c>
      <c r="C4389">
        <v>184</v>
      </c>
      <c r="D4389" t="str">
        <f>VLOOKUP(B4389, Products!$A$2:$C$100, 2, FALSE)</f>
        <v>Trek 820 - 2016</v>
      </c>
      <c r="E4389">
        <v>1</v>
      </c>
      <c r="F4389">
        <v>3499.99</v>
      </c>
      <c r="G4389">
        <v>0.05</v>
      </c>
      <c r="H4389">
        <v>174.99950000000001</v>
      </c>
      <c r="I4389">
        <f>order_items[[#This Row],[list_price]]-order_items[[#This Row],[Discounted_price]]</f>
        <v>3324.9904999999999</v>
      </c>
      <c r="J4389">
        <f>VLOOKUP(B4389, Products!$A$2:$E$100, 3, FALSE)</f>
        <v>9</v>
      </c>
      <c r="K4389">
        <f>VLOOKUP(B4389, Products!$A$2:$F$100, 4, FALSE)</f>
        <v>6</v>
      </c>
    </row>
    <row r="4390" spans="1:11" x14ac:dyDescent="0.3">
      <c r="A4390">
        <v>1506</v>
      </c>
      <c r="B4390">
        <v>2</v>
      </c>
      <c r="C4390">
        <v>153</v>
      </c>
      <c r="D4390" t="str">
        <f>VLOOKUP(B4390, Products!$A$2:$C$100, 2, FALSE)</f>
        <v>Ritchey Timberwolf Frameset - 2016</v>
      </c>
      <c r="E4390">
        <v>2</v>
      </c>
      <c r="F4390">
        <v>4999.99</v>
      </c>
      <c r="G4390">
        <v>0.2</v>
      </c>
      <c r="H4390">
        <v>999.99800000000005</v>
      </c>
      <c r="I4390">
        <f>order_items[[#This Row],[list_price]]-order_items[[#This Row],[Discounted_price]]</f>
        <v>3999.9919999999997</v>
      </c>
      <c r="J4390">
        <f>VLOOKUP(B4390, Products!$A$2:$E$100, 3, FALSE)</f>
        <v>5</v>
      </c>
      <c r="K4390">
        <f>VLOOKUP(B4390, Products!$A$2:$F$100, 4, FALSE)</f>
        <v>6</v>
      </c>
    </row>
    <row r="4391" spans="1:11" x14ac:dyDescent="0.3">
      <c r="A4391">
        <v>1506</v>
      </c>
      <c r="B4391">
        <v>3</v>
      </c>
      <c r="C4391">
        <v>149</v>
      </c>
      <c r="D4391" t="str">
        <f>VLOOKUP(B4391, Products!$A$2:$C$100, 2, FALSE)</f>
        <v>Surly Wednesday Frameset - 2016</v>
      </c>
      <c r="E4391">
        <v>2</v>
      </c>
      <c r="F4391">
        <v>7499.99</v>
      </c>
      <c r="G4391">
        <v>0.05</v>
      </c>
      <c r="H4391">
        <v>374.99950000000001</v>
      </c>
      <c r="I4391">
        <f>order_items[[#This Row],[list_price]]-order_items[[#This Row],[Discounted_price]]</f>
        <v>7124.9904999999999</v>
      </c>
      <c r="J4391">
        <f>VLOOKUP(B4391, Products!$A$2:$E$100, 3, FALSE)</f>
        <v>8</v>
      </c>
      <c r="K4391">
        <f>VLOOKUP(B4391, Products!$A$2:$F$100, 4, FALSE)</f>
        <v>6</v>
      </c>
    </row>
    <row r="4392" spans="1:11" x14ac:dyDescent="0.3">
      <c r="A4392">
        <v>1507</v>
      </c>
      <c r="B4392">
        <v>1</v>
      </c>
      <c r="C4392">
        <v>39</v>
      </c>
      <c r="D4392" t="str">
        <f>VLOOKUP(B4392, Products!$A$2:$C$100, 2, FALSE)</f>
        <v>Trek 820 - 2016</v>
      </c>
      <c r="E4392">
        <v>2</v>
      </c>
      <c r="F4392">
        <v>1499.99</v>
      </c>
      <c r="G4392">
        <v>0.2</v>
      </c>
      <c r="H4392">
        <v>299.99799999999999</v>
      </c>
      <c r="I4392">
        <f>order_items[[#This Row],[list_price]]-order_items[[#This Row],[Discounted_price]]</f>
        <v>1199.992</v>
      </c>
      <c r="J4392">
        <f>VLOOKUP(B4392, Products!$A$2:$E$100, 3, FALSE)</f>
        <v>9</v>
      </c>
      <c r="K4392">
        <f>VLOOKUP(B4392, Products!$A$2:$F$100, 4, FALSE)</f>
        <v>6</v>
      </c>
    </row>
    <row r="4393" spans="1:11" x14ac:dyDescent="0.3">
      <c r="A4393">
        <v>1507</v>
      </c>
      <c r="B4393">
        <v>2</v>
      </c>
      <c r="C4393">
        <v>11</v>
      </c>
      <c r="D4393" t="str">
        <f>VLOOKUP(B4393, Products!$A$2:$C$100, 2, FALSE)</f>
        <v>Ritchey Timberwolf Frameset - 2016</v>
      </c>
      <c r="E4393">
        <v>2</v>
      </c>
      <c r="F4393">
        <v>1680.99</v>
      </c>
      <c r="G4393">
        <v>0.1</v>
      </c>
      <c r="H4393">
        <v>168.09900000000002</v>
      </c>
      <c r="I4393">
        <f>order_items[[#This Row],[list_price]]-order_items[[#This Row],[Discounted_price]]</f>
        <v>1512.8910000000001</v>
      </c>
      <c r="J4393">
        <f>VLOOKUP(B4393, Products!$A$2:$E$100, 3, FALSE)</f>
        <v>5</v>
      </c>
      <c r="K4393">
        <f>VLOOKUP(B4393, Products!$A$2:$F$100, 4, FALSE)</f>
        <v>6</v>
      </c>
    </row>
    <row r="4394" spans="1:11" x14ac:dyDescent="0.3">
      <c r="A4394">
        <v>1507</v>
      </c>
      <c r="B4394">
        <v>3</v>
      </c>
      <c r="C4394">
        <v>259</v>
      </c>
      <c r="D4394" t="str">
        <f>VLOOKUP(B4394, Products!$A$2:$C$100, 2, FALSE)</f>
        <v>Surly Wednesday Frameset - 2016</v>
      </c>
      <c r="E4394">
        <v>1</v>
      </c>
      <c r="F4394">
        <v>1199.99</v>
      </c>
      <c r="G4394">
        <v>7.0000000000000007E-2</v>
      </c>
      <c r="H4394">
        <v>83.999300000000005</v>
      </c>
      <c r="I4394">
        <f>order_items[[#This Row],[list_price]]-order_items[[#This Row],[Discounted_price]]</f>
        <v>1115.9907000000001</v>
      </c>
      <c r="J4394">
        <f>VLOOKUP(B4394, Products!$A$2:$E$100, 3, FALSE)</f>
        <v>8</v>
      </c>
      <c r="K4394">
        <f>VLOOKUP(B4394, Products!$A$2:$F$100, 4, FALSE)</f>
        <v>6</v>
      </c>
    </row>
    <row r="4395" spans="1:11" x14ac:dyDescent="0.3">
      <c r="A4395">
        <v>1507</v>
      </c>
      <c r="B4395">
        <v>4</v>
      </c>
      <c r="C4395">
        <v>281</v>
      </c>
      <c r="D4395" t="str">
        <f>VLOOKUP(B4395, Products!$A$2:$C$100, 2, FALSE)</f>
        <v>Trek Fuel EX 8 29 - 2016</v>
      </c>
      <c r="E4395">
        <v>1</v>
      </c>
      <c r="F4395">
        <v>319.99</v>
      </c>
      <c r="G4395">
        <v>7.0000000000000007E-2</v>
      </c>
      <c r="H4395">
        <v>22.399300000000004</v>
      </c>
      <c r="I4395">
        <f>order_items[[#This Row],[list_price]]-order_items[[#This Row],[Discounted_price]]</f>
        <v>297.59070000000003</v>
      </c>
      <c r="J4395">
        <f>VLOOKUP(B4395, Products!$A$2:$E$100, 3, FALSE)</f>
        <v>9</v>
      </c>
      <c r="K4395">
        <f>VLOOKUP(B4395, Products!$A$2:$F$100, 4, FALSE)</f>
        <v>6</v>
      </c>
    </row>
    <row r="4396" spans="1:11" x14ac:dyDescent="0.3">
      <c r="A4396">
        <v>1507</v>
      </c>
      <c r="B4396">
        <v>5</v>
      </c>
      <c r="C4396">
        <v>293</v>
      </c>
      <c r="D4396" t="str">
        <f>VLOOKUP(B4396, Products!$A$2:$C$100, 2, FALSE)</f>
        <v>Heller Shagamaw Frame - 2016</v>
      </c>
      <c r="E4396">
        <v>2</v>
      </c>
      <c r="F4396">
        <v>319.99</v>
      </c>
      <c r="G4396">
        <v>0.05</v>
      </c>
      <c r="H4396">
        <v>15.999500000000001</v>
      </c>
      <c r="I4396">
        <f>order_items[[#This Row],[list_price]]-order_items[[#This Row],[Discounted_price]]</f>
        <v>303.9905</v>
      </c>
      <c r="J4396">
        <f>VLOOKUP(B4396, Products!$A$2:$E$100, 3, FALSE)</f>
        <v>3</v>
      </c>
      <c r="K4396">
        <f>VLOOKUP(B4396, Products!$A$2:$F$100, 4, FALSE)</f>
        <v>6</v>
      </c>
    </row>
    <row r="4397" spans="1:11" x14ac:dyDescent="0.3">
      <c r="A4397">
        <v>1508</v>
      </c>
      <c r="B4397">
        <v>1</v>
      </c>
      <c r="C4397">
        <v>37</v>
      </c>
      <c r="D4397" t="str">
        <f>VLOOKUP(B4397, Products!$A$2:$C$100, 2, FALSE)</f>
        <v>Trek 820 - 2016</v>
      </c>
      <c r="E4397">
        <v>1</v>
      </c>
      <c r="F4397">
        <v>379.99</v>
      </c>
      <c r="G4397">
        <v>0.2</v>
      </c>
      <c r="H4397">
        <v>75.998000000000005</v>
      </c>
      <c r="I4397">
        <f>order_items[[#This Row],[list_price]]-order_items[[#This Row],[Discounted_price]]</f>
        <v>303.99200000000002</v>
      </c>
      <c r="J4397">
        <f>VLOOKUP(B4397, Products!$A$2:$E$100, 3, FALSE)</f>
        <v>9</v>
      </c>
      <c r="K4397">
        <f>VLOOKUP(B4397, Products!$A$2:$F$100, 4, FALSE)</f>
        <v>6</v>
      </c>
    </row>
    <row r="4398" spans="1:11" x14ac:dyDescent="0.3">
      <c r="A4398">
        <v>1508</v>
      </c>
      <c r="B4398">
        <v>2</v>
      </c>
      <c r="C4398">
        <v>109</v>
      </c>
      <c r="D4398" t="str">
        <f>VLOOKUP(B4398, Products!$A$2:$C$100, 2, FALSE)</f>
        <v>Ritchey Timberwolf Frameset - 2016</v>
      </c>
      <c r="E4398">
        <v>1</v>
      </c>
      <c r="F4398">
        <v>416.99</v>
      </c>
      <c r="G4398">
        <v>0.1</v>
      </c>
      <c r="H4398">
        <v>41.699000000000005</v>
      </c>
      <c r="I4398">
        <f>order_items[[#This Row],[list_price]]-order_items[[#This Row],[Discounted_price]]</f>
        <v>375.291</v>
      </c>
      <c r="J4398">
        <f>VLOOKUP(B4398, Products!$A$2:$E$100, 3, FALSE)</f>
        <v>5</v>
      </c>
      <c r="K4398">
        <f>VLOOKUP(B4398, Products!$A$2:$F$100, 4, FALSE)</f>
        <v>6</v>
      </c>
    </row>
    <row r="4399" spans="1:11" x14ac:dyDescent="0.3">
      <c r="A4399">
        <v>1508</v>
      </c>
      <c r="B4399">
        <v>3</v>
      </c>
      <c r="C4399">
        <v>52</v>
      </c>
      <c r="D4399" t="str">
        <f>VLOOKUP(B4399, Products!$A$2:$C$100, 2, FALSE)</f>
        <v>Surly Wednesday Frameset - 2016</v>
      </c>
      <c r="E4399">
        <v>2</v>
      </c>
      <c r="F4399">
        <v>875.99</v>
      </c>
      <c r="G4399">
        <v>0.05</v>
      </c>
      <c r="H4399">
        <v>43.799500000000002</v>
      </c>
      <c r="I4399">
        <f>order_items[[#This Row],[list_price]]-order_items[[#This Row],[Discounted_price]]</f>
        <v>832.19050000000004</v>
      </c>
      <c r="J4399">
        <f>VLOOKUP(B4399, Products!$A$2:$E$100, 3, FALSE)</f>
        <v>8</v>
      </c>
      <c r="K4399">
        <f>VLOOKUP(B4399, Products!$A$2:$F$100, 4, FALSE)</f>
        <v>6</v>
      </c>
    </row>
    <row r="4400" spans="1:11" x14ac:dyDescent="0.3">
      <c r="A4400">
        <v>1508</v>
      </c>
      <c r="B4400">
        <v>4</v>
      </c>
      <c r="C4400">
        <v>88</v>
      </c>
      <c r="D4400" t="str">
        <f>VLOOKUP(B4400, Products!$A$2:$C$100, 2, FALSE)</f>
        <v>Trek Fuel EX 8 29 - 2016</v>
      </c>
      <c r="E4400">
        <v>1</v>
      </c>
      <c r="F4400">
        <v>189.99</v>
      </c>
      <c r="G4400">
        <v>0.05</v>
      </c>
      <c r="H4400">
        <v>9.4995000000000012</v>
      </c>
      <c r="I4400">
        <f>order_items[[#This Row],[list_price]]-order_items[[#This Row],[Discounted_price]]</f>
        <v>180.4905</v>
      </c>
      <c r="J4400">
        <f>VLOOKUP(B4400, Products!$A$2:$E$100, 3, FALSE)</f>
        <v>9</v>
      </c>
      <c r="K4400">
        <f>VLOOKUP(B4400, Products!$A$2:$F$100, 4, FALSE)</f>
        <v>6</v>
      </c>
    </row>
    <row r="4401" spans="1:11" x14ac:dyDescent="0.3">
      <c r="A4401">
        <v>1509</v>
      </c>
      <c r="B4401">
        <v>1</v>
      </c>
      <c r="C4401">
        <v>215</v>
      </c>
      <c r="D4401" t="str">
        <f>VLOOKUP(B4401, Products!$A$2:$C$100, 2, FALSE)</f>
        <v>Trek 820 - 2016</v>
      </c>
      <c r="E4401">
        <v>2</v>
      </c>
      <c r="F4401">
        <v>749.99</v>
      </c>
      <c r="G4401">
        <v>7.0000000000000007E-2</v>
      </c>
      <c r="H4401">
        <v>52.499300000000005</v>
      </c>
      <c r="I4401">
        <f>order_items[[#This Row],[list_price]]-order_items[[#This Row],[Discounted_price]]</f>
        <v>697.49070000000006</v>
      </c>
      <c r="J4401">
        <f>VLOOKUP(B4401, Products!$A$2:$E$100, 3, FALSE)</f>
        <v>9</v>
      </c>
      <c r="K4401">
        <f>VLOOKUP(B4401, Products!$A$2:$F$100, 4, FALSE)</f>
        <v>6</v>
      </c>
    </row>
    <row r="4402" spans="1:11" x14ac:dyDescent="0.3">
      <c r="A4402">
        <v>1510</v>
      </c>
      <c r="B4402">
        <v>1</v>
      </c>
      <c r="C4402">
        <v>142</v>
      </c>
      <c r="D4402" t="str">
        <f>VLOOKUP(B4402, Products!$A$2:$C$100, 2, FALSE)</f>
        <v>Trek 820 - 2016</v>
      </c>
      <c r="E4402">
        <v>2</v>
      </c>
      <c r="F4402">
        <v>3199.99</v>
      </c>
      <c r="G4402">
        <v>0.05</v>
      </c>
      <c r="H4402">
        <v>159.99950000000001</v>
      </c>
      <c r="I4402">
        <f>order_items[[#This Row],[list_price]]-order_items[[#This Row],[Discounted_price]]</f>
        <v>3039.9904999999999</v>
      </c>
      <c r="J4402">
        <f>VLOOKUP(B4402, Products!$A$2:$E$100, 3, FALSE)</f>
        <v>9</v>
      </c>
      <c r="K4402">
        <f>VLOOKUP(B4402, Products!$A$2:$F$100, 4, FALSE)</f>
        <v>6</v>
      </c>
    </row>
    <row r="4403" spans="1:11" x14ac:dyDescent="0.3">
      <c r="A4403">
        <v>1510</v>
      </c>
      <c r="B4403">
        <v>2</v>
      </c>
      <c r="C4403">
        <v>68</v>
      </c>
      <c r="D4403" t="str">
        <f>VLOOKUP(B4403, Products!$A$2:$C$100, 2, FALSE)</f>
        <v>Ritchey Timberwolf Frameset - 2016</v>
      </c>
      <c r="E4403">
        <v>1</v>
      </c>
      <c r="F4403">
        <v>449.99</v>
      </c>
      <c r="G4403">
        <v>0.1</v>
      </c>
      <c r="H4403">
        <v>44.999000000000002</v>
      </c>
      <c r="I4403">
        <f>order_items[[#This Row],[list_price]]-order_items[[#This Row],[Discounted_price]]</f>
        <v>404.99099999999999</v>
      </c>
      <c r="J4403">
        <f>VLOOKUP(B4403, Products!$A$2:$E$100, 3, FALSE)</f>
        <v>5</v>
      </c>
      <c r="K4403">
        <f>VLOOKUP(B4403, Products!$A$2:$F$100, 4, FALSE)</f>
        <v>6</v>
      </c>
    </row>
    <row r="4404" spans="1:11" x14ac:dyDescent="0.3">
      <c r="A4404">
        <v>1510</v>
      </c>
      <c r="B4404">
        <v>3</v>
      </c>
      <c r="C4404">
        <v>251</v>
      </c>
      <c r="D4404" t="str">
        <f>VLOOKUP(B4404, Products!$A$2:$C$100, 2, FALSE)</f>
        <v>Surly Wednesday Frameset - 2016</v>
      </c>
      <c r="E4404">
        <v>2</v>
      </c>
      <c r="F4404">
        <v>2999.99</v>
      </c>
      <c r="G4404">
        <v>0.1</v>
      </c>
      <c r="H4404">
        <v>299.99899999999997</v>
      </c>
      <c r="I4404">
        <f>order_items[[#This Row],[list_price]]-order_items[[#This Row],[Discounted_price]]</f>
        <v>2699.991</v>
      </c>
      <c r="J4404">
        <f>VLOOKUP(B4404, Products!$A$2:$E$100, 3, FALSE)</f>
        <v>8</v>
      </c>
      <c r="K4404">
        <f>VLOOKUP(B4404, Products!$A$2:$F$100, 4, FALSE)</f>
        <v>6</v>
      </c>
    </row>
    <row r="4405" spans="1:11" x14ac:dyDescent="0.3">
      <c r="A4405">
        <v>1510</v>
      </c>
      <c r="B4405">
        <v>4</v>
      </c>
      <c r="C4405">
        <v>220</v>
      </c>
      <c r="D4405" t="str">
        <f>VLOOKUP(B4405, Products!$A$2:$C$100, 2, FALSE)</f>
        <v>Trek Fuel EX 8 29 - 2016</v>
      </c>
      <c r="E4405">
        <v>2</v>
      </c>
      <c r="F4405">
        <v>269.99</v>
      </c>
      <c r="G4405">
        <v>0.1</v>
      </c>
      <c r="H4405">
        <v>26.999000000000002</v>
      </c>
      <c r="I4405">
        <f>order_items[[#This Row],[list_price]]-order_items[[#This Row],[Discounted_price]]</f>
        <v>242.99100000000001</v>
      </c>
      <c r="J4405">
        <f>VLOOKUP(B4405, Products!$A$2:$E$100, 3, FALSE)</f>
        <v>9</v>
      </c>
      <c r="K4405">
        <f>VLOOKUP(B4405, Products!$A$2:$F$100, 4, FALSE)</f>
        <v>6</v>
      </c>
    </row>
    <row r="4406" spans="1:11" x14ac:dyDescent="0.3">
      <c r="A4406">
        <v>1510</v>
      </c>
      <c r="B4406">
        <v>5</v>
      </c>
      <c r="C4406">
        <v>137</v>
      </c>
      <c r="D4406" t="str">
        <f>VLOOKUP(B4406, Products!$A$2:$C$100, 2, FALSE)</f>
        <v>Heller Shagamaw Frame - 2016</v>
      </c>
      <c r="E4406">
        <v>1</v>
      </c>
      <c r="F4406">
        <v>2599</v>
      </c>
      <c r="G4406">
        <v>0.05</v>
      </c>
      <c r="H4406">
        <v>129.95000000000002</v>
      </c>
      <c r="I4406">
        <f>order_items[[#This Row],[list_price]]-order_items[[#This Row],[Discounted_price]]</f>
        <v>2469.0500000000002</v>
      </c>
      <c r="J4406">
        <f>VLOOKUP(B4406, Products!$A$2:$E$100, 3, FALSE)</f>
        <v>3</v>
      </c>
      <c r="K4406">
        <f>VLOOKUP(B4406, Products!$A$2:$F$100, 4, FALSE)</f>
        <v>6</v>
      </c>
    </row>
    <row r="4407" spans="1:11" x14ac:dyDescent="0.3">
      <c r="A4407">
        <v>1511</v>
      </c>
      <c r="B4407">
        <v>1</v>
      </c>
      <c r="C4407">
        <v>144</v>
      </c>
      <c r="D4407" t="str">
        <f>VLOOKUP(B4407, Products!$A$2:$C$100, 2, FALSE)</f>
        <v>Trek 820 - 2016</v>
      </c>
      <c r="E4407">
        <v>2</v>
      </c>
      <c r="F4407">
        <v>1549.99</v>
      </c>
      <c r="G4407">
        <v>0.2</v>
      </c>
      <c r="H4407">
        <v>309.99800000000005</v>
      </c>
      <c r="I4407">
        <f>order_items[[#This Row],[list_price]]-order_items[[#This Row],[Discounted_price]]</f>
        <v>1239.992</v>
      </c>
      <c r="J4407">
        <f>VLOOKUP(B4407, Products!$A$2:$E$100, 3, FALSE)</f>
        <v>9</v>
      </c>
      <c r="K4407">
        <f>VLOOKUP(B4407, Products!$A$2:$F$100, 4, FALSE)</f>
        <v>6</v>
      </c>
    </row>
    <row r="4408" spans="1:11" x14ac:dyDescent="0.3">
      <c r="A4408">
        <v>1511</v>
      </c>
      <c r="B4408">
        <v>2</v>
      </c>
      <c r="C4408">
        <v>288</v>
      </c>
      <c r="D4408" t="str">
        <f>VLOOKUP(B4408, Products!$A$2:$C$100, 2, FALSE)</f>
        <v>Ritchey Timberwolf Frameset - 2016</v>
      </c>
      <c r="E4408">
        <v>1</v>
      </c>
      <c r="F4408">
        <v>389.99</v>
      </c>
      <c r="G4408">
        <v>7.0000000000000007E-2</v>
      </c>
      <c r="H4408">
        <v>27.299300000000002</v>
      </c>
      <c r="I4408">
        <f>order_items[[#This Row],[list_price]]-order_items[[#This Row],[Discounted_price]]</f>
        <v>362.69069999999999</v>
      </c>
      <c r="J4408">
        <f>VLOOKUP(B4408, Products!$A$2:$E$100, 3, FALSE)</f>
        <v>5</v>
      </c>
      <c r="K4408">
        <f>VLOOKUP(B4408, Products!$A$2:$F$100, 4, FALSE)</f>
        <v>6</v>
      </c>
    </row>
    <row r="4409" spans="1:11" x14ac:dyDescent="0.3">
      <c r="A4409">
        <v>1511</v>
      </c>
      <c r="B4409">
        <v>3</v>
      </c>
      <c r="C4409">
        <v>17</v>
      </c>
      <c r="D4409" t="str">
        <f>VLOOKUP(B4409, Products!$A$2:$C$100, 2, FALSE)</f>
        <v>Surly Wednesday Frameset - 2016</v>
      </c>
      <c r="E4409">
        <v>2</v>
      </c>
      <c r="F4409">
        <v>429</v>
      </c>
      <c r="G4409">
        <v>7.0000000000000007E-2</v>
      </c>
      <c r="H4409">
        <v>30.03</v>
      </c>
      <c r="I4409">
        <f>order_items[[#This Row],[list_price]]-order_items[[#This Row],[Discounted_price]]</f>
        <v>398.97</v>
      </c>
      <c r="J4409">
        <f>VLOOKUP(B4409, Products!$A$2:$E$100, 3, FALSE)</f>
        <v>8</v>
      </c>
      <c r="K4409">
        <f>VLOOKUP(B4409, Products!$A$2:$F$100, 4, FALSE)</f>
        <v>6</v>
      </c>
    </row>
    <row r="4410" spans="1:11" x14ac:dyDescent="0.3">
      <c r="A4410">
        <v>1511</v>
      </c>
      <c r="B4410">
        <v>4</v>
      </c>
      <c r="C4410">
        <v>41</v>
      </c>
      <c r="D4410" t="str">
        <f>VLOOKUP(B4410, Products!$A$2:$C$100, 2, FALSE)</f>
        <v>Trek Fuel EX 8 29 - 2016</v>
      </c>
      <c r="E4410">
        <v>1</v>
      </c>
      <c r="F4410">
        <v>1469.99</v>
      </c>
      <c r="G4410">
        <v>0.05</v>
      </c>
      <c r="H4410">
        <v>73.499499999999998</v>
      </c>
      <c r="I4410">
        <f>order_items[[#This Row],[list_price]]-order_items[[#This Row],[Discounted_price]]</f>
        <v>1396.4905000000001</v>
      </c>
      <c r="J4410">
        <f>VLOOKUP(B4410, Products!$A$2:$E$100, 3, FALSE)</f>
        <v>9</v>
      </c>
      <c r="K4410">
        <f>VLOOKUP(B4410, Products!$A$2:$F$100, 4, FALSE)</f>
        <v>6</v>
      </c>
    </row>
    <row r="4411" spans="1:11" x14ac:dyDescent="0.3">
      <c r="A4411">
        <v>1511</v>
      </c>
      <c r="B4411">
        <v>5</v>
      </c>
      <c r="C4411">
        <v>124</v>
      </c>
      <c r="D4411" t="str">
        <f>VLOOKUP(B4411, Products!$A$2:$C$100, 2, FALSE)</f>
        <v>Heller Shagamaw Frame - 2016</v>
      </c>
      <c r="E4411">
        <v>2</v>
      </c>
      <c r="F4411">
        <v>1499</v>
      </c>
      <c r="G4411">
        <v>0.2</v>
      </c>
      <c r="H4411">
        <v>299.8</v>
      </c>
      <c r="I4411">
        <f>order_items[[#This Row],[list_price]]-order_items[[#This Row],[Discounted_price]]</f>
        <v>1199.2</v>
      </c>
      <c r="J4411">
        <f>VLOOKUP(B4411, Products!$A$2:$E$100, 3, FALSE)</f>
        <v>3</v>
      </c>
      <c r="K4411">
        <f>VLOOKUP(B4411, Products!$A$2:$F$100, 4, FALSE)</f>
        <v>6</v>
      </c>
    </row>
    <row r="4412" spans="1:11" x14ac:dyDescent="0.3">
      <c r="A4412">
        <v>1512</v>
      </c>
      <c r="B4412">
        <v>1</v>
      </c>
      <c r="C4412">
        <v>217</v>
      </c>
      <c r="D4412" t="str">
        <f>VLOOKUP(B4412, Products!$A$2:$C$100, 2, FALSE)</f>
        <v>Trek 820 - 2016</v>
      </c>
      <c r="E4412">
        <v>1</v>
      </c>
      <c r="F4412">
        <v>909.99</v>
      </c>
      <c r="G4412">
        <v>7.0000000000000007E-2</v>
      </c>
      <c r="H4412">
        <v>63.699300000000008</v>
      </c>
      <c r="I4412">
        <f>order_items[[#This Row],[list_price]]-order_items[[#This Row],[Discounted_price]]</f>
        <v>846.29070000000002</v>
      </c>
      <c r="J4412">
        <f>VLOOKUP(B4412, Products!$A$2:$E$100, 3, FALSE)</f>
        <v>9</v>
      </c>
      <c r="K4412">
        <f>VLOOKUP(B4412, Products!$A$2:$F$100, 4, FALSE)</f>
        <v>6</v>
      </c>
    </row>
    <row r="4413" spans="1:11" x14ac:dyDescent="0.3">
      <c r="A4413">
        <v>1513</v>
      </c>
      <c r="B4413">
        <v>1</v>
      </c>
      <c r="C4413">
        <v>166</v>
      </c>
      <c r="D4413" t="str">
        <f>VLOOKUP(B4413, Products!$A$2:$C$100, 2, FALSE)</f>
        <v>Trek 820 - 2016</v>
      </c>
      <c r="E4413">
        <v>1</v>
      </c>
      <c r="F4413">
        <v>749.99</v>
      </c>
      <c r="G4413">
        <v>0.1</v>
      </c>
      <c r="H4413">
        <v>74.999000000000009</v>
      </c>
      <c r="I4413">
        <f>order_items[[#This Row],[list_price]]-order_items[[#This Row],[Discounted_price]]</f>
        <v>674.99099999999999</v>
      </c>
      <c r="J4413">
        <f>VLOOKUP(B4413, Products!$A$2:$E$100, 3, FALSE)</f>
        <v>9</v>
      </c>
      <c r="K4413">
        <f>VLOOKUP(B4413, Products!$A$2:$F$100, 4, FALSE)</f>
        <v>6</v>
      </c>
    </row>
    <row r="4414" spans="1:11" x14ac:dyDescent="0.3">
      <c r="A4414">
        <v>1513</v>
      </c>
      <c r="B4414">
        <v>2</v>
      </c>
      <c r="C4414">
        <v>61</v>
      </c>
      <c r="D4414" t="str">
        <f>VLOOKUP(B4414, Products!$A$2:$C$100, 2, FALSE)</f>
        <v>Ritchey Timberwolf Frameset - 2016</v>
      </c>
      <c r="E4414">
        <v>2</v>
      </c>
      <c r="F4414">
        <v>4999.99</v>
      </c>
      <c r="G4414">
        <v>0.05</v>
      </c>
      <c r="H4414">
        <v>249.99950000000001</v>
      </c>
      <c r="I4414">
        <f>order_items[[#This Row],[list_price]]-order_items[[#This Row],[Discounted_price]]</f>
        <v>4749.9904999999999</v>
      </c>
      <c r="J4414">
        <f>VLOOKUP(B4414, Products!$A$2:$E$100, 3, FALSE)</f>
        <v>5</v>
      </c>
      <c r="K4414">
        <f>VLOOKUP(B4414, Products!$A$2:$F$100, 4, FALSE)</f>
        <v>6</v>
      </c>
    </row>
    <row r="4415" spans="1:11" x14ac:dyDescent="0.3">
      <c r="A4415">
        <v>1513</v>
      </c>
      <c r="B4415">
        <v>3</v>
      </c>
      <c r="C4415">
        <v>159</v>
      </c>
      <c r="D4415" t="str">
        <f>VLOOKUP(B4415, Products!$A$2:$C$100, 2, FALSE)</f>
        <v>Surly Wednesday Frameset - 2016</v>
      </c>
      <c r="E4415">
        <v>2</v>
      </c>
      <c r="F4415">
        <v>2299.9899999999998</v>
      </c>
      <c r="G4415">
        <v>0.05</v>
      </c>
      <c r="H4415">
        <v>114.9995</v>
      </c>
      <c r="I4415">
        <f>order_items[[#This Row],[list_price]]-order_items[[#This Row],[Discounted_price]]</f>
        <v>2184.9904999999999</v>
      </c>
      <c r="J4415">
        <f>VLOOKUP(B4415, Products!$A$2:$E$100, 3, FALSE)</f>
        <v>8</v>
      </c>
      <c r="K4415">
        <f>VLOOKUP(B4415, Products!$A$2:$F$100, 4, FALSE)</f>
        <v>6</v>
      </c>
    </row>
    <row r="4416" spans="1:11" x14ac:dyDescent="0.3">
      <c r="A4416">
        <v>1514</v>
      </c>
      <c r="B4416">
        <v>1</v>
      </c>
      <c r="C4416">
        <v>240</v>
      </c>
      <c r="D4416" t="str">
        <f>VLOOKUP(B4416, Products!$A$2:$C$100, 2, FALSE)</f>
        <v>Trek 820 - 2016</v>
      </c>
      <c r="E4416">
        <v>2</v>
      </c>
      <c r="F4416">
        <v>899.99</v>
      </c>
      <c r="G4416">
        <v>0.1</v>
      </c>
      <c r="H4416">
        <v>89.999000000000009</v>
      </c>
      <c r="I4416">
        <f>order_items[[#This Row],[list_price]]-order_items[[#This Row],[Discounted_price]]</f>
        <v>809.99099999999999</v>
      </c>
      <c r="J4416">
        <f>VLOOKUP(B4416, Products!$A$2:$E$100, 3, FALSE)</f>
        <v>9</v>
      </c>
      <c r="K4416">
        <f>VLOOKUP(B4416, Products!$A$2:$F$100, 4, FALSE)</f>
        <v>6</v>
      </c>
    </row>
    <row r="4417" spans="1:11" x14ac:dyDescent="0.3">
      <c r="A4417">
        <v>1514</v>
      </c>
      <c r="B4417">
        <v>2</v>
      </c>
      <c r="C4417">
        <v>203</v>
      </c>
      <c r="D4417" t="str">
        <f>VLOOKUP(B4417, Products!$A$2:$C$100, 2, FALSE)</f>
        <v>Ritchey Timberwolf Frameset - 2016</v>
      </c>
      <c r="E4417">
        <v>2</v>
      </c>
      <c r="F4417">
        <v>4999.99</v>
      </c>
      <c r="G4417">
        <v>0.05</v>
      </c>
      <c r="H4417">
        <v>249.99950000000001</v>
      </c>
      <c r="I4417">
        <f>order_items[[#This Row],[list_price]]-order_items[[#This Row],[Discounted_price]]</f>
        <v>4749.9904999999999</v>
      </c>
      <c r="J4417">
        <f>VLOOKUP(B4417, Products!$A$2:$E$100, 3, FALSE)</f>
        <v>5</v>
      </c>
      <c r="K4417">
        <f>VLOOKUP(B4417, Products!$A$2:$F$100, 4, FALSE)</f>
        <v>6</v>
      </c>
    </row>
    <row r="4418" spans="1:11" x14ac:dyDescent="0.3">
      <c r="A4418">
        <v>1515</v>
      </c>
      <c r="B4418">
        <v>1</v>
      </c>
      <c r="C4418">
        <v>27</v>
      </c>
      <c r="D4418" t="str">
        <f>VLOOKUP(B4418, Products!$A$2:$C$100, 2, FALSE)</f>
        <v>Trek 820 - 2016</v>
      </c>
      <c r="E4418">
        <v>2</v>
      </c>
      <c r="F4418">
        <v>999.99</v>
      </c>
      <c r="G4418">
        <v>0.2</v>
      </c>
      <c r="H4418">
        <v>199.99800000000002</v>
      </c>
      <c r="I4418">
        <f>order_items[[#This Row],[list_price]]-order_items[[#This Row],[Discounted_price]]</f>
        <v>799.99199999999996</v>
      </c>
      <c r="J4418">
        <f>VLOOKUP(B4418, Products!$A$2:$E$100, 3, FALSE)</f>
        <v>9</v>
      </c>
      <c r="K4418">
        <f>VLOOKUP(B4418, Products!$A$2:$F$100, 4, FALSE)</f>
        <v>6</v>
      </c>
    </row>
    <row r="4419" spans="1:11" x14ac:dyDescent="0.3">
      <c r="A4419">
        <v>1515</v>
      </c>
      <c r="B4419">
        <v>2</v>
      </c>
      <c r="C4419">
        <v>202</v>
      </c>
      <c r="D4419" t="str">
        <f>VLOOKUP(B4419, Products!$A$2:$C$100, 2, FALSE)</f>
        <v>Ritchey Timberwolf Frameset - 2016</v>
      </c>
      <c r="E4419">
        <v>2</v>
      </c>
      <c r="F4419">
        <v>3499.99</v>
      </c>
      <c r="G4419">
        <v>0.1</v>
      </c>
      <c r="H4419">
        <v>349.99900000000002</v>
      </c>
      <c r="I4419">
        <f>order_items[[#This Row],[list_price]]-order_items[[#This Row],[Discounted_price]]</f>
        <v>3149.991</v>
      </c>
      <c r="J4419">
        <f>VLOOKUP(B4419, Products!$A$2:$E$100, 3, FALSE)</f>
        <v>5</v>
      </c>
      <c r="K4419">
        <f>VLOOKUP(B4419, Products!$A$2:$F$100, 4, FALSE)</f>
        <v>6</v>
      </c>
    </row>
    <row r="4420" spans="1:11" x14ac:dyDescent="0.3">
      <c r="A4420">
        <v>1515</v>
      </c>
      <c r="B4420">
        <v>3</v>
      </c>
      <c r="C4420">
        <v>310</v>
      </c>
      <c r="D4420" t="str">
        <f>VLOOKUP(B4420, Products!$A$2:$C$100, 2, FALSE)</f>
        <v>Surly Wednesday Frameset - 2016</v>
      </c>
      <c r="E4420">
        <v>2</v>
      </c>
      <c r="F4420">
        <v>899.99</v>
      </c>
      <c r="G4420">
        <v>0.05</v>
      </c>
      <c r="H4420">
        <v>44.999500000000005</v>
      </c>
      <c r="I4420">
        <f>order_items[[#This Row],[list_price]]-order_items[[#This Row],[Discounted_price]]</f>
        <v>854.9905</v>
      </c>
      <c r="J4420">
        <f>VLOOKUP(B4420, Products!$A$2:$E$100, 3, FALSE)</f>
        <v>8</v>
      </c>
      <c r="K4420">
        <f>VLOOKUP(B4420, Products!$A$2:$F$100, 4, FALSE)</f>
        <v>6</v>
      </c>
    </row>
    <row r="4421" spans="1:11" x14ac:dyDescent="0.3">
      <c r="A4421">
        <v>1515</v>
      </c>
      <c r="B4421">
        <v>4</v>
      </c>
      <c r="C4421">
        <v>40</v>
      </c>
      <c r="D4421" t="str">
        <f>VLOOKUP(B4421, Products!$A$2:$C$100, 2, FALSE)</f>
        <v>Trek Fuel EX 8 29 - 2016</v>
      </c>
      <c r="E4421">
        <v>1</v>
      </c>
      <c r="F4421">
        <v>4999.99</v>
      </c>
      <c r="G4421">
        <v>0.1</v>
      </c>
      <c r="H4421">
        <v>499.99900000000002</v>
      </c>
      <c r="I4421">
        <f>order_items[[#This Row],[list_price]]-order_items[[#This Row],[Discounted_price]]</f>
        <v>4499.991</v>
      </c>
      <c r="J4421">
        <f>VLOOKUP(B4421, Products!$A$2:$E$100, 3, FALSE)</f>
        <v>9</v>
      </c>
      <c r="K4421">
        <f>VLOOKUP(B4421, Products!$A$2:$F$100, 4, FALSE)</f>
        <v>6</v>
      </c>
    </row>
    <row r="4422" spans="1:11" x14ac:dyDescent="0.3">
      <c r="A4422">
        <v>1515</v>
      </c>
      <c r="B4422">
        <v>5</v>
      </c>
      <c r="C4422">
        <v>158</v>
      </c>
      <c r="D4422" t="str">
        <f>VLOOKUP(B4422, Products!$A$2:$C$100, 2, FALSE)</f>
        <v>Heller Shagamaw Frame - 2016</v>
      </c>
      <c r="E4422">
        <v>2</v>
      </c>
      <c r="F4422">
        <v>959.99</v>
      </c>
      <c r="G4422">
        <v>0.2</v>
      </c>
      <c r="H4422">
        <v>191.99800000000002</v>
      </c>
      <c r="I4422">
        <f>order_items[[#This Row],[list_price]]-order_items[[#This Row],[Discounted_price]]</f>
        <v>767.99199999999996</v>
      </c>
      <c r="J4422">
        <f>VLOOKUP(B4422, Products!$A$2:$E$100, 3, FALSE)</f>
        <v>3</v>
      </c>
      <c r="K4422">
        <f>VLOOKUP(B4422, Products!$A$2:$F$100, 4, FALSE)</f>
        <v>6</v>
      </c>
    </row>
    <row r="4423" spans="1:11" x14ac:dyDescent="0.3">
      <c r="A4423">
        <v>1516</v>
      </c>
      <c r="B4423">
        <v>1</v>
      </c>
      <c r="C4423">
        <v>172</v>
      </c>
      <c r="D4423" t="str">
        <f>VLOOKUP(B4423, Products!$A$2:$C$100, 2, FALSE)</f>
        <v>Trek 820 - 2016</v>
      </c>
      <c r="E4423">
        <v>2</v>
      </c>
      <c r="F4423">
        <v>3199.99</v>
      </c>
      <c r="G4423">
        <v>0.1</v>
      </c>
      <c r="H4423">
        <v>319.99900000000002</v>
      </c>
      <c r="I4423">
        <f>order_items[[#This Row],[list_price]]-order_items[[#This Row],[Discounted_price]]</f>
        <v>2879.991</v>
      </c>
      <c r="J4423">
        <f>VLOOKUP(B4423, Products!$A$2:$E$100, 3, FALSE)</f>
        <v>9</v>
      </c>
      <c r="K4423">
        <f>VLOOKUP(B4423, Products!$A$2:$F$100, 4, FALSE)</f>
        <v>6</v>
      </c>
    </row>
    <row r="4424" spans="1:11" x14ac:dyDescent="0.3">
      <c r="A4424">
        <v>1516</v>
      </c>
      <c r="B4424">
        <v>2</v>
      </c>
      <c r="C4424">
        <v>253</v>
      </c>
      <c r="D4424" t="str">
        <f>VLOOKUP(B4424, Products!$A$2:$C$100, 2, FALSE)</f>
        <v>Ritchey Timberwolf Frameset - 2016</v>
      </c>
      <c r="E4424">
        <v>1</v>
      </c>
      <c r="F4424">
        <v>2599.9899999999998</v>
      </c>
      <c r="G4424">
        <v>0.1</v>
      </c>
      <c r="H4424">
        <v>259.99899999999997</v>
      </c>
      <c r="I4424">
        <f>order_items[[#This Row],[list_price]]-order_items[[#This Row],[Discounted_price]]</f>
        <v>2339.991</v>
      </c>
      <c r="J4424">
        <f>VLOOKUP(B4424, Products!$A$2:$E$100, 3, FALSE)</f>
        <v>5</v>
      </c>
      <c r="K4424">
        <f>VLOOKUP(B4424, Products!$A$2:$F$100, 4, FALSE)</f>
        <v>6</v>
      </c>
    </row>
    <row r="4425" spans="1:11" x14ac:dyDescent="0.3">
      <c r="A4425">
        <v>1516</v>
      </c>
      <c r="B4425">
        <v>3</v>
      </c>
      <c r="C4425">
        <v>196</v>
      </c>
      <c r="D4425" t="str">
        <f>VLOOKUP(B4425, Products!$A$2:$C$100, 2, FALSE)</f>
        <v>Surly Wednesday Frameset - 2016</v>
      </c>
      <c r="E4425">
        <v>2</v>
      </c>
      <c r="F4425">
        <v>2299.9899999999998</v>
      </c>
      <c r="G4425">
        <v>0.2</v>
      </c>
      <c r="H4425">
        <v>459.99799999999999</v>
      </c>
      <c r="I4425">
        <f>order_items[[#This Row],[list_price]]-order_items[[#This Row],[Discounted_price]]</f>
        <v>1839.9919999999997</v>
      </c>
      <c r="J4425">
        <f>VLOOKUP(B4425, Products!$A$2:$E$100, 3, FALSE)</f>
        <v>8</v>
      </c>
      <c r="K4425">
        <f>VLOOKUP(B4425, Products!$A$2:$F$100, 4, FALSE)</f>
        <v>6</v>
      </c>
    </row>
    <row r="4426" spans="1:11" x14ac:dyDescent="0.3">
      <c r="A4426">
        <v>1516</v>
      </c>
      <c r="B4426">
        <v>4</v>
      </c>
      <c r="C4426">
        <v>259</v>
      </c>
      <c r="D4426" t="str">
        <f>VLOOKUP(B4426, Products!$A$2:$C$100, 2, FALSE)</f>
        <v>Trek Fuel EX 8 29 - 2016</v>
      </c>
      <c r="E4426">
        <v>2</v>
      </c>
      <c r="F4426">
        <v>1199.99</v>
      </c>
      <c r="G4426">
        <v>0.2</v>
      </c>
      <c r="H4426">
        <v>239.99800000000002</v>
      </c>
      <c r="I4426">
        <f>order_items[[#This Row],[list_price]]-order_items[[#This Row],[Discounted_price]]</f>
        <v>959.99199999999996</v>
      </c>
      <c r="J4426">
        <f>VLOOKUP(B4426, Products!$A$2:$E$100, 3, FALSE)</f>
        <v>9</v>
      </c>
      <c r="K4426">
        <f>VLOOKUP(B4426, Products!$A$2:$F$100, 4, FALSE)</f>
        <v>6</v>
      </c>
    </row>
    <row r="4427" spans="1:11" x14ac:dyDescent="0.3">
      <c r="A4427">
        <v>1516</v>
      </c>
      <c r="B4427">
        <v>5</v>
      </c>
      <c r="C4427">
        <v>271</v>
      </c>
      <c r="D4427" t="str">
        <f>VLOOKUP(B4427, Products!$A$2:$C$100, 2, FALSE)</f>
        <v>Heller Shagamaw Frame - 2016</v>
      </c>
      <c r="E4427">
        <v>2</v>
      </c>
      <c r="F4427">
        <v>209.99</v>
      </c>
      <c r="G4427">
        <v>0.2</v>
      </c>
      <c r="H4427">
        <v>41.998000000000005</v>
      </c>
      <c r="I4427">
        <f>order_items[[#This Row],[list_price]]-order_items[[#This Row],[Discounted_price]]</f>
        <v>167.99200000000002</v>
      </c>
      <c r="J4427">
        <f>VLOOKUP(B4427, Products!$A$2:$E$100, 3, FALSE)</f>
        <v>3</v>
      </c>
      <c r="K4427">
        <f>VLOOKUP(B4427, Products!$A$2:$F$100, 4, FALSE)</f>
        <v>6</v>
      </c>
    </row>
    <row r="4428" spans="1:11" x14ac:dyDescent="0.3">
      <c r="A4428">
        <v>1517</v>
      </c>
      <c r="B4428">
        <v>1</v>
      </c>
      <c r="C4428">
        <v>303</v>
      </c>
      <c r="D4428" t="str">
        <f>VLOOKUP(B4428, Products!$A$2:$C$100, 2, FALSE)</f>
        <v>Trek 820 - 2016</v>
      </c>
      <c r="E4428">
        <v>2</v>
      </c>
      <c r="F4428">
        <v>2599.9899999999998</v>
      </c>
      <c r="G4428">
        <v>7.0000000000000007E-2</v>
      </c>
      <c r="H4428">
        <v>181.99930000000001</v>
      </c>
      <c r="I4428">
        <f>order_items[[#This Row],[list_price]]-order_items[[#This Row],[Discounted_price]]</f>
        <v>2417.9906999999998</v>
      </c>
      <c r="J4428">
        <f>VLOOKUP(B4428, Products!$A$2:$E$100, 3, FALSE)</f>
        <v>9</v>
      </c>
      <c r="K4428">
        <f>VLOOKUP(B4428, Products!$A$2:$F$100, 4, FALSE)</f>
        <v>6</v>
      </c>
    </row>
    <row r="4429" spans="1:11" x14ac:dyDescent="0.3">
      <c r="A4429">
        <v>1517</v>
      </c>
      <c r="B4429">
        <v>2</v>
      </c>
      <c r="C4429">
        <v>226</v>
      </c>
      <c r="D4429" t="str">
        <f>VLOOKUP(B4429, Products!$A$2:$C$100, 2, FALSE)</f>
        <v>Ritchey Timberwolf Frameset - 2016</v>
      </c>
      <c r="E4429">
        <v>2</v>
      </c>
      <c r="F4429">
        <v>679.99</v>
      </c>
      <c r="G4429">
        <v>0.05</v>
      </c>
      <c r="H4429">
        <v>33.999500000000005</v>
      </c>
      <c r="I4429">
        <f>order_items[[#This Row],[list_price]]-order_items[[#This Row],[Discounted_price]]</f>
        <v>645.9905</v>
      </c>
      <c r="J4429">
        <f>VLOOKUP(B4429, Products!$A$2:$E$100, 3, FALSE)</f>
        <v>5</v>
      </c>
      <c r="K4429">
        <f>VLOOKUP(B4429, Products!$A$2:$F$100, 4, FALSE)</f>
        <v>6</v>
      </c>
    </row>
    <row r="4430" spans="1:11" x14ac:dyDescent="0.3">
      <c r="A4430">
        <v>1518</v>
      </c>
      <c r="B4430">
        <v>1</v>
      </c>
      <c r="C4430">
        <v>304</v>
      </c>
      <c r="D4430" t="str">
        <f>VLOOKUP(B4430, Products!$A$2:$C$100, 2, FALSE)</f>
        <v>Trek 820 - 2016</v>
      </c>
      <c r="E4430">
        <v>2</v>
      </c>
      <c r="F4430">
        <v>679.99</v>
      </c>
      <c r="G4430">
        <v>0.1</v>
      </c>
      <c r="H4430">
        <v>67.999000000000009</v>
      </c>
      <c r="I4430">
        <f>order_items[[#This Row],[list_price]]-order_items[[#This Row],[Discounted_price]]</f>
        <v>611.99099999999999</v>
      </c>
      <c r="J4430">
        <f>VLOOKUP(B4430, Products!$A$2:$E$100, 3, FALSE)</f>
        <v>9</v>
      </c>
      <c r="K4430">
        <f>VLOOKUP(B4430, Products!$A$2:$F$100, 4, FALSE)</f>
        <v>6</v>
      </c>
    </row>
    <row r="4431" spans="1:11" x14ac:dyDescent="0.3">
      <c r="A4431">
        <v>1518</v>
      </c>
      <c r="B4431">
        <v>2</v>
      </c>
      <c r="C4431">
        <v>182</v>
      </c>
      <c r="D4431" t="str">
        <f>VLOOKUP(B4431, Products!$A$2:$C$100, 2, FALSE)</f>
        <v>Ritchey Timberwolf Frameset - 2016</v>
      </c>
      <c r="E4431">
        <v>2</v>
      </c>
      <c r="F4431">
        <v>2499.9899999999998</v>
      </c>
      <c r="G4431">
        <v>0.05</v>
      </c>
      <c r="H4431">
        <v>124.9995</v>
      </c>
      <c r="I4431">
        <f>order_items[[#This Row],[list_price]]-order_items[[#This Row],[Discounted_price]]</f>
        <v>2374.9904999999999</v>
      </c>
      <c r="J4431">
        <f>VLOOKUP(B4431, Products!$A$2:$E$100, 3, FALSE)</f>
        <v>5</v>
      </c>
      <c r="K4431">
        <f>VLOOKUP(B4431, Products!$A$2:$F$100, 4, FALSE)</f>
        <v>6</v>
      </c>
    </row>
    <row r="4432" spans="1:11" x14ac:dyDescent="0.3">
      <c r="A4432">
        <v>1518</v>
      </c>
      <c r="B4432">
        <v>3</v>
      </c>
      <c r="C4432">
        <v>252</v>
      </c>
      <c r="D4432" t="str">
        <f>VLOOKUP(B4432, Products!$A$2:$C$100, 2, FALSE)</f>
        <v>Surly Wednesday Frameset - 2016</v>
      </c>
      <c r="E4432">
        <v>2</v>
      </c>
      <c r="F4432">
        <v>2999.99</v>
      </c>
      <c r="G4432">
        <v>0.05</v>
      </c>
      <c r="H4432">
        <v>149.99949999999998</v>
      </c>
      <c r="I4432">
        <f>order_items[[#This Row],[list_price]]-order_items[[#This Row],[Discounted_price]]</f>
        <v>2849.9904999999999</v>
      </c>
      <c r="J4432">
        <f>VLOOKUP(B4432, Products!$A$2:$E$100, 3, FALSE)</f>
        <v>8</v>
      </c>
      <c r="K4432">
        <f>VLOOKUP(B4432, Products!$A$2:$F$100, 4, FALSE)</f>
        <v>6</v>
      </c>
    </row>
    <row r="4433" spans="1:11" x14ac:dyDescent="0.3">
      <c r="A4433">
        <v>1519</v>
      </c>
      <c r="B4433">
        <v>1</v>
      </c>
      <c r="C4433">
        <v>150</v>
      </c>
      <c r="D4433" t="str">
        <f>VLOOKUP(B4433, Products!$A$2:$C$100, 2, FALSE)</f>
        <v>Trek 820 - 2016</v>
      </c>
      <c r="E4433">
        <v>1</v>
      </c>
      <c r="F4433">
        <v>4499.99</v>
      </c>
      <c r="G4433">
        <v>0.2</v>
      </c>
      <c r="H4433">
        <v>899.99800000000005</v>
      </c>
      <c r="I4433">
        <f>order_items[[#This Row],[list_price]]-order_items[[#This Row],[Discounted_price]]</f>
        <v>3599.9919999999997</v>
      </c>
      <c r="J4433">
        <f>VLOOKUP(B4433, Products!$A$2:$E$100, 3, FALSE)</f>
        <v>9</v>
      </c>
      <c r="K4433">
        <f>VLOOKUP(B4433, Products!$A$2:$F$100, 4, FALSE)</f>
        <v>6</v>
      </c>
    </row>
    <row r="4434" spans="1:11" x14ac:dyDescent="0.3">
      <c r="A4434">
        <v>1519</v>
      </c>
      <c r="B4434">
        <v>2</v>
      </c>
      <c r="C4434">
        <v>85</v>
      </c>
      <c r="D4434" t="str">
        <f>VLOOKUP(B4434, Products!$A$2:$C$100, 2, FALSE)</f>
        <v>Ritchey Timberwolf Frameset - 2016</v>
      </c>
      <c r="E4434">
        <v>2</v>
      </c>
      <c r="F4434">
        <v>329.99</v>
      </c>
      <c r="G4434">
        <v>0.2</v>
      </c>
      <c r="H4434">
        <v>65.998000000000005</v>
      </c>
      <c r="I4434">
        <f>order_items[[#This Row],[list_price]]-order_items[[#This Row],[Discounted_price]]</f>
        <v>263.99200000000002</v>
      </c>
      <c r="J4434">
        <f>VLOOKUP(B4434, Products!$A$2:$E$100, 3, FALSE)</f>
        <v>5</v>
      </c>
      <c r="K4434">
        <f>VLOOKUP(B4434, Products!$A$2:$F$100, 4, FALSE)</f>
        <v>6</v>
      </c>
    </row>
    <row r="4435" spans="1:11" x14ac:dyDescent="0.3">
      <c r="A4435">
        <v>1519</v>
      </c>
      <c r="B4435">
        <v>3</v>
      </c>
      <c r="C4435">
        <v>124</v>
      </c>
      <c r="D4435" t="str">
        <f>VLOOKUP(B4435, Products!$A$2:$C$100, 2, FALSE)</f>
        <v>Surly Wednesday Frameset - 2016</v>
      </c>
      <c r="E4435">
        <v>2</v>
      </c>
      <c r="F4435">
        <v>1499</v>
      </c>
      <c r="G4435">
        <v>7.0000000000000007E-2</v>
      </c>
      <c r="H4435">
        <v>104.93</v>
      </c>
      <c r="I4435">
        <f>order_items[[#This Row],[list_price]]-order_items[[#This Row],[Discounted_price]]</f>
        <v>1394.07</v>
      </c>
      <c r="J4435">
        <f>VLOOKUP(B4435, Products!$A$2:$E$100, 3, FALSE)</f>
        <v>8</v>
      </c>
      <c r="K4435">
        <f>VLOOKUP(B4435, Products!$A$2:$F$100, 4, FALSE)</f>
        <v>6</v>
      </c>
    </row>
    <row r="4436" spans="1:11" x14ac:dyDescent="0.3">
      <c r="A4436">
        <v>1519</v>
      </c>
      <c r="B4436">
        <v>4</v>
      </c>
      <c r="C4436">
        <v>65</v>
      </c>
      <c r="D4436" t="str">
        <f>VLOOKUP(B4436, Products!$A$2:$C$100, 2, FALSE)</f>
        <v>Trek Fuel EX 8 29 - 2016</v>
      </c>
      <c r="E4436">
        <v>1</v>
      </c>
      <c r="F4436">
        <v>346.99</v>
      </c>
      <c r="G4436">
        <v>0.2</v>
      </c>
      <c r="H4436">
        <v>69.39800000000001</v>
      </c>
      <c r="I4436">
        <f>order_items[[#This Row],[list_price]]-order_items[[#This Row],[Discounted_price]]</f>
        <v>277.59199999999998</v>
      </c>
      <c r="J4436">
        <f>VLOOKUP(B4436, Products!$A$2:$E$100, 3, FALSE)</f>
        <v>9</v>
      </c>
      <c r="K4436">
        <f>VLOOKUP(B4436, Products!$A$2:$F$100, 4, FALSE)</f>
        <v>6</v>
      </c>
    </row>
    <row r="4437" spans="1:11" x14ac:dyDescent="0.3">
      <c r="A4437">
        <v>1519</v>
      </c>
      <c r="B4437">
        <v>5</v>
      </c>
      <c r="C4437">
        <v>265</v>
      </c>
      <c r="D4437" t="str">
        <f>VLOOKUP(B4437, Products!$A$2:$C$100, 2, FALSE)</f>
        <v>Heller Shagamaw Frame - 2016</v>
      </c>
      <c r="E4437">
        <v>2</v>
      </c>
      <c r="F4437">
        <v>289.99</v>
      </c>
      <c r="G4437">
        <v>0.05</v>
      </c>
      <c r="H4437">
        <v>14.499500000000001</v>
      </c>
      <c r="I4437">
        <f>order_items[[#This Row],[list_price]]-order_items[[#This Row],[Discounted_price]]</f>
        <v>275.4905</v>
      </c>
      <c r="J4437">
        <f>VLOOKUP(B4437, Products!$A$2:$E$100, 3, FALSE)</f>
        <v>3</v>
      </c>
      <c r="K4437">
        <f>VLOOKUP(B4437, Products!$A$2:$F$100, 4, FALSE)</f>
        <v>6</v>
      </c>
    </row>
    <row r="4438" spans="1:11" x14ac:dyDescent="0.3">
      <c r="A4438">
        <v>1520</v>
      </c>
      <c r="B4438">
        <v>1</v>
      </c>
      <c r="C4438">
        <v>186</v>
      </c>
      <c r="D4438" t="str">
        <f>VLOOKUP(B4438, Products!$A$2:$C$100, 2, FALSE)</f>
        <v>Trek 820 - 2016</v>
      </c>
      <c r="E4438">
        <v>1</v>
      </c>
      <c r="F4438">
        <v>4499.99</v>
      </c>
      <c r="G4438">
        <v>0.05</v>
      </c>
      <c r="H4438">
        <v>224.99950000000001</v>
      </c>
      <c r="I4438">
        <f>order_items[[#This Row],[list_price]]-order_items[[#This Row],[Discounted_price]]</f>
        <v>4274.9904999999999</v>
      </c>
      <c r="J4438">
        <f>VLOOKUP(B4438, Products!$A$2:$E$100, 3, FALSE)</f>
        <v>9</v>
      </c>
      <c r="K4438">
        <f>VLOOKUP(B4438, Products!$A$2:$F$100, 4, FALSE)</f>
        <v>6</v>
      </c>
    </row>
    <row r="4439" spans="1:11" x14ac:dyDescent="0.3">
      <c r="A4439">
        <v>1520</v>
      </c>
      <c r="B4439">
        <v>2</v>
      </c>
      <c r="C4439">
        <v>188</v>
      </c>
      <c r="D4439" t="str">
        <f>VLOOKUP(B4439, Products!$A$2:$C$100, 2, FALSE)</f>
        <v>Ritchey Timberwolf Frameset - 2016</v>
      </c>
      <c r="E4439">
        <v>2</v>
      </c>
      <c r="F4439">
        <v>3499.99</v>
      </c>
      <c r="G4439">
        <v>0.2</v>
      </c>
      <c r="H4439">
        <v>699.99800000000005</v>
      </c>
      <c r="I4439">
        <f>order_items[[#This Row],[list_price]]-order_items[[#This Row],[Discounted_price]]</f>
        <v>2799.9919999999997</v>
      </c>
      <c r="J4439">
        <f>VLOOKUP(B4439, Products!$A$2:$E$100, 3, FALSE)</f>
        <v>5</v>
      </c>
      <c r="K4439">
        <f>VLOOKUP(B4439, Products!$A$2:$F$100, 4, FALSE)</f>
        <v>6</v>
      </c>
    </row>
    <row r="4440" spans="1:11" x14ac:dyDescent="0.3">
      <c r="A4440">
        <v>1520</v>
      </c>
      <c r="B4440">
        <v>3</v>
      </c>
      <c r="C4440">
        <v>310</v>
      </c>
      <c r="D4440" t="str">
        <f>VLOOKUP(B4440, Products!$A$2:$C$100, 2, FALSE)</f>
        <v>Surly Wednesday Frameset - 2016</v>
      </c>
      <c r="E4440">
        <v>2</v>
      </c>
      <c r="F4440">
        <v>899.99</v>
      </c>
      <c r="G4440">
        <v>7.0000000000000007E-2</v>
      </c>
      <c r="H4440">
        <v>62.999300000000005</v>
      </c>
      <c r="I4440">
        <f>order_items[[#This Row],[list_price]]-order_items[[#This Row],[Discounted_price]]</f>
        <v>836.99070000000006</v>
      </c>
      <c r="J4440">
        <f>VLOOKUP(B4440, Products!$A$2:$E$100, 3, FALSE)</f>
        <v>8</v>
      </c>
      <c r="K4440">
        <f>VLOOKUP(B4440, Products!$A$2:$F$100, 4, FALSE)</f>
        <v>6</v>
      </c>
    </row>
    <row r="4441" spans="1:11" x14ac:dyDescent="0.3">
      <c r="A4441">
        <v>1520</v>
      </c>
      <c r="B4441">
        <v>4</v>
      </c>
      <c r="C4441">
        <v>263</v>
      </c>
      <c r="D4441" t="str">
        <f>VLOOKUP(B4441, Products!$A$2:$C$100, 2, FALSE)</f>
        <v>Trek Fuel EX 8 29 - 2016</v>
      </c>
      <c r="E4441">
        <v>2</v>
      </c>
      <c r="F4441">
        <v>89.99</v>
      </c>
      <c r="G4441">
        <v>0.1</v>
      </c>
      <c r="H4441">
        <v>8.9990000000000006</v>
      </c>
      <c r="I4441">
        <f>order_items[[#This Row],[list_price]]-order_items[[#This Row],[Discounted_price]]</f>
        <v>80.991</v>
      </c>
      <c r="J4441">
        <f>VLOOKUP(B4441, Products!$A$2:$E$100, 3, FALSE)</f>
        <v>9</v>
      </c>
      <c r="K4441">
        <f>VLOOKUP(B4441, Products!$A$2:$F$100, 4, FALSE)</f>
        <v>6</v>
      </c>
    </row>
    <row r="4442" spans="1:11" x14ac:dyDescent="0.3">
      <c r="A4442">
        <v>1521</v>
      </c>
      <c r="B4442">
        <v>1</v>
      </c>
      <c r="C4442">
        <v>100</v>
      </c>
      <c r="D4442" t="str">
        <f>VLOOKUP(B4442, Products!$A$2:$C$100, 2, FALSE)</f>
        <v>Trek 820 - 2016</v>
      </c>
      <c r="E4442">
        <v>1</v>
      </c>
      <c r="F4442">
        <v>489.99</v>
      </c>
      <c r="G4442">
        <v>0.2</v>
      </c>
      <c r="H4442">
        <v>97.998000000000005</v>
      </c>
      <c r="I4442">
        <f>order_items[[#This Row],[list_price]]-order_items[[#This Row],[Discounted_price]]</f>
        <v>391.99200000000002</v>
      </c>
      <c r="J4442">
        <f>VLOOKUP(B4442, Products!$A$2:$E$100, 3, FALSE)</f>
        <v>9</v>
      </c>
      <c r="K4442">
        <f>VLOOKUP(B4442, Products!$A$2:$F$100, 4, FALSE)</f>
        <v>6</v>
      </c>
    </row>
    <row r="4443" spans="1:11" x14ac:dyDescent="0.3">
      <c r="A4443">
        <v>1521</v>
      </c>
      <c r="B4443">
        <v>2</v>
      </c>
      <c r="C4443">
        <v>314</v>
      </c>
      <c r="D4443" t="str">
        <f>VLOOKUP(B4443, Products!$A$2:$C$100, 2, FALSE)</f>
        <v>Ritchey Timberwolf Frameset - 2016</v>
      </c>
      <c r="E4443">
        <v>2</v>
      </c>
      <c r="F4443">
        <v>679.99</v>
      </c>
      <c r="G4443">
        <v>0.2</v>
      </c>
      <c r="H4443">
        <v>135.99800000000002</v>
      </c>
      <c r="I4443">
        <f>order_items[[#This Row],[list_price]]-order_items[[#This Row],[Discounted_price]]</f>
        <v>543.99199999999996</v>
      </c>
      <c r="J4443">
        <f>VLOOKUP(B4443, Products!$A$2:$E$100, 3, FALSE)</f>
        <v>5</v>
      </c>
      <c r="K4443">
        <f>VLOOKUP(B4443, Products!$A$2:$F$100, 4, FALSE)</f>
        <v>6</v>
      </c>
    </row>
    <row r="4444" spans="1:11" x14ac:dyDescent="0.3">
      <c r="A4444">
        <v>1521</v>
      </c>
      <c r="B4444">
        <v>3</v>
      </c>
      <c r="C4444">
        <v>123</v>
      </c>
      <c r="D4444" t="str">
        <f>VLOOKUP(B4444, Products!$A$2:$C$100, 2, FALSE)</f>
        <v>Surly Wednesday Frameset - 2016</v>
      </c>
      <c r="E4444">
        <v>1</v>
      </c>
      <c r="F4444">
        <v>999.99</v>
      </c>
      <c r="G4444">
        <v>0.1</v>
      </c>
      <c r="H4444">
        <v>99.999000000000009</v>
      </c>
      <c r="I4444">
        <f>order_items[[#This Row],[list_price]]-order_items[[#This Row],[Discounted_price]]</f>
        <v>899.99099999999999</v>
      </c>
      <c r="J4444">
        <f>VLOOKUP(B4444, Products!$A$2:$E$100, 3, FALSE)</f>
        <v>8</v>
      </c>
      <c r="K4444">
        <f>VLOOKUP(B4444, Products!$A$2:$F$100, 4, FALSE)</f>
        <v>6</v>
      </c>
    </row>
    <row r="4445" spans="1:11" x14ac:dyDescent="0.3">
      <c r="A4445">
        <v>1521</v>
      </c>
      <c r="B4445">
        <v>4</v>
      </c>
      <c r="C4445">
        <v>135</v>
      </c>
      <c r="D4445" t="str">
        <f>VLOOKUP(B4445, Products!$A$2:$C$100, 2, FALSE)</f>
        <v>Trek Fuel EX 8 29 - 2016</v>
      </c>
      <c r="E4445">
        <v>2</v>
      </c>
      <c r="F4445">
        <v>1499.99</v>
      </c>
      <c r="G4445">
        <v>0.2</v>
      </c>
      <c r="H4445">
        <v>299.99799999999999</v>
      </c>
      <c r="I4445">
        <f>order_items[[#This Row],[list_price]]-order_items[[#This Row],[Discounted_price]]</f>
        <v>1199.992</v>
      </c>
      <c r="J4445">
        <f>VLOOKUP(B4445, Products!$A$2:$E$100, 3, FALSE)</f>
        <v>9</v>
      </c>
      <c r="K4445">
        <f>VLOOKUP(B4445, Products!$A$2:$F$100, 4, FALSE)</f>
        <v>6</v>
      </c>
    </row>
    <row r="4446" spans="1:11" x14ac:dyDescent="0.3">
      <c r="A4446">
        <v>1522</v>
      </c>
      <c r="B4446">
        <v>1</v>
      </c>
      <c r="C4446">
        <v>95</v>
      </c>
      <c r="D4446" t="str">
        <f>VLOOKUP(B4446, Products!$A$2:$C$100, 2, FALSE)</f>
        <v>Trek 820 - 2016</v>
      </c>
      <c r="E4446">
        <v>1</v>
      </c>
      <c r="F4446">
        <v>299.99</v>
      </c>
      <c r="G4446">
        <v>0.1</v>
      </c>
      <c r="H4446">
        <v>29.999000000000002</v>
      </c>
      <c r="I4446">
        <f>order_items[[#This Row],[list_price]]-order_items[[#This Row],[Discounted_price]]</f>
        <v>269.99099999999999</v>
      </c>
      <c r="J4446">
        <f>VLOOKUP(B4446, Products!$A$2:$E$100, 3, FALSE)</f>
        <v>9</v>
      </c>
      <c r="K4446">
        <f>VLOOKUP(B4446, Products!$A$2:$F$100, 4, FALSE)</f>
        <v>6</v>
      </c>
    </row>
    <row r="4447" spans="1:11" x14ac:dyDescent="0.3">
      <c r="A4447">
        <v>1522</v>
      </c>
      <c r="B4447">
        <v>2</v>
      </c>
      <c r="C4447">
        <v>141</v>
      </c>
      <c r="D4447" t="str">
        <f>VLOOKUP(B4447, Products!$A$2:$C$100, 2, FALSE)</f>
        <v>Ritchey Timberwolf Frameset - 2016</v>
      </c>
      <c r="E4447">
        <v>1</v>
      </c>
      <c r="F4447">
        <v>1599.99</v>
      </c>
      <c r="G4447">
        <v>7.0000000000000007E-2</v>
      </c>
      <c r="H4447">
        <v>111.99930000000001</v>
      </c>
      <c r="I4447">
        <f>order_items[[#This Row],[list_price]]-order_items[[#This Row],[Discounted_price]]</f>
        <v>1487.9907000000001</v>
      </c>
      <c r="J4447">
        <f>VLOOKUP(B4447, Products!$A$2:$E$100, 3, FALSE)</f>
        <v>5</v>
      </c>
      <c r="K4447">
        <f>VLOOKUP(B4447, Products!$A$2:$F$100, 4, FALSE)</f>
        <v>6</v>
      </c>
    </row>
    <row r="4448" spans="1:11" x14ac:dyDescent="0.3">
      <c r="A4448">
        <v>1522</v>
      </c>
      <c r="B4448">
        <v>3</v>
      </c>
      <c r="C4448">
        <v>117</v>
      </c>
      <c r="D4448" t="str">
        <f>VLOOKUP(B4448, Products!$A$2:$C$100, 2, FALSE)</f>
        <v>Surly Wednesday Frameset - 2016</v>
      </c>
      <c r="E4448">
        <v>1</v>
      </c>
      <c r="F4448">
        <v>1469.99</v>
      </c>
      <c r="G4448">
        <v>7.0000000000000007E-2</v>
      </c>
      <c r="H4448">
        <v>102.89930000000001</v>
      </c>
      <c r="I4448">
        <f>order_items[[#This Row],[list_price]]-order_items[[#This Row],[Discounted_price]]</f>
        <v>1367.0907</v>
      </c>
      <c r="J4448">
        <f>VLOOKUP(B4448, Products!$A$2:$E$100, 3, FALSE)</f>
        <v>8</v>
      </c>
      <c r="K4448">
        <f>VLOOKUP(B4448, Products!$A$2:$F$100, 4, FALSE)</f>
        <v>6</v>
      </c>
    </row>
    <row r="4449" spans="1:11" x14ac:dyDescent="0.3">
      <c r="A4449">
        <v>1523</v>
      </c>
      <c r="B4449">
        <v>1</v>
      </c>
      <c r="C4449">
        <v>311</v>
      </c>
      <c r="D4449" t="str">
        <f>VLOOKUP(B4449, Products!$A$2:$C$100, 2, FALSE)</f>
        <v>Trek 820 - 2016</v>
      </c>
      <c r="E4449">
        <v>2</v>
      </c>
      <c r="F4449">
        <v>749.99</v>
      </c>
      <c r="G4449">
        <v>0.2</v>
      </c>
      <c r="H4449">
        <v>149.99800000000002</v>
      </c>
      <c r="I4449">
        <f>order_items[[#This Row],[list_price]]-order_items[[#This Row],[Discounted_price]]</f>
        <v>599.99199999999996</v>
      </c>
      <c r="J4449">
        <f>VLOOKUP(B4449, Products!$A$2:$E$100, 3, FALSE)</f>
        <v>9</v>
      </c>
      <c r="K4449">
        <f>VLOOKUP(B4449, Products!$A$2:$F$100, 4, FALSE)</f>
        <v>6</v>
      </c>
    </row>
    <row r="4450" spans="1:11" x14ac:dyDescent="0.3">
      <c r="A4450">
        <v>1524</v>
      </c>
      <c r="B4450">
        <v>1</v>
      </c>
      <c r="C4450">
        <v>168</v>
      </c>
      <c r="D4450" t="str">
        <f>VLOOKUP(B4450, Products!$A$2:$C$100, 2, FALSE)</f>
        <v>Trek 820 - 2016</v>
      </c>
      <c r="E4450">
        <v>1</v>
      </c>
      <c r="F4450">
        <v>1549</v>
      </c>
      <c r="G4450">
        <v>0.1</v>
      </c>
      <c r="H4450">
        <v>154.9</v>
      </c>
      <c r="I4450">
        <f>order_items[[#This Row],[list_price]]-order_items[[#This Row],[Discounted_price]]</f>
        <v>1394.1</v>
      </c>
      <c r="J4450">
        <f>VLOOKUP(B4450, Products!$A$2:$E$100, 3, FALSE)</f>
        <v>9</v>
      </c>
      <c r="K4450">
        <f>VLOOKUP(B4450, Products!$A$2:$F$100, 4, FALSE)</f>
        <v>6</v>
      </c>
    </row>
    <row r="4451" spans="1:11" x14ac:dyDescent="0.3">
      <c r="A4451">
        <v>1524</v>
      </c>
      <c r="B4451">
        <v>2</v>
      </c>
      <c r="C4451">
        <v>295</v>
      </c>
      <c r="D4451" t="str">
        <f>VLOOKUP(B4451, Products!$A$2:$C$100, 2, FALSE)</f>
        <v>Ritchey Timberwolf Frameset - 2016</v>
      </c>
      <c r="E4451">
        <v>2</v>
      </c>
      <c r="F4451">
        <v>319.99</v>
      </c>
      <c r="G4451">
        <v>0.2</v>
      </c>
      <c r="H4451">
        <v>63.998000000000005</v>
      </c>
      <c r="I4451">
        <f>order_items[[#This Row],[list_price]]-order_items[[#This Row],[Discounted_price]]</f>
        <v>255.99200000000002</v>
      </c>
      <c r="J4451">
        <f>VLOOKUP(B4451, Products!$A$2:$E$100, 3, FALSE)</f>
        <v>5</v>
      </c>
      <c r="K4451">
        <f>VLOOKUP(B4451, Products!$A$2:$F$100, 4, FALSE)</f>
        <v>6</v>
      </c>
    </row>
    <row r="4452" spans="1:11" x14ac:dyDescent="0.3">
      <c r="A4452">
        <v>1524</v>
      </c>
      <c r="B4452">
        <v>3</v>
      </c>
      <c r="C4452">
        <v>313</v>
      </c>
      <c r="D4452" t="str">
        <f>VLOOKUP(B4452, Products!$A$2:$C$100, 2, FALSE)</f>
        <v>Surly Wednesday Frameset - 2016</v>
      </c>
      <c r="E4452">
        <v>1</v>
      </c>
      <c r="F4452">
        <v>449.99</v>
      </c>
      <c r="G4452">
        <v>0.2</v>
      </c>
      <c r="H4452">
        <v>89.998000000000005</v>
      </c>
      <c r="I4452">
        <f>order_items[[#This Row],[list_price]]-order_items[[#This Row],[Discounted_price]]</f>
        <v>359.99200000000002</v>
      </c>
      <c r="J4452">
        <f>VLOOKUP(B4452, Products!$A$2:$E$100, 3, FALSE)</f>
        <v>8</v>
      </c>
      <c r="K4452">
        <f>VLOOKUP(B4452, Products!$A$2:$F$100, 4, FALSE)</f>
        <v>6</v>
      </c>
    </row>
    <row r="4453" spans="1:11" x14ac:dyDescent="0.3">
      <c r="A4453">
        <v>1524</v>
      </c>
      <c r="B4453">
        <v>4</v>
      </c>
      <c r="C4453">
        <v>252</v>
      </c>
      <c r="D4453" t="str">
        <f>VLOOKUP(B4453, Products!$A$2:$C$100, 2, FALSE)</f>
        <v>Trek Fuel EX 8 29 - 2016</v>
      </c>
      <c r="E4453">
        <v>2</v>
      </c>
      <c r="F4453">
        <v>2999.99</v>
      </c>
      <c r="G4453">
        <v>0.2</v>
      </c>
      <c r="H4453">
        <v>599.99799999999993</v>
      </c>
      <c r="I4453">
        <f>order_items[[#This Row],[list_price]]-order_items[[#This Row],[Discounted_price]]</f>
        <v>2399.9919999999997</v>
      </c>
      <c r="J4453">
        <f>VLOOKUP(B4453, Products!$A$2:$E$100, 3, FALSE)</f>
        <v>9</v>
      </c>
      <c r="K4453">
        <f>VLOOKUP(B4453, Products!$A$2:$F$100, 4, FALSE)</f>
        <v>6</v>
      </c>
    </row>
    <row r="4454" spans="1:11" x14ac:dyDescent="0.3">
      <c r="A4454">
        <v>1525</v>
      </c>
      <c r="B4454">
        <v>1</v>
      </c>
      <c r="C4454">
        <v>156</v>
      </c>
      <c r="D4454" t="str">
        <f>VLOOKUP(B4454, Products!$A$2:$C$100, 2, FALSE)</f>
        <v>Trek 820 - 2016</v>
      </c>
      <c r="E4454">
        <v>1</v>
      </c>
      <c r="F4454">
        <v>6499.99</v>
      </c>
      <c r="G4454">
        <v>0.1</v>
      </c>
      <c r="H4454">
        <v>649.99900000000002</v>
      </c>
      <c r="I4454">
        <f>order_items[[#This Row],[list_price]]-order_items[[#This Row],[Discounted_price]]</f>
        <v>5849.991</v>
      </c>
      <c r="J4454">
        <f>VLOOKUP(B4454, Products!$A$2:$E$100, 3, FALSE)</f>
        <v>9</v>
      </c>
      <c r="K4454">
        <f>VLOOKUP(B4454, Products!$A$2:$F$100, 4, FALSE)</f>
        <v>6</v>
      </c>
    </row>
    <row r="4455" spans="1:11" x14ac:dyDescent="0.3">
      <c r="A4455">
        <v>1525</v>
      </c>
      <c r="B4455">
        <v>2</v>
      </c>
      <c r="C4455">
        <v>163</v>
      </c>
      <c r="D4455" t="str">
        <f>VLOOKUP(B4455, Products!$A$2:$C$100, 2, FALSE)</f>
        <v>Ritchey Timberwolf Frameset - 2016</v>
      </c>
      <c r="E4455">
        <v>2</v>
      </c>
      <c r="F4455">
        <v>1349</v>
      </c>
      <c r="G4455">
        <v>7.0000000000000007E-2</v>
      </c>
      <c r="H4455">
        <v>94.43</v>
      </c>
      <c r="I4455">
        <f>order_items[[#This Row],[list_price]]-order_items[[#This Row],[Discounted_price]]</f>
        <v>1254.57</v>
      </c>
      <c r="J4455">
        <f>VLOOKUP(B4455, Products!$A$2:$E$100, 3, FALSE)</f>
        <v>5</v>
      </c>
      <c r="K4455">
        <f>VLOOKUP(B4455, Products!$A$2:$F$100, 4, FALSE)</f>
        <v>6</v>
      </c>
    </row>
    <row r="4456" spans="1:11" x14ac:dyDescent="0.3">
      <c r="A4456">
        <v>1525</v>
      </c>
      <c r="B4456">
        <v>3</v>
      </c>
      <c r="C4456">
        <v>193</v>
      </c>
      <c r="D4456" t="str">
        <f>VLOOKUP(B4456, Products!$A$2:$C$100, 2, FALSE)</f>
        <v>Surly Wednesday Frameset - 2016</v>
      </c>
      <c r="E4456">
        <v>1</v>
      </c>
      <c r="F4456">
        <v>2799.99</v>
      </c>
      <c r="G4456">
        <v>7.0000000000000007E-2</v>
      </c>
      <c r="H4456">
        <v>195.99930000000001</v>
      </c>
      <c r="I4456">
        <f>order_items[[#This Row],[list_price]]-order_items[[#This Row],[Discounted_price]]</f>
        <v>2603.9906999999998</v>
      </c>
      <c r="J4456">
        <f>VLOOKUP(B4456, Products!$A$2:$E$100, 3, FALSE)</f>
        <v>8</v>
      </c>
      <c r="K4456">
        <f>VLOOKUP(B4456, Products!$A$2:$F$100, 4, FALSE)</f>
        <v>6</v>
      </c>
    </row>
    <row r="4457" spans="1:11" x14ac:dyDescent="0.3">
      <c r="A4457">
        <v>1526</v>
      </c>
      <c r="B4457">
        <v>1</v>
      </c>
      <c r="C4457">
        <v>151</v>
      </c>
      <c r="D4457" t="str">
        <f>VLOOKUP(B4457, Products!$A$2:$C$100, 2, FALSE)</f>
        <v>Trek 820 - 2016</v>
      </c>
      <c r="E4457">
        <v>1</v>
      </c>
      <c r="F4457">
        <v>1549.99</v>
      </c>
      <c r="G4457">
        <v>7.0000000000000007E-2</v>
      </c>
      <c r="H4457">
        <v>108.49930000000001</v>
      </c>
      <c r="I4457">
        <f>order_items[[#This Row],[list_price]]-order_items[[#This Row],[Discounted_price]]</f>
        <v>1441.4907000000001</v>
      </c>
      <c r="J4457">
        <f>VLOOKUP(B4457, Products!$A$2:$E$100, 3, FALSE)</f>
        <v>9</v>
      </c>
      <c r="K4457">
        <f>VLOOKUP(B4457, Products!$A$2:$F$100, 4, FALSE)</f>
        <v>6</v>
      </c>
    </row>
    <row r="4458" spans="1:11" x14ac:dyDescent="0.3">
      <c r="A4458">
        <v>1526</v>
      </c>
      <c r="B4458">
        <v>2</v>
      </c>
      <c r="C4458">
        <v>56</v>
      </c>
      <c r="D4458" t="str">
        <f>VLOOKUP(B4458, Products!$A$2:$C$100, 2, FALSE)</f>
        <v>Ritchey Timberwolf Frameset - 2016</v>
      </c>
      <c r="E4458">
        <v>1</v>
      </c>
      <c r="F4458">
        <v>5499.99</v>
      </c>
      <c r="G4458">
        <v>0.1</v>
      </c>
      <c r="H4458">
        <v>549.99900000000002</v>
      </c>
      <c r="I4458">
        <f>order_items[[#This Row],[list_price]]-order_items[[#This Row],[Discounted_price]]</f>
        <v>4949.991</v>
      </c>
      <c r="J4458">
        <f>VLOOKUP(B4458, Products!$A$2:$E$100, 3, FALSE)</f>
        <v>5</v>
      </c>
      <c r="K4458">
        <f>VLOOKUP(B4458, Products!$A$2:$F$100, 4, FALSE)</f>
        <v>6</v>
      </c>
    </row>
    <row r="4459" spans="1:11" x14ac:dyDescent="0.3">
      <c r="A4459">
        <v>1526</v>
      </c>
      <c r="B4459">
        <v>3</v>
      </c>
      <c r="C4459">
        <v>238</v>
      </c>
      <c r="D4459" t="str">
        <f>VLOOKUP(B4459, Products!$A$2:$C$100, 2, FALSE)</f>
        <v>Surly Wednesday Frameset - 2016</v>
      </c>
      <c r="E4459">
        <v>1</v>
      </c>
      <c r="F4459">
        <v>749.99</v>
      </c>
      <c r="G4459">
        <v>0.1</v>
      </c>
      <c r="H4459">
        <v>74.999000000000009</v>
      </c>
      <c r="I4459">
        <f>order_items[[#This Row],[list_price]]-order_items[[#This Row],[Discounted_price]]</f>
        <v>674.99099999999999</v>
      </c>
      <c r="J4459">
        <f>VLOOKUP(B4459, Products!$A$2:$E$100, 3, FALSE)</f>
        <v>8</v>
      </c>
      <c r="K4459">
        <f>VLOOKUP(B4459, Products!$A$2:$F$100, 4, FALSE)</f>
        <v>6</v>
      </c>
    </row>
    <row r="4460" spans="1:11" x14ac:dyDescent="0.3">
      <c r="A4460">
        <v>1526</v>
      </c>
      <c r="B4460">
        <v>4</v>
      </c>
      <c r="C4460">
        <v>243</v>
      </c>
      <c r="D4460" t="str">
        <f>VLOOKUP(B4460, Products!$A$2:$C$100, 2, FALSE)</f>
        <v>Trek Fuel EX 8 29 - 2016</v>
      </c>
      <c r="E4460">
        <v>1</v>
      </c>
      <c r="F4460">
        <v>679.99</v>
      </c>
      <c r="G4460">
        <v>0.05</v>
      </c>
      <c r="H4460">
        <v>33.999500000000005</v>
      </c>
      <c r="I4460">
        <f>order_items[[#This Row],[list_price]]-order_items[[#This Row],[Discounted_price]]</f>
        <v>645.9905</v>
      </c>
      <c r="J4460">
        <f>VLOOKUP(B4460, Products!$A$2:$E$100, 3, FALSE)</f>
        <v>9</v>
      </c>
      <c r="K4460">
        <f>VLOOKUP(B4460, Products!$A$2:$F$100, 4, FALSE)</f>
        <v>6</v>
      </c>
    </row>
    <row r="4461" spans="1:11" x14ac:dyDescent="0.3">
      <c r="A4461">
        <v>1527</v>
      </c>
      <c r="B4461">
        <v>1</v>
      </c>
      <c r="C4461">
        <v>33</v>
      </c>
      <c r="D4461" t="str">
        <f>VLOOKUP(B4461, Products!$A$2:$C$100, 2, FALSE)</f>
        <v>Trek 820 - 2016</v>
      </c>
      <c r="E4461">
        <v>1</v>
      </c>
      <c r="F4461">
        <v>469.99</v>
      </c>
      <c r="G4461">
        <v>0.1</v>
      </c>
      <c r="H4461">
        <v>46.999000000000002</v>
      </c>
      <c r="I4461">
        <f>order_items[[#This Row],[list_price]]-order_items[[#This Row],[Discounted_price]]</f>
        <v>422.99099999999999</v>
      </c>
      <c r="J4461">
        <f>VLOOKUP(B4461, Products!$A$2:$E$100, 3, FALSE)</f>
        <v>9</v>
      </c>
      <c r="K4461">
        <f>VLOOKUP(B4461, Products!$A$2:$F$100, 4, FALSE)</f>
        <v>6</v>
      </c>
    </row>
    <row r="4462" spans="1:11" x14ac:dyDescent="0.3">
      <c r="A4462">
        <v>1527</v>
      </c>
      <c r="B4462">
        <v>2</v>
      </c>
      <c r="C4462">
        <v>103</v>
      </c>
      <c r="D4462" t="str">
        <f>VLOOKUP(B4462, Products!$A$2:$C$100, 2, FALSE)</f>
        <v>Ritchey Timberwolf Frameset - 2016</v>
      </c>
      <c r="E4462">
        <v>1</v>
      </c>
      <c r="F4462">
        <v>551.99</v>
      </c>
      <c r="G4462">
        <v>0.05</v>
      </c>
      <c r="H4462">
        <v>27.599500000000003</v>
      </c>
      <c r="I4462">
        <f>order_items[[#This Row],[list_price]]-order_items[[#This Row],[Discounted_price]]</f>
        <v>524.39049999999997</v>
      </c>
      <c r="J4462">
        <f>VLOOKUP(B4462, Products!$A$2:$E$100, 3, FALSE)</f>
        <v>5</v>
      </c>
      <c r="K4462">
        <f>VLOOKUP(B4462, Products!$A$2:$F$100, 4, FALSE)</f>
        <v>6</v>
      </c>
    </row>
    <row r="4463" spans="1:11" x14ac:dyDescent="0.3">
      <c r="A4463">
        <v>1527</v>
      </c>
      <c r="B4463">
        <v>3</v>
      </c>
      <c r="C4463">
        <v>57</v>
      </c>
      <c r="D4463" t="str">
        <f>VLOOKUP(B4463, Products!$A$2:$C$100, 2, FALSE)</f>
        <v>Surly Wednesday Frameset - 2016</v>
      </c>
      <c r="E4463">
        <v>2</v>
      </c>
      <c r="F4463">
        <v>1999.99</v>
      </c>
      <c r="G4463">
        <v>0.05</v>
      </c>
      <c r="H4463">
        <v>99.999500000000012</v>
      </c>
      <c r="I4463">
        <f>order_items[[#This Row],[list_price]]-order_items[[#This Row],[Discounted_price]]</f>
        <v>1899.9904999999999</v>
      </c>
      <c r="J4463">
        <f>VLOOKUP(B4463, Products!$A$2:$E$100, 3, FALSE)</f>
        <v>8</v>
      </c>
      <c r="K4463">
        <f>VLOOKUP(B4463, Products!$A$2:$F$100, 4, FALSE)</f>
        <v>6</v>
      </c>
    </row>
    <row r="4464" spans="1:11" x14ac:dyDescent="0.3">
      <c r="A4464">
        <v>1528</v>
      </c>
      <c r="B4464">
        <v>1</v>
      </c>
      <c r="C4464">
        <v>229</v>
      </c>
      <c r="D4464" t="str">
        <f>VLOOKUP(B4464, Products!$A$2:$C$100, 2, FALSE)</f>
        <v>Trek 820 - 2016</v>
      </c>
      <c r="E4464">
        <v>2</v>
      </c>
      <c r="F4464">
        <v>429.99</v>
      </c>
      <c r="G4464">
        <v>0.2</v>
      </c>
      <c r="H4464">
        <v>85.998000000000005</v>
      </c>
      <c r="I4464">
        <f>order_items[[#This Row],[list_price]]-order_items[[#This Row],[Discounted_price]]</f>
        <v>343.99200000000002</v>
      </c>
      <c r="J4464">
        <f>VLOOKUP(B4464, Products!$A$2:$E$100, 3, FALSE)</f>
        <v>9</v>
      </c>
      <c r="K4464">
        <f>VLOOKUP(B4464, Products!$A$2:$F$100, 4, FALSE)</f>
        <v>6</v>
      </c>
    </row>
    <row r="4465" spans="1:11" x14ac:dyDescent="0.3">
      <c r="A4465">
        <v>1529</v>
      </c>
      <c r="B4465">
        <v>1</v>
      </c>
      <c r="C4465">
        <v>23</v>
      </c>
      <c r="D4465" t="str">
        <f>VLOOKUP(B4465, Products!$A$2:$C$100, 2, FALSE)</f>
        <v>Trek 820 - 2016</v>
      </c>
      <c r="E4465">
        <v>1</v>
      </c>
      <c r="F4465">
        <v>299.99</v>
      </c>
      <c r="G4465">
        <v>0.05</v>
      </c>
      <c r="H4465">
        <v>14.999500000000001</v>
      </c>
      <c r="I4465">
        <f>order_items[[#This Row],[list_price]]-order_items[[#This Row],[Discounted_price]]</f>
        <v>284.9905</v>
      </c>
      <c r="J4465">
        <f>VLOOKUP(B4465, Products!$A$2:$E$100, 3, FALSE)</f>
        <v>9</v>
      </c>
      <c r="K4465">
        <f>VLOOKUP(B4465, Products!$A$2:$F$100, 4, FALSE)</f>
        <v>6</v>
      </c>
    </row>
    <row r="4466" spans="1:11" x14ac:dyDescent="0.3">
      <c r="A4466">
        <v>1529</v>
      </c>
      <c r="B4466">
        <v>2</v>
      </c>
      <c r="C4466">
        <v>50</v>
      </c>
      <c r="D4466" t="str">
        <f>VLOOKUP(B4466, Products!$A$2:$C$100, 2, FALSE)</f>
        <v>Ritchey Timberwolf Frameset - 2016</v>
      </c>
      <c r="E4466">
        <v>2</v>
      </c>
      <c r="F4466">
        <v>5999.99</v>
      </c>
      <c r="G4466">
        <v>0.1</v>
      </c>
      <c r="H4466">
        <v>599.99900000000002</v>
      </c>
      <c r="I4466">
        <f>order_items[[#This Row],[list_price]]-order_items[[#This Row],[Discounted_price]]</f>
        <v>5399.991</v>
      </c>
      <c r="J4466">
        <f>VLOOKUP(B4466, Products!$A$2:$E$100, 3, FALSE)</f>
        <v>5</v>
      </c>
      <c r="K4466">
        <f>VLOOKUP(B4466, Products!$A$2:$F$100, 4, FALSE)</f>
        <v>6</v>
      </c>
    </row>
    <row r="4467" spans="1:11" x14ac:dyDescent="0.3">
      <c r="A4467">
        <v>1530</v>
      </c>
      <c r="B4467">
        <v>1</v>
      </c>
      <c r="C4467">
        <v>213</v>
      </c>
      <c r="D4467" t="str">
        <f>VLOOKUP(B4467, Products!$A$2:$C$100, 2, FALSE)</f>
        <v>Trek 820 - 2016</v>
      </c>
      <c r="E4467">
        <v>2</v>
      </c>
      <c r="F4467">
        <v>269.99</v>
      </c>
      <c r="G4467">
        <v>0.1</v>
      </c>
      <c r="H4467">
        <v>26.999000000000002</v>
      </c>
      <c r="I4467">
        <f>order_items[[#This Row],[list_price]]-order_items[[#This Row],[Discounted_price]]</f>
        <v>242.99100000000001</v>
      </c>
      <c r="J4467">
        <f>VLOOKUP(B4467, Products!$A$2:$E$100, 3, FALSE)</f>
        <v>9</v>
      </c>
      <c r="K4467">
        <f>VLOOKUP(B4467, Products!$A$2:$F$100, 4, FALSE)</f>
        <v>6</v>
      </c>
    </row>
    <row r="4468" spans="1:11" x14ac:dyDescent="0.3">
      <c r="A4468">
        <v>1530</v>
      </c>
      <c r="B4468">
        <v>2</v>
      </c>
      <c r="C4468">
        <v>116</v>
      </c>
      <c r="D4468" t="str">
        <f>VLOOKUP(B4468, Products!$A$2:$C$100, 2, FALSE)</f>
        <v>Ritchey Timberwolf Frameset - 2016</v>
      </c>
      <c r="E4468">
        <v>1</v>
      </c>
      <c r="F4468">
        <v>749.99</v>
      </c>
      <c r="G4468">
        <v>0.1</v>
      </c>
      <c r="H4468">
        <v>74.999000000000009</v>
      </c>
      <c r="I4468">
        <f>order_items[[#This Row],[list_price]]-order_items[[#This Row],[Discounted_price]]</f>
        <v>674.99099999999999</v>
      </c>
      <c r="J4468">
        <f>VLOOKUP(B4468, Products!$A$2:$E$100, 3, FALSE)</f>
        <v>5</v>
      </c>
      <c r="K4468">
        <f>VLOOKUP(B4468, Products!$A$2:$F$100, 4, FALSE)</f>
        <v>6</v>
      </c>
    </row>
    <row r="4469" spans="1:11" x14ac:dyDescent="0.3">
      <c r="A4469">
        <v>1531</v>
      </c>
      <c r="B4469">
        <v>1</v>
      </c>
      <c r="C4469">
        <v>128</v>
      </c>
      <c r="D4469" t="str">
        <f>VLOOKUP(B4469, Products!$A$2:$C$100, 2, FALSE)</f>
        <v>Trek 820 - 2016</v>
      </c>
      <c r="E4469">
        <v>1</v>
      </c>
      <c r="F4469">
        <v>1899</v>
      </c>
      <c r="G4469">
        <v>0.1</v>
      </c>
      <c r="H4469">
        <v>189.9</v>
      </c>
      <c r="I4469">
        <f>order_items[[#This Row],[list_price]]-order_items[[#This Row],[Discounted_price]]</f>
        <v>1709.1</v>
      </c>
      <c r="J4469">
        <f>VLOOKUP(B4469, Products!$A$2:$E$100, 3, FALSE)</f>
        <v>9</v>
      </c>
      <c r="K4469">
        <f>VLOOKUP(B4469, Products!$A$2:$F$100, 4, FALSE)</f>
        <v>6</v>
      </c>
    </row>
    <row r="4470" spans="1:11" x14ac:dyDescent="0.3">
      <c r="A4470">
        <v>1532</v>
      </c>
      <c r="B4470">
        <v>1</v>
      </c>
      <c r="C4470">
        <v>209</v>
      </c>
      <c r="D4470" t="str">
        <f>VLOOKUP(B4470, Products!$A$2:$C$100, 2, FALSE)</f>
        <v>Trek 820 - 2016</v>
      </c>
      <c r="E4470">
        <v>2</v>
      </c>
      <c r="F4470">
        <v>2999.99</v>
      </c>
      <c r="G4470">
        <v>7.0000000000000007E-2</v>
      </c>
      <c r="H4470">
        <v>209.99930000000001</v>
      </c>
      <c r="I4470">
        <f>order_items[[#This Row],[list_price]]-order_items[[#This Row],[Discounted_price]]</f>
        <v>2789.9906999999998</v>
      </c>
      <c r="J4470">
        <f>VLOOKUP(B4470, Products!$A$2:$E$100, 3, FALSE)</f>
        <v>9</v>
      </c>
      <c r="K4470">
        <f>VLOOKUP(B4470, Products!$A$2:$F$100, 4, FALSE)</f>
        <v>6</v>
      </c>
    </row>
    <row r="4471" spans="1:11" x14ac:dyDescent="0.3">
      <c r="A4471">
        <v>1533</v>
      </c>
      <c r="B4471">
        <v>1</v>
      </c>
      <c r="C4471">
        <v>274</v>
      </c>
      <c r="D4471" t="str">
        <f>VLOOKUP(B4471, Products!$A$2:$C$100, 2, FALSE)</f>
        <v>Trek 820 - 2016</v>
      </c>
      <c r="E4471">
        <v>2</v>
      </c>
      <c r="F4471">
        <v>229.99</v>
      </c>
      <c r="G4471">
        <v>0.1</v>
      </c>
      <c r="H4471">
        <v>22.999000000000002</v>
      </c>
      <c r="I4471">
        <f>order_items[[#This Row],[list_price]]-order_items[[#This Row],[Discounted_price]]</f>
        <v>206.99100000000001</v>
      </c>
      <c r="J4471">
        <f>VLOOKUP(B4471, Products!$A$2:$E$100, 3, FALSE)</f>
        <v>9</v>
      </c>
      <c r="K4471">
        <f>VLOOKUP(B4471, Products!$A$2:$F$100, 4, FALSE)</f>
        <v>6</v>
      </c>
    </row>
    <row r="4472" spans="1:11" x14ac:dyDescent="0.3">
      <c r="A4472">
        <v>1533</v>
      </c>
      <c r="B4472">
        <v>2</v>
      </c>
      <c r="C4472">
        <v>78</v>
      </c>
      <c r="D4472" t="str">
        <f>VLOOKUP(B4472, Products!$A$2:$C$100, 2, FALSE)</f>
        <v>Ritchey Timberwolf Frameset - 2016</v>
      </c>
      <c r="E4472">
        <v>1</v>
      </c>
      <c r="F4472">
        <v>647.99</v>
      </c>
      <c r="G4472">
        <v>0.1</v>
      </c>
      <c r="H4472">
        <v>64.799000000000007</v>
      </c>
      <c r="I4472">
        <f>order_items[[#This Row],[list_price]]-order_items[[#This Row],[Discounted_price]]</f>
        <v>583.19100000000003</v>
      </c>
      <c r="J4472">
        <f>VLOOKUP(B4472, Products!$A$2:$E$100, 3, FALSE)</f>
        <v>5</v>
      </c>
      <c r="K4472">
        <f>VLOOKUP(B4472, Products!$A$2:$F$100, 4, FALSE)</f>
        <v>6</v>
      </c>
    </row>
    <row r="4473" spans="1:11" x14ac:dyDescent="0.3">
      <c r="A4473">
        <v>1533</v>
      </c>
      <c r="B4473">
        <v>3</v>
      </c>
      <c r="C4473">
        <v>96</v>
      </c>
      <c r="D4473" t="str">
        <f>VLOOKUP(B4473, Products!$A$2:$C$100, 2, FALSE)</f>
        <v>Surly Wednesday Frameset - 2016</v>
      </c>
      <c r="E4473">
        <v>1</v>
      </c>
      <c r="F4473">
        <v>349.99</v>
      </c>
      <c r="G4473">
        <v>0.1</v>
      </c>
      <c r="H4473">
        <v>34.999000000000002</v>
      </c>
      <c r="I4473">
        <f>order_items[[#This Row],[list_price]]-order_items[[#This Row],[Discounted_price]]</f>
        <v>314.99099999999999</v>
      </c>
      <c r="J4473">
        <f>VLOOKUP(B4473, Products!$A$2:$E$100, 3, FALSE)</f>
        <v>8</v>
      </c>
      <c r="K4473">
        <f>VLOOKUP(B4473, Products!$A$2:$F$100, 4, FALSE)</f>
        <v>6</v>
      </c>
    </row>
    <row r="4474" spans="1:11" x14ac:dyDescent="0.3">
      <c r="A4474">
        <v>1533</v>
      </c>
      <c r="B4474">
        <v>4</v>
      </c>
      <c r="C4474">
        <v>235</v>
      </c>
      <c r="D4474" t="str">
        <f>VLOOKUP(B4474, Products!$A$2:$C$100, 2, FALSE)</f>
        <v>Trek Fuel EX 8 29 - 2016</v>
      </c>
      <c r="E4474">
        <v>2</v>
      </c>
      <c r="F4474">
        <v>899.99</v>
      </c>
      <c r="G4474">
        <v>0.1</v>
      </c>
      <c r="H4474">
        <v>89.999000000000009</v>
      </c>
      <c r="I4474">
        <f>order_items[[#This Row],[list_price]]-order_items[[#This Row],[Discounted_price]]</f>
        <v>809.99099999999999</v>
      </c>
      <c r="J4474">
        <f>VLOOKUP(B4474, Products!$A$2:$E$100, 3, FALSE)</f>
        <v>9</v>
      </c>
      <c r="K4474">
        <f>VLOOKUP(B4474, Products!$A$2:$F$100, 4, FALSE)</f>
        <v>6</v>
      </c>
    </row>
    <row r="4475" spans="1:11" x14ac:dyDescent="0.3">
      <c r="A4475">
        <v>1533</v>
      </c>
      <c r="B4475">
        <v>5</v>
      </c>
      <c r="C4475">
        <v>51</v>
      </c>
      <c r="D4475" t="str">
        <f>VLOOKUP(B4475, Products!$A$2:$C$100, 2, FALSE)</f>
        <v>Heller Shagamaw Frame - 2016</v>
      </c>
      <c r="E4475">
        <v>1</v>
      </c>
      <c r="F4475">
        <v>6499.99</v>
      </c>
      <c r="G4475">
        <v>0.1</v>
      </c>
      <c r="H4475">
        <v>649.99900000000002</v>
      </c>
      <c r="I4475">
        <f>order_items[[#This Row],[list_price]]-order_items[[#This Row],[Discounted_price]]</f>
        <v>5849.991</v>
      </c>
      <c r="J4475">
        <f>VLOOKUP(B4475, Products!$A$2:$E$100, 3, FALSE)</f>
        <v>3</v>
      </c>
      <c r="K4475">
        <f>VLOOKUP(B4475, Products!$A$2:$F$100, 4, FALSE)</f>
        <v>6</v>
      </c>
    </row>
    <row r="4476" spans="1:11" x14ac:dyDescent="0.3">
      <c r="A4476">
        <v>1534</v>
      </c>
      <c r="B4476">
        <v>1</v>
      </c>
      <c r="C4476">
        <v>194</v>
      </c>
      <c r="D4476" t="str">
        <f>VLOOKUP(B4476, Products!$A$2:$C$100, 2, FALSE)</f>
        <v>Trek 820 - 2016</v>
      </c>
      <c r="E4476">
        <v>1</v>
      </c>
      <c r="F4476">
        <v>3499.99</v>
      </c>
      <c r="G4476">
        <v>0.1</v>
      </c>
      <c r="H4476">
        <v>349.99900000000002</v>
      </c>
      <c r="I4476">
        <f>order_items[[#This Row],[list_price]]-order_items[[#This Row],[Discounted_price]]</f>
        <v>3149.991</v>
      </c>
      <c r="J4476">
        <f>VLOOKUP(B4476, Products!$A$2:$E$100, 3, FALSE)</f>
        <v>9</v>
      </c>
      <c r="K4476">
        <f>VLOOKUP(B4476, Products!$A$2:$F$100, 4, FALSE)</f>
        <v>6</v>
      </c>
    </row>
    <row r="4477" spans="1:11" x14ac:dyDescent="0.3">
      <c r="A4477">
        <v>1534</v>
      </c>
      <c r="B4477">
        <v>2</v>
      </c>
      <c r="C4477">
        <v>117</v>
      </c>
      <c r="D4477" t="str">
        <f>VLOOKUP(B4477, Products!$A$2:$C$100, 2, FALSE)</f>
        <v>Ritchey Timberwolf Frameset - 2016</v>
      </c>
      <c r="E4477">
        <v>1</v>
      </c>
      <c r="F4477">
        <v>1469.99</v>
      </c>
      <c r="G4477">
        <v>0.05</v>
      </c>
      <c r="H4477">
        <v>73.499499999999998</v>
      </c>
      <c r="I4477">
        <f>order_items[[#This Row],[list_price]]-order_items[[#This Row],[Discounted_price]]</f>
        <v>1396.4905000000001</v>
      </c>
      <c r="J4477">
        <f>VLOOKUP(B4477, Products!$A$2:$E$100, 3, FALSE)</f>
        <v>5</v>
      </c>
      <c r="K4477">
        <f>VLOOKUP(B4477, Products!$A$2:$F$100, 4, FALSE)</f>
        <v>6</v>
      </c>
    </row>
    <row r="4478" spans="1:11" x14ac:dyDescent="0.3">
      <c r="A4478">
        <v>1534</v>
      </c>
      <c r="B4478">
        <v>3</v>
      </c>
      <c r="C4478">
        <v>269</v>
      </c>
      <c r="D4478" t="str">
        <f>VLOOKUP(B4478, Products!$A$2:$C$100, 2, FALSE)</f>
        <v>Surly Wednesday Frameset - 2016</v>
      </c>
      <c r="E4478">
        <v>2</v>
      </c>
      <c r="F4478">
        <v>199.99</v>
      </c>
      <c r="G4478">
        <v>0.2</v>
      </c>
      <c r="H4478">
        <v>39.998000000000005</v>
      </c>
      <c r="I4478">
        <f>order_items[[#This Row],[list_price]]-order_items[[#This Row],[Discounted_price]]</f>
        <v>159.99200000000002</v>
      </c>
      <c r="J4478">
        <f>VLOOKUP(B4478, Products!$A$2:$E$100, 3, FALSE)</f>
        <v>8</v>
      </c>
      <c r="K4478">
        <f>VLOOKUP(B4478, Products!$A$2:$F$100, 4, FALSE)</f>
        <v>6</v>
      </c>
    </row>
    <row r="4479" spans="1:11" x14ac:dyDescent="0.3">
      <c r="A4479">
        <v>1534</v>
      </c>
      <c r="B4479">
        <v>4</v>
      </c>
      <c r="C4479">
        <v>172</v>
      </c>
      <c r="D4479" t="str">
        <f>VLOOKUP(B4479, Products!$A$2:$C$100, 2, FALSE)</f>
        <v>Trek Fuel EX 8 29 - 2016</v>
      </c>
      <c r="E4479">
        <v>2</v>
      </c>
      <c r="F4479">
        <v>3199.99</v>
      </c>
      <c r="G4479">
        <v>0.2</v>
      </c>
      <c r="H4479">
        <v>639.99800000000005</v>
      </c>
      <c r="I4479">
        <f>order_items[[#This Row],[list_price]]-order_items[[#This Row],[Discounted_price]]</f>
        <v>2559.9919999999997</v>
      </c>
      <c r="J4479">
        <f>VLOOKUP(B4479, Products!$A$2:$E$100, 3, FALSE)</f>
        <v>9</v>
      </c>
      <c r="K4479">
        <f>VLOOKUP(B4479, Products!$A$2:$F$100, 4, FALSE)</f>
        <v>6</v>
      </c>
    </row>
    <row r="4480" spans="1:11" x14ac:dyDescent="0.3">
      <c r="A4480">
        <v>1535</v>
      </c>
      <c r="B4480">
        <v>1</v>
      </c>
      <c r="C4480">
        <v>92</v>
      </c>
      <c r="D4480" t="str">
        <f>VLOOKUP(B4480, Products!$A$2:$C$100, 2, FALSE)</f>
        <v>Trek 820 - 2016</v>
      </c>
      <c r="E4480">
        <v>1</v>
      </c>
      <c r="F4480">
        <v>209.99</v>
      </c>
      <c r="G4480">
        <v>0.05</v>
      </c>
      <c r="H4480">
        <v>10.499500000000001</v>
      </c>
      <c r="I4480">
        <f>order_items[[#This Row],[list_price]]-order_items[[#This Row],[Discounted_price]]</f>
        <v>199.4905</v>
      </c>
      <c r="J4480">
        <f>VLOOKUP(B4480, Products!$A$2:$E$100, 3, FALSE)</f>
        <v>9</v>
      </c>
      <c r="K4480">
        <f>VLOOKUP(B4480, Products!$A$2:$F$100, 4, FALSE)</f>
        <v>6</v>
      </c>
    </row>
    <row r="4481" spans="1:11" x14ac:dyDescent="0.3">
      <c r="A4481">
        <v>1535</v>
      </c>
      <c r="B4481">
        <v>2</v>
      </c>
      <c r="C4481">
        <v>75</v>
      </c>
      <c r="D4481" t="str">
        <f>VLOOKUP(B4481, Products!$A$2:$C$100, 2, FALSE)</f>
        <v>Ritchey Timberwolf Frameset - 2016</v>
      </c>
      <c r="E4481">
        <v>2</v>
      </c>
      <c r="F4481">
        <v>599.99</v>
      </c>
      <c r="G4481">
        <v>0.05</v>
      </c>
      <c r="H4481">
        <v>29.999500000000001</v>
      </c>
      <c r="I4481">
        <f>order_items[[#This Row],[list_price]]-order_items[[#This Row],[Discounted_price]]</f>
        <v>569.9905</v>
      </c>
      <c r="J4481">
        <f>VLOOKUP(B4481, Products!$A$2:$E$100, 3, FALSE)</f>
        <v>5</v>
      </c>
      <c r="K4481">
        <f>VLOOKUP(B4481, Products!$A$2:$F$100, 4, FALSE)</f>
        <v>6</v>
      </c>
    </row>
    <row r="4482" spans="1:11" x14ac:dyDescent="0.3">
      <c r="A4482">
        <v>1536</v>
      </c>
      <c r="B4482">
        <v>1</v>
      </c>
      <c r="C4482">
        <v>183</v>
      </c>
      <c r="D4482" t="str">
        <f>VLOOKUP(B4482, Products!$A$2:$C$100, 2, FALSE)</f>
        <v>Trek 820 - 2016</v>
      </c>
      <c r="E4482">
        <v>1</v>
      </c>
      <c r="F4482">
        <v>2199.9899999999998</v>
      </c>
      <c r="G4482">
        <v>0.2</v>
      </c>
      <c r="H4482">
        <v>439.99799999999999</v>
      </c>
      <c r="I4482">
        <f>order_items[[#This Row],[list_price]]-order_items[[#This Row],[Discounted_price]]</f>
        <v>1759.9919999999997</v>
      </c>
      <c r="J4482">
        <f>VLOOKUP(B4482, Products!$A$2:$E$100, 3, FALSE)</f>
        <v>9</v>
      </c>
      <c r="K4482">
        <f>VLOOKUP(B4482, Products!$A$2:$F$100, 4, FALSE)</f>
        <v>6</v>
      </c>
    </row>
    <row r="4483" spans="1:11" x14ac:dyDescent="0.3">
      <c r="A4483">
        <v>1536</v>
      </c>
      <c r="B4483">
        <v>2</v>
      </c>
      <c r="C4483">
        <v>185</v>
      </c>
      <c r="D4483" t="str">
        <f>VLOOKUP(B4483, Products!$A$2:$C$100, 2, FALSE)</f>
        <v>Ritchey Timberwolf Frameset - 2016</v>
      </c>
      <c r="E4483">
        <v>2</v>
      </c>
      <c r="F4483">
        <v>2799.99</v>
      </c>
      <c r="G4483">
        <v>7.0000000000000007E-2</v>
      </c>
      <c r="H4483">
        <v>195.99930000000001</v>
      </c>
      <c r="I4483">
        <f>order_items[[#This Row],[list_price]]-order_items[[#This Row],[Discounted_price]]</f>
        <v>2603.9906999999998</v>
      </c>
      <c r="J4483">
        <f>VLOOKUP(B4483, Products!$A$2:$E$100, 3, FALSE)</f>
        <v>5</v>
      </c>
      <c r="K4483">
        <f>VLOOKUP(B4483, Products!$A$2:$F$100, 4, FALSE)</f>
        <v>6</v>
      </c>
    </row>
    <row r="4484" spans="1:11" x14ac:dyDescent="0.3">
      <c r="A4484">
        <v>1536</v>
      </c>
      <c r="B4484">
        <v>3</v>
      </c>
      <c r="C4484">
        <v>196</v>
      </c>
      <c r="D4484" t="str">
        <f>VLOOKUP(B4484, Products!$A$2:$C$100, 2, FALSE)</f>
        <v>Surly Wednesday Frameset - 2016</v>
      </c>
      <c r="E4484">
        <v>2</v>
      </c>
      <c r="F4484">
        <v>2299.9899999999998</v>
      </c>
      <c r="G4484">
        <v>0.2</v>
      </c>
      <c r="H4484">
        <v>459.99799999999999</v>
      </c>
      <c r="I4484">
        <f>order_items[[#This Row],[list_price]]-order_items[[#This Row],[Discounted_price]]</f>
        <v>1839.9919999999997</v>
      </c>
      <c r="J4484">
        <f>VLOOKUP(B4484, Products!$A$2:$E$100, 3, FALSE)</f>
        <v>8</v>
      </c>
      <c r="K4484">
        <f>VLOOKUP(B4484, Products!$A$2:$F$100, 4, FALSE)</f>
        <v>6</v>
      </c>
    </row>
    <row r="4485" spans="1:11" x14ac:dyDescent="0.3">
      <c r="A4485">
        <v>1537</v>
      </c>
      <c r="B4485">
        <v>1</v>
      </c>
      <c r="C4485">
        <v>237</v>
      </c>
      <c r="D4485" t="str">
        <f>VLOOKUP(B4485, Products!$A$2:$C$100, 2, FALSE)</f>
        <v>Trek 820 - 2016</v>
      </c>
      <c r="E4485">
        <v>2</v>
      </c>
      <c r="F4485">
        <v>849.99</v>
      </c>
      <c r="G4485">
        <v>0.05</v>
      </c>
      <c r="H4485">
        <v>42.499500000000005</v>
      </c>
      <c r="I4485">
        <f>order_items[[#This Row],[list_price]]-order_items[[#This Row],[Discounted_price]]</f>
        <v>807.4905</v>
      </c>
      <c r="J4485">
        <f>VLOOKUP(B4485, Products!$A$2:$E$100, 3, FALSE)</f>
        <v>9</v>
      </c>
      <c r="K4485">
        <f>VLOOKUP(B4485, Products!$A$2:$F$100, 4, FALSE)</f>
        <v>6</v>
      </c>
    </row>
    <row r="4486" spans="1:11" x14ac:dyDescent="0.3">
      <c r="A4486">
        <v>1538</v>
      </c>
      <c r="B4486">
        <v>1</v>
      </c>
      <c r="C4486">
        <v>206</v>
      </c>
      <c r="D4486" t="str">
        <f>VLOOKUP(B4486, Products!$A$2:$C$100, 2, FALSE)</f>
        <v>Trek 820 - 2016</v>
      </c>
      <c r="E4486">
        <v>1</v>
      </c>
      <c r="F4486">
        <v>3299.99</v>
      </c>
      <c r="G4486">
        <v>7.0000000000000007E-2</v>
      </c>
      <c r="H4486">
        <v>230.99930000000001</v>
      </c>
      <c r="I4486">
        <f>order_items[[#This Row],[list_price]]-order_items[[#This Row],[Discounted_price]]</f>
        <v>3068.9906999999998</v>
      </c>
      <c r="J4486">
        <f>VLOOKUP(B4486, Products!$A$2:$E$100, 3, FALSE)</f>
        <v>9</v>
      </c>
      <c r="K4486">
        <f>VLOOKUP(B4486, Products!$A$2:$F$100, 4, FALSE)</f>
        <v>6</v>
      </c>
    </row>
    <row r="4487" spans="1:11" x14ac:dyDescent="0.3">
      <c r="A4487">
        <v>1538</v>
      </c>
      <c r="B4487">
        <v>2</v>
      </c>
      <c r="C4487">
        <v>46</v>
      </c>
      <c r="D4487" t="str">
        <f>VLOOKUP(B4487, Products!$A$2:$C$100, 2, FALSE)</f>
        <v>Ritchey Timberwolf Frameset - 2016</v>
      </c>
      <c r="E4487">
        <v>2</v>
      </c>
      <c r="F4487">
        <v>1409.99</v>
      </c>
      <c r="G4487">
        <v>7.0000000000000007E-2</v>
      </c>
      <c r="H4487">
        <v>98.699300000000008</v>
      </c>
      <c r="I4487">
        <f>order_items[[#This Row],[list_price]]-order_items[[#This Row],[Discounted_price]]</f>
        <v>1311.2907</v>
      </c>
      <c r="J4487">
        <f>VLOOKUP(B4487, Products!$A$2:$E$100, 3, FALSE)</f>
        <v>5</v>
      </c>
      <c r="K4487">
        <f>VLOOKUP(B4487, Products!$A$2:$F$100, 4, FALSE)</f>
        <v>6</v>
      </c>
    </row>
    <row r="4488" spans="1:11" x14ac:dyDescent="0.3">
      <c r="A4488">
        <v>1538</v>
      </c>
      <c r="B4488">
        <v>3</v>
      </c>
      <c r="C4488">
        <v>117</v>
      </c>
      <c r="D4488" t="str">
        <f>VLOOKUP(B4488, Products!$A$2:$C$100, 2, FALSE)</f>
        <v>Surly Wednesday Frameset - 2016</v>
      </c>
      <c r="E4488">
        <v>1</v>
      </c>
      <c r="F4488">
        <v>1469.99</v>
      </c>
      <c r="G4488">
        <v>7.0000000000000007E-2</v>
      </c>
      <c r="H4488">
        <v>102.89930000000001</v>
      </c>
      <c r="I4488">
        <f>order_items[[#This Row],[list_price]]-order_items[[#This Row],[Discounted_price]]</f>
        <v>1367.0907</v>
      </c>
      <c r="J4488">
        <f>VLOOKUP(B4488, Products!$A$2:$E$100, 3, FALSE)</f>
        <v>8</v>
      </c>
      <c r="K4488">
        <f>VLOOKUP(B4488, Products!$A$2:$F$100, 4, FALSE)</f>
        <v>6</v>
      </c>
    </row>
    <row r="4489" spans="1:11" x14ac:dyDescent="0.3">
      <c r="A4489">
        <v>1538</v>
      </c>
      <c r="B4489">
        <v>4</v>
      </c>
      <c r="C4489">
        <v>197</v>
      </c>
      <c r="D4489" t="str">
        <f>VLOOKUP(B4489, Products!$A$2:$C$100, 2, FALSE)</f>
        <v>Trek Fuel EX 8 29 - 2016</v>
      </c>
      <c r="E4489">
        <v>1</v>
      </c>
      <c r="F4489">
        <v>2299.9899999999998</v>
      </c>
      <c r="G4489">
        <v>0.2</v>
      </c>
      <c r="H4489">
        <v>459.99799999999999</v>
      </c>
      <c r="I4489">
        <f>order_items[[#This Row],[list_price]]-order_items[[#This Row],[Discounted_price]]</f>
        <v>1839.9919999999997</v>
      </c>
      <c r="J4489">
        <f>VLOOKUP(B4489, Products!$A$2:$E$100, 3, FALSE)</f>
        <v>9</v>
      </c>
      <c r="K4489">
        <f>VLOOKUP(B4489, Products!$A$2:$F$100, 4, FALSE)</f>
        <v>6</v>
      </c>
    </row>
    <row r="4490" spans="1:11" x14ac:dyDescent="0.3">
      <c r="A4490">
        <v>1538</v>
      </c>
      <c r="B4490">
        <v>5</v>
      </c>
      <c r="C4490">
        <v>306</v>
      </c>
      <c r="D4490" t="str">
        <f>VLOOKUP(B4490, Products!$A$2:$C$100, 2, FALSE)</f>
        <v>Heller Shagamaw Frame - 2016</v>
      </c>
      <c r="E4490">
        <v>2</v>
      </c>
      <c r="F4490">
        <v>899.99</v>
      </c>
      <c r="G4490">
        <v>0.05</v>
      </c>
      <c r="H4490">
        <v>44.999500000000005</v>
      </c>
      <c r="I4490">
        <f>order_items[[#This Row],[list_price]]-order_items[[#This Row],[Discounted_price]]</f>
        <v>854.9905</v>
      </c>
      <c r="J4490">
        <f>VLOOKUP(B4490, Products!$A$2:$E$100, 3, FALSE)</f>
        <v>3</v>
      </c>
      <c r="K4490">
        <f>VLOOKUP(B4490, Products!$A$2:$F$100, 4, FALSE)</f>
        <v>6</v>
      </c>
    </row>
    <row r="4491" spans="1:11" x14ac:dyDescent="0.3">
      <c r="A4491">
        <v>1539</v>
      </c>
      <c r="B4491">
        <v>1</v>
      </c>
      <c r="C4491">
        <v>6</v>
      </c>
      <c r="D4491" t="str">
        <f>VLOOKUP(B4491, Products!$A$2:$C$100, 2, FALSE)</f>
        <v>Trek 820 - 2016</v>
      </c>
      <c r="E4491">
        <v>2</v>
      </c>
      <c r="F4491">
        <v>469.99</v>
      </c>
      <c r="G4491">
        <v>0.05</v>
      </c>
      <c r="H4491">
        <v>23.499500000000001</v>
      </c>
      <c r="I4491">
        <f>order_items[[#This Row],[list_price]]-order_items[[#This Row],[Discounted_price]]</f>
        <v>446.4905</v>
      </c>
      <c r="J4491">
        <f>VLOOKUP(B4491, Products!$A$2:$E$100, 3, FALSE)</f>
        <v>9</v>
      </c>
      <c r="K4491">
        <f>VLOOKUP(B4491, Products!$A$2:$F$100, 4, FALSE)</f>
        <v>6</v>
      </c>
    </row>
    <row r="4492" spans="1:11" x14ac:dyDescent="0.3">
      <c r="A4492">
        <v>1539</v>
      </c>
      <c r="B4492">
        <v>2</v>
      </c>
      <c r="C4492">
        <v>12</v>
      </c>
      <c r="D4492" t="str">
        <f>VLOOKUP(B4492, Products!$A$2:$C$100, 2, FALSE)</f>
        <v>Ritchey Timberwolf Frameset - 2016</v>
      </c>
      <c r="E4492">
        <v>2</v>
      </c>
      <c r="F4492">
        <v>549.99</v>
      </c>
      <c r="G4492">
        <v>0.05</v>
      </c>
      <c r="H4492">
        <v>27.499500000000001</v>
      </c>
      <c r="I4492">
        <f>order_items[[#This Row],[list_price]]-order_items[[#This Row],[Discounted_price]]</f>
        <v>522.4905</v>
      </c>
      <c r="J4492">
        <f>VLOOKUP(B4492, Products!$A$2:$E$100, 3, FALSE)</f>
        <v>5</v>
      </c>
      <c r="K4492">
        <f>VLOOKUP(B4492, Products!$A$2:$F$100, 4, FALSE)</f>
        <v>6</v>
      </c>
    </row>
    <row r="4493" spans="1:11" x14ac:dyDescent="0.3">
      <c r="A4493">
        <v>1540</v>
      </c>
      <c r="B4493">
        <v>1</v>
      </c>
      <c r="C4493">
        <v>71</v>
      </c>
      <c r="D4493" t="str">
        <f>VLOOKUP(B4493, Products!$A$2:$C$100, 2, FALSE)</f>
        <v>Trek 820 - 2016</v>
      </c>
      <c r="E4493">
        <v>2</v>
      </c>
      <c r="F4493">
        <v>416.99</v>
      </c>
      <c r="G4493">
        <v>0.05</v>
      </c>
      <c r="H4493">
        <v>20.849500000000003</v>
      </c>
      <c r="I4493">
        <f>order_items[[#This Row],[list_price]]-order_items[[#This Row],[Discounted_price]]</f>
        <v>396.14050000000003</v>
      </c>
      <c r="J4493">
        <f>VLOOKUP(B4493, Products!$A$2:$E$100, 3, FALSE)</f>
        <v>9</v>
      </c>
      <c r="K4493">
        <f>VLOOKUP(B4493, Products!$A$2:$F$100, 4, FALSE)</f>
        <v>6</v>
      </c>
    </row>
    <row r="4494" spans="1:11" x14ac:dyDescent="0.3">
      <c r="A4494">
        <v>1540</v>
      </c>
      <c r="B4494">
        <v>2</v>
      </c>
      <c r="C4494">
        <v>236</v>
      </c>
      <c r="D4494" t="str">
        <f>VLOOKUP(B4494, Products!$A$2:$C$100, 2, FALSE)</f>
        <v>Ritchey Timberwolf Frameset - 2016</v>
      </c>
      <c r="E4494">
        <v>1</v>
      </c>
      <c r="F4494">
        <v>749.99</v>
      </c>
      <c r="G4494">
        <v>7.0000000000000007E-2</v>
      </c>
      <c r="H4494">
        <v>52.499300000000005</v>
      </c>
      <c r="I4494">
        <f>order_items[[#This Row],[list_price]]-order_items[[#This Row],[Discounted_price]]</f>
        <v>697.49070000000006</v>
      </c>
      <c r="J4494">
        <f>VLOOKUP(B4494, Products!$A$2:$E$100, 3, FALSE)</f>
        <v>5</v>
      </c>
      <c r="K4494">
        <f>VLOOKUP(B4494, Products!$A$2:$F$100, 4, FALSE)</f>
        <v>6</v>
      </c>
    </row>
    <row r="4495" spans="1:11" x14ac:dyDescent="0.3">
      <c r="A4495">
        <v>1540</v>
      </c>
      <c r="B4495">
        <v>3</v>
      </c>
      <c r="C4495">
        <v>224</v>
      </c>
      <c r="D4495" t="str">
        <f>VLOOKUP(B4495, Products!$A$2:$C$100, 2, FALSE)</f>
        <v>Surly Wednesday Frameset - 2016</v>
      </c>
      <c r="E4495">
        <v>1</v>
      </c>
      <c r="F4495">
        <v>479.99</v>
      </c>
      <c r="G4495">
        <v>0.05</v>
      </c>
      <c r="H4495">
        <v>23.999500000000001</v>
      </c>
      <c r="I4495">
        <f>order_items[[#This Row],[list_price]]-order_items[[#This Row],[Discounted_price]]</f>
        <v>455.9905</v>
      </c>
      <c r="J4495">
        <f>VLOOKUP(B4495, Products!$A$2:$E$100, 3, FALSE)</f>
        <v>8</v>
      </c>
      <c r="K4495">
        <f>VLOOKUP(B4495, Products!$A$2:$F$100, 4, FALSE)</f>
        <v>6</v>
      </c>
    </row>
    <row r="4496" spans="1:11" x14ac:dyDescent="0.3">
      <c r="A4496">
        <v>1540</v>
      </c>
      <c r="B4496">
        <v>4</v>
      </c>
      <c r="C4496">
        <v>177</v>
      </c>
      <c r="D4496" t="str">
        <f>VLOOKUP(B4496, Products!$A$2:$C$100, 2, FALSE)</f>
        <v>Trek Fuel EX 8 29 - 2016</v>
      </c>
      <c r="E4496">
        <v>2</v>
      </c>
      <c r="F4496">
        <v>5499.99</v>
      </c>
      <c r="G4496">
        <v>0.05</v>
      </c>
      <c r="H4496">
        <v>274.99950000000001</v>
      </c>
      <c r="I4496">
        <f>order_items[[#This Row],[list_price]]-order_items[[#This Row],[Discounted_price]]</f>
        <v>5224.9904999999999</v>
      </c>
      <c r="J4496">
        <f>VLOOKUP(B4496, Products!$A$2:$E$100, 3, FALSE)</f>
        <v>9</v>
      </c>
      <c r="K4496">
        <f>VLOOKUP(B4496, Products!$A$2:$F$100, 4, FALSE)</f>
        <v>6</v>
      </c>
    </row>
    <row r="4497" spans="1:11" x14ac:dyDescent="0.3">
      <c r="A4497">
        <v>1540</v>
      </c>
      <c r="B4497">
        <v>5</v>
      </c>
      <c r="C4497">
        <v>78</v>
      </c>
      <c r="D4497" t="str">
        <f>VLOOKUP(B4497, Products!$A$2:$C$100, 2, FALSE)</f>
        <v>Heller Shagamaw Frame - 2016</v>
      </c>
      <c r="E4497">
        <v>1</v>
      </c>
      <c r="F4497">
        <v>647.99</v>
      </c>
      <c r="G4497">
        <v>0.2</v>
      </c>
      <c r="H4497">
        <v>129.59800000000001</v>
      </c>
      <c r="I4497">
        <f>order_items[[#This Row],[list_price]]-order_items[[#This Row],[Discounted_price]]</f>
        <v>518.39200000000005</v>
      </c>
      <c r="J4497">
        <f>VLOOKUP(B4497, Products!$A$2:$E$100, 3, FALSE)</f>
        <v>3</v>
      </c>
      <c r="K4497">
        <f>VLOOKUP(B4497, Products!$A$2:$F$100, 4, FALSE)</f>
        <v>6</v>
      </c>
    </row>
    <row r="4498" spans="1:11" x14ac:dyDescent="0.3">
      <c r="A4498">
        <v>1541</v>
      </c>
      <c r="B4498">
        <v>1</v>
      </c>
      <c r="C4498">
        <v>155</v>
      </c>
      <c r="D4498" t="str">
        <f>VLOOKUP(B4498, Products!$A$2:$C$100, 2, FALSE)</f>
        <v>Trek 820 - 2016</v>
      </c>
      <c r="E4498">
        <v>2</v>
      </c>
      <c r="F4498">
        <v>11999.99</v>
      </c>
      <c r="G4498">
        <v>0.1</v>
      </c>
      <c r="H4498">
        <v>1199.999</v>
      </c>
      <c r="I4498">
        <f>order_items[[#This Row],[list_price]]-order_items[[#This Row],[Discounted_price]]</f>
        <v>10799.991</v>
      </c>
      <c r="J4498">
        <f>VLOOKUP(B4498, Products!$A$2:$E$100, 3, FALSE)</f>
        <v>9</v>
      </c>
      <c r="K4498">
        <f>VLOOKUP(B4498, Products!$A$2:$F$100, 4, FALSE)</f>
        <v>6</v>
      </c>
    </row>
    <row r="4499" spans="1:11" x14ac:dyDescent="0.3">
      <c r="A4499">
        <v>1541</v>
      </c>
      <c r="B4499">
        <v>2</v>
      </c>
      <c r="C4499">
        <v>248</v>
      </c>
      <c r="D4499" t="str">
        <f>VLOOKUP(B4499, Products!$A$2:$C$100, 2, FALSE)</f>
        <v>Ritchey Timberwolf Frameset - 2016</v>
      </c>
      <c r="E4499">
        <v>2</v>
      </c>
      <c r="F4499">
        <v>599.99</v>
      </c>
      <c r="G4499">
        <v>7.0000000000000007E-2</v>
      </c>
      <c r="H4499">
        <v>41.999300000000005</v>
      </c>
      <c r="I4499">
        <f>order_items[[#This Row],[list_price]]-order_items[[#This Row],[Discounted_price]]</f>
        <v>557.99070000000006</v>
      </c>
      <c r="J4499">
        <f>VLOOKUP(B4499, Products!$A$2:$E$100, 3, FALSE)</f>
        <v>5</v>
      </c>
      <c r="K4499">
        <f>VLOOKUP(B4499, Products!$A$2:$F$100, 4, FALSE)</f>
        <v>6</v>
      </c>
    </row>
    <row r="4500" spans="1:11" x14ac:dyDescent="0.3">
      <c r="A4500">
        <v>1541</v>
      </c>
      <c r="B4500">
        <v>3</v>
      </c>
      <c r="C4500">
        <v>142</v>
      </c>
      <c r="D4500" t="str">
        <f>VLOOKUP(B4500, Products!$A$2:$C$100, 2, FALSE)</f>
        <v>Surly Wednesday Frameset - 2016</v>
      </c>
      <c r="E4500">
        <v>2</v>
      </c>
      <c r="F4500">
        <v>3199.99</v>
      </c>
      <c r="G4500">
        <v>0.1</v>
      </c>
      <c r="H4500">
        <v>319.99900000000002</v>
      </c>
      <c r="I4500">
        <f>order_items[[#This Row],[list_price]]-order_items[[#This Row],[Discounted_price]]</f>
        <v>2879.991</v>
      </c>
      <c r="J4500">
        <f>VLOOKUP(B4500, Products!$A$2:$E$100, 3, FALSE)</f>
        <v>8</v>
      </c>
      <c r="K4500">
        <f>VLOOKUP(B4500, Products!$A$2:$F$100, 4, FALSE)</f>
        <v>6</v>
      </c>
    </row>
    <row r="4501" spans="1:11" x14ac:dyDescent="0.3">
      <c r="A4501">
        <v>1541</v>
      </c>
      <c r="B4501">
        <v>4</v>
      </c>
      <c r="C4501">
        <v>17</v>
      </c>
      <c r="D4501" t="str">
        <f>VLOOKUP(B4501, Products!$A$2:$C$100, 2, FALSE)</f>
        <v>Trek Fuel EX 8 29 - 2016</v>
      </c>
      <c r="E4501">
        <v>1</v>
      </c>
      <c r="F4501">
        <v>429</v>
      </c>
      <c r="G4501">
        <v>0.1</v>
      </c>
      <c r="H4501">
        <v>42.900000000000006</v>
      </c>
      <c r="I4501">
        <f>order_items[[#This Row],[list_price]]-order_items[[#This Row],[Discounted_price]]</f>
        <v>386.1</v>
      </c>
      <c r="J4501">
        <f>VLOOKUP(B4501, Products!$A$2:$E$100, 3, FALSE)</f>
        <v>9</v>
      </c>
      <c r="K4501">
        <f>VLOOKUP(B4501, Products!$A$2:$F$100, 4, FALSE)</f>
        <v>6</v>
      </c>
    </row>
    <row r="4502" spans="1:11" x14ac:dyDescent="0.3">
      <c r="A4502">
        <v>1541</v>
      </c>
      <c r="B4502">
        <v>5</v>
      </c>
      <c r="C4502">
        <v>86</v>
      </c>
      <c r="D4502" t="str">
        <f>VLOOKUP(B4502, Products!$A$2:$C$100, 2, FALSE)</f>
        <v>Heller Shagamaw Frame - 2016</v>
      </c>
      <c r="E4502">
        <v>2</v>
      </c>
      <c r="F4502">
        <v>149.99</v>
      </c>
      <c r="G4502">
        <v>0.05</v>
      </c>
      <c r="H4502">
        <v>7.4995000000000012</v>
      </c>
      <c r="I4502">
        <f>order_items[[#This Row],[list_price]]-order_items[[#This Row],[Discounted_price]]</f>
        <v>142.4905</v>
      </c>
      <c r="J4502">
        <f>VLOOKUP(B4502, Products!$A$2:$E$100, 3, FALSE)</f>
        <v>3</v>
      </c>
      <c r="K4502">
        <f>VLOOKUP(B4502, Products!$A$2:$F$100, 4, FALSE)</f>
        <v>6</v>
      </c>
    </row>
    <row r="4503" spans="1:11" x14ac:dyDescent="0.3">
      <c r="A4503">
        <v>1542</v>
      </c>
      <c r="B4503">
        <v>1</v>
      </c>
      <c r="C4503">
        <v>79</v>
      </c>
      <c r="D4503" t="str">
        <f>VLOOKUP(B4503, Products!$A$2:$C$100, 2, FALSE)</f>
        <v>Trek 820 - 2016</v>
      </c>
      <c r="E4503">
        <v>1</v>
      </c>
      <c r="F4503">
        <v>402.99</v>
      </c>
      <c r="G4503">
        <v>0.2</v>
      </c>
      <c r="H4503">
        <v>80.598000000000013</v>
      </c>
      <c r="I4503">
        <f>order_items[[#This Row],[list_price]]-order_items[[#This Row],[Discounted_price]]</f>
        <v>322.392</v>
      </c>
      <c r="J4503">
        <f>VLOOKUP(B4503, Products!$A$2:$E$100, 3, FALSE)</f>
        <v>9</v>
      </c>
      <c r="K4503">
        <f>VLOOKUP(B4503, Products!$A$2:$F$100, 4, FALSE)</f>
        <v>6</v>
      </c>
    </row>
    <row r="4504" spans="1:11" x14ac:dyDescent="0.3">
      <c r="A4504">
        <v>1542</v>
      </c>
      <c r="B4504">
        <v>2</v>
      </c>
      <c r="C4504">
        <v>122</v>
      </c>
      <c r="D4504" t="str">
        <f>VLOOKUP(B4504, Products!$A$2:$C$100, 2, FALSE)</f>
        <v>Ritchey Timberwolf Frameset - 2016</v>
      </c>
      <c r="E4504">
        <v>2</v>
      </c>
      <c r="F4504">
        <v>2499.9899999999998</v>
      </c>
      <c r="G4504">
        <v>0.05</v>
      </c>
      <c r="H4504">
        <v>124.9995</v>
      </c>
      <c r="I4504">
        <f>order_items[[#This Row],[list_price]]-order_items[[#This Row],[Discounted_price]]</f>
        <v>2374.9904999999999</v>
      </c>
      <c r="J4504">
        <f>VLOOKUP(B4504, Products!$A$2:$E$100, 3, FALSE)</f>
        <v>5</v>
      </c>
      <c r="K4504">
        <f>VLOOKUP(B4504, Products!$A$2:$F$100, 4, FALSE)</f>
        <v>6</v>
      </c>
    </row>
    <row r="4505" spans="1:11" x14ac:dyDescent="0.3">
      <c r="A4505">
        <v>1542</v>
      </c>
      <c r="B4505">
        <v>3</v>
      </c>
      <c r="C4505">
        <v>184</v>
      </c>
      <c r="D4505" t="str">
        <f>VLOOKUP(B4505, Products!$A$2:$C$100, 2, FALSE)</f>
        <v>Surly Wednesday Frameset - 2016</v>
      </c>
      <c r="E4505">
        <v>2</v>
      </c>
      <c r="F4505">
        <v>3499.99</v>
      </c>
      <c r="G4505">
        <v>0.2</v>
      </c>
      <c r="H4505">
        <v>699.99800000000005</v>
      </c>
      <c r="I4505">
        <f>order_items[[#This Row],[list_price]]-order_items[[#This Row],[Discounted_price]]</f>
        <v>2799.9919999999997</v>
      </c>
      <c r="J4505">
        <f>VLOOKUP(B4505, Products!$A$2:$E$100, 3, FALSE)</f>
        <v>8</v>
      </c>
      <c r="K4505">
        <f>VLOOKUP(B4505, Products!$A$2:$F$100, 4, FALSE)</f>
        <v>6</v>
      </c>
    </row>
    <row r="4506" spans="1:11" x14ac:dyDescent="0.3">
      <c r="A4506">
        <v>1542</v>
      </c>
      <c r="B4506">
        <v>4</v>
      </c>
      <c r="C4506">
        <v>37</v>
      </c>
      <c r="D4506" t="str">
        <f>VLOOKUP(B4506, Products!$A$2:$C$100, 2, FALSE)</f>
        <v>Trek Fuel EX 8 29 - 2016</v>
      </c>
      <c r="E4506">
        <v>2</v>
      </c>
      <c r="F4506">
        <v>379.99</v>
      </c>
      <c r="G4506">
        <v>0.1</v>
      </c>
      <c r="H4506">
        <v>37.999000000000002</v>
      </c>
      <c r="I4506">
        <f>order_items[[#This Row],[list_price]]-order_items[[#This Row],[Discounted_price]]</f>
        <v>341.99099999999999</v>
      </c>
      <c r="J4506">
        <f>VLOOKUP(B4506, Products!$A$2:$E$100, 3, FALSE)</f>
        <v>9</v>
      </c>
      <c r="K4506">
        <f>VLOOKUP(B4506, Products!$A$2:$F$100, 4, FALSE)</f>
        <v>6</v>
      </c>
    </row>
    <row r="4507" spans="1:11" x14ac:dyDescent="0.3">
      <c r="A4507">
        <v>1542</v>
      </c>
      <c r="B4507">
        <v>5</v>
      </c>
      <c r="C4507">
        <v>297</v>
      </c>
      <c r="D4507" t="str">
        <f>VLOOKUP(B4507, Products!$A$2:$C$100, 2, FALSE)</f>
        <v>Heller Shagamaw Frame - 2016</v>
      </c>
      <c r="E4507">
        <v>1</v>
      </c>
      <c r="F4507">
        <v>279.99</v>
      </c>
      <c r="G4507">
        <v>0.2</v>
      </c>
      <c r="H4507">
        <v>55.998000000000005</v>
      </c>
      <c r="I4507">
        <f>order_items[[#This Row],[list_price]]-order_items[[#This Row],[Discounted_price]]</f>
        <v>223.99200000000002</v>
      </c>
      <c r="J4507">
        <f>VLOOKUP(B4507, Products!$A$2:$E$100, 3, FALSE)</f>
        <v>3</v>
      </c>
      <c r="K4507">
        <f>VLOOKUP(B4507, Products!$A$2:$F$100, 4, FALSE)</f>
        <v>6</v>
      </c>
    </row>
    <row r="4508" spans="1:11" x14ac:dyDescent="0.3">
      <c r="A4508">
        <v>1543</v>
      </c>
      <c r="B4508">
        <v>1</v>
      </c>
      <c r="C4508">
        <v>108</v>
      </c>
      <c r="D4508" t="str">
        <f>VLOOKUP(B4508, Products!$A$2:$C$100, 2, FALSE)</f>
        <v>Trek 820 - 2016</v>
      </c>
      <c r="E4508">
        <v>2</v>
      </c>
      <c r="F4508">
        <v>449.99</v>
      </c>
      <c r="G4508">
        <v>0.1</v>
      </c>
      <c r="H4508">
        <v>44.999000000000002</v>
      </c>
      <c r="I4508">
        <f>order_items[[#This Row],[list_price]]-order_items[[#This Row],[Discounted_price]]</f>
        <v>404.99099999999999</v>
      </c>
      <c r="J4508">
        <f>VLOOKUP(B4508, Products!$A$2:$E$100, 3, FALSE)</f>
        <v>9</v>
      </c>
      <c r="K4508">
        <f>VLOOKUP(B4508, Products!$A$2:$F$100, 4, FALSE)</f>
        <v>6</v>
      </c>
    </row>
    <row r="4509" spans="1:11" x14ac:dyDescent="0.3">
      <c r="A4509">
        <v>1543</v>
      </c>
      <c r="B4509">
        <v>2</v>
      </c>
      <c r="C4509">
        <v>93</v>
      </c>
      <c r="D4509" t="str">
        <f>VLOOKUP(B4509, Products!$A$2:$C$100, 2, FALSE)</f>
        <v>Ritchey Timberwolf Frameset - 2016</v>
      </c>
      <c r="E4509">
        <v>1</v>
      </c>
      <c r="F4509">
        <v>209.99</v>
      </c>
      <c r="G4509">
        <v>0.2</v>
      </c>
      <c r="H4509">
        <v>41.998000000000005</v>
      </c>
      <c r="I4509">
        <f>order_items[[#This Row],[list_price]]-order_items[[#This Row],[Discounted_price]]</f>
        <v>167.99200000000002</v>
      </c>
      <c r="J4509">
        <f>VLOOKUP(B4509, Products!$A$2:$E$100, 3, FALSE)</f>
        <v>5</v>
      </c>
      <c r="K4509">
        <f>VLOOKUP(B4509, Products!$A$2:$F$100, 4, FALSE)</f>
        <v>6</v>
      </c>
    </row>
    <row r="4510" spans="1:11" x14ac:dyDescent="0.3">
      <c r="A4510">
        <v>1543</v>
      </c>
      <c r="B4510">
        <v>3</v>
      </c>
      <c r="C4510">
        <v>158</v>
      </c>
      <c r="D4510" t="str">
        <f>VLOOKUP(B4510, Products!$A$2:$C$100, 2, FALSE)</f>
        <v>Surly Wednesday Frameset - 2016</v>
      </c>
      <c r="E4510">
        <v>2</v>
      </c>
      <c r="F4510">
        <v>959.99</v>
      </c>
      <c r="G4510">
        <v>7.0000000000000007E-2</v>
      </c>
      <c r="H4510">
        <v>67.199300000000008</v>
      </c>
      <c r="I4510">
        <f>order_items[[#This Row],[list_price]]-order_items[[#This Row],[Discounted_price]]</f>
        <v>892.79070000000002</v>
      </c>
      <c r="J4510">
        <f>VLOOKUP(B4510, Products!$A$2:$E$100, 3, FALSE)</f>
        <v>8</v>
      </c>
      <c r="K4510">
        <f>VLOOKUP(B4510, Products!$A$2:$F$100, 4, FALSE)</f>
        <v>6</v>
      </c>
    </row>
    <row r="4511" spans="1:11" x14ac:dyDescent="0.3">
      <c r="A4511">
        <v>1543</v>
      </c>
      <c r="B4511">
        <v>4</v>
      </c>
      <c r="C4511">
        <v>97</v>
      </c>
      <c r="D4511" t="str">
        <f>VLOOKUP(B4511, Products!$A$2:$C$100, 2, FALSE)</f>
        <v>Trek Fuel EX 8 29 - 2016</v>
      </c>
      <c r="E4511">
        <v>2</v>
      </c>
      <c r="F4511">
        <v>349.99</v>
      </c>
      <c r="G4511">
        <v>0.05</v>
      </c>
      <c r="H4511">
        <v>17.499500000000001</v>
      </c>
      <c r="I4511">
        <f>order_items[[#This Row],[list_price]]-order_items[[#This Row],[Discounted_price]]</f>
        <v>332.4905</v>
      </c>
      <c r="J4511">
        <f>VLOOKUP(B4511, Products!$A$2:$E$100, 3, FALSE)</f>
        <v>9</v>
      </c>
      <c r="K4511">
        <f>VLOOKUP(B4511, Products!$A$2:$F$100, 4, FALSE)</f>
        <v>6</v>
      </c>
    </row>
    <row r="4512" spans="1:11" x14ac:dyDescent="0.3">
      <c r="A4512">
        <v>1543</v>
      </c>
      <c r="B4512">
        <v>5</v>
      </c>
      <c r="C4512">
        <v>136</v>
      </c>
      <c r="D4512" t="str">
        <f>VLOOKUP(B4512, Products!$A$2:$C$100, 2, FALSE)</f>
        <v>Heller Shagamaw Frame - 2016</v>
      </c>
      <c r="E4512">
        <v>1</v>
      </c>
      <c r="F4512">
        <v>1799.99</v>
      </c>
      <c r="G4512">
        <v>0.2</v>
      </c>
      <c r="H4512">
        <v>359.99800000000005</v>
      </c>
      <c r="I4512">
        <f>order_items[[#This Row],[list_price]]-order_items[[#This Row],[Discounted_price]]</f>
        <v>1439.992</v>
      </c>
      <c r="J4512">
        <f>VLOOKUP(B4512, Products!$A$2:$E$100, 3, FALSE)</f>
        <v>3</v>
      </c>
      <c r="K4512">
        <f>VLOOKUP(B4512, Products!$A$2:$F$100, 4, FALSE)</f>
        <v>6</v>
      </c>
    </row>
    <row r="4513" spans="1:11" x14ac:dyDescent="0.3">
      <c r="A4513">
        <v>1544</v>
      </c>
      <c r="B4513">
        <v>1</v>
      </c>
      <c r="C4513">
        <v>194</v>
      </c>
      <c r="D4513" t="str">
        <f>VLOOKUP(B4513, Products!$A$2:$C$100, 2, FALSE)</f>
        <v>Trek 820 - 2016</v>
      </c>
      <c r="E4513">
        <v>2</v>
      </c>
      <c r="F4513">
        <v>3499.99</v>
      </c>
      <c r="G4513">
        <v>0.1</v>
      </c>
      <c r="H4513">
        <v>349.99900000000002</v>
      </c>
      <c r="I4513">
        <f>order_items[[#This Row],[list_price]]-order_items[[#This Row],[Discounted_price]]</f>
        <v>3149.991</v>
      </c>
      <c r="J4513">
        <f>VLOOKUP(B4513, Products!$A$2:$E$100, 3, FALSE)</f>
        <v>9</v>
      </c>
      <c r="K4513">
        <f>VLOOKUP(B4513, Products!$A$2:$F$100, 4, FALSE)</f>
        <v>6</v>
      </c>
    </row>
    <row r="4514" spans="1:11" x14ac:dyDescent="0.3">
      <c r="A4514">
        <v>1544</v>
      </c>
      <c r="B4514">
        <v>2</v>
      </c>
      <c r="C4514">
        <v>107</v>
      </c>
      <c r="D4514" t="str">
        <f>VLOOKUP(B4514, Products!$A$2:$C$100, 2, FALSE)</f>
        <v>Ritchey Timberwolf Frameset - 2016</v>
      </c>
      <c r="E4514">
        <v>2</v>
      </c>
      <c r="F4514">
        <v>416.99</v>
      </c>
      <c r="G4514">
        <v>0.2</v>
      </c>
      <c r="H4514">
        <v>83.39800000000001</v>
      </c>
      <c r="I4514">
        <f>order_items[[#This Row],[list_price]]-order_items[[#This Row],[Discounted_price]]</f>
        <v>333.59199999999998</v>
      </c>
      <c r="J4514">
        <f>VLOOKUP(B4514, Products!$A$2:$E$100, 3, FALSE)</f>
        <v>5</v>
      </c>
      <c r="K4514">
        <f>VLOOKUP(B4514, Products!$A$2:$F$100, 4, FALSE)</f>
        <v>6</v>
      </c>
    </row>
    <row r="4515" spans="1:11" x14ac:dyDescent="0.3">
      <c r="A4515">
        <v>1545</v>
      </c>
      <c r="B4515">
        <v>1</v>
      </c>
      <c r="C4515">
        <v>45</v>
      </c>
      <c r="D4515" t="str">
        <f>VLOOKUP(B4515, Products!$A$2:$C$100, 2, FALSE)</f>
        <v>Trek 820 - 2016</v>
      </c>
      <c r="E4515">
        <v>1</v>
      </c>
      <c r="F4515">
        <v>869.99</v>
      </c>
      <c r="G4515">
        <v>0.1</v>
      </c>
      <c r="H4515">
        <v>86.999000000000009</v>
      </c>
      <c r="I4515">
        <f>order_items[[#This Row],[list_price]]-order_items[[#This Row],[Discounted_price]]</f>
        <v>782.99099999999999</v>
      </c>
      <c r="J4515">
        <f>VLOOKUP(B4515, Products!$A$2:$E$100, 3, FALSE)</f>
        <v>9</v>
      </c>
      <c r="K4515">
        <f>VLOOKUP(B4515, Products!$A$2:$F$100, 4, FALSE)</f>
        <v>6</v>
      </c>
    </row>
    <row r="4516" spans="1:11" x14ac:dyDescent="0.3">
      <c r="A4516">
        <v>1546</v>
      </c>
      <c r="B4516">
        <v>1</v>
      </c>
      <c r="C4516">
        <v>156</v>
      </c>
      <c r="D4516" t="str">
        <f>VLOOKUP(B4516, Products!$A$2:$C$100, 2, FALSE)</f>
        <v>Trek 820 - 2016</v>
      </c>
      <c r="E4516">
        <v>1</v>
      </c>
      <c r="F4516">
        <v>6499.99</v>
      </c>
      <c r="G4516">
        <v>0.1</v>
      </c>
      <c r="H4516">
        <v>649.99900000000002</v>
      </c>
      <c r="I4516">
        <f>order_items[[#This Row],[list_price]]-order_items[[#This Row],[Discounted_price]]</f>
        <v>5849.991</v>
      </c>
      <c r="J4516">
        <f>VLOOKUP(B4516, Products!$A$2:$E$100, 3, FALSE)</f>
        <v>9</v>
      </c>
      <c r="K4516">
        <f>VLOOKUP(B4516, Products!$A$2:$F$100, 4, FALSE)</f>
        <v>6</v>
      </c>
    </row>
    <row r="4517" spans="1:11" x14ac:dyDescent="0.3">
      <c r="A4517">
        <v>1546</v>
      </c>
      <c r="B4517">
        <v>2</v>
      </c>
      <c r="C4517">
        <v>185</v>
      </c>
      <c r="D4517" t="str">
        <f>VLOOKUP(B4517, Products!$A$2:$C$100, 2, FALSE)</f>
        <v>Ritchey Timberwolf Frameset - 2016</v>
      </c>
      <c r="E4517">
        <v>2</v>
      </c>
      <c r="F4517">
        <v>2799.99</v>
      </c>
      <c r="G4517">
        <v>0.1</v>
      </c>
      <c r="H4517">
        <v>279.99899999999997</v>
      </c>
      <c r="I4517">
        <f>order_items[[#This Row],[list_price]]-order_items[[#This Row],[Discounted_price]]</f>
        <v>2519.991</v>
      </c>
      <c r="J4517">
        <f>VLOOKUP(B4517, Products!$A$2:$E$100, 3, FALSE)</f>
        <v>5</v>
      </c>
      <c r="K4517">
        <f>VLOOKUP(B4517, Products!$A$2:$F$100, 4, FALSE)</f>
        <v>6</v>
      </c>
    </row>
    <row r="4518" spans="1:11" x14ac:dyDescent="0.3">
      <c r="A4518">
        <v>1546</v>
      </c>
      <c r="B4518">
        <v>3</v>
      </c>
      <c r="C4518">
        <v>215</v>
      </c>
      <c r="D4518" t="str">
        <f>VLOOKUP(B4518, Products!$A$2:$C$100, 2, FALSE)</f>
        <v>Surly Wednesday Frameset - 2016</v>
      </c>
      <c r="E4518">
        <v>1</v>
      </c>
      <c r="F4518">
        <v>749.99</v>
      </c>
      <c r="G4518">
        <v>0.1</v>
      </c>
      <c r="H4518">
        <v>74.999000000000009</v>
      </c>
      <c r="I4518">
        <f>order_items[[#This Row],[list_price]]-order_items[[#This Row],[Discounted_price]]</f>
        <v>674.99099999999999</v>
      </c>
      <c r="J4518">
        <f>VLOOKUP(B4518, Products!$A$2:$E$100, 3, FALSE)</f>
        <v>8</v>
      </c>
      <c r="K4518">
        <f>VLOOKUP(B4518, Products!$A$2:$F$100, 4, FALSE)</f>
        <v>6</v>
      </c>
    </row>
    <row r="4519" spans="1:11" x14ac:dyDescent="0.3">
      <c r="A4519">
        <v>1546</v>
      </c>
      <c r="B4519">
        <v>4</v>
      </c>
      <c r="C4519">
        <v>25</v>
      </c>
      <c r="D4519" t="str">
        <f>VLOOKUP(B4519, Products!$A$2:$C$100, 2, FALSE)</f>
        <v>Trek Fuel EX 8 29 - 2016</v>
      </c>
      <c r="E4519">
        <v>1</v>
      </c>
      <c r="F4519">
        <v>499.99</v>
      </c>
      <c r="G4519">
        <v>0.05</v>
      </c>
      <c r="H4519">
        <v>24.999500000000001</v>
      </c>
      <c r="I4519">
        <f>order_items[[#This Row],[list_price]]-order_items[[#This Row],[Discounted_price]]</f>
        <v>474.9905</v>
      </c>
      <c r="J4519">
        <f>VLOOKUP(B4519, Products!$A$2:$E$100, 3, FALSE)</f>
        <v>9</v>
      </c>
      <c r="K4519">
        <f>VLOOKUP(B4519, Products!$A$2:$F$100, 4, FALSE)</f>
        <v>6</v>
      </c>
    </row>
    <row r="4520" spans="1:11" x14ac:dyDescent="0.3">
      <c r="A4520">
        <v>1547</v>
      </c>
      <c r="B4520">
        <v>1</v>
      </c>
      <c r="C4520">
        <v>106</v>
      </c>
      <c r="D4520" t="str">
        <f>VLOOKUP(B4520, Products!$A$2:$C$100, 2, FALSE)</f>
        <v>Trek 820 - 2016</v>
      </c>
      <c r="E4520">
        <v>2</v>
      </c>
      <c r="F4520">
        <v>449.99</v>
      </c>
      <c r="G4520">
        <v>0.2</v>
      </c>
      <c r="H4520">
        <v>89.998000000000005</v>
      </c>
      <c r="I4520">
        <f>order_items[[#This Row],[list_price]]-order_items[[#This Row],[Discounted_price]]</f>
        <v>359.99200000000002</v>
      </c>
      <c r="J4520">
        <f>VLOOKUP(B4520, Products!$A$2:$E$100, 3, FALSE)</f>
        <v>9</v>
      </c>
      <c r="K4520">
        <f>VLOOKUP(B4520, Products!$A$2:$F$100, 4, FALSE)</f>
        <v>6</v>
      </c>
    </row>
    <row r="4521" spans="1:11" x14ac:dyDescent="0.3">
      <c r="A4521">
        <v>1547</v>
      </c>
      <c r="B4521">
        <v>2</v>
      </c>
      <c r="C4521">
        <v>204</v>
      </c>
      <c r="D4521" t="str">
        <f>VLOOKUP(B4521, Products!$A$2:$C$100, 2, FALSE)</f>
        <v>Ritchey Timberwolf Frameset - 2016</v>
      </c>
      <c r="E4521">
        <v>1</v>
      </c>
      <c r="F4521">
        <v>3599.99</v>
      </c>
      <c r="G4521">
        <v>0.2</v>
      </c>
      <c r="H4521">
        <v>719.99800000000005</v>
      </c>
      <c r="I4521">
        <f>order_items[[#This Row],[list_price]]-order_items[[#This Row],[Discounted_price]]</f>
        <v>2879.9919999999997</v>
      </c>
      <c r="J4521">
        <f>VLOOKUP(B4521, Products!$A$2:$E$100, 3, FALSE)</f>
        <v>5</v>
      </c>
      <c r="K4521">
        <f>VLOOKUP(B4521, Products!$A$2:$F$100, 4, FALSE)</f>
        <v>6</v>
      </c>
    </row>
    <row r="4522" spans="1:11" x14ac:dyDescent="0.3">
      <c r="A4522">
        <v>1548</v>
      </c>
      <c r="B4522">
        <v>1</v>
      </c>
      <c r="C4522">
        <v>32</v>
      </c>
      <c r="D4522" t="str">
        <f>VLOOKUP(B4522, Products!$A$2:$C$100, 2, FALSE)</f>
        <v>Trek 820 - 2016</v>
      </c>
      <c r="E4522">
        <v>1</v>
      </c>
      <c r="F4522">
        <v>469.99</v>
      </c>
      <c r="G4522">
        <v>0.1</v>
      </c>
      <c r="H4522">
        <v>46.999000000000002</v>
      </c>
      <c r="I4522">
        <f>order_items[[#This Row],[list_price]]-order_items[[#This Row],[Discounted_price]]</f>
        <v>422.99099999999999</v>
      </c>
      <c r="J4522">
        <f>VLOOKUP(B4522, Products!$A$2:$E$100, 3, FALSE)</f>
        <v>9</v>
      </c>
      <c r="K4522">
        <f>VLOOKUP(B4522, Products!$A$2:$F$100, 4, FALSE)</f>
        <v>6</v>
      </c>
    </row>
    <row r="4523" spans="1:11" x14ac:dyDescent="0.3">
      <c r="A4523">
        <v>1548</v>
      </c>
      <c r="B4523">
        <v>2</v>
      </c>
      <c r="C4523">
        <v>202</v>
      </c>
      <c r="D4523" t="str">
        <f>VLOOKUP(B4523, Products!$A$2:$C$100, 2, FALSE)</f>
        <v>Ritchey Timberwolf Frameset - 2016</v>
      </c>
      <c r="E4523">
        <v>1</v>
      </c>
      <c r="F4523">
        <v>3499.99</v>
      </c>
      <c r="G4523">
        <v>7.0000000000000007E-2</v>
      </c>
      <c r="H4523">
        <v>244.99930000000001</v>
      </c>
      <c r="I4523">
        <f>order_items[[#This Row],[list_price]]-order_items[[#This Row],[Discounted_price]]</f>
        <v>3254.9906999999998</v>
      </c>
      <c r="J4523">
        <f>VLOOKUP(B4523, Products!$A$2:$E$100, 3, FALSE)</f>
        <v>5</v>
      </c>
      <c r="K4523">
        <f>VLOOKUP(B4523, Products!$A$2:$F$100, 4, FALSE)</f>
        <v>6</v>
      </c>
    </row>
    <row r="4524" spans="1:11" x14ac:dyDescent="0.3">
      <c r="A4524">
        <v>1548</v>
      </c>
      <c r="B4524">
        <v>3</v>
      </c>
      <c r="C4524">
        <v>62</v>
      </c>
      <c r="D4524" t="str">
        <f>VLOOKUP(B4524, Products!$A$2:$C$100, 2, FALSE)</f>
        <v>Surly Wednesday Frameset - 2016</v>
      </c>
      <c r="E4524">
        <v>2</v>
      </c>
      <c r="F4524">
        <v>3499.99</v>
      </c>
      <c r="G4524">
        <v>0.2</v>
      </c>
      <c r="H4524">
        <v>699.99800000000005</v>
      </c>
      <c r="I4524">
        <f>order_items[[#This Row],[list_price]]-order_items[[#This Row],[Discounted_price]]</f>
        <v>2799.9919999999997</v>
      </c>
      <c r="J4524">
        <f>VLOOKUP(B4524, Products!$A$2:$E$100, 3, FALSE)</f>
        <v>8</v>
      </c>
      <c r="K4524">
        <f>VLOOKUP(B4524, Products!$A$2:$F$100, 4, FALSE)</f>
        <v>6</v>
      </c>
    </row>
    <row r="4525" spans="1:11" x14ac:dyDescent="0.3">
      <c r="A4525">
        <v>1549</v>
      </c>
      <c r="B4525">
        <v>1</v>
      </c>
      <c r="C4525">
        <v>158</v>
      </c>
      <c r="D4525" t="str">
        <f>VLOOKUP(B4525, Products!$A$2:$C$100, 2, FALSE)</f>
        <v>Trek 820 - 2016</v>
      </c>
      <c r="E4525">
        <v>1</v>
      </c>
      <c r="F4525">
        <v>959.99</v>
      </c>
      <c r="G4525">
        <v>0.2</v>
      </c>
      <c r="H4525">
        <v>191.99800000000002</v>
      </c>
      <c r="I4525">
        <f>order_items[[#This Row],[list_price]]-order_items[[#This Row],[Discounted_price]]</f>
        <v>767.99199999999996</v>
      </c>
      <c r="J4525">
        <f>VLOOKUP(B4525, Products!$A$2:$E$100, 3, FALSE)</f>
        <v>9</v>
      </c>
      <c r="K4525">
        <f>VLOOKUP(B4525, Products!$A$2:$F$100, 4, FALSE)</f>
        <v>6</v>
      </c>
    </row>
    <row r="4526" spans="1:11" x14ac:dyDescent="0.3">
      <c r="A4526">
        <v>1549</v>
      </c>
      <c r="B4526">
        <v>2</v>
      </c>
      <c r="C4526">
        <v>119</v>
      </c>
      <c r="D4526" t="str">
        <f>VLOOKUP(B4526, Products!$A$2:$C$100, 2, FALSE)</f>
        <v>Ritchey Timberwolf Frameset - 2016</v>
      </c>
      <c r="E4526">
        <v>1</v>
      </c>
      <c r="F4526">
        <v>469.99</v>
      </c>
      <c r="G4526">
        <v>0.05</v>
      </c>
      <c r="H4526">
        <v>23.499500000000001</v>
      </c>
      <c r="I4526">
        <f>order_items[[#This Row],[list_price]]-order_items[[#This Row],[Discounted_price]]</f>
        <v>446.4905</v>
      </c>
      <c r="J4526">
        <f>VLOOKUP(B4526, Products!$A$2:$E$100, 3, FALSE)</f>
        <v>5</v>
      </c>
      <c r="K4526">
        <f>VLOOKUP(B4526, Products!$A$2:$F$100, 4, FALSE)</f>
        <v>6</v>
      </c>
    </row>
    <row r="4527" spans="1:11" x14ac:dyDescent="0.3">
      <c r="A4527">
        <v>1549</v>
      </c>
      <c r="B4527">
        <v>3</v>
      </c>
      <c r="C4527">
        <v>249</v>
      </c>
      <c r="D4527" t="str">
        <f>VLOOKUP(B4527, Products!$A$2:$C$100, 2, FALSE)</f>
        <v>Surly Wednesday Frameset - 2016</v>
      </c>
      <c r="E4527">
        <v>2</v>
      </c>
      <c r="F4527">
        <v>749.99</v>
      </c>
      <c r="G4527">
        <v>0.05</v>
      </c>
      <c r="H4527">
        <v>37.499500000000005</v>
      </c>
      <c r="I4527">
        <f>order_items[[#This Row],[list_price]]-order_items[[#This Row],[Discounted_price]]</f>
        <v>712.4905</v>
      </c>
      <c r="J4527">
        <f>VLOOKUP(B4527, Products!$A$2:$E$100, 3, FALSE)</f>
        <v>8</v>
      </c>
      <c r="K4527">
        <f>VLOOKUP(B4527, Products!$A$2:$F$100, 4, FALSE)</f>
        <v>6</v>
      </c>
    </row>
    <row r="4528" spans="1:11" x14ac:dyDescent="0.3">
      <c r="A4528">
        <v>1549</v>
      </c>
      <c r="B4528">
        <v>4</v>
      </c>
      <c r="C4528">
        <v>242</v>
      </c>
      <c r="D4528" t="str">
        <f>VLOOKUP(B4528, Products!$A$2:$C$100, 2, FALSE)</f>
        <v>Trek Fuel EX 8 29 - 2016</v>
      </c>
      <c r="E4528">
        <v>2</v>
      </c>
      <c r="F4528">
        <v>699.99</v>
      </c>
      <c r="G4528">
        <v>0.1</v>
      </c>
      <c r="H4528">
        <v>69.999000000000009</v>
      </c>
      <c r="I4528">
        <f>order_items[[#This Row],[list_price]]-order_items[[#This Row],[Discounted_price]]</f>
        <v>629.99099999999999</v>
      </c>
      <c r="J4528">
        <f>VLOOKUP(B4528, Products!$A$2:$E$100, 3, FALSE)</f>
        <v>9</v>
      </c>
      <c r="K4528">
        <f>VLOOKUP(B4528, Products!$A$2:$F$100, 4, FALSE)</f>
        <v>6</v>
      </c>
    </row>
    <row r="4529" spans="1:11" x14ac:dyDescent="0.3">
      <c r="A4529">
        <v>1550</v>
      </c>
      <c r="B4529">
        <v>1</v>
      </c>
      <c r="C4529">
        <v>315</v>
      </c>
      <c r="D4529" t="str">
        <f>VLOOKUP(B4529, Products!$A$2:$C$100, 2, FALSE)</f>
        <v>Trek 820 - 2016</v>
      </c>
      <c r="E4529">
        <v>2</v>
      </c>
      <c r="F4529">
        <v>559.99</v>
      </c>
      <c r="G4529">
        <v>0.05</v>
      </c>
      <c r="H4529">
        <v>27.999500000000001</v>
      </c>
      <c r="I4529">
        <f>order_items[[#This Row],[list_price]]-order_items[[#This Row],[Discounted_price]]</f>
        <v>531.9905</v>
      </c>
      <c r="J4529">
        <f>VLOOKUP(B4529, Products!$A$2:$E$100, 3, FALSE)</f>
        <v>9</v>
      </c>
      <c r="K4529">
        <f>VLOOKUP(B4529, Products!$A$2:$F$100, 4, FALSE)</f>
        <v>6</v>
      </c>
    </row>
    <row r="4530" spans="1:11" x14ac:dyDescent="0.3">
      <c r="A4530">
        <v>1550</v>
      </c>
      <c r="B4530">
        <v>2</v>
      </c>
      <c r="C4530">
        <v>245</v>
      </c>
      <c r="D4530" t="str">
        <f>VLOOKUP(B4530, Products!$A$2:$C$100, 2, FALSE)</f>
        <v>Ritchey Timberwolf Frameset - 2016</v>
      </c>
      <c r="E4530">
        <v>1</v>
      </c>
      <c r="F4530">
        <v>659.99</v>
      </c>
      <c r="G4530">
        <v>7.0000000000000007E-2</v>
      </c>
      <c r="H4530">
        <v>46.199300000000008</v>
      </c>
      <c r="I4530">
        <f>order_items[[#This Row],[list_price]]-order_items[[#This Row],[Discounted_price]]</f>
        <v>613.79070000000002</v>
      </c>
      <c r="J4530">
        <f>VLOOKUP(B4530, Products!$A$2:$E$100, 3, FALSE)</f>
        <v>5</v>
      </c>
      <c r="K4530">
        <f>VLOOKUP(B4530, Products!$A$2:$F$100, 4, FALSE)</f>
        <v>6</v>
      </c>
    </row>
    <row r="4531" spans="1:11" x14ac:dyDescent="0.3">
      <c r="A4531">
        <v>1550</v>
      </c>
      <c r="B4531">
        <v>3</v>
      </c>
      <c r="C4531">
        <v>185</v>
      </c>
      <c r="D4531" t="str">
        <f>VLOOKUP(B4531, Products!$A$2:$C$100, 2, FALSE)</f>
        <v>Surly Wednesday Frameset - 2016</v>
      </c>
      <c r="E4531">
        <v>2</v>
      </c>
      <c r="F4531">
        <v>2799.99</v>
      </c>
      <c r="G4531">
        <v>0.1</v>
      </c>
      <c r="H4531">
        <v>279.99899999999997</v>
      </c>
      <c r="I4531">
        <f>order_items[[#This Row],[list_price]]-order_items[[#This Row],[Discounted_price]]</f>
        <v>2519.991</v>
      </c>
      <c r="J4531">
        <f>VLOOKUP(B4531, Products!$A$2:$E$100, 3, FALSE)</f>
        <v>8</v>
      </c>
      <c r="K4531">
        <f>VLOOKUP(B4531, Products!$A$2:$F$100, 4, FALSE)</f>
        <v>6</v>
      </c>
    </row>
    <row r="4532" spans="1:11" x14ac:dyDescent="0.3">
      <c r="A4532">
        <v>1550</v>
      </c>
      <c r="B4532">
        <v>4</v>
      </c>
      <c r="C4532">
        <v>148</v>
      </c>
      <c r="D4532" t="str">
        <f>VLOOKUP(B4532, Products!$A$2:$C$100, 2, FALSE)</f>
        <v>Trek Fuel EX 8 29 - 2016</v>
      </c>
      <c r="E4532">
        <v>1</v>
      </c>
      <c r="F4532">
        <v>5499.99</v>
      </c>
      <c r="G4532">
        <v>7.0000000000000007E-2</v>
      </c>
      <c r="H4532">
        <v>384.99930000000001</v>
      </c>
      <c r="I4532">
        <f>order_items[[#This Row],[list_price]]-order_items[[#This Row],[Discounted_price]]</f>
        <v>5114.9906999999994</v>
      </c>
      <c r="J4532">
        <f>VLOOKUP(B4532, Products!$A$2:$E$100, 3, FALSE)</f>
        <v>9</v>
      </c>
      <c r="K4532">
        <f>VLOOKUP(B4532, Products!$A$2:$F$100, 4, FALSE)</f>
        <v>6</v>
      </c>
    </row>
    <row r="4533" spans="1:11" x14ac:dyDescent="0.3">
      <c r="A4533">
        <v>1550</v>
      </c>
      <c r="B4533">
        <v>5</v>
      </c>
      <c r="C4533">
        <v>86</v>
      </c>
      <c r="D4533" t="str">
        <f>VLOOKUP(B4533, Products!$A$2:$C$100, 2, FALSE)</f>
        <v>Heller Shagamaw Frame - 2016</v>
      </c>
      <c r="E4533">
        <v>2</v>
      </c>
      <c r="F4533">
        <v>149.99</v>
      </c>
      <c r="G4533">
        <v>0.05</v>
      </c>
      <c r="H4533">
        <v>7.4995000000000012</v>
      </c>
      <c r="I4533">
        <f>order_items[[#This Row],[list_price]]-order_items[[#This Row],[Discounted_price]]</f>
        <v>142.4905</v>
      </c>
      <c r="J4533">
        <f>VLOOKUP(B4533, Products!$A$2:$E$100, 3, FALSE)</f>
        <v>3</v>
      </c>
      <c r="K4533">
        <f>VLOOKUP(B4533, Products!$A$2:$F$100, 4, FALSE)</f>
        <v>6</v>
      </c>
    </row>
    <row r="4534" spans="1:11" x14ac:dyDescent="0.3">
      <c r="A4534">
        <v>1551</v>
      </c>
      <c r="B4534">
        <v>1</v>
      </c>
      <c r="C4534">
        <v>207</v>
      </c>
      <c r="D4534" t="str">
        <f>VLOOKUP(B4534, Products!$A$2:$C$100, 2, FALSE)</f>
        <v>Trek 820 - 2016</v>
      </c>
      <c r="E4534">
        <v>2</v>
      </c>
      <c r="F4534">
        <v>3999.99</v>
      </c>
      <c r="G4534">
        <v>0.2</v>
      </c>
      <c r="H4534">
        <v>799.99800000000005</v>
      </c>
      <c r="I4534">
        <f>order_items[[#This Row],[list_price]]-order_items[[#This Row],[Discounted_price]]</f>
        <v>3199.9919999999997</v>
      </c>
      <c r="J4534">
        <f>VLOOKUP(B4534, Products!$A$2:$E$100, 3, FALSE)</f>
        <v>9</v>
      </c>
      <c r="K4534">
        <f>VLOOKUP(B4534, Products!$A$2:$F$100, 4, FALSE)</f>
        <v>6</v>
      </c>
    </row>
    <row r="4535" spans="1:11" x14ac:dyDescent="0.3">
      <c r="A4535">
        <v>1552</v>
      </c>
      <c r="B4535">
        <v>1</v>
      </c>
      <c r="C4535">
        <v>197</v>
      </c>
      <c r="D4535" t="str">
        <f>VLOOKUP(B4535, Products!$A$2:$C$100, 2, FALSE)</f>
        <v>Trek 820 - 2016</v>
      </c>
      <c r="E4535">
        <v>1</v>
      </c>
      <c r="F4535">
        <v>2299.9899999999998</v>
      </c>
      <c r="G4535">
        <v>0.1</v>
      </c>
      <c r="H4535">
        <v>229.999</v>
      </c>
      <c r="I4535">
        <f>order_items[[#This Row],[list_price]]-order_items[[#This Row],[Discounted_price]]</f>
        <v>2069.991</v>
      </c>
      <c r="J4535">
        <f>VLOOKUP(B4535, Products!$A$2:$E$100, 3, FALSE)</f>
        <v>9</v>
      </c>
      <c r="K4535">
        <f>VLOOKUP(B4535, Products!$A$2:$F$100, 4, FALSE)</f>
        <v>6</v>
      </c>
    </row>
    <row r="4536" spans="1:11" x14ac:dyDescent="0.3">
      <c r="A4536">
        <v>1552</v>
      </c>
      <c r="B4536">
        <v>2</v>
      </c>
      <c r="C4536">
        <v>41</v>
      </c>
      <c r="D4536" t="str">
        <f>VLOOKUP(B4536, Products!$A$2:$C$100, 2, FALSE)</f>
        <v>Ritchey Timberwolf Frameset - 2016</v>
      </c>
      <c r="E4536">
        <v>2</v>
      </c>
      <c r="F4536">
        <v>1469.99</v>
      </c>
      <c r="G4536">
        <v>0.05</v>
      </c>
      <c r="H4536">
        <v>73.499499999999998</v>
      </c>
      <c r="I4536">
        <f>order_items[[#This Row],[list_price]]-order_items[[#This Row],[Discounted_price]]</f>
        <v>1396.4905000000001</v>
      </c>
      <c r="J4536">
        <f>VLOOKUP(B4536, Products!$A$2:$E$100, 3, FALSE)</f>
        <v>5</v>
      </c>
      <c r="K4536">
        <f>VLOOKUP(B4536, Products!$A$2:$F$100, 4, FALSE)</f>
        <v>6</v>
      </c>
    </row>
    <row r="4537" spans="1:11" x14ac:dyDescent="0.3">
      <c r="A4537">
        <v>1553</v>
      </c>
      <c r="B4537">
        <v>1</v>
      </c>
      <c r="C4537">
        <v>102</v>
      </c>
      <c r="D4537" t="str">
        <f>VLOOKUP(B4537, Products!$A$2:$C$100, 2, FALSE)</f>
        <v>Trek 820 - 2016</v>
      </c>
      <c r="E4537">
        <v>1</v>
      </c>
      <c r="F4537">
        <v>489.99</v>
      </c>
      <c r="G4537">
        <v>7.0000000000000007E-2</v>
      </c>
      <c r="H4537">
        <v>34.299300000000002</v>
      </c>
      <c r="I4537">
        <f>order_items[[#This Row],[list_price]]-order_items[[#This Row],[Discounted_price]]</f>
        <v>455.69069999999999</v>
      </c>
      <c r="J4537">
        <f>VLOOKUP(B4537, Products!$A$2:$E$100, 3, FALSE)</f>
        <v>9</v>
      </c>
      <c r="K4537">
        <f>VLOOKUP(B4537, Products!$A$2:$F$100, 4, FALSE)</f>
        <v>6</v>
      </c>
    </row>
    <row r="4538" spans="1:11" x14ac:dyDescent="0.3">
      <c r="A4538">
        <v>1553</v>
      </c>
      <c r="B4538">
        <v>2</v>
      </c>
      <c r="C4538">
        <v>12</v>
      </c>
      <c r="D4538" t="str">
        <f>VLOOKUP(B4538, Products!$A$2:$C$100, 2, FALSE)</f>
        <v>Ritchey Timberwolf Frameset - 2016</v>
      </c>
      <c r="E4538">
        <v>1</v>
      </c>
      <c r="F4538">
        <v>549.99</v>
      </c>
      <c r="G4538">
        <v>0.1</v>
      </c>
      <c r="H4538">
        <v>54.999000000000002</v>
      </c>
      <c r="I4538">
        <f>order_items[[#This Row],[list_price]]-order_items[[#This Row],[Discounted_price]]</f>
        <v>494.99099999999999</v>
      </c>
      <c r="J4538">
        <f>VLOOKUP(B4538, Products!$A$2:$E$100, 3, FALSE)</f>
        <v>5</v>
      </c>
      <c r="K4538">
        <f>VLOOKUP(B4538, Products!$A$2:$F$100, 4, FALSE)</f>
        <v>6</v>
      </c>
    </row>
    <row r="4539" spans="1:11" x14ac:dyDescent="0.3">
      <c r="A4539">
        <v>1553</v>
      </c>
      <c r="B4539">
        <v>3</v>
      </c>
      <c r="C4539">
        <v>251</v>
      </c>
      <c r="D4539" t="str">
        <f>VLOOKUP(B4539, Products!$A$2:$C$100, 2, FALSE)</f>
        <v>Surly Wednesday Frameset - 2016</v>
      </c>
      <c r="E4539">
        <v>1</v>
      </c>
      <c r="F4539">
        <v>2999.99</v>
      </c>
      <c r="G4539">
        <v>0.05</v>
      </c>
      <c r="H4539">
        <v>149.99949999999998</v>
      </c>
      <c r="I4539">
        <f>order_items[[#This Row],[list_price]]-order_items[[#This Row],[Discounted_price]]</f>
        <v>2849.9904999999999</v>
      </c>
      <c r="J4539">
        <f>VLOOKUP(B4539, Products!$A$2:$E$100, 3, FALSE)</f>
        <v>8</v>
      </c>
      <c r="K4539">
        <f>VLOOKUP(B4539, Products!$A$2:$F$100, 4, FALSE)</f>
        <v>6</v>
      </c>
    </row>
    <row r="4540" spans="1:11" x14ac:dyDescent="0.3">
      <c r="A4540">
        <v>1553</v>
      </c>
      <c r="B4540">
        <v>4</v>
      </c>
      <c r="C4540">
        <v>89</v>
      </c>
      <c r="D4540" t="str">
        <f>VLOOKUP(B4540, Products!$A$2:$C$100, 2, FALSE)</f>
        <v>Trek Fuel EX 8 29 - 2016</v>
      </c>
      <c r="E4540">
        <v>1</v>
      </c>
      <c r="F4540">
        <v>209.99</v>
      </c>
      <c r="G4540">
        <v>0.05</v>
      </c>
      <c r="H4540">
        <v>10.499500000000001</v>
      </c>
      <c r="I4540">
        <f>order_items[[#This Row],[list_price]]-order_items[[#This Row],[Discounted_price]]</f>
        <v>199.4905</v>
      </c>
      <c r="J4540">
        <f>VLOOKUP(B4540, Products!$A$2:$E$100, 3, FALSE)</f>
        <v>9</v>
      </c>
      <c r="K4540">
        <f>VLOOKUP(B4540, Products!$A$2:$F$100, 4, FALSE)</f>
        <v>6</v>
      </c>
    </row>
    <row r="4541" spans="1:11" x14ac:dyDescent="0.3">
      <c r="A4541">
        <v>1554</v>
      </c>
      <c r="B4541">
        <v>1</v>
      </c>
      <c r="C4541">
        <v>166</v>
      </c>
      <c r="D4541" t="str">
        <f>VLOOKUP(B4541, Products!$A$2:$C$100, 2, FALSE)</f>
        <v>Trek 820 - 2016</v>
      </c>
      <c r="E4541">
        <v>1</v>
      </c>
      <c r="F4541">
        <v>749.99</v>
      </c>
      <c r="G4541">
        <v>0.05</v>
      </c>
      <c r="H4541">
        <v>37.499500000000005</v>
      </c>
      <c r="I4541">
        <f>order_items[[#This Row],[list_price]]-order_items[[#This Row],[Discounted_price]]</f>
        <v>712.4905</v>
      </c>
      <c r="J4541">
        <f>VLOOKUP(B4541, Products!$A$2:$E$100, 3, FALSE)</f>
        <v>9</v>
      </c>
      <c r="K4541">
        <f>VLOOKUP(B4541, Products!$A$2:$F$100, 4, FALSE)</f>
        <v>6</v>
      </c>
    </row>
    <row r="4542" spans="1:11" x14ac:dyDescent="0.3">
      <c r="A4542">
        <v>1554</v>
      </c>
      <c r="B4542">
        <v>2</v>
      </c>
      <c r="C4542">
        <v>285</v>
      </c>
      <c r="D4542" t="str">
        <f>VLOOKUP(B4542, Products!$A$2:$C$100, 2, FALSE)</f>
        <v>Ritchey Timberwolf Frameset - 2016</v>
      </c>
      <c r="E4542">
        <v>1</v>
      </c>
      <c r="F4542">
        <v>279.99</v>
      </c>
      <c r="G4542">
        <v>0.2</v>
      </c>
      <c r="H4542">
        <v>55.998000000000005</v>
      </c>
      <c r="I4542">
        <f>order_items[[#This Row],[list_price]]-order_items[[#This Row],[Discounted_price]]</f>
        <v>223.99200000000002</v>
      </c>
      <c r="J4542">
        <f>VLOOKUP(B4542, Products!$A$2:$E$100, 3, FALSE)</f>
        <v>5</v>
      </c>
      <c r="K4542">
        <f>VLOOKUP(B4542, Products!$A$2:$F$100, 4, FALSE)</f>
        <v>6</v>
      </c>
    </row>
    <row r="4543" spans="1:11" x14ac:dyDescent="0.3">
      <c r="A4543">
        <v>1555</v>
      </c>
      <c r="B4543">
        <v>1</v>
      </c>
      <c r="C4543">
        <v>24</v>
      </c>
      <c r="D4543" t="str">
        <f>VLOOKUP(B4543, Products!$A$2:$C$100, 2, FALSE)</f>
        <v>Trek 820 - 2016</v>
      </c>
      <c r="E4543">
        <v>2</v>
      </c>
      <c r="F4543">
        <v>549.99</v>
      </c>
      <c r="G4543">
        <v>0.1</v>
      </c>
      <c r="H4543">
        <v>54.999000000000002</v>
      </c>
      <c r="I4543">
        <f>order_items[[#This Row],[list_price]]-order_items[[#This Row],[Discounted_price]]</f>
        <v>494.99099999999999</v>
      </c>
      <c r="J4543">
        <f>VLOOKUP(B4543, Products!$A$2:$E$100, 3, FALSE)</f>
        <v>9</v>
      </c>
      <c r="K4543">
        <f>VLOOKUP(B4543, Products!$A$2:$F$100, 4, FALSE)</f>
        <v>6</v>
      </c>
    </row>
    <row r="4544" spans="1:11" x14ac:dyDescent="0.3">
      <c r="A4544">
        <v>1555</v>
      </c>
      <c r="B4544">
        <v>2</v>
      </c>
      <c r="C4544">
        <v>156</v>
      </c>
      <c r="D4544" t="str">
        <f>VLOOKUP(B4544, Products!$A$2:$C$100, 2, FALSE)</f>
        <v>Ritchey Timberwolf Frameset - 2016</v>
      </c>
      <c r="E4544">
        <v>1</v>
      </c>
      <c r="F4544">
        <v>6499.99</v>
      </c>
      <c r="G4544">
        <v>0.1</v>
      </c>
      <c r="H4544">
        <v>649.99900000000002</v>
      </c>
      <c r="I4544">
        <f>order_items[[#This Row],[list_price]]-order_items[[#This Row],[Discounted_price]]</f>
        <v>5849.991</v>
      </c>
      <c r="J4544">
        <f>VLOOKUP(B4544, Products!$A$2:$E$100, 3, FALSE)</f>
        <v>5</v>
      </c>
      <c r="K4544">
        <f>VLOOKUP(B4544, Products!$A$2:$F$100, 4, FALSE)</f>
        <v>6</v>
      </c>
    </row>
    <row r="4545" spans="1:11" x14ac:dyDescent="0.3">
      <c r="A4545">
        <v>1555</v>
      </c>
      <c r="B4545">
        <v>3</v>
      </c>
      <c r="C4545">
        <v>126</v>
      </c>
      <c r="D4545" t="str">
        <f>VLOOKUP(B4545, Products!$A$2:$C$100, 2, FALSE)</f>
        <v>Surly Wednesday Frameset - 2016</v>
      </c>
      <c r="E4545">
        <v>1</v>
      </c>
      <c r="F4545">
        <v>469.99</v>
      </c>
      <c r="G4545">
        <v>0.1</v>
      </c>
      <c r="H4545">
        <v>46.999000000000002</v>
      </c>
      <c r="I4545">
        <f>order_items[[#This Row],[list_price]]-order_items[[#This Row],[Discounted_price]]</f>
        <v>422.99099999999999</v>
      </c>
      <c r="J4545">
        <f>VLOOKUP(B4545, Products!$A$2:$E$100, 3, FALSE)</f>
        <v>8</v>
      </c>
      <c r="K4545">
        <f>VLOOKUP(B4545, Products!$A$2:$F$100, 4, FALSE)</f>
        <v>6</v>
      </c>
    </row>
    <row r="4546" spans="1:11" x14ac:dyDescent="0.3">
      <c r="A4546">
        <v>1555</v>
      </c>
      <c r="B4546">
        <v>4</v>
      </c>
      <c r="C4546">
        <v>128</v>
      </c>
      <c r="D4546" t="str">
        <f>VLOOKUP(B4546, Products!$A$2:$C$100, 2, FALSE)</f>
        <v>Trek Fuel EX 8 29 - 2016</v>
      </c>
      <c r="E4546">
        <v>2</v>
      </c>
      <c r="F4546">
        <v>1899</v>
      </c>
      <c r="G4546">
        <v>0.05</v>
      </c>
      <c r="H4546">
        <v>94.95</v>
      </c>
      <c r="I4546">
        <f>order_items[[#This Row],[list_price]]-order_items[[#This Row],[Discounted_price]]</f>
        <v>1804.05</v>
      </c>
      <c r="J4546">
        <f>VLOOKUP(B4546, Products!$A$2:$E$100, 3, FALSE)</f>
        <v>9</v>
      </c>
      <c r="K4546">
        <f>VLOOKUP(B4546, Products!$A$2:$F$100, 4, FALSE)</f>
        <v>6</v>
      </c>
    </row>
    <row r="4547" spans="1:11" x14ac:dyDescent="0.3">
      <c r="A4547">
        <v>1555</v>
      </c>
      <c r="B4547">
        <v>5</v>
      </c>
      <c r="C4547">
        <v>174</v>
      </c>
      <c r="D4547" t="str">
        <f>VLOOKUP(B4547, Products!$A$2:$C$100, 2, FALSE)</f>
        <v>Heller Shagamaw Frame - 2016</v>
      </c>
      <c r="E4547">
        <v>1</v>
      </c>
      <c r="F4547">
        <v>3199.99</v>
      </c>
      <c r="G4547">
        <v>0.2</v>
      </c>
      <c r="H4547">
        <v>639.99800000000005</v>
      </c>
      <c r="I4547">
        <f>order_items[[#This Row],[list_price]]-order_items[[#This Row],[Discounted_price]]</f>
        <v>2559.9919999999997</v>
      </c>
      <c r="J4547">
        <f>VLOOKUP(B4547, Products!$A$2:$E$100, 3, FALSE)</f>
        <v>3</v>
      </c>
      <c r="K4547">
        <f>VLOOKUP(B4547, Products!$A$2:$F$100, 4, FALSE)</f>
        <v>6</v>
      </c>
    </row>
    <row r="4548" spans="1:11" x14ac:dyDescent="0.3">
      <c r="A4548">
        <v>1556</v>
      </c>
      <c r="B4548">
        <v>1</v>
      </c>
      <c r="C4548">
        <v>49</v>
      </c>
      <c r="D4548" t="str">
        <f>VLOOKUP(B4548, Products!$A$2:$C$100, 2, FALSE)</f>
        <v>Trek 820 - 2016</v>
      </c>
      <c r="E4548">
        <v>2</v>
      </c>
      <c r="F4548">
        <v>3499.99</v>
      </c>
      <c r="G4548">
        <v>0.2</v>
      </c>
      <c r="H4548">
        <v>699.99800000000005</v>
      </c>
      <c r="I4548">
        <f>order_items[[#This Row],[list_price]]-order_items[[#This Row],[Discounted_price]]</f>
        <v>2799.9919999999997</v>
      </c>
      <c r="J4548">
        <f>VLOOKUP(B4548, Products!$A$2:$E$100, 3, FALSE)</f>
        <v>9</v>
      </c>
      <c r="K4548">
        <f>VLOOKUP(B4548, Products!$A$2:$F$100, 4, FALSE)</f>
        <v>6</v>
      </c>
    </row>
    <row r="4549" spans="1:11" x14ac:dyDescent="0.3">
      <c r="A4549">
        <v>1556</v>
      </c>
      <c r="B4549">
        <v>2</v>
      </c>
      <c r="C4549">
        <v>82</v>
      </c>
      <c r="D4549" t="str">
        <f>VLOOKUP(B4549, Products!$A$2:$C$100, 2, FALSE)</f>
        <v>Ritchey Timberwolf Frameset - 2016</v>
      </c>
      <c r="E4549">
        <v>1</v>
      </c>
      <c r="F4549">
        <v>659.99</v>
      </c>
      <c r="G4549">
        <v>7.0000000000000007E-2</v>
      </c>
      <c r="H4549">
        <v>46.199300000000008</v>
      </c>
      <c r="I4549">
        <f>order_items[[#This Row],[list_price]]-order_items[[#This Row],[Discounted_price]]</f>
        <v>613.79070000000002</v>
      </c>
      <c r="J4549">
        <f>VLOOKUP(B4549, Products!$A$2:$E$100, 3, FALSE)</f>
        <v>5</v>
      </c>
      <c r="K4549">
        <f>VLOOKUP(B4549, Products!$A$2:$F$100, 4, FALSE)</f>
        <v>6</v>
      </c>
    </row>
    <row r="4550" spans="1:11" x14ac:dyDescent="0.3">
      <c r="A4550">
        <v>1556</v>
      </c>
      <c r="B4550">
        <v>3</v>
      </c>
      <c r="C4550">
        <v>265</v>
      </c>
      <c r="D4550" t="str">
        <f>VLOOKUP(B4550, Products!$A$2:$C$100, 2, FALSE)</f>
        <v>Surly Wednesday Frameset - 2016</v>
      </c>
      <c r="E4550">
        <v>1</v>
      </c>
      <c r="F4550">
        <v>289.99</v>
      </c>
      <c r="G4550">
        <v>0.1</v>
      </c>
      <c r="H4550">
        <v>28.999000000000002</v>
      </c>
      <c r="I4550">
        <f>order_items[[#This Row],[list_price]]-order_items[[#This Row],[Discounted_price]]</f>
        <v>260.99099999999999</v>
      </c>
      <c r="J4550">
        <f>VLOOKUP(B4550, Products!$A$2:$E$100, 3, FALSE)</f>
        <v>8</v>
      </c>
      <c r="K4550">
        <f>VLOOKUP(B4550, Products!$A$2:$F$100, 4, FALSE)</f>
        <v>6</v>
      </c>
    </row>
    <row r="4551" spans="1:11" x14ac:dyDescent="0.3">
      <c r="A4551">
        <v>1556</v>
      </c>
      <c r="B4551">
        <v>4</v>
      </c>
      <c r="C4551">
        <v>119</v>
      </c>
      <c r="D4551" t="str">
        <f>VLOOKUP(B4551, Products!$A$2:$C$100, 2, FALSE)</f>
        <v>Trek Fuel EX 8 29 - 2016</v>
      </c>
      <c r="E4551">
        <v>2</v>
      </c>
      <c r="F4551">
        <v>469.99</v>
      </c>
      <c r="G4551">
        <v>0.05</v>
      </c>
      <c r="H4551">
        <v>23.499500000000001</v>
      </c>
      <c r="I4551">
        <f>order_items[[#This Row],[list_price]]-order_items[[#This Row],[Discounted_price]]</f>
        <v>446.4905</v>
      </c>
      <c r="J4551">
        <f>VLOOKUP(B4551, Products!$A$2:$E$100, 3, FALSE)</f>
        <v>9</v>
      </c>
      <c r="K4551">
        <f>VLOOKUP(B4551, Products!$A$2:$F$100, 4, FALSE)</f>
        <v>6</v>
      </c>
    </row>
    <row r="4552" spans="1:11" x14ac:dyDescent="0.3">
      <c r="A4552">
        <v>1556</v>
      </c>
      <c r="B4552">
        <v>5</v>
      </c>
      <c r="C4552">
        <v>235</v>
      </c>
      <c r="D4552" t="str">
        <f>VLOOKUP(B4552, Products!$A$2:$C$100, 2, FALSE)</f>
        <v>Heller Shagamaw Frame - 2016</v>
      </c>
      <c r="E4552">
        <v>2</v>
      </c>
      <c r="F4552">
        <v>899.99</v>
      </c>
      <c r="G4552">
        <v>0.1</v>
      </c>
      <c r="H4552">
        <v>89.999000000000009</v>
      </c>
      <c r="I4552">
        <f>order_items[[#This Row],[list_price]]-order_items[[#This Row],[Discounted_price]]</f>
        <v>809.99099999999999</v>
      </c>
      <c r="J4552">
        <f>VLOOKUP(B4552, Products!$A$2:$E$100, 3, FALSE)</f>
        <v>3</v>
      </c>
      <c r="K4552">
        <f>VLOOKUP(B4552, Products!$A$2:$F$100, 4, FALSE)</f>
        <v>6</v>
      </c>
    </row>
    <row r="4553" spans="1:11" x14ac:dyDescent="0.3">
      <c r="A4553">
        <v>1557</v>
      </c>
      <c r="B4553">
        <v>1</v>
      </c>
      <c r="C4553">
        <v>163</v>
      </c>
      <c r="D4553" t="str">
        <f>VLOOKUP(B4553, Products!$A$2:$C$100, 2, FALSE)</f>
        <v>Trek 820 - 2016</v>
      </c>
      <c r="E4553">
        <v>2</v>
      </c>
      <c r="F4553">
        <v>1349</v>
      </c>
      <c r="G4553">
        <v>7.0000000000000007E-2</v>
      </c>
      <c r="H4553">
        <v>94.43</v>
      </c>
      <c r="I4553">
        <f>order_items[[#This Row],[list_price]]-order_items[[#This Row],[Discounted_price]]</f>
        <v>1254.57</v>
      </c>
      <c r="J4553">
        <f>VLOOKUP(B4553, Products!$A$2:$E$100, 3, FALSE)</f>
        <v>9</v>
      </c>
      <c r="K4553">
        <f>VLOOKUP(B4553, Products!$A$2:$F$100, 4, FALSE)</f>
        <v>6</v>
      </c>
    </row>
    <row r="4554" spans="1:11" x14ac:dyDescent="0.3">
      <c r="A4554">
        <v>1558</v>
      </c>
      <c r="B4554">
        <v>1</v>
      </c>
      <c r="C4554">
        <v>46</v>
      </c>
      <c r="D4554" t="str">
        <f>VLOOKUP(B4554, Products!$A$2:$C$100, 2, FALSE)</f>
        <v>Trek 820 - 2016</v>
      </c>
      <c r="E4554">
        <v>2</v>
      </c>
      <c r="F4554">
        <v>1409.99</v>
      </c>
      <c r="G4554">
        <v>7.0000000000000007E-2</v>
      </c>
      <c r="H4554">
        <v>98.699300000000008</v>
      </c>
      <c r="I4554">
        <f>order_items[[#This Row],[list_price]]-order_items[[#This Row],[Discounted_price]]</f>
        <v>1311.2907</v>
      </c>
      <c r="J4554">
        <f>VLOOKUP(B4554, Products!$A$2:$E$100, 3, FALSE)</f>
        <v>9</v>
      </c>
      <c r="K4554">
        <f>VLOOKUP(B4554, Products!$A$2:$F$100, 4, FALSE)</f>
        <v>6</v>
      </c>
    </row>
    <row r="4555" spans="1:11" x14ac:dyDescent="0.3">
      <c r="A4555">
        <v>1558</v>
      </c>
      <c r="B4555">
        <v>2</v>
      </c>
      <c r="C4555">
        <v>123</v>
      </c>
      <c r="D4555" t="str">
        <f>VLOOKUP(B4555, Products!$A$2:$C$100, 2, FALSE)</f>
        <v>Ritchey Timberwolf Frameset - 2016</v>
      </c>
      <c r="E4555">
        <v>1</v>
      </c>
      <c r="F4555">
        <v>999.99</v>
      </c>
      <c r="G4555">
        <v>7.0000000000000007E-2</v>
      </c>
      <c r="H4555">
        <v>69.999300000000005</v>
      </c>
      <c r="I4555">
        <f>order_items[[#This Row],[list_price]]-order_items[[#This Row],[Discounted_price]]</f>
        <v>929.99070000000006</v>
      </c>
      <c r="J4555">
        <f>VLOOKUP(B4555, Products!$A$2:$E$100, 3, FALSE)</f>
        <v>5</v>
      </c>
      <c r="K4555">
        <f>VLOOKUP(B4555, Products!$A$2:$F$100, 4, FALSE)</f>
        <v>6</v>
      </c>
    </row>
    <row r="4556" spans="1:11" x14ac:dyDescent="0.3">
      <c r="A4556">
        <v>1558</v>
      </c>
      <c r="B4556">
        <v>3</v>
      </c>
      <c r="C4556">
        <v>4</v>
      </c>
      <c r="D4556" t="str">
        <f>VLOOKUP(B4556, Products!$A$2:$C$100, 2, FALSE)</f>
        <v>Surly Wednesday Frameset - 2016</v>
      </c>
      <c r="E4556">
        <v>1</v>
      </c>
      <c r="F4556">
        <v>2899.99</v>
      </c>
      <c r="G4556">
        <v>0.05</v>
      </c>
      <c r="H4556">
        <v>144.99949999999998</v>
      </c>
      <c r="I4556">
        <f>order_items[[#This Row],[list_price]]-order_items[[#This Row],[Discounted_price]]</f>
        <v>2754.9904999999999</v>
      </c>
      <c r="J4556">
        <f>VLOOKUP(B4556, Products!$A$2:$E$100, 3, FALSE)</f>
        <v>8</v>
      </c>
      <c r="K4556">
        <f>VLOOKUP(B4556, Products!$A$2:$F$100, 4, FALSE)</f>
        <v>6</v>
      </c>
    </row>
    <row r="4557" spans="1:11" x14ac:dyDescent="0.3">
      <c r="A4557">
        <v>1558</v>
      </c>
      <c r="B4557">
        <v>4</v>
      </c>
      <c r="C4557">
        <v>55</v>
      </c>
      <c r="D4557" t="str">
        <f>VLOOKUP(B4557, Products!$A$2:$C$100, 2, FALSE)</f>
        <v>Trek Fuel EX 8 29 - 2016</v>
      </c>
      <c r="E4557">
        <v>1</v>
      </c>
      <c r="F4557">
        <v>2699.99</v>
      </c>
      <c r="G4557">
        <v>0.2</v>
      </c>
      <c r="H4557">
        <v>539.99799999999993</v>
      </c>
      <c r="I4557">
        <f>order_items[[#This Row],[list_price]]-order_items[[#This Row],[Discounted_price]]</f>
        <v>2159.9919999999997</v>
      </c>
      <c r="J4557">
        <f>VLOOKUP(B4557, Products!$A$2:$E$100, 3, FALSE)</f>
        <v>9</v>
      </c>
      <c r="K4557">
        <f>VLOOKUP(B4557, Products!$A$2:$F$100, 4, FALSE)</f>
        <v>6</v>
      </c>
    </row>
    <row r="4558" spans="1:11" x14ac:dyDescent="0.3">
      <c r="A4558">
        <v>1558</v>
      </c>
      <c r="B4558">
        <v>5</v>
      </c>
      <c r="C4558">
        <v>253</v>
      </c>
      <c r="D4558" t="str">
        <f>VLOOKUP(B4558, Products!$A$2:$C$100, 2, FALSE)</f>
        <v>Heller Shagamaw Frame - 2016</v>
      </c>
      <c r="E4558">
        <v>1</v>
      </c>
      <c r="F4558">
        <v>2599.9899999999998</v>
      </c>
      <c r="G4558">
        <v>7.0000000000000007E-2</v>
      </c>
      <c r="H4558">
        <v>181.99930000000001</v>
      </c>
      <c r="I4558">
        <f>order_items[[#This Row],[list_price]]-order_items[[#This Row],[Discounted_price]]</f>
        <v>2417.9906999999998</v>
      </c>
      <c r="J4558">
        <f>VLOOKUP(B4558, Products!$A$2:$E$100, 3, FALSE)</f>
        <v>3</v>
      </c>
      <c r="K4558">
        <f>VLOOKUP(B4558, Products!$A$2:$F$100, 4, FALSE)</f>
        <v>6</v>
      </c>
    </row>
    <row r="4559" spans="1:11" x14ac:dyDescent="0.3">
      <c r="A4559">
        <v>1559</v>
      </c>
      <c r="B4559">
        <v>1</v>
      </c>
      <c r="C4559">
        <v>101</v>
      </c>
      <c r="D4559" t="str">
        <f>VLOOKUP(B4559, Products!$A$2:$C$100, 2, FALSE)</f>
        <v>Trek 820 - 2016</v>
      </c>
      <c r="E4559">
        <v>2</v>
      </c>
      <c r="F4559">
        <v>339.99</v>
      </c>
      <c r="G4559">
        <v>7.0000000000000007E-2</v>
      </c>
      <c r="H4559">
        <v>23.799300000000002</v>
      </c>
      <c r="I4559">
        <f>order_items[[#This Row],[list_price]]-order_items[[#This Row],[Discounted_price]]</f>
        <v>316.19069999999999</v>
      </c>
      <c r="J4559">
        <f>VLOOKUP(B4559, Products!$A$2:$E$100, 3, FALSE)</f>
        <v>9</v>
      </c>
      <c r="K4559">
        <f>VLOOKUP(B4559, Products!$A$2:$F$100, 4, FALSE)</f>
        <v>6</v>
      </c>
    </row>
    <row r="4560" spans="1:11" x14ac:dyDescent="0.3">
      <c r="A4560">
        <v>1559</v>
      </c>
      <c r="B4560">
        <v>2</v>
      </c>
      <c r="C4560">
        <v>18</v>
      </c>
      <c r="D4560" t="str">
        <f>VLOOKUP(B4560, Products!$A$2:$C$100, 2, FALSE)</f>
        <v>Ritchey Timberwolf Frameset - 2016</v>
      </c>
      <c r="E4560">
        <v>1</v>
      </c>
      <c r="F4560">
        <v>449</v>
      </c>
      <c r="G4560">
        <v>0.1</v>
      </c>
      <c r="H4560">
        <v>44.900000000000006</v>
      </c>
      <c r="I4560">
        <f>order_items[[#This Row],[list_price]]-order_items[[#This Row],[Discounted_price]]</f>
        <v>404.1</v>
      </c>
      <c r="J4560">
        <f>VLOOKUP(B4560, Products!$A$2:$E$100, 3, FALSE)</f>
        <v>5</v>
      </c>
      <c r="K4560">
        <f>VLOOKUP(B4560, Products!$A$2:$F$100, 4, FALSE)</f>
        <v>6</v>
      </c>
    </row>
    <row r="4561" spans="1:11" x14ac:dyDescent="0.3">
      <c r="A4561">
        <v>1559</v>
      </c>
      <c r="B4561">
        <v>3</v>
      </c>
      <c r="C4561">
        <v>54</v>
      </c>
      <c r="D4561" t="str">
        <f>VLOOKUP(B4561, Products!$A$2:$C$100, 2, FALSE)</f>
        <v>Surly Wednesday Frameset - 2016</v>
      </c>
      <c r="E4561">
        <v>2</v>
      </c>
      <c r="F4561">
        <v>3199.99</v>
      </c>
      <c r="G4561">
        <v>0.1</v>
      </c>
      <c r="H4561">
        <v>319.99900000000002</v>
      </c>
      <c r="I4561">
        <f>order_items[[#This Row],[list_price]]-order_items[[#This Row],[Discounted_price]]</f>
        <v>2879.991</v>
      </c>
      <c r="J4561">
        <f>VLOOKUP(B4561, Products!$A$2:$E$100, 3, FALSE)</f>
        <v>8</v>
      </c>
      <c r="K4561">
        <f>VLOOKUP(B4561, Products!$A$2:$F$100, 4, FALSE)</f>
        <v>6</v>
      </c>
    </row>
    <row r="4562" spans="1:11" x14ac:dyDescent="0.3">
      <c r="A4562">
        <v>1559</v>
      </c>
      <c r="B4562">
        <v>4</v>
      </c>
      <c r="C4562">
        <v>221</v>
      </c>
      <c r="D4562" t="str">
        <f>VLOOKUP(B4562, Products!$A$2:$C$100, 2, FALSE)</f>
        <v>Trek Fuel EX 8 29 - 2016</v>
      </c>
      <c r="E4562">
        <v>1</v>
      </c>
      <c r="F4562">
        <v>319.99</v>
      </c>
      <c r="G4562">
        <v>0.1</v>
      </c>
      <c r="H4562">
        <v>31.999000000000002</v>
      </c>
      <c r="I4562">
        <f>order_items[[#This Row],[list_price]]-order_items[[#This Row],[Discounted_price]]</f>
        <v>287.99099999999999</v>
      </c>
      <c r="J4562">
        <f>VLOOKUP(B4562, Products!$A$2:$E$100, 3, FALSE)</f>
        <v>9</v>
      </c>
      <c r="K4562">
        <f>VLOOKUP(B4562, Products!$A$2:$F$100, 4, FALSE)</f>
        <v>6</v>
      </c>
    </row>
    <row r="4563" spans="1:11" x14ac:dyDescent="0.3">
      <c r="A4563">
        <v>1560</v>
      </c>
      <c r="B4563">
        <v>1</v>
      </c>
      <c r="C4563">
        <v>118</v>
      </c>
      <c r="D4563" t="str">
        <f>VLOOKUP(B4563, Products!$A$2:$C$100, 2, FALSE)</f>
        <v>Trek 820 - 2016</v>
      </c>
      <c r="E4563">
        <v>2</v>
      </c>
      <c r="F4563">
        <v>999.99</v>
      </c>
      <c r="G4563">
        <v>0.2</v>
      </c>
      <c r="H4563">
        <v>199.99800000000002</v>
      </c>
      <c r="I4563">
        <f>order_items[[#This Row],[list_price]]-order_items[[#This Row],[Discounted_price]]</f>
        <v>799.99199999999996</v>
      </c>
      <c r="J4563">
        <f>VLOOKUP(B4563, Products!$A$2:$E$100, 3, FALSE)</f>
        <v>9</v>
      </c>
      <c r="K4563">
        <f>VLOOKUP(B4563, Products!$A$2:$F$100, 4, FALSE)</f>
        <v>6</v>
      </c>
    </row>
    <row r="4564" spans="1:11" x14ac:dyDescent="0.3">
      <c r="A4564">
        <v>1560</v>
      </c>
      <c r="B4564">
        <v>2</v>
      </c>
      <c r="C4564">
        <v>41</v>
      </c>
      <c r="D4564" t="str">
        <f>VLOOKUP(B4564, Products!$A$2:$C$100, 2, FALSE)</f>
        <v>Ritchey Timberwolf Frameset - 2016</v>
      </c>
      <c r="E4564">
        <v>1</v>
      </c>
      <c r="F4564">
        <v>1469.99</v>
      </c>
      <c r="G4564">
        <v>0.2</v>
      </c>
      <c r="H4564">
        <v>293.99799999999999</v>
      </c>
      <c r="I4564">
        <f>order_items[[#This Row],[list_price]]-order_items[[#This Row],[Discounted_price]]</f>
        <v>1175.992</v>
      </c>
      <c r="J4564">
        <f>VLOOKUP(B4564, Products!$A$2:$E$100, 3, FALSE)</f>
        <v>5</v>
      </c>
      <c r="K4564">
        <f>VLOOKUP(B4564, Products!$A$2:$F$100, 4, FALSE)</f>
        <v>6</v>
      </c>
    </row>
    <row r="4565" spans="1:11" x14ac:dyDescent="0.3">
      <c r="A4565">
        <v>1561</v>
      </c>
      <c r="B4565">
        <v>1</v>
      </c>
      <c r="C4565">
        <v>181</v>
      </c>
      <c r="D4565" t="str">
        <f>VLOOKUP(B4565, Products!$A$2:$C$100, 2, FALSE)</f>
        <v>Trek 820 - 2016</v>
      </c>
      <c r="E4565">
        <v>2</v>
      </c>
      <c r="F4565">
        <v>2199.9899999999998</v>
      </c>
      <c r="G4565">
        <v>7.0000000000000007E-2</v>
      </c>
      <c r="H4565">
        <v>153.99930000000001</v>
      </c>
      <c r="I4565">
        <f>order_items[[#This Row],[list_price]]-order_items[[#This Row],[Discounted_price]]</f>
        <v>2045.9906999999998</v>
      </c>
      <c r="J4565">
        <f>VLOOKUP(B4565, Products!$A$2:$E$100, 3, FALSE)</f>
        <v>9</v>
      </c>
      <c r="K4565">
        <f>VLOOKUP(B4565, Products!$A$2:$F$100, 4, FALSE)</f>
        <v>6</v>
      </c>
    </row>
    <row r="4566" spans="1:11" x14ac:dyDescent="0.3">
      <c r="A4566">
        <v>1561</v>
      </c>
      <c r="B4566">
        <v>2</v>
      </c>
      <c r="C4566">
        <v>297</v>
      </c>
      <c r="D4566" t="str">
        <f>VLOOKUP(B4566, Products!$A$2:$C$100, 2, FALSE)</f>
        <v>Ritchey Timberwolf Frameset - 2016</v>
      </c>
      <c r="E4566">
        <v>2</v>
      </c>
      <c r="F4566">
        <v>279.99</v>
      </c>
      <c r="G4566">
        <v>0.05</v>
      </c>
      <c r="H4566">
        <v>13.999500000000001</v>
      </c>
      <c r="I4566">
        <f>order_items[[#This Row],[list_price]]-order_items[[#This Row],[Discounted_price]]</f>
        <v>265.9905</v>
      </c>
      <c r="J4566">
        <f>VLOOKUP(B4566, Products!$A$2:$E$100, 3, FALSE)</f>
        <v>5</v>
      </c>
      <c r="K4566">
        <f>VLOOKUP(B4566, Products!$A$2:$F$100, 4, FALSE)</f>
        <v>6</v>
      </c>
    </row>
    <row r="4567" spans="1:11" x14ac:dyDescent="0.3">
      <c r="A4567">
        <v>1562</v>
      </c>
      <c r="B4567">
        <v>1</v>
      </c>
      <c r="C4567">
        <v>54</v>
      </c>
      <c r="D4567" t="str">
        <f>VLOOKUP(B4567, Products!$A$2:$C$100, 2, FALSE)</f>
        <v>Trek 820 - 2016</v>
      </c>
      <c r="E4567">
        <v>1</v>
      </c>
      <c r="F4567">
        <v>3199.99</v>
      </c>
      <c r="G4567">
        <v>0.2</v>
      </c>
      <c r="H4567">
        <v>639.99800000000005</v>
      </c>
      <c r="I4567">
        <f>order_items[[#This Row],[list_price]]-order_items[[#This Row],[Discounted_price]]</f>
        <v>2559.9919999999997</v>
      </c>
      <c r="J4567">
        <f>VLOOKUP(B4567, Products!$A$2:$E$100, 3, FALSE)</f>
        <v>9</v>
      </c>
      <c r="K4567">
        <f>VLOOKUP(B4567, Products!$A$2:$F$100, 4, FALSE)</f>
        <v>6</v>
      </c>
    </row>
    <row r="4568" spans="1:11" x14ac:dyDescent="0.3">
      <c r="A4568">
        <v>1562</v>
      </c>
      <c r="B4568">
        <v>2</v>
      </c>
      <c r="C4568">
        <v>66</v>
      </c>
      <c r="D4568" t="str">
        <f>VLOOKUP(B4568, Products!$A$2:$C$100, 2, FALSE)</f>
        <v>Ritchey Timberwolf Frameset - 2016</v>
      </c>
      <c r="E4568">
        <v>1</v>
      </c>
      <c r="F4568">
        <v>250.99</v>
      </c>
      <c r="G4568">
        <v>0.2</v>
      </c>
      <c r="H4568">
        <v>50.198000000000008</v>
      </c>
      <c r="I4568">
        <f>order_items[[#This Row],[list_price]]-order_items[[#This Row],[Discounted_price]]</f>
        <v>200.792</v>
      </c>
      <c r="J4568">
        <f>VLOOKUP(B4568, Products!$A$2:$E$100, 3, FALSE)</f>
        <v>5</v>
      </c>
      <c r="K4568">
        <f>VLOOKUP(B4568, Products!$A$2:$F$100, 4, FALSE)</f>
        <v>6</v>
      </c>
    </row>
    <row r="4569" spans="1:11" x14ac:dyDescent="0.3">
      <c r="A4569">
        <v>1562</v>
      </c>
      <c r="B4569">
        <v>3</v>
      </c>
      <c r="C4569">
        <v>115</v>
      </c>
      <c r="D4569" t="str">
        <f>VLOOKUP(B4569, Products!$A$2:$C$100, 2, FALSE)</f>
        <v>Surly Wednesday Frameset - 2016</v>
      </c>
      <c r="E4569">
        <v>2</v>
      </c>
      <c r="F4569">
        <v>3199.99</v>
      </c>
      <c r="G4569">
        <v>7.0000000000000007E-2</v>
      </c>
      <c r="H4569">
        <v>223.99930000000001</v>
      </c>
      <c r="I4569">
        <f>order_items[[#This Row],[list_price]]-order_items[[#This Row],[Discounted_price]]</f>
        <v>2975.9906999999998</v>
      </c>
      <c r="J4569">
        <f>VLOOKUP(B4569, Products!$A$2:$E$100, 3, FALSE)</f>
        <v>8</v>
      </c>
      <c r="K4569">
        <f>VLOOKUP(B4569, Products!$A$2:$F$100, 4, FALSE)</f>
        <v>6</v>
      </c>
    </row>
    <row r="4570" spans="1:11" x14ac:dyDescent="0.3">
      <c r="A4570">
        <v>1563</v>
      </c>
      <c r="B4570">
        <v>1</v>
      </c>
      <c r="C4570">
        <v>188</v>
      </c>
      <c r="D4570" t="str">
        <f>VLOOKUP(B4570, Products!$A$2:$C$100, 2, FALSE)</f>
        <v>Trek 820 - 2016</v>
      </c>
      <c r="E4570">
        <v>1</v>
      </c>
      <c r="F4570">
        <v>3499.99</v>
      </c>
      <c r="G4570">
        <v>7.0000000000000007E-2</v>
      </c>
      <c r="H4570">
        <v>244.99930000000001</v>
      </c>
      <c r="I4570">
        <f>order_items[[#This Row],[list_price]]-order_items[[#This Row],[Discounted_price]]</f>
        <v>3254.9906999999998</v>
      </c>
      <c r="J4570">
        <f>VLOOKUP(B4570, Products!$A$2:$E$100, 3, FALSE)</f>
        <v>9</v>
      </c>
      <c r="K4570">
        <f>VLOOKUP(B4570, Products!$A$2:$F$100, 4, FALSE)</f>
        <v>6</v>
      </c>
    </row>
    <row r="4571" spans="1:11" x14ac:dyDescent="0.3">
      <c r="A4571">
        <v>1564</v>
      </c>
      <c r="B4571">
        <v>1</v>
      </c>
      <c r="C4571">
        <v>309</v>
      </c>
      <c r="D4571" t="str">
        <f>VLOOKUP(B4571, Products!$A$2:$C$100, 2, FALSE)</f>
        <v>Trek 820 - 2016</v>
      </c>
      <c r="E4571">
        <v>1</v>
      </c>
      <c r="F4571">
        <v>899.99</v>
      </c>
      <c r="G4571">
        <v>7.0000000000000007E-2</v>
      </c>
      <c r="H4571">
        <v>62.999300000000005</v>
      </c>
      <c r="I4571">
        <f>order_items[[#This Row],[list_price]]-order_items[[#This Row],[Discounted_price]]</f>
        <v>836.99070000000006</v>
      </c>
      <c r="J4571">
        <f>VLOOKUP(B4571, Products!$A$2:$E$100, 3, FALSE)</f>
        <v>9</v>
      </c>
      <c r="K4571">
        <f>VLOOKUP(B4571, Products!$A$2:$F$100, 4, FALSE)</f>
        <v>6</v>
      </c>
    </row>
    <row r="4572" spans="1:11" x14ac:dyDescent="0.3">
      <c r="A4572">
        <v>1564</v>
      </c>
      <c r="B4572">
        <v>2</v>
      </c>
      <c r="C4572">
        <v>14</v>
      </c>
      <c r="D4572" t="str">
        <f>VLOOKUP(B4572, Products!$A$2:$C$100, 2, FALSE)</f>
        <v>Ritchey Timberwolf Frameset - 2016</v>
      </c>
      <c r="E4572">
        <v>1</v>
      </c>
      <c r="F4572">
        <v>269.99</v>
      </c>
      <c r="G4572">
        <v>0.1</v>
      </c>
      <c r="H4572">
        <v>26.999000000000002</v>
      </c>
      <c r="I4572">
        <f>order_items[[#This Row],[list_price]]-order_items[[#This Row],[Discounted_price]]</f>
        <v>242.99100000000001</v>
      </c>
      <c r="J4572">
        <f>VLOOKUP(B4572, Products!$A$2:$E$100, 3, FALSE)</f>
        <v>5</v>
      </c>
      <c r="K4572">
        <f>VLOOKUP(B4572, Products!$A$2:$F$100, 4, FALSE)</f>
        <v>6</v>
      </c>
    </row>
    <row r="4573" spans="1:11" x14ac:dyDescent="0.3">
      <c r="A4573">
        <v>1565</v>
      </c>
      <c r="B4573">
        <v>1</v>
      </c>
      <c r="C4573">
        <v>37</v>
      </c>
      <c r="D4573" t="str">
        <f>VLOOKUP(B4573, Products!$A$2:$C$100, 2, FALSE)</f>
        <v>Trek 820 - 2016</v>
      </c>
      <c r="E4573">
        <v>1</v>
      </c>
      <c r="F4573">
        <v>379.99</v>
      </c>
      <c r="G4573">
        <v>7.0000000000000007E-2</v>
      </c>
      <c r="H4573">
        <v>26.599300000000003</v>
      </c>
      <c r="I4573">
        <f>order_items[[#This Row],[list_price]]-order_items[[#This Row],[Discounted_price]]</f>
        <v>353.39069999999998</v>
      </c>
      <c r="J4573">
        <f>VLOOKUP(B4573, Products!$A$2:$E$100, 3, FALSE)</f>
        <v>9</v>
      </c>
      <c r="K4573">
        <f>VLOOKUP(B4573, Products!$A$2:$F$100, 4, FALSE)</f>
        <v>6</v>
      </c>
    </row>
    <row r="4574" spans="1:11" x14ac:dyDescent="0.3">
      <c r="A4574">
        <v>1565</v>
      </c>
      <c r="B4574">
        <v>2</v>
      </c>
      <c r="C4574">
        <v>92</v>
      </c>
      <c r="D4574" t="str">
        <f>VLOOKUP(B4574, Products!$A$2:$C$100, 2, FALSE)</f>
        <v>Ritchey Timberwolf Frameset - 2016</v>
      </c>
      <c r="E4574">
        <v>1</v>
      </c>
      <c r="F4574">
        <v>209.99</v>
      </c>
      <c r="G4574">
        <v>0.1</v>
      </c>
      <c r="H4574">
        <v>20.999000000000002</v>
      </c>
      <c r="I4574">
        <f>order_items[[#This Row],[list_price]]-order_items[[#This Row],[Discounted_price]]</f>
        <v>188.99100000000001</v>
      </c>
      <c r="J4574">
        <f>VLOOKUP(B4574, Products!$A$2:$E$100, 3, FALSE)</f>
        <v>5</v>
      </c>
      <c r="K4574">
        <f>VLOOKUP(B4574, Products!$A$2:$F$100, 4, FALSE)</f>
        <v>6</v>
      </c>
    </row>
    <row r="4575" spans="1:11" x14ac:dyDescent="0.3">
      <c r="A4575">
        <v>1565</v>
      </c>
      <c r="B4575">
        <v>3</v>
      </c>
      <c r="C4575">
        <v>261</v>
      </c>
      <c r="D4575" t="str">
        <f>VLOOKUP(B4575, Products!$A$2:$C$100, 2, FALSE)</f>
        <v>Surly Wednesday Frameset - 2016</v>
      </c>
      <c r="E4575">
        <v>1</v>
      </c>
      <c r="F4575">
        <v>899.99</v>
      </c>
      <c r="G4575">
        <v>0.1</v>
      </c>
      <c r="H4575">
        <v>89.999000000000009</v>
      </c>
      <c r="I4575">
        <f>order_items[[#This Row],[list_price]]-order_items[[#This Row],[Discounted_price]]</f>
        <v>809.99099999999999</v>
      </c>
      <c r="J4575">
        <f>VLOOKUP(B4575, Products!$A$2:$E$100, 3, FALSE)</f>
        <v>8</v>
      </c>
      <c r="K4575">
        <f>VLOOKUP(B4575, Products!$A$2:$F$100, 4, FALSE)</f>
        <v>6</v>
      </c>
    </row>
    <row r="4576" spans="1:11" x14ac:dyDescent="0.3">
      <c r="A4576">
        <v>1565</v>
      </c>
      <c r="B4576">
        <v>4</v>
      </c>
      <c r="C4576">
        <v>95</v>
      </c>
      <c r="D4576" t="str">
        <f>VLOOKUP(B4576, Products!$A$2:$C$100, 2, FALSE)</f>
        <v>Trek Fuel EX 8 29 - 2016</v>
      </c>
      <c r="E4576">
        <v>1</v>
      </c>
      <c r="F4576">
        <v>299.99</v>
      </c>
      <c r="G4576">
        <v>7.0000000000000007E-2</v>
      </c>
      <c r="H4576">
        <v>20.999300000000002</v>
      </c>
      <c r="I4576">
        <f>order_items[[#This Row],[list_price]]-order_items[[#This Row],[Discounted_price]]</f>
        <v>278.9907</v>
      </c>
      <c r="J4576">
        <f>VLOOKUP(B4576, Products!$A$2:$E$100, 3, FALSE)</f>
        <v>9</v>
      </c>
      <c r="K4576">
        <f>VLOOKUP(B4576, Products!$A$2:$F$100, 4, FALSE)</f>
        <v>6</v>
      </c>
    </row>
    <row r="4577" spans="1:11" x14ac:dyDescent="0.3">
      <c r="A4577">
        <v>1565</v>
      </c>
      <c r="B4577">
        <v>5</v>
      </c>
      <c r="C4577">
        <v>226</v>
      </c>
      <c r="D4577" t="str">
        <f>VLOOKUP(B4577, Products!$A$2:$C$100, 2, FALSE)</f>
        <v>Heller Shagamaw Frame - 2016</v>
      </c>
      <c r="E4577">
        <v>2</v>
      </c>
      <c r="F4577">
        <v>679.99</v>
      </c>
      <c r="G4577">
        <v>0.2</v>
      </c>
      <c r="H4577">
        <v>135.99800000000002</v>
      </c>
      <c r="I4577">
        <f>order_items[[#This Row],[list_price]]-order_items[[#This Row],[Discounted_price]]</f>
        <v>543.99199999999996</v>
      </c>
      <c r="J4577">
        <f>VLOOKUP(B4577, Products!$A$2:$E$100, 3, FALSE)</f>
        <v>3</v>
      </c>
      <c r="K4577">
        <f>VLOOKUP(B4577, Products!$A$2:$F$100, 4, FALSE)</f>
        <v>6</v>
      </c>
    </row>
    <row r="4578" spans="1:11" x14ac:dyDescent="0.3">
      <c r="A4578">
        <v>1566</v>
      </c>
      <c r="B4578">
        <v>1</v>
      </c>
      <c r="C4578">
        <v>179</v>
      </c>
      <c r="D4578" t="str">
        <f>VLOOKUP(B4578, Products!$A$2:$C$100, 2, FALSE)</f>
        <v>Trek 820 - 2016</v>
      </c>
      <c r="E4578">
        <v>1</v>
      </c>
      <c r="F4578">
        <v>919.99</v>
      </c>
      <c r="G4578">
        <v>0.05</v>
      </c>
      <c r="H4578">
        <v>45.999500000000005</v>
      </c>
      <c r="I4578">
        <f>order_items[[#This Row],[list_price]]-order_items[[#This Row],[Discounted_price]]</f>
        <v>873.9905</v>
      </c>
      <c r="J4578">
        <f>VLOOKUP(B4578, Products!$A$2:$E$100, 3, FALSE)</f>
        <v>9</v>
      </c>
      <c r="K4578">
        <f>VLOOKUP(B4578, Products!$A$2:$F$100, 4, FALSE)</f>
        <v>6</v>
      </c>
    </row>
    <row r="4579" spans="1:11" x14ac:dyDescent="0.3">
      <c r="A4579">
        <v>1566</v>
      </c>
      <c r="B4579">
        <v>2</v>
      </c>
      <c r="C4579">
        <v>61</v>
      </c>
      <c r="D4579" t="str">
        <f>VLOOKUP(B4579, Products!$A$2:$C$100, 2, FALSE)</f>
        <v>Ritchey Timberwolf Frameset - 2016</v>
      </c>
      <c r="E4579">
        <v>2</v>
      </c>
      <c r="F4579">
        <v>4999.99</v>
      </c>
      <c r="G4579">
        <v>0.05</v>
      </c>
      <c r="H4579">
        <v>249.99950000000001</v>
      </c>
      <c r="I4579">
        <f>order_items[[#This Row],[list_price]]-order_items[[#This Row],[Discounted_price]]</f>
        <v>4749.9904999999999</v>
      </c>
      <c r="J4579">
        <f>VLOOKUP(B4579, Products!$A$2:$E$100, 3, FALSE)</f>
        <v>5</v>
      </c>
      <c r="K4579">
        <f>VLOOKUP(B4579, Products!$A$2:$F$100, 4, FALSE)</f>
        <v>6</v>
      </c>
    </row>
    <row r="4580" spans="1:11" x14ac:dyDescent="0.3">
      <c r="A4580">
        <v>1567</v>
      </c>
      <c r="B4580">
        <v>1</v>
      </c>
      <c r="C4580">
        <v>279</v>
      </c>
      <c r="D4580" t="str">
        <f>VLOOKUP(B4580, Products!$A$2:$C$100, 2, FALSE)</f>
        <v>Trek 820 - 2016</v>
      </c>
      <c r="E4580">
        <v>1</v>
      </c>
      <c r="F4580">
        <v>319.99</v>
      </c>
      <c r="G4580">
        <v>0.2</v>
      </c>
      <c r="H4580">
        <v>63.998000000000005</v>
      </c>
      <c r="I4580">
        <f>order_items[[#This Row],[list_price]]-order_items[[#This Row],[Discounted_price]]</f>
        <v>255.99200000000002</v>
      </c>
      <c r="J4580">
        <f>VLOOKUP(B4580, Products!$A$2:$E$100, 3, FALSE)</f>
        <v>9</v>
      </c>
      <c r="K4580">
        <f>VLOOKUP(B4580, Products!$A$2:$F$100, 4, FALSE)</f>
        <v>6</v>
      </c>
    </row>
    <row r="4581" spans="1:11" x14ac:dyDescent="0.3">
      <c r="A4581">
        <v>1568</v>
      </c>
      <c r="B4581">
        <v>1</v>
      </c>
      <c r="C4581">
        <v>146</v>
      </c>
      <c r="D4581" t="str">
        <f>VLOOKUP(B4581, Products!$A$2:$C$100, 2, FALSE)</f>
        <v>Trek 820 - 2016</v>
      </c>
      <c r="E4581">
        <v>1</v>
      </c>
      <c r="F4581">
        <v>4999.99</v>
      </c>
      <c r="G4581">
        <v>0.2</v>
      </c>
      <c r="H4581">
        <v>999.99800000000005</v>
      </c>
      <c r="I4581">
        <f>order_items[[#This Row],[list_price]]-order_items[[#This Row],[Discounted_price]]</f>
        <v>3999.9919999999997</v>
      </c>
      <c r="J4581">
        <f>VLOOKUP(B4581, Products!$A$2:$E$100, 3, FALSE)</f>
        <v>9</v>
      </c>
      <c r="K4581">
        <f>VLOOKUP(B4581, Products!$A$2:$F$100, 4, FALSE)</f>
        <v>6</v>
      </c>
    </row>
    <row r="4582" spans="1:11" x14ac:dyDescent="0.3">
      <c r="A4582">
        <v>1568</v>
      </c>
      <c r="B4582">
        <v>2</v>
      </c>
      <c r="C4582">
        <v>105</v>
      </c>
      <c r="D4582" t="str">
        <f>VLOOKUP(B4582, Products!$A$2:$C$100, 2, FALSE)</f>
        <v>Ritchey Timberwolf Frameset - 2016</v>
      </c>
      <c r="E4582">
        <v>1</v>
      </c>
      <c r="F4582">
        <v>533.99</v>
      </c>
      <c r="G4582">
        <v>7.0000000000000007E-2</v>
      </c>
      <c r="H4582">
        <v>37.379300000000008</v>
      </c>
      <c r="I4582">
        <f>order_items[[#This Row],[list_price]]-order_items[[#This Row],[Discounted_price]]</f>
        <v>496.61070000000001</v>
      </c>
      <c r="J4582">
        <f>VLOOKUP(B4582, Products!$A$2:$E$100, 3, FALSE)</f>
        <v>5</v>
      </c>
      <c r="K4582">
        <f>VLOOKUP(B4582, Products!$A$2:$F$100, 4, FALSE)</f>
        <v>6</v>
      </c>
    </row>
    <row r="4583" spans="1:11" x14ac:dyDescent="0.3">
      <c r="A4583">
        <v>1568</v>
      </c>
      <c r="B4583">
        <v>3</v>
      </c>
      <c r="C4583">
        <v>301</v>
      </c>
      <c r="D4583" t="str">
        <f>VLOOKUP(B4583, Products!$A$2:$C$100, 2, FALSE)</f>
        <v>Surly Wednesday Frameset - 2016</v>
      </c>
      <c r="E4583">
        <v>1</v>
      </c>
      <c r="F4583">
        <v>899.99</v>
      </c>
      <c r="G4583">
        <v>0.1</v>
      </c>
      <c r="H4583">
        <v>89.999000000000009</v>
      </c>
      <c r="I4583">
        <f>order_items[[#This Row],[list_price]]-order_items[[#This Row],[Discounted_price]]</f>
        <v>809.99099999999999</v>
      </c>
      <c r="J4583">
        <f>VLOOKUP(B4583, Products!$A$2:$E$100, 3, FALSE)</f>
        <v>8</v>
      </c>
      <c r="K4583">
        <f>VLOOKUP(B4583, Products!$A$2:$F$100, 4, FALSE)</f>
        <v>6</v>
      </c>
    </row>
    <row r="4584" spans="1:11" x14ac:dyDescent="0.3">
      <c r="A4584">
        <v>1569</v>
      </c>
      <c r="B4584">
        <v>1</v>
      </c>
      <c r="C4584">
        <v>252</v>
      </c>
      <c r="D4584" t="str">
        <f>VLOOKUP(B4584, Products!$A$2:$C$100, 2, FALSE)</f>
        <v>Trek 820 - 2016</v>
      </c>
      <c r="E4584">
        <v>1</v>
      </c>
      <c r="F4584">
        <v>2999.99</v>
      </c>
      <c r="G4584">
        <v>0.1</v>
      </c>
      <c r="H4584">
        <v>299.99899999999997</v>
      </c>
      <c r="I4584">
        <f>order_items[[#This Row],[list_price]]-order_items[[#This Row],[Discounted_price]]</f>
        <v>2699.991</v>
      </c>
      <c r="J4584">
        <f>VLOOKUP(B4584, Products!$A$2:$E$100, 3, FALSE)</f>
        <v>9</v>
      </c>
      <c r="K4584">
        <f>VLOOKUP(B4584, Products!$A$2:$F$100, 4, FALSE)</f>
        <v>6</v>
      </c>
    </row>
    <row r="4585" spans="1:11" x14ac:dyDescent="0.3">
      <c r="A4585">
        <v>1570</v>
      </c>
      <c r="B4585">
        <v>1</v>
      </c>
      <c r="C4585">
        <v>155</v>
      </c>
      <c r="D4585" t="str">
        <f>VLOOKUP(B4585, Products!$A$2:$C$100, 2, FALSE)</f>
        <v>Trek 820 - 2016</v>
      </c>
      <c r="E4585">
        <v>1</v>
      </c>
      <c r="F4585">
        <v>11999.99</v>
      </c>
      <c r="G4585">
        <v>7.0000000000000007E-2</v>
      </c>
      <c r="H4585">
        <v>839.99930000000006</v>
      </c>
      <c r="I4585">
        <f>order_items[[#This Row],[list_price]]-order_items[[#This Row],[Discounted_price]]</f>
        <v>11159.9907</v>
      </c>
      <c r="J4585">
        <f>VLOOKUP(B4585, Products!$A$2:$E$100, 3, FALSE)</f>
        <v>9</v>
      </c>
      <c r="K4585">
        <f>VLOOKUP(B4585, Products!$A$2:$F$100, 4, FALSE)</f>
        <v>6</v>
      </c>
    </row>
    <row r="4586" spans="1:11" x14ac:dyDescent="0.3">
      <c r="A4586">
        <v>1571</v>
      </c>
      <c r="B4586">
        <v>1</v>
      </c>
      <c r="C4586">
        <v>312</v>
      </c>
      <c r="D4586" t="str">
        <f>VLOOKUP(B4586, Products!$A$2:$C$100, 2, FALSE)</f>
        <v>Trek 820 - 2016</v>
      </c>
      <c r="E4586">
        <v>2</v>
      </c>
      <c r="F4586">
        <v>699.99</v>
      </c>
      <c r="G4586">
        <v>0.1</v>
      </c>
      <c r="H4586">
        <v>69.999000000000009</v>
      </c>
      <c r="I4586">
        <f>order_items[[#This Row],[list_price]]-order_items[[#This Row],[Discounted_price]]</f>
        <v>629.99099999999999</v>
      </c>
      <c r="J4586">
        <f>VLOOKUP(B4586, Products!$A$2:$E$100, 3, FALSE)</f>
        <v>9</v>
      </c>
      <c r="K4586">
        <f>VLOOKUP(B4586, Products!$A$2:$F$100, 4, FALSE)</f>
        <v>6</v>
      </c>
    </row>
    <row r="4587" spans="1:11" x14ac:dyDescent="0.3">
      <c r="A4587">
        <v>1571</v>
      </c>
      <c r="B4587">
        <v>2</v>
      </c>
      <c r="C4587">
        <v>212</v>
      </c>
      <c r="D4587" t="str">
        <f>VLOOKUP(B4587, Products!$A$2:$C$100, 2, FALSE)</f>
        <v>Ritchey Timberwolf Frameset - 2016</v>
      </c>
      <c r="E4587">
        <v>1</v>
      </c>
      <c r="F4587">
        <v>559.99</v>
      </c>
      <c r="G4587">
        <v>7.0000000000000007E-2</v>
      </c>
      <c r="H4587">
        <v>39.199300000000001</v>
      </c>
      <c r="I4587">
        <f>order_items[[#This Row],[list_price]]-order_items[[#This Row],[Discounted_price]]</f>
        <v>520.79070000000002</v>
      </c>
      <c r="J4587">
        <f>VLOOKUP(B4587, Products!$A$2:$E$100, 3, FALSE)</f>
        <v>5</v>
      </c>
      <c r="K4587">
        <f>VLOOKUP(B4587, Products!$A$2:$F$100, 4, FALSE)</f>
        <v>6</v>
      </c>
    </row>
    <row r="4588" spans="1:11" x14ac:dyDescent="0.3">
      <c r="A4588">
        <v>1571</v>
      </c>
      <c r="B4588">
        <v>3</v>
      </c>
      <c r="C4588">
        <v>20</v>
      </c>
      <c r="D4588" t="str">
        <f>VLOOKUP(B4588, Products!$A$2:$C$100, 2, FALSE)</f>
        <v>Surly Wednesday Frameset - 2016</v>
      </c>
      <c r="E4588">
        <v>2</v>
      </c>
      <c r="F4588">
        <v>599.99</v>
      </c>
      <c r="G4588">
        <v>0.2</v>
      </c>
      <c r="H4588">
        <v>119.998</v>
      </c>
      <c r="I4588">
        <f>order_items[[#This Row],[list_price]]-order_items[[#This Row],[Discounted_price]]</f>
        <v>479.99200000000002</v>
      </c>
      <c r="J4588">
        <f>VLOOKUP(B4588, Products!$A$2:$E$100, 3, FALSE)</f>
        <v>8</v>
      </c>
      <c r="K4588">
        <f>VLOOKUP(B4588, Products!$A$2:$F$100, 4, FALSE)</f>
        <v>6</v>
      </c>
    </row>
    <row r="4589" spans="1:11" x14ac:dyDescent="0.3">
      <c r="A4589">
        <v>1572</v>
      </c>
      <c r="B4589">
        <v>1</v>
      </c>
      <c r="C4589">
        <v>216</v>
      </c>
      <c r="D4589" t="str">
        <f>VLOOKUP(B4589, Products!$A$2:$C$100, 2, FALSE)</f>
        <v>Trek 820 - 2016</v>
      </c>
      <c r="E4589">
        <v>2</v>
      </c>
      <c r="F4589">
        <v>899.99</v>
      </c>
      <c r="G4589">
        <v>0.05</v>
      </c>
      <c r="H4589">
        <v>44.999500000000005</v>
      </c>
      <c r="I4589">
        <f>order_items[[#This Row],[list_price]]-order_items[[#This Row],[Discounted_price]]</f>
        <v>854.9905</v>
      </c>
      <c r="J4589">
        <f>VLOOKUP(B4589, Products!$A$2:$E$100, 3, FALSE)</f>
        <v>9</v>
      </c>
      <c r="K4589">
        <f>VLOOKUP(B4589, Products!$A$2:$F$100, 4, FALSE)</f>
        <v>6</v>
      </c>
    </row>
    <row r="4590" spans="1:11" x14ac:dyDescent="0.3">
      <c r="A4590">
        <v>1572</v>
      </c>
      <c r="B4590">
        <v>2</v>
      </c>
      <c r="C4590">
        <v>198</v>
      </c>
      <c r="D4590" t="str">
        <f>VLOOKUP(B4590, Products!$A$2:$C$100, 2, FALSE)</f>
        <v>Ritchey Timberwolf Frameset - 2016</v>
      </c>
      <c r="E4590">
        <v>1</v>
      </c>
      <c r="F4590">
        <v>2999.99</v>
      </c>
      <c r="G4590">
        <v>0.2</v>
      </c>
      <c r="H4590">
        <v>599.99799999999993</v>
      </c>
      <c r="I4590">
        <f>order_items[[#This Row],[list_price]]-order_items[[#This Row],[Discounted_price]]</f>
        <v>2399.9919999999997</v>
      </c>
      <c r="J4590">
        <f>VLOOKUP(B4590, Products!$A$2:$E$100, 3, FALSE)</f>
        <v>5</v>
      </c>
      <c r="K4590">
        <f>VLOOKUP(B4590, Products!$A$2:$F$100, 4, FALSE)</f>
        <v>6</v>
      </c>
    </row>
    <row r="4591" spans="1:11" x14ac:dyDescent="0.3">
      <c r="A4591">
        <v>1572</v>
      </c>
      <c r="B4591">
        <v>3</v>
      </c>
      <c r="C4591">
        <v>115</v>
      </c>
      <c r="D4591" t="str">
        <f>VLOOKUP(B4591, Products!$A$2:$C$100, 2, FALSE)</f>
        <v>Surly Wednesday Frameset - 2016</v>
      </c>
      <c r="E4591">
        <v>1</v>
      </c>
      <c r="F4591">
        <v>3199.99</v>
      </c>
      <c r="G4591">
        <v>0.05</v>
      </c>
      <c r="H4591">
        <v>159.99950000000001</v>
      </c>
      <c r="I4591">
        <f>order_items[[#This Row],[list_price]]-order_items[[#This Row],[Discounted_price]]</f>
        <v>3039.9904999999999</v>
      </c>
      <c r="J4591">
        <f>VLOOKUP(B4591, Products!$A$2:$E$100, 3, FALSE)</f>
        <v>8</v>
      </c>
      <c r="K4591">
        <f>VLOOKUP(B4591, Products!$A$2:$F$100, 4, FALSE)</f>
        <v>6</v>
      </c>
    </row>
    <row r="4592" spans="1:11" x14ac:dyDescent="0.3">
      <c r="A4592">
        <v>1572</v>
      </c>
      <c r="B4592">
        <v>4</v>
      </c>
      <c r="C4592">
        <v>304</v>
      </c>
      <c r="D4592" t="str">
        <f>VLOOKUP(B4592, Products!$A$2:$C$100, 2, FALSE)</f>
        <v>Trek Fuel EX 8 29 - 2016</v>
      </c>
      <c r="E4592">
        <v>2</v>
      </c>
      <c r="F4592">
        <v>679.99</v>
      </c>
      <c r="G4592">
        <v>0.2</v>
      </c>
      <c r="H4592">
        <v>135.99800000000002</v>
      </c>
      <c r="I4592">
        <f>order_items[[#This Row],[list_price]]-order_items[[#This Row],[Discounted_price]]</f>
        <v>543.99199999999996</v>
      </c>
      <c r="J4592">
        <f>VLOOKUP(B4592, Products!$A$2:$E$100, 3, FALSE)</f>
        <v>9</v>
      </c>
      <c r="K4592">
        <f>VLOOKUP(B4592, Products!$A$2:$F$100, 4, FALSE)</f>
        <v>6</v>
      </c>
    </row>
    <row r="4593" spans="1:11" x14ac:dyDescent="0.3">
      <c r="A4593">
        <v>1573</v>
      </c>
      <c r="B4593">
        <v>1</v>
      </c>
      <c r="C4593">
        <v>9</v>
      </c>
      <c r="D4593" t="str">
        <f>VLOOKUP(B4593, Products!$A$2:$C$100, 2, FALSE)</f>
        <v>Trek 820 - 2016</v>
      </c>
      <c r="E4593">
        <v>1</v>
      </c>
      <c r="F4593">
        <v>2999.99</v>
      </c>
      <c r="G4593">
        <v>0.05</v>
      </c>
      <c r="H4593">
        <v>149.99949999999998</v>
      </c>
      <c r="I4593">
        <f>order_items[[#This Row],[list_price]]-order_items[[#This Row],[Discounted_price]]</f>
        <v>2849.9904999999999</v>
      </c>
      <c r="J4593">
        <f>VLOOKUP(B4593, Products!$A$2:$E$100, 3, FALSE)</f>
        <v>9</v>
      </c>
      <c r="K4593">
        <f>VLOOKUP(B4593, Products!$A$2:$F$100, 4, FALSE)</f>
        <v>6</v>
      </c>
    </row>
    <row r="4594" spans="1:11" x14ac:dyDescent="0.3">
      <c r="A4594">
        <v>1573</v>
      </c>
      <c r="B4594">
        <v>2</v>
      </c>
      <c r="C4594">
        <v>129</v>
      </c>
      <c r="D4594" t="str">
        <f>VLOOKUP(B4594, Products!$A$2:$C$100, 2, FALSE)</f>
        <v>Ritchey Timberwolf Frameset - 2016</v>
      </c>
      <c r="E4594">
        <v>1</v>
      </c>
      <c r="F4594">
        <v>919.99</v>
      </c>
      <c r="G4594">
        <v>7.0000000000000007E-2</v>
      </c>
      <c r="H4594">
        <v>64.399300000000011</v>
      </c>
      <c r="I4594">
        <f>order_items[[#This Row],[list_price]]-order_items[[#This Row],[Discounted_price]]</f>
        <v>855.59069999999997</v>
      </c>
      <c r="J4594">
        <f>VLOOKUP(B4594, Products!$A$2:$E$100, 3, FALSE)</f>
        <v>5</v>
      </c>
      <c r="K4594">
        <f>VLOOKUP(B4594, Products!$A$2:$F$100, 4, FALSE)</f>
        <v>6</v>
      </c>
    </row>
    <row r="4595" spans="1:11" x14ac:dyDescent="0.3">
      <c r="A4595">
        <v>1573</v>
      </c>
      <c r="B4595">
        <v>3</v>
      </c>
      <c r="C4595">
        <v>15</v>
      </c>
      <c r="D4595" t="str">
        <f>VLOOKUP(B4595, Products!$A$2:$C$100, 2, FALSE)</f>
        <v>Surly Wednesday Frameset - 2016</v>
      </c>
      <c r="E4595">
        <v>2</v>
      </c>
      <c r="F4595">
        <v>529.99</v>
      </c>
      <c r="G4595">
        <v>0.1</v>
      </c>
      <c r="H4595">
        <v>52.999000000000002</v>
      </c>
      <c r="I4595">
        <f>order_items[[#This Row],[list_price]]-order_items[[#This Row],[Discounted_price]]</f>
        <v>476.99099999999999</v>
      </c>
      <c r="J4595">
        <f>VLOOKUP(B4595, Products!$A$2:$E$100, 3, FALSE)</f>
        <v>8</v>
      </c>
      <c r="K4595">
        <f>VLOOKUP(B4595, Products!$A$2:$F$100, 4, FALSE)</f>
        <v>6</v>
      </c>
    </row>
    <row r="4596" spans="1:11" x14ac:dyDescent="0.3">
      <c r="A4596">
        <v>1573</v>
      </c>
      <c r="B4596">
        <v>4</v>
      </c>
      <c r="C4596">
        <v>216</v>
      </c>
      <c r="D4596" t="str">
        <f>VLOOKUP(B4596, Products!$A$2:$C$100, 2, FALSE)</f>
        <v>Trek Fuel EX 8 29 - 2016</v>
      </c>
      <c r="E4596">
        <v>2</v>
      </c>
      <c r="F4596">
        <v>899.99</v>
      </c>
      <c r="G4596">
        <v>7.0000000000000007E-2</v>
      </c>
      <c r="H4596">
        <v>62.999300000000005</v>
      </c>
      <c r="I4596">
        <f>order_items[[#This Row],[list_price]]-order_items[[#This Row],[Discounted_price]]</f>
        <v>836.99070000000006</v>
      </c>
      <c r="J4596">
        <f>VLOOKUP(B4596, Products!$A$2:$E$100, 3, FALSE)</f>
        <v>9</v>
      </c>
      <c r="K4596">
        <f>VLOOKUP(B4596, Products!$A$2:$F$100, 4, FALSE)</f>
        <v>6</v>
      </c>
    </row>
    <row r="4597" spans="1:11" x14ac:dyDescent="0.3">
      <c r="A4597">
        <v>1573</v>
      </c>
      <c r="B4597">
        <v>5</v>
      </c>
      <c r="C4597">
        <v>263</v>
      </c>
      <c r="D4597" t="str">
        <f>VLOOKUP(B4597, Products!$A$2:$C$100, 2, FALSE)</f>
        <v>Heller Shagamaw Frame - 2016</v>
      </c>
      <c r="E4597">
        <v>2</v>
      </c>
      <c r="F4597">
        <v>89.99</v>
      </c>
      <c r="G4597">
        <v>0.1</v>
      </c>
      <c r="H4597">
        <v>8.9990000000000006</v>
      </c>
      <c r="I4597">
        <f>order_items[[#This Row],[list_price]]-order_items[[#This Row],[Discounted_price]]</f>
        <v>80.991</v>
      </c>
      <c r="J4597">
        <f>VLOOKUP(B4597, Products!$A$2:$E$100, 3, FALSE)</f>
        <v>3</v>
      </c>
      <c r="K4597">
        <f>VLOOKUP(B4597, Products!$A$2:$F$100, 4, FALSE)</f>
        <v>6</v>
      </c>
    </row>
    <row r="4598" spans="1:11" x14ac:dyDescent="0.3">
      <c r="A4598">
        <v>1574</v>
      </c>
      <c r="B4598">
        <v>1</v>
      </c>
      <c r="C4598">
        <v>127</v>
      </c>
      <c r="D4598" t="str">
        <f>VLOOKUP(B4598, Products!$A$2:$C$100, 2, FALSE)</f>
        <v>Trek 820 - 2016</v>
      </c>
      <c r="E4598">
        <v>1</v>
      </c>
      <c r="F4598">
        <v>469.99</v>
      </c>
      <c r="G4598">
        <v>0.1</v>
      </c>
      <c r="H4598">
        <v>46.999000000000002</v>
      </c>
      <c r="I4598">
        <f>order_items[[#This Row],[list_price]]-order_items[[#This Row],[Discounted_price]]</f>
        <v>422.99099999999999</v>
      </c>
      <c r="J4598">
        <f>VLOOKUP(B4598, Products!$A$2:$E$100, 3, FALSE)</f>
        <v>9</v>
      </c>
      <c r="K4598">
        <f>VLOOKUP(B4598, Products!$A$2:$F$100, 4, FALSE)</f>
        <v>6</v>
      </c>
    </row>
    <row r="4599" spans="1:11" x14ac:dyDescent="0.3">
      <c r="A4599">
        <v>1575</v>
      </c>
      <c r="B4599">
        <v>1</v>
      </c>
      <c r="C4599">
        <v>44</v>
      </c>
      <c r="D4599" t="str">
        <f>VLOOKUP(B4599, Products!$A$2:$C$100, 2, FALSE)</f>
        <v>Trek 820 - 2016</v>
      </c>
      <c r="E4599">
        <v>1</v>
      </c>
      <c r="F4599">
        <v>539.99</v>
      </c>
      <c r="G4599">
        <v>7.0000000000000007E-2</v>
      </c>
      <c r="H4599">
        <v>37.799300000000002</v>
      </c>
      <c r="I4599">
        <f>order_items[[#This Row],[list_price]]-order_items[[#This Row],[Discounted_price]]</f>
        <v>502.19069999999999</v>
      </c>
      <c r="J4599">
        <f>VLOOKUP(B4599, Products!$A$2:$E$100, 3, FALSE)</f>
        <v>9</v>
      </c>
      <c r="K4599">
        <f>VLOOKUP(B4599, Products!$A$2:$F$100, 4, FALSE)</f>
        <v>6</v>
      </c>
    </row>
    <row r="4600" spans="1:11" x14ac:dyDescent="0.3">
      <c r="A4600">
        <v>1575</v>
      </c>
      <c r="B4600">
        <v>2</v>
      </c>
      <c r="C4600">
        <v>207</v>
      </c>
      <c r="D4600" t="str">
        <f>VLOOKUP(B4600, Products!$A$2:$C$100, 2, FALSE)</f>
        <v>Ritchey Timberwolf Frameset - 2016</v>
      </c>
      <c r="E4600">
        <v>2</v>
      </c>
      <c r="F4600">
        <v>3999.99</v>
      </c>
      <c r="G4600">
        <v>0.1</v>
      </c>
      <c r="H4600">
        <v>399.99900000000002</v>
      </c>
      <c r="I4600">
        <f>order_items[[#This Row],[list_price]]-order_items[[#This Row],[Discounted_price]]</f>
        <v>3599.991</v>
      </c>
      <c r="J4600">
        <f>VLOOKUP(B4600, Products!$A$2:$E$100, 3, FALSE)</f>
        <v>5</v>
      </c>
      <c r="K4600">
        <f>VLOOKUP(B4600, Products!$A$2:$F$100, 4, FALSE)</f>
        <v>6</v>
      </c>
    </row>
    <row r="4601" spans="1:11" x14ac:dyDescent="0.3">
      <c r="A4601">
        <v>1575</v>
      </c>
      <c r="B4601">
        <v>3</v>
      </c>
      <c r="C4601">
        <v>213</v>
      </c>
      <c r="D4601" t="str">
        <f>VLOOKUP(B4601, Products!$A$2:$C$100, 2, FALSE)</f>
        <v>Surly Wednesday Frameset - 2016</v>
      </c>
      <c r="E4601">
        <v>1</v>
      </c>
      <c r="F4601">
        <v>269.99</v>
      </c>
      <c r="G4601">
        <v>7.0000000000000007E-2</v>
      </c>
      <c r="H4601">
        <v>18.899300000000004</v>
      </c>
      <c r="I4601">
        <f>order_items[[#This Row],[list_price]]-order_items[[#This Row],[Discounted_price]]</f>
        <v>251.0907</v>
      </c>
      <c r="J4601">
        <f>VLOOKUP(B4601, Products!$A$2:$E$100, 3, FALSE)</f>
        <v>8</v>
      </c>
      <c r="K4601">
        <f>VLOOKUP(B4601, Products!$A$2:$F$100, 4, FALSE)</f>
        <v>6</v>
      </c>
    </row>
    <row r="4602" spans="1:11" x14ac:dyDescent="0.3">
      <c r="A4602">
        <v>1575</v>
      </c>
      <c r="B4602">
        <v>4</v>
      </c>
      <c r="C4602">
        <v>126</v>
      </c>
      <c r="D4602" t="str">
        <f>VLOOKUP(B4602, Products!$A$2:$C$100, 2, FALSE)</f>
        <v>Trek Fuel EX 8 29 - 2016</v>
      </c>
      <c r="E4602">
        <v>2</v>
      </c>
      <c r="F4602">
        <v>469.99</v>
      </c>
      <c r="G4602">
        <v>0.05</v>
      </c>
      <c r="H4602">
        <v>23.499500000000001</v>
      </c>
      <c r="I4602">
        <f>order_items[[#This Row],[list_price]]-order_items[[#This Row],[Discounted_price]]</f>
        <v>446.4905</v>
      </c>
      <c r="J4602">
        <f>VLOOKUP(B4602, Products!$A$2:$E$100, 3, FALSE)</f>
        <v>9</v>
      </c>
      <c r="K4602">
        <f>VLOOKUP(B4602, Products!$A$2:$F$100, 4, FALSE)</f>
        <v>6</v>
      </c>
    </row>
    <row r="4603" spans="1:11" x14ac:dyDescent="0.3">
      <c r="A4603">
        <v>1575</v>
      </c>
      <c r="B4603">
        <v>5</v>
      </c>
      <c r="C4603">
        <v>92</v>
      </c>
      <c r="D4603" t="str">
        <f>VLOOKUP(B4603, Products!$A$2:$C$100, 2, FALSE)</f>
        <v>Heller Shagamaw Frame - 2016</v>
      </c>
      <c r="E4603">
        <v>2</v>
      </c>
      <c r="F4603">
        <v>209.99</v>
      </c>
      <c r="G4603">
        <v>0.2</v>
      </c>
      <c r="H4603">
        <v>41.998000000000005</v>
      </c>
      <c r="I4603">
        <f>order_items[[#This Row],[list_price]]-order_items[[#This Row],[Discounted_price]]</f>
        <v>167.99200000000002</v>
      </c>
      <c r="J4603">
        <f>VLOOKUP(B4603, Products!$A$2:$E$100, 3, FALSE)</f>
        <v>3</v>
      </c>
      <c r="K4603">
        <f>VLOOKUP(B4603, Products!$A$2:$F$100, 4, FALSE)</f>
        <v>6</v>
      </c>
    </row>
    <row r="4604" spans="1:11" x14ac:dyDescent="0.3">
      <c r="A4604">
        <v>1576</v>
      </c>
      <c r="B4604">
        <v>1</v>
      </c>
      <c r="C4604">
        <v>69</v>
      </c>
      <c r="D4604" t="str">
        <f>VLOOKUP(B4604, Products!$A$2:$C$100, 2, FALSE)</f>
        <v>Trek 820 - 2016</v>
      </c>
      <c r="E4604">
        <v>1</v>
      </c>
      <c r="F4604">
        <v>416.99</v>
      </c>
      <c r="G4604">
        <v>0.05</v>
      </c>
      <c r="H4604">
        <v>20.849500000000003</v>
      </c>
      <c r="I4604">
        <f>order_items[[#This Row],[list_price]]-order_items[[#This Row],[Discounted_price]]</f>
        <v>396.14050000000003</v>
      </c>
      <c r="J4604">
        <f>VLOOKUP(B4604, Products!$A$2:$E$100, 3, FALSE)</f>
        <v>9</v>
      </c>
      <c r="K4604">
        <f>VLOOKUP(B4604, Products!$A$2:$F$100, 4, FALSE)</f>
        <v>6</v>
      </c>
    </row>
    <row r="4605" spans="1:11" x14ac:dyDescent="0.3">
      <c r="A4605">
        <v>1576</v>
      </c>
      <c r="B4605">
        <v>2</v>
      </c>
      <c r="C4605">
        <v>293</v>
      </c>
      <c r="D4605" t="str">
        <f>VLOOKUP(B4605, Products!$A$2:$C$100, 2, FALSE)</f>
        <v>Ritchey Timberwolf Frameset - 2016</v>
      </c>
      <c r="E4605">
        <v>1</v>
      </c>
      <c r="F4605">
        <v>319.99</v>
      </c>
      <c r="G4605">
        <v>0.05</v>
      </c>
      <c r="H4605">
        <v>15.999500000000001</v>
      </c>
      <c r="I4605">
        <f>order_items[[#This Row],[list_price]]-order_items[[#This Row],[Discounted_price]]</f>
        <v>303.9905</v>
      </c>
      <c r="J4605">
        <f>VLOOKUP(B4605, Products!$A$2:$E$100, 3, FALSE)</f>
        <v>5</v>
      </c>
      <c r="K4605">
        <f>VLOOKUP(B4605, Products!$A$2:$F$100, 4, FALSE)</f>
        <v>6</v>
      </c>
    </row>
    <row r="4606" spans="1:11" x14ac:dyDescent="0.3">
      <c r="A4606">
        <v>1576</v>
      </c>
      <c r="B4606">
        <v>3</v>
      </c>
      <c r="C4606">
        <v>202</v>
      </c>
      <c r="D4606" t="str">
        <f>VLOOKUP(B4606, Products!$A$2:$C$100, 2, FALSE)</f>
        <v>Surly Wednesday Frameset - 2016</v>
      </c>
      <c r="E4606">
        <v>2</v>
      </c>
      <c r="F4606">
        <v>3499.99</v>
      </c>
      <c r="G4606">
        <v>0.05</v>
      </c>
      <c r="H4606">
        <v>174.99950000000001</v>
      </c>
      <c r="I4606">
        <f>order_items[[#This Row],[list_price]]-order_items[[#This Row],[Discounted_price]]</f>
        <v>3324.9904999999999</v>
      </c>
      <c r="J4606">
        <f>VLOOKUP(B4606, Products!$A$2:$E$100, 3, FALSE)</f>
        <v>8</v>
      </c>
      <c r="K4606">
        <f>VLOOKUP(B4606, Products!$A$2:$F$100, 4, FALSE)</f>
        <v>6</v>
      </c>
    </row>
    <row r="4607" spans="1:11" x14ac:dyDescent="0.3">
      <c r="A4607">
        <v>1577</v>
      </c>
      <c r="B4607">
        <v>1</v>
      </c>
      <c r="C4607">
        <v>298</v>
      </c>
      <c r="D4607" t="str">
        <f>VLOOKUP(B4607, Products!$A$2:$C$100, 2, FALSE)</f>
        <v>Trek 820 - 2016</v>
      </c>
      <c r="E4607">
        <v>2</v>
      </c>
      <c r="F4607">
        <v>279.99</v>
      </c>
      <c r="G4607">
        <v>0.05</v>
      </c>
      <c r="H4607">
        <v>13.999500000000001</v>
      </c>
      <c r="I4607">
        <f>order_items[[#This Row],[list_price]]-order_items[[#This Row],[Discounted_price]]</f>
        <v>265.9905</v>
      </c>
      <c r="J4607">
        <f>VLOOKUP(B4607, Products!$A$2:$E$100, 3, FALSE)</f>
        <v>9</v>
      </c>
      <c r="K4607">
        <f>VLOOKUP(B4607, Products!$A$2:$F$100, 4, FALSE)</f>
        <v>6</v>
      </c>
    </row>
    <row r="4608" spans="1:11" x14ac:dyDescent="0.3">
      <c r="A4608">
        <v>1577</v>
      </c>
      <c r="B4608">
        <v>2</v>
      </c>
      <c r="C4608">
        <v>111</v>
      </c>
      <c r="D4608" t="str">
        <f>VLOOKUP(B4608, Products!$A$2:$C$100, 2, FALSE)</f>
        <v>Ritchey Timberwolf Frameset - 2016</v>
      </c>
      <c r="E4608">
        <v>2</v>
      </c>
      <c r="F4608">
        <v>470.99</v>
      </c>
      <c r="G4608">
        <v>0.1</v>
      </c>
      <c r="H4608">
        <v>47.099000000000004</v>
      </c>
      <c r="I4608">
        <f>order_items[[#This Row],[list_price]]-order_items[[#This Row],[Discounted_price]]</f>
        <v>423.89100000000002</v>
      </c>
      <c r="J4608">
        <f>VLOOKUP(B4608, Products!$A$2:$E$100, 3, FALSE)</f>
        <v>5</v>
      </c>
      <c r="K4608">
        <f>VLOOKUP(B4608, Products!$A$2:$F$100, 4, FALSE)</f>
        <v>6</v>
      </c>
    </row>
    <row r="4609" spans="1:11" x14ac:dyDescent="0.3">
      <c r="A4609">
        <v>1577</v>
      </c>
      <c r="B4609">
        <v>3</v>
      </c>
      <c r="C4609">
        <v>300</v>
      </c>
      <c r="D4609" t="str">
        <f>VLOOKUP(B4609, Products!$A$2:$C$100, 2, FALSE)</f>
        <v>Surly Wednesday Frameset - 2016</v>
      </c>
      <c r="E4609">
        <v>2</v>
      </c>
      <c r="F4609">
        <v>799.99</v>
      </c>
      <c r="G4609">
        <v>0.2</v>
      </c>
      <c r="H4609">
        <v>159.99800000000002</v>
      </c>
      <c r="I4609">
        <f>order_items[[#This Row],[list_price]]-order_items[[#This Row],[Discounted_price]]</f>
        <v>639.99199999999996</v>
      </c>
      <c r="J4609">
        <f>VLOOKUP(B4609, Products!$A$2:$E$100, 3, FALSE)</f>
        <v>8</v>
      </c>
      <c r="K4609">
        <f>VLOOKUP(B4609, Products!$A$2:$F$100, 4, FALSE)</f>
        <v>6</v>
      </c>
    </row>
    <row r="4610" spans="1:11" x14ac:dyDescent="0.3">
      <c r="A4610">
        <v>1577</v>
      </c>
      <c r="B4610">
        <v>4</v>
      </c>
      <c r="C4610">
        <v>131</v>
      </c>
      <c r="D4610" t="str">
        <f>VLOOKUP(B4610, Products!$A$2:$C$100, 2, FALSE)</f>
        <v>Trek Fuel EX 8 29 - 2016</v>
      </c>
      <c r="E4610">
        <v>2</v>
      </c>
      <c r="F4610">
        <v>2599</v>
      </c>
      <c r="G4610">
        <v>7.0000000000000007E-2</v>
      </c>
      <c r="H4610">
        <v>181.93</v>
      </c>
      <c r="I4610">
        <f>order_items[[#This Row],[list_price]]-order_items[[#This Row],[Discounted_price]]</f>
        <v>2417.0700000000002</v>
      </c>
      <c r="J4610">
        <f>VLOOKUP(B4610, Products!$A$2:$E$100, 3, FALSE)</f>
        <v>9</v>
      </c>
      <c r="K4610">
        <f>VLOOKUP(B4610, Products!$A$2:$F$100, 4, FALSE)</f>
        <v>6</v>
      </c>
    </row>
    <row r="4611" spans="1:11" x14ac:dyDescent="0.3">
      <c r="A4611">
        <v>1577</v>
      </c>
      <c r="B4611">
        <v>5</v>
      </c>
      <c r="C4611">
        <v>282</v>
      </c>
      <c r="D4611" t="str">
        <f>VLOOKUP(B4611, Products!$A$2:$C$100, 2, FALSE)</f>
        <v>Heller Shagamaw Frame - 2016</v>
      </c>
      <c r="E4611">
        <v>2</v>
      </c>
      <c r="F4611">
        <v>279.99</v>
      </c>
      <c r="G4611">
        <v>0.05</v>
      </c>
      <c r="H4611">
        <v>13.999500000000001</v>
      </c>
      <c r="I4611">
        <f>order_items[[#This Row],[list_price]]-order_items[[#This Row],[Discounted_price]]</f>
        <v>265.9905</v>
      </c>
      <c r="J4611">
        <f>VLOOKUP(B4611, Products!$A$2:$E$100, 3, FALSE)</f>
        <v>3</v>
      </c>
      <c r="K4611">
        <f>VLOOKUP(B4611, Products!$A$2:$F$100, 4, FALSE)</f>
        <v>6</v>
      </c>
    </row>
    <row r="4612" spans="1:11" x14ac:dyDescent="0.3">
      <c r="A4612">
        <v>1578</v>
      </c>
      <c r="B4612">
        <v>1</v>
      </c>
      <c r="C4612">
        <v>204</v>
      </c>
      <c r="D4612" t="str">
        <f>VLOOKUP(B4612, Products!$A$2:$C$100, 2, FALSE)</f>
        <v>Trek 820 - 2016</v>
      </c>
      <c r="E4612">
        <v>2</v>
      </c>
      <c r="F4612">
        <v>3599.99</v>
      </c>
      <c r="G4612">
        <v>7.0000000000000007E-2</v>
      </c>
      <c r="H4612">
        <v>251.99930000000001</v>
      </c>
      <c r="I4612">
        <f>order_items[[#This Row],[list_price]]-order_items[[#This Row],[Discounted_price]]</f>
        <v>3347.9906999999998</v>
      </c>
      <c r="J4612">
        <f>VLOOKUP(B4612, Products!$A$2:$E$100, 3, FALSE)</f>
        <v>9</v>
      </c>
      <c r="K4612">
        <f>VLOOKUP(B4612, Products!$A$2:$F$100, 4, FALSE)</f>
        <v>6</v>
      </c>
    </row>
    <row r="4613" spans="1:11" x14ac:dyDescent="0.3">
      <c r="A4613">
        <v>1578</v>
      </c>
      <c r="B4613">
        <v>2</v>
      </c>
      <c r="C4613">
        <v>310</v>
      </c>
      <c r="D4613" t="str">
        <f>VLOOKUP(B4613, Products!$A$2:$C$100, 2, FALSE)</f>
        <v>Ritchey Timberwolf Frameset - 2016</v>
      </c>
      <c r="E4613">
        <v>1</v>
      </c>
      <c r="F4613">
        <v>899.99</v>
      </c>
      <c r="G4613">
        <v>0.05</v>
      </c>
      <c r="H4613">
        <v>44.999500000000005</v>
      </c>
      <c r="I4613">
        <f>order_items[[#This Row],[list_price]]-order_items[[#This Row],[Discounted_price]]</f>
        <v>854.9905</v>
      </c>
      <c r="J4613">
        <f>VLOOKUP(B4613, Products!$A$2:$E$100, 3, FALSE)</f>
        <v>5</v>
      </c>
      <c r="K4613">
        <f>VLOOKUP(B4613, Products!$A$2:$F$100, 4, FALSE)</f>
        <v>6</v>
      </c>
    </row>
    <row r="4614" spans="1:11" x14ac:dyDescent="0.3">
      <c r="A4614">
        <v>1578</v>
      </c>
      <c r="B4614">
        <v>3</v>
      </c>
      <c r="C4614">
        <v>241</v>
      </c>
      <c r="D4614" t="str">
        <f>VLOOKUP(B4614, Products!$A$2:$C$100, 2, FALSE)</f>
        <v>Surly Wednesday Frameset - 2016</v>
      </c>
      <c r="E4614">
        <v>2</v>
      </c>
      <c r="F4614">
        <v>749.99</v>
      </c>
      <c r="G4614">
        <v>0.2</v>
      </c>
      <c r="H4614">
        <v>149.99800000000002</v>
      </c>
      <c r="I4614">
        <f>order_items[[#This Row],[list_price]]-order_items[[#This Row],[Discounted_price]]</f>
        <v>599.99199999999996</v>
      </c>
      <c r="J4614">
        <f>VLOOKUP(B4614, Products!$A$2:$E$100, 3, FALSE)</f>
        <v>8</v>
      </c>
      <c r="K4614">
        <f>VLOOKUP(B4614, Products!$A$2:$F$100, 4, FALSE)</f>
        <v>6</v>
      </c>
    </row>
    <row r="4615" spans="1:11" x14ac:dyDescent="0.3">
      <c r="A4615">
        <v>1579</v>
      </c>
      <c r="B4615">
        <v>1</v>
      </c>
      <c r="C4615">
        <v>49</v>
      </c>
      <c r="D4615" t="str">
        <f>VLOOKUP(B4615, Products!$A$2:$C$100, 2, FALSE)</f>
        <v>Trek 820 - 2016</v>
      </c>
      <c r="E4615">
        <v>1</v>
      </c>
      <c r="F4615">
        <v>3499.99</v>
      </c>
      <c r="G4615">
        <v>0.05</v>
      </c>
      <c r="H4615">
        <v>174.99950000000001</v>
      </c>
      <c r="I4615">
        <f>order_items[[#This Row],[list_price]]-order_items[[#This Row],[Discounted_price]]</f>
        <v>3324.9904999999999</v>
      </c>
      <c r="J4615">
        <f>VLOOKUP(B4615, Products!$A$2:$E$100, 3, FALSE)</f>
        <v>9</v>
      </c>
      <c r="K4615">
        <f>VLOOKUP(B4615, Products!$A$2:$F$100, 4, FALSE)</f>
        <v>6</v>
      </c>
    </row>
    <row r="4616" spans="1:11" x14ac:dyDescent="0.3">
      <c r="A4616">
        <v>1579</v>
      </c>
      <c r="B4616">
        <v>2</v>
      </c>
      <c r="C4616">
        <v>214</v>
      </c>
      <c r="D4616" t="str">
        <f>VLOOKUP(B4616, Products!$A$2:$C$100, 2, FALSE)</f>
        <v>Ritchey Timberwolf Frameset - 2016</v>
      </c>
      <c r="E4616">
        <v>1</v>
      </c>
      <c r="F4616">
        <v>899.99</v>
      </c>
      <c r="G4616">
        <v>0.1</v>
      </c>
      <c r="H4616">
        <v>89.999000000000009</v>
      </c>
      <c r="I4616">
        <f>order_items[[#This Row],[list_price]]-order_items[[#This Row],[Discounted_price]]</f>
        <v>809.99099999999999</v>
      </c>
      <c r="J4616">
        <f>VLOOKUP(B4616, Products!$A$2:$E$100, 3, FALSE)</f>
        <v>5</v>
      </c>
      <c r="K4616">
        <f>VLOOKUP(B4616, Products!$A$2:$F$100, 4, FALSE)</f>
        <v>6</v>
      </c>
    </row>
    <row r="4617" spans="1:11" x14ac:dyDescent="0.3">
      <c r="A4617">
        <v>1579</v>
      </c>
      <c r="B4617">
        <v>3</v>
      </c>
      <c r="C4617">
        <v>286</v>
      </c>
      <c r="D4617" t="str">
        <f>VLOOKUP(B4617, Products!$A$2:$C$100, 2, FALSE)</f>
        <v>Surly Wednesday Frameset - 2016</v>
      </c>
      <c r="E4617">
        <v>1</v>
      </c>
      <c r="F4617">
        <v>279.99</v>
      </c>
      <c r="G4617">
        <v>7.0000000000000007E-2</v>
      </c>
      <c r="H4617">
        <v>19.599300000000003</v>
      </c>
      <c r="I4617">
        <f>order_items[[#This Row],[list_price]]-order_items[[#This Row],[Discounted_price]]</f>
        <v>260.39069999999998</v>
      </c>
      <c r="J4617">
        <f>VLOOKUP(B4617, Products!$A$2:$E$100, 3, FALSE)</f>
        <v>8</v>
      </c>
      <c r="K4617">
        <f>VLOOKUP(B4617, Products!$A$2:$F$100, 4, FALSE)</f>
        <v>6</v>
      </c>
    </row>
    <row r="4618" spans="1:11" x14ac:dyDescent="0.3">
      <c r="A4618">
        <v>1579</v>
      </c>
      <c r="B4618">
        <v>4</v>
      </c>
      <c r="C4618">
        <v>65</v>
      </c>
      <c r="D4618" t="str">
        <f>VLOOKUP(B4618, Products!$A$2:$C$100, 2, FALSE)</f>
        <v>Trek Fuel EX 8 29 - 2016</v>
      </c>
      <c r="E4618">
        <v>2</v>
      </c>
      <c r="F4618">
        <v>346.99</v>
      </c>
      <c r="G4618">
        <v>0.1</v>
      </c>
      <c r="H4618">
        <v>34.699000000000005</v>
      </c>
      <c r="I4618">
        <f>order_items[[#This Row],[list_price]]-order_items[[#This Row],[Discounted_price]]</f>
        <v>312.291</v>
      </c>
      <c r="J4618">
        <f>VLOOKUP(B4618, Products!$A$2:$E$100, 3, FALSE)</f>
        <v>9</v>
      </c>
      <c r="K4618">
        <f>VLOOKUP(B4618, Products!$A$2:$F$100, 4, FALSE)</f>
        <v>6</v>
      </c>
    </row>
    <row r="4619" spans="1:11" x14ac:dyDescent="0.3">
      <c r="A4619">
        <v>1580</v>
      </c>
      <c r="B4619">
        <v>1</v>
      </c>
      <c r="C4619">
        <v>119</v>
      </c>
      <c r="D4619" t="str">
        <f>VLOOKUP(B4619, Products!$A$2:$C$100, 2, FALSE)</f>
        <v>Trek 820 - 2016</v>
      </c>
      <c r="E4619">
        <v>2</v>
      </c>
      <c r="F4619">
        <v>469.99</v>
      </c>
      <c r="G4619">
        <v>7.0000000000000007E-2</v>
      </c>
      <c r="H4619">
        <v>32.899300000000004</v>
      </c>
      <c r="I4619">
        <f>order_items[[#This Row],[list_price]]-order_items[[#This Row],[Discounted_price]]</f>
        <v>437.09070000000003</v>
      </c>
      <c r="J4619">
        <f>VLOOKUP(B4619, Products!$A$2:$E$100, 3, FALSE)</f>
        <v>9</v>
      </c>
      <c r="K4619">
        <f>VLOOKUP(B4619, Products!$A$2:$F$100, 4, FALSE)</f>
        <v>6</v>
      </c>
    </row>
    <row r="4620" spans="1:11" x14ac:dyDescent="0.3">
      <c r="A4620">
        <v>1580</v>
      </c>
      <c r="B4620">
        <v>2</v>
      </c>
      <c r="C4620">
        <v>86</v>
      </c>
      <c r="D4620" t="str">
        <f>VLOOKUP(B4620, Products!$A$2:$C$100, 2, FALSE)</f>
        <v>Ritchey Timberwolf Frameset - 2016</v>
      </c>
      <c r="E4620">
        <v>2</v>
      </c>
      <c r="F4620">
        <v>149.99</v>
      </c>
      <c r="G4620">
        <v>0.2</v>
      </c>
      <c r="H4620">
        <v>29.998000000000005</v>
      </c>
      <c r="I4620">
        <f>order_items[[#This Row],[list_price]]-order_items[[#This Row],[Discounted_price]]</f>
        <v>119.992</v>
      </c>
      <c r="J4620">
        <f>VLOOKUP(B4620, Products!$A$2:$E$100, 3, FALSE)</f>
        <v>5</v>
      </c>
      <c r="K4620">
        <f>VLOOKUP(B4620, Products!$A$2:$F$100, 4, FALSE)</f>
        <v>6</v>
      </c>
    </row>
    <row r="4621" spans="1:11" x14ac:dyDescent="0.3">
      <c r="A4621">
        <v>1581</v>
      </c>
      <c r="B4621">
        <v>1</v>
      </c>
      <c r="C4621">
        <v>64</v>
      </c>
      <c r="D4621" t="str">
        <f>VLOOKUP(B4621, Products!$A$2:$C$100, 2, FALSE)</f>
        <v>Trek 820 - 2016</v>
      </c>
      <c r="E4621">
        <v>1</v>
      </c>
      <c r="F4621">
        <v>489.99</v>
      </c>
      <c r="G4621">
        <v>0.1</v>
      </c>
      <c r="H4621">
        <v>48.999000000000002</v>
      </c>
      <c r="I4621">
        <f>order_items[[#This Row],[list_price]]-order_items[[#This Row],[Discounted_price]]</f>
        <v>440.99099999999999</v>
      </c>
      <c r="J4621">
        <f>VLOOKUP(B4621, Products!$A$2:$E$100, 3, FALSE)</f>
        <v>9</v>
      </c>
      <c r="K4621">
        <f>VLOOKUP(B4621, Products!$A$2:$F$100, 4, FALSE)</f>
        <v>6</v>
      </c>
    </row>
    <row r="4622" spans="1:11" x14ac:dyDescent="0.3">
      <c r="A4622">
        <v>1581</v>
      </c>
      <c r="B4622">
        <v>2</v>
      </c>
      <c r="C4622">
        <v>272</v>
      </c>
      <c r="D4622" t="str">
        <f>VLOOKUP(B4622, Products!$A$2:$C$100, 2, FALSE)</f>
        <v>Ritchey Timberwolf Frameset - 2016</v>
      </c>
      <c r="E4622">
        <v>1</v>
      </c>
      <c r="F4622">
        <v>289.99</v>
      </c>
      <c r="G4622">
        <v>0.2</v>
      </c>
      <c r="H4622">
        <v>57.998000000000005</v>
      </c>
      <c r="I4622">
        <f>order_items[[#This Row],[list_price]]-order_items[[#This Row],[Discounted_price]]</f>
        <v>231.99200000000002</v>
      </c>
      <c r="J4622">
        <f>VLOOKUP(B4622, Products!$A$2:$E$100, 3, FALSE)</f>
        <v>5</v>
      </c>
      <c r="K4622">
        <f>VLOOKUP(B4622, Products!$A$2:$F$100, 4, FALSE)</f>
        <v>6</v>
      </c>
    </row>
    <row r="4623" spans="1:11" x14ac:dyDescent="0.3">
      <c r="A4623">
        <v>1582</v>
      </c>
      <c r="B4623">
        <v>1</v>
      </c>
      <c r="C4623">
        <v>75</v>
      </c>
      <c r="D4623" t="str">
        <f>VLOOKUP(B4623, Products!$A$2:$C$100, 2, FALSE)</f>
        <v>Trek 820 - 2016</v>
      </c>
      <c r="E4623">
        <v>1</v>
      </c>
      <c r="F4623">
        <v>599.99</v>
      </c>
      <c r="G4623">
        <v>7.0000000000000007E-2</v>
      </c>
      <c r="H4623">
        <v>41.999300000000005</v>
      </c>
      <c r="I4623">
        <f>order_items[[#This Row],[list_price]]-order_items[[#This Row],[Discounted_price]]</f>
        <v>557.99070000000006</v>
      </c>
      <c r="J4623">
        <f>VLOOKUP(B4623, Products!$A$2:$E$100, 3, FALSE)</f>
        <v>9</v>
      </c>
      <c r="K4623">
        <f>VLOOKUP(B4623, Products!$A$2:$F$100, 4, FALSE)</f>
        <v>6</v>
      </c>
    </row>
    <row r="4624" spans="1:11" x14ac:dyDescent="0.3">
      <c r="A4624">
        <v>1582</v>
      </c>
      <c r="B4624">
        <v>2</v>
      </c>
      <c r="C4624">
        <v>133</v>
      </c>
      <c r="D4624" t="str">
        <f>VLOOKUP(B4624, Products!$A$2:$C$100, 2, FALSE)</f>
        <v>Ritchey Timberwolf Frameset - 2016</v>
      </c>
      <c r="E4624">
        <v>2</v>
      </c>
      <c r="F4624">
        <v>1499.99</v>
      </c>
      <c r="G4624">
        <v>7.0000000000000007E-2</v>
      </c>
      <c r="H4624">
        <v>104.99930000000001</v>
      </c>
      <c r="I4624">
        <f>order_items[[#This Row],[list_price]]-order_items[[#This Row],[Discounted_price]]</f>
        <v>1394.9907000000001</v>
      </c>
      <c r="J4624">
        <f>VLOOKUP(B4624, Products!$A$2:$E$100, 3, FALSE)</f>
        <v>5</v>
      </c>
      <c r="K4624">
        <f>VLOOKUP(B4624, Products!$A$2:$F$100, 4, FALSE)</f>
        <v>6</v>
      </c>
    </row>
    <row r="4625" spans="1:11" x14ac:dyDescent="0.3">
      <c r="A4625">
        <v>1583</v>
      </c>
      <c r="B4625">
        <v>1</v>
      </c>
      <c r="C4625">
        <v>15</v>
      </c>
      <c r="D4625" t="str">
        <f>VLOOKUP(B4625, Products!$A$2:$C$100, 2, FALSE)</f>
        <v>Trek 820 - 2016</v>
      </c>
      <c r="E4625">
        <v>1</v>
      </c>
      <c r="F4625">
        <v>529.99</v>
      </c>
      <c r="G4625">
        <v>0.05</v>
      </c>
      <c r="H4625">
        <v>26.499500000000001</v>
      </c>
      <c r="I4625">
        <f>order_items[[#This Row],[list_price]]-order_items[[#This Row],[Discounted_price]]</f>
        <v>503.4905</v>
      </c>
      <c r="J4625">
        <f>VLOOKUP(B4625, Products!$A$2:$E$100, 3, FALSE)</f>
        <v>9</v>
      </c>
      <c r="K4625">
        <f>VLOOKUP(B4625, Products!$A$2:$F$100, 4, FALSE)</f>
        <v>6</v>
      </c>
    </row>
    <row r="4626" spans="1:11" x14ac:dyDescent="0.3">
      <c r="A4626">
        <v>1583</v>
      </c>
      <c r="B4626">
        <v>2</v>
      </c>
      <c r="C4626">
        <v>265</v>
      </c>
      <c r="D4626" t="str">
        <f>VLOOKUP(B4626, Products!$A$2:$C$100, 2, FALSE)</f>
        <v>Ritchey Timberwolf Frameset - 2016</v>
      </c>
      <c r="E4626">
        <v>2</v>
      </c>
      <c r="F4626">
        <v>289.99</v>
      </c>
      <c r="G4626">
        <v>0.2</v>
      </c>
      <c r="H4626">
        <v>57.998000000000005</v>
      </c>
      <c r="I4626">
        <f>order_items[[#This Row],[list_price]]-order_items[[#This Row],[Discounted_price]]</f>
        <v>231.99200000000002</v>
      </c>
      <c r="J4626">
        <f>VLOOKUP(B4626, Products!$A$2:$E$100, 3, FALSE)</f>
        <v>5</v>
      </c>
      <c r="K4626">
        <f>VLOOKUP(B4626, Products!$A$2:$F$100, 4, FALSE)</f>
        <v>6</v>
      </c>
    </row>
    <row r="4627" spans="1:11" x14ac:dyDescent="0.3">
      <c r="A4627">
        <v>1584</v>
      </c>
      <c r="B4627">
        <v>1</v>
      </c>
      <c r="C4627">
        <v>45</v>
      </c>
      <c r="D4627" t="str">
        <f>VLOOKUP(B4627, Products!$A$2:$C$100, 2, FALSE)</f>
        <v>Trek 820 - 2016</v>
      </c>
      <c r="E4627">
        <v>2</v>
      </c>
      <c r="F4627">
        <v>869.99</v>
      </c>
      <c r="G4627">
        <v>0.1</v>
      </c>
      <c r="H4627">
        <v>86.999000000000009</v>
      </c>
      <c r="I4627">
        <f>order_items[[#This Row],[list_price]]-order_items[[#This Row],[Discounted_price]]</f>
        <v>782.99099999999999</v>
      </c>
      <c r="J4627">
        <f>VLOOKUP(B4627, Products!$A$2:$E$100, 3, FALSE)</f>
        <v>9</v>
      </c>
      <c r="K4627">
        <f>VLOOKUP(B4627, Products!$A$2:$F$100, 4, FALSE)</f>
        <v>6</v>
      </c>
    </row>
    <row r="4628" spans="1:11" x14ac:dyDescent="0.3">
      <c r="A4628">
        <v>1584</v>
      </c>
      <c r="B4628">
        <v>2</v>
      </c>
      <c r="C4628">
        <v>216</v>
      </c>
      <c r="D4628" t="str">
        <f>VLOOKUP(B4628, Products!$A$2:$C$100, 2, FALSE)</f>
        <v>Ritchey Timberwolf Frameset - 2016</v>
      </c>
      <c r="E4628">
        <v>2</v>
      </c>
      <c r="F4628">
        <v>899.99</v>
      </c>
      <c r="G4628">
        <v>0.1</v>
      </c>
      <c r="H4628">
        <v>89.999000000000009</v>
      </c>
      <c r="I4628">
        <f>order_items[[#This Row],[list_price]]-order_items[[#This Row],[Discounted_price]]</f>
        <v>809.99099999999999</v>
      </c>
      <c r="J4628">
        <f>VLOOKUP(B4628, Products!$A$2:$E$100, 3, FALSE)</f>
        <v>5</v>
      </c>
      <c r="K4628">
        <f>VLOOKUP(B4628, Products!$A$2:$F$100, 4, FALSE)</f>
        <v>6</v>
      </c>
    </row>
    <row r="4629" spans="1:11" x14ac:dyDescent="0.3">
      <c r="A4629">
        <v>1584</v>
      </c>
      <c r="B4629">
        <v>3</v>
      </c>
      <c r="C4629">
        <v>43</v>
      </c>
      <c r="D4629" t="str">
        <f>VLOOKUP(B4629, Products!$A$2:$C$100, 2, FALSE)</f>
        <v>Surly Wednesday Frameset - 2016</v>
      </c>
      <c r="E4629">
        <v>1</v>
      </c>
      <c r="F4629">
        <v>5299.99</v>
      </c>
      <c r="G4629">
        <v>0.2</v>
      </c>
      <c r="H4629">
        <v>1059.998</v>
      </c>
      <c r="I4629">
        <f>order_items[[#This Row],[list_price]]-order_items[[#This Row],[Discounted_price]]</f>
        <v>4239.9920000000002</v>
      </c>
      <c r="J4629">
        <f>VLOOKUP(B4629, Products!$A$2:$E$100, 3, FALSE)</f>
        <v>8</v>
      </c>
      <c r="K4629">
        <f>VLOOKUP(B4629, Products!$A$2:$F$100, 4, FALSE)</f>
        <v>6</v>
      </c>
    </row>
    <row r="4630" spans="1:11" x14ac:dyDescent="0.3">
      <c r="A4630">
        <v>1584</v>
      </c>
      <c r="B4630">
        <v>4</v>
      </c>
      <c r="C4630">
        <v>187</v>
      </c>
      <c r="D4630" t="str">
        <f>VLOOKUP(B4630, Products!$A$2:$C$100, 2, FALSE)</f>
        <v>Trek Fuel EX 8 29 - 2016</v>
      </c>
      <c r="E4630">
        <v>1</v>
      </c>
      <c r="F4630">
        <v>2799.99</v>
      </c>
      <c r="G4630">
        <v>0.1</v>
      </c>
      <c r="H4630">
        <v>279.99899999999997</v>
      </c>
      <c r="I4630">
        <f>order_items[[#This Row],[list_price]]-order_items[[#This Row],[Discounted_price]]</f>
        <v>2519.991</v>
      </c>
      <c r="J4630">
        <f>VLOOKUP(B4630, Products!$A$2:$E$100, 3, FALSE)</f>
        <v>9</v>
      </c>
      <c r="K4630">
        <f>VLOOKUP(B4630, Products!$A$2:$F$100, 4, FALSE)</f>
        <v>6</v>
      </c>
    </row>
    <row r="4631" spans="1:11" x14ac:dyDescent="0.3">
      <c r="A4631">
        <v>1584</v>
      </c>
      <c r="B4631">
        <v>5</v>
      </c>
      <c r="C4631">
        <v>147</v>
      </c>
      <c r="D4631" t="str">
        <f>VLOOKUP(B4631, Products!$A$2:$C$100, 2, FALSE)</f>
        <v>Heller Shagamaw Frame - 2016</v>
      </c>
      <c r="E4631">
        <v>2</v>
      </c>
      <c r="F4631">
        <v>1799.99</v>
      </c>
      <c r="G4631">
        <v>7.0000000000000007E-2</v>
      </c>
      <c r="H4631">
        <v>125.99930000000002</v>
      </c>
      <c r="I4631">
        <f>order_items[[#This Row],[list_price]]-order_items[[#This Row],[Discounted_price]]</f>
        <v>1673.9907000000001</v>
      </c>
      <c r="J4631">
        <f>VLOOKUP(B4631, Products!$A$2:$E$100, 3, FALSE)</f>
        <v>3</v>
      </c>
      <c r="K4631">
        <f>VLOOKUP(B4631, Products!$A$2:$F$100, 4, FALSE)</f>
        <v>6</v>
      </c>
    </row>
    <row r="4632" spans="1:11" x14ac:dyDescent="0.3">
      <c r="A4632">
        <v>1585</v>
      </c>
      <c r="B4632">
        <v>1</v>
      </c>
      <c r="C4632">
        <v>313</v>
      </c>
      <c r="D4632" t="str">
        <f>VLOOKUP(B4632, Products!$A$2:$C$100, 2, FALSE)</f>
        <v>Trek 820 - 2016</v>
      </c>
      <c r="E4632">
        <v>1</v>
      </c>
      <c r="F4632">
        <v>449.99</v>
      </c>
      <c r="G4632">
        <v>0.1</v>
      </c>
      <c r="H4632">
        <v>44.999000000000002</v>
      </c>
      <c r="I4632">
        <f>order_items[[#This Row],[list_price]]-order_items[[#This Row],[Discounted_price]]</f>
        <v>404.99099999999999</v>
      </c>
      <c r="J4632">
        <f>VLOOKUP(B4632, Products!$A$2:$E$100, 3, FALSE)</f>
        <v>9</v>
      </c>
      <c r="K4632">
        <f>VLOOKUP(B4632, Products!$A$2:$F$100, 4, FALSE)</f>
        <v>6</v>
      </c>
    </row>
    <row r="4633" spans="1:11" x14ac:dyDescent="0.3">
      <c r="A4633">
        <v>1585</v>
      </c>
      <c r="B4633">
        <v>2</v>
      </c>
      <c r="C4633">
        <v>106</v>
      </c>
      <c r="D4633" t="str">
        <f>VLOOKUP(B4633, Products!$A$2:$C$100, 2, FALSE)</f>
        <v>Ritchey Timberwolf Frameset - 2016</v>
      </c>
      <c r="E4633">
        <v>2</v>
      </c>
      <c r="F4633">
        <v>449.99</v>
      </c>
      <c r="G4633">
        <v>0.1</v>
      </c>
      <c r="H4633">
        <v>44.999000000000002</v>
      </c>
      <c r="I4633">
        <f>order_items[[#This Row],[list_price]]-order_items[[#This Row],[Discounted_price]]</f>
        <v>404.99099999999999</v>
      </c>
      <c r="J4633">
        <f>VLOOKUP(B4633, Products!$A$2:$E$100, 3, FALSE)</f>
        <v>5</v>
      </c>
      <c r="K4633">
        <f>VLOOKUP(B4633, Products!$A$2:$F$100, 4, FALSE)</f>
        <v>6</v>
      </c>
    </row>
    <row r="4634" spans="1:11" x14ac:dyDescent="0.3">
      <c r="A4634">
        <v>1585</v>
      </c>
      <c r="B4634">
        <v>3</v>
      </c>
      <c r="C4634">
        <v>207</v>
      </c>
      <c r="D4634" t="str">
        <f>VLOOKUP(B4634, Products!$A$2:$C$100, 2, FALSE)</f>
        <v>Surly Wednesday Frameset - 2016</v>
      </c>
      <c r="E4634">
        <v>2</v>
      </c>
      <c r="F4634">
        <v>3999.99</v>
      </c>
      <c r="G4634">
        <v>7.0000000000000007E-2</v>
      </c>
      <c r="H4634">
        <v>279.99930000000001</v>
      </c>
      <c r="I4634">
        <f>order_items[[#This Row],[list_price]]-order_items[[#This Row],[Discounted_price]]</f>
        <v>3719.9906999999998</v>
      </c>
      <c r="J4634">
        <f>VLOOKUP(B4634, Products!$A$2:$E$100, 3, FALSE)</f>
        <v>8</v>
      </c>
      <c r="K4634">
        <f>VLOOKUP(B4634, Products!$A$2:$F$100, 4, FALSE)</f>
        <v>6</v>
      </c>
    </row>
    <row r="4635" spans="1:11" x14ac:dyDescent="0.3">
      <c r="A4635">
        <v>1585</v>
      </c>
      <c r="B4635">
        <v>4</v>
      </c>
      <c r="C4635">
        <v>95</v>
      </c>
      <c r="D4635" t="str">
        <f>VLOOKUP(B4635, Products!$A$2:$C$100, 2, FALSE)</f>
        <v>Trek Fuel EX 8 29 - 2016</v>
      </c>
      <c r="E4635">
        <v>1</v>
      </c>
      <c r="F4635">
        <v>299.99</v>
      </c>
      <c r="G4635">
        <v>0.1</v>
      </c>
      <c r="H4635">
        <v>29.999000000000002</v>
      </c>
      <c r="I4635">
        <f>order_items[[#This Row],[list_price]]-order_items[[#This Row],[Discounted_price]]</f>
        <v>269.99099999999999</v>
      </c>
      <c r="J4635">
        <f>VLOOKUP(B4635, Products!$A$2:$E$100, 3, FALSE)</f>
        <v>9</v>
      </c>
      <c r="K4635">
        <f>VLOOKUP(B4635, Products!$A$2:$F$100, 4, FALSE)</f>
        <v>6</v>
      </c>
    </row>
    <row r="4636" spans="1:11" x14ac:dyDescent="0.3">
      <c r="A4636">
        <v>1585</v>
      </c>
      <c r="B4636">
        <v>5</v>
      </c>
      <c r="C4636">
        <v>191</v>
      </c>
      <c r="D4636" t="str">
        <f>VLOOKUP(B4636, Products!$A$2:$C$100, 2, FALSE)</f>
        <v>Heller Shagamaw Frame - 2016</v>
      </c>
      <c r="E4636">
        <v>1</v>
      </c>
      <c r="F4636">
        <v>2799.99</v>
      </c>
      <c r="G4636">
        <v>0.1</v>
      </c>
      <c r="H4636">
        <v>279.99899999999997</v>
      </c>
      <c r="I4636">
        <f>order_items[[#This Row],[list_price]]-order_items[[#This Row],[Discounted_price]]</f>
        <v>2519.991</v>
      </c>
      <c r="J4636">
        <f>VLOOKUP(B4636, Products!$A$2:$E$100, 3, FALSE)</f>
        <v>3</v>
      </c>
      <c r="K4636">
        <f>VLOOKUP(B4636, Products!$A$2:$F$100, 4, FALSE)</f>
        <v>6</v>
      </c>
    </row>
    <row r="4637" spans="1:11" x14ac:dyDescent="0.3">
      <c r="A4637">
        <v>1586</v>
      </c>
      <c r="B4637">
        <v>1</v>
      </c>
      <c r="C4637">
        <v>22</v>
      </c>
      <c r="D4637" t="str">
        <f>VLOOKUP(B4637, Products!$A$2:$C$100, 2, FALSE)</f>
        <v>Trek 820 - 2016</v>
      </c>
      <c r="E4637">
        <v>2</v>
      </c>
      <c r="F4637">
        <v>269.99</v>
      </c>
      <c r="G4637">
        <v>0.1</v>
      </c>
      <c r="H4637">
        <v>26.999000000000002</v>
      </c>
      <c r="I4637">
        <f>order_items[[#This Row],[list_price]]-order_items[[#This Row],[Discounted_price]]</f>
        <v>242.99100000000001</v>
      </c>
      <c r="J4637">
        <f>VLOOKUP(B4637, Products!$A$2:$E$100, 3, FALSE)</f>
        <v>9</v>
      </c>
      <c r="K4637">
        <f>VLOOKUP(B4637, Products!$A$2:$F$100, 4, FALSE)</f>
        <v>6</v>
      </c>
    </row>
    <row r="4638" spans="1:11" x14ac:dyDescent="0.3">
      <c r="A4638">
        <v>1586</v>
      </c>
      <c r="B4638">
        <v>2</v>
      </c>
      <c r="C4638">
        <v>277</v>
      </c>
      <c r="D4638" t="str">
        <f>VLOOKUP(B4638, Products!$A$2:$C$100, 2, FALSE)</f>
        <v>Ritchey Timberwolf Frameset - 2016</v>
      </c>
      <c r="E4638">
        <v>1</v>
      </c>
      <c r="F4638">
        <v>369.99</v>
      </c>
      <c r="G4638">
        <v>7.0000000000000007E-2</v>
      </c>
      <c r="H4638">
        <v>25.899300000000004</v>
      </c>
      <c r="I4638">
        <f>order_items[[#This Row],[list_price]]-order_items[[#This Row],[Discounted_price]]</f>
        <v>344.09070000000003</v>
      </c>
      <c r="J4638">
        <f>VLOOKUP(B4638, Products!$A$2:$E$100, 3, FALSE)</f>
        <v>5</v>
      </c>
      <c r="K4638">
        <f>VLOOKUP(B4638, Products!$A$2:$F$100, 4, FALSE)</f>
        <v>6</v>
      </c>
    </row>
    <row r="4639" spans="1:11" x14ac:dyDescent="0.3">
      <c r="A4639">
        <v>1586</v>
      </c>
      <c r="B4639">
        <v>3</v>
      </c>
      <c r="C4639">
        <v>295</v>
      </c>
      <c r="D4639" t="str">
        <f>VLOOKUP(B4639, Products!$A$2:$C$100, 2, FALSE)</f>
        <v>Surly Wednesday Frameset - 2016</v>
      </c>
      <c r="E4639">
        <v>1</v>
      </c>
      <c r="F4639">
        <v>319.99</v>
      </c>
      <c r="G4639">
        <v>0.05</v>
      </c>
      <c r="H4639">
        <v>15.999500000000001</v>
      </c>
      <c r="I4639">
        <f>order_items[[#This Row],[list_price]]-order_items[[#This Row],[Discounted_price]]</f>
        <v>303.9905</v>
      </c>
      <c r="J4639">
        <f>VLOOKUP(B4639, Products!$A$2:$E$100, 3, FALSE)</f>
        <v>8</v>
      </c>
      <c r="K4639">
        <f>VLOOKUP(B4639, Products!$A$2:$F$100, 4, FALSE)</f>
        <v>6</v>
      </c>
    </row>
    <row r="4640" spans="1:11" x14ac:dyDescent="0.3">
      <c r="A4640">
        <v>1586</v>
      </c>
      <c r="B4640">
        <v>4</v>
      </c>
      <c r="C4640">
        <v>173</v>
      </c>
      <c r="D4640" t="str">
        <f>VLOOKUP(B4640, Products!$A$2:$C$100, 2, FALSE)</f>
        <v>Trek Fuel EX 8 29 - 2016</v>
      </c>
      <c r="E4640">
        <v>1</v>
      </c>
      <c r="F4640">
        <v>3199.99</v>
      </c>
      <c r="G4640">
        <v>0.2</v>
      </c>
      <c r="H4640">
        <v>639.99800000000005</v>
      </c>
      <c r="I4640">
        <f>order_items[[#This Row],[list_price]]-order_items[[#This Row],[Discounted_price]]</f>
        <v>2559.9919999999997</v>
      </c>
      <c r="J4640">
        <f>VLOOKUP(B4640, Products!$A$2:$E$100, 3, FALSE)</f>
        <v>9</v>
      </c>
      <c r="K4640">
        <f>VLOOKUP(B4640, Products!$A$2:$F$100, 4, FALSE)</f>
        <v>6</v>
      </c>
    </row>
    <row r="4641" spans="1:11" x14ac:dyDescent="0.3">
      <c r="A4641">
        <v>1586</v>
      </c>
      <c r="B4641">
        <v>5</v>
      </c>
      <c r="C4641">
        <v>36</v>
      </c>
      <c r="D4641" t="str">
        <f>VLOOKUP(B4641, Products!$A$2:$C$100, 2, FALSE)</f>
        <v>Heller Shagamaw Frame - 2016</v>
      </c>
      <c r="E4641">
        <v>1</v>
      </c>
      <c r="F4641">
        <v>832.99</v>
      </c>
      <c r="G4641">
        <v>0.1</v>
      </c>
      <c r="H4641">
        <v>83.299000000000007</v>
      </c>
      <c r="I4641">
        <f>order_items[[#This Row],[list_price]]-order_items[[#This Row],[Discounted_price]]</f>
        <v>749.69100000000003</v>
      </c>
      <c r="J4641">
        <f>VLOOKUP(B4641, Products!$A$2:$E$100, 3, FALSE)</f>
        <v>3</v>
      </c>
      <c r="K4641">
        <f>VLOOKUP(B4641, Products!$A$2:$F$100, 4, FALSE)</f>
        <v>6</v>
      </c>
    </row>
    <row r="4642" spans="1:11" x14ac:dyDescent="0.3">
      <c r="A4642">
        <v>1587</v>
      </c>
      <c r="B4642">
        <v>1</v>
      </c>
      <c r="C4642">
        <v>104</v>
      </c>
      <c r="D4642" t="str">
        <f>VLOOKUP(B4642, Products!$A$2:$C$100, 2, FALSE)</f>
        <v>Trek 820 - 2016</v>
      </c>
      <c r="E4642">
        <v>1</v>
      </c>
      <c r="F4642">
        <v>481.99</v>
      </c>
      <c r="G4642">
        <v>0.1</v>
      </c>
      <c r="H4642">
        <v>48.199000000000005</v>
      </c>
      <c r="I4642">
        <f>order_items[[#This Row],[list_price]]-order_items[[#This Row],[Discounted_price]]</f>
        <v>433.791</v>
      </c>
      <c r="J4642">
        <f>VLOOKUP(B4642, Products!$A$2:$E$100, 3, FALSE)</f>
        <v>9</v>
      </c>
      <c r="K4642">
        <f>VLOOKUP(B4642, Products!$A$2:$F$100, 4, FALSE)</f>
        <v>6</v>
      </c>
    </row>
    <row r="4643" spans="1:11" x14ac:dyDescent="0.3">
      <c r="A4643">
        <v>1587</v>
      </c>
      <c r="B4643">
        <v>2</v>
      </c>
      <c r="C4643">
        <v>63</v>
      </c>
      <c r="D4643" t="str">
        <f>VLOOKUP(B4643, Products!$A$2:$C$100, 2, FALSE)</f>
        <v>Ritchey Timberwolf Frameset - 2016</v>
      </c>
      <c r="E4643">
        <v>2</v>
      </c>
      <c r="F4643">
        <v>3499.99</v>
      </c>
      <c r="G4643">
        <v>0.05</v>
      </c>
      <c r="H4643">
        <v>174.99950000000001</v>
      </c>
      <c r="I4643">
        <f>order_items[[#This Row],[list_price]]-order_items[[#This Row],[Discounted_price]]</f>
        <v>3324.9904999999999</v>
      </c>
      <c r="J4643">
        <f>VLOOKUP(B4643, Products!$A$2:$E$100, 3, FALSE)</f>
        <v>5</v>
      </c>
      <c r="K4643">
        <f>VLOOKUP(B4643, Products!$A$2:$F$100, 4, FALSE)</f>
        <v>6</v>
      </c>
    </row>
    <row r="4644" spans="1:11" x14ac:dyDescent="0.3">
      <c r="A4644">
        <v>1587</v>
      </c>
      <c r="B4644">
        <v>3</v>
      </c>
      <c r="C4644">
        <v>78</v>
      </c>
      <c r="D4644" t="str">
        <f>VLOOKUP(B4644, Products!$A$2:$C$100, 2, FALSE)</f>
        <v>Surly Wednesday Frameset - 2016</v>
      </c>
      <c r="E4644">
        <v>2</v>
      </c>
      <c r="F4644">
        <v>647.99</v>
      </c>
      <c r="G4644">
        <v>0.05</v>
      </c>
      <c r="H4644">
        <v>32.399500000000003</v>
      </c>
      <c r="I4644">
        <f>order_items[[#This Row],[list_price]]-order_items[[#This Row],[Discounted_price]]</f>
        <v>615.59050000000002</v>
      </c>
      <c r="J4644">
        <f>VLOOKUP(B4644, Products!$A$2:$E$100, 3, FALSE)</f>
        <v>8</v>
      </c>
      <c r="K4644">
        <f>VLOOKUP(B4644, Products!$A$2:$F$100, 4, FALSE)</f>
        <v>6</v>
      </c>
    </row>
    <row r="4645" spans="1:11" x14ac:dyDescent="0.3">
      <c r="A4645">
        <v>1587</v>
      </c>
      <c r="B4645">
        <v>4</v>
      </c>
      <c r="C4645">
        <v>300</v>
      </c>
      <c r="D4645" t="str">
        <f>VLOOKUP(B4645, Products!$A$2:$C$100, 2, FALSE)</f>
        <v>Trek Fuel EX 8 29 - 2016</v>
      </c>
      <c r="E4645">
        <v>2</v>
      </c>
      <c r="F4645">
        <v>799.99</v>
      </c>
      <c r="G4645">
        <v>7.0000000000000007E-2</v>
      </c>
      <c r="H4645">
        <v>55.999300000000005</v>
      </c>
      <c r="I4645">
        <f>order_items[[#This Row],[list_price]]-order_items[[#This Row],[Discounted_price]]</f>
        <v>743.99070000000006</v>
      </c>
      <c r="J4645">
        <f>VLOOKUP(B4645, Products!$A$2:$E$100, 3, FALSE)</f>
        <v>9</v>
      </c>
      <c r="K4645">
        <f>VLOOKUP(B4645, Products!$A$2:$F$100, 4, FALSE)</f>
        <v>6</v>
      </c>
    </row>
    <row r="4646" spans="1:11" x14ac:dyDescent="0.3">
      <c r="A4646">
        <v>1588</v>
      </c>
      <c r="B4646">
        <v>1</v>
      </c>
      <c r="C4646">
        <v>93</v>
      </c>
      <c r="D4646" t="str">
        <f>VLOOKUP(B4646, Products!$A$2:$C$100, 2, FALSE)</f>
        <v>Trek 820 - 2016</v>
      </c>
      <c r="E4646">
        <v>2</v>
      </c>
      <c r="F4646">
        <v>209.99</v>
      </c>
      <c r="G4646">
        <v>7.0000000000000007E-2</v>
      </c>
      <c r="H4646">
        <v>14.699300000000003</v>
      </c>
      <c r="I4646">
        <f>order_items[[#This Row],[list_price]]-order_items[[#This Row],[Discounted_price]]</f>
        <v>195.29070000000002</v>
      </c>
      <c r="J4646">
        <f>VLOOKUP(B4646, Products!$A$2:$E$100, 3, FALSE)</f>
        <v>9</v>
      </c>
      <c r="K4646">
        <f>VLOOKUP(B4646, Products!$A$2:$F$100, 4, FALSE)</f>
        <v>6</v>
      </c>
    </row>
    <row r="4647" spans="1:11" x14ac:dyDescent="0.3">
      <c r="A4647">
        <v>1589</v>
      </c>
      <c r="B4647">
        <v>1</v>
      </c>
      <c r="C4647">
        <v>246</v>
      </c>
      <c r="D4647" t="str">
        <f>VLOOKUP(B4647, Products!$A$2:$C$100, 2, FALSE)</f>
        <v>Trek 820 - 2016</v>
      </c>
      <c r="E4647">
        <v>2</v>
      </c>
      <c r="F4647">
        <v>639.99</v>
      </c>
      <c r="G4647">
        <v>0.05</v>
      </c>
      <c r="H4647">
        <v>31.999500000000001</v>
      </c>
      <c r="I4647">
        <f>order_items[[#This Row],[list_price]]-order_items[[#This Row],[Discounted_price]]</f>
        <v>607.9905</v>
      </c>
      <c r="J4647">
        <f>VLOOKUP(B4647, Products!$A$2:$E$100, 3, FALSE)</f>
        <v>9</v>
      </c>
      <c r="K4647">
        <f>VLOOKUP(B4647, Products!$A$2:$F$100, 4, FALSE)</f>
        <v>6</v>
      </c>
    </row>
    <row r="4648" spans="1:11" x14ac:dyDescent="0.3">
      <c r="A4648">
        <v>1589</v>
      </c>
      <c r="B4648">
        <v>2</v>
      </c>
      <c r="C4648">
        <v>260</v>
      </c>
      <c r="D4648" t="str">
        <f>VLOOKUP(B4648, Products!$A$2:$C$100, 2, FALSE)</f>
        <v>Ritchey Timberwolf Frameset - 2016</v>
      </c>
      <c r="E4648">
        <v>1</v>
      </c>
      <c r="F4648">
        <v>799.99</v>
      </c>
      <c r="G4648">
        <v>0.2</v>
      </c>
      <c r="H4648">
        <v>159.99800000000002</v>
      </c>
      <c r="I4648">
        <f>order_items[[#This Row],[list_price]]-order_items[[#This Row],[Discounted_price]]</f>
        <v>639.99199999999996</v>
      </c>
      <c r="J4648">
        <f>VLOOKUP(B4648, Products!$A$2:$E$100, 3, FALSE)</f>
        <v>5</v>
      </c>
      <c r="K4648">
        <f>VLOOKUP(B4648, Products!$A$2:$F$100, 4, FALSE)</f>
        <v>6</v>
      </c>
    </row>
    <row r="4649" spans="1:11" x14ac:dyDescent="0.3">
      <c r="A4649">
        <v>1589</v>
      </c>
      <c r="B4649">
        <v>3</v>
      </c>
      <c r="C4649">
        <v>28</v>
      </c>
      <c r="D4649" t="str">
        <f>VLOOKUP(B4649, Products!$A$2:$C$100, 2, FALSE)</f>
        <v>Surly Wednesday Frameset - 2016</v>
      </c>
      <c r="E4649">
        <v>2</v>
      </c>
      <c r="F4649">
        <v>2499.9899999999998</v>
      </c>
      <c r="G4649">
        <v>0.1</v>
      </c>
      <c r="H4649">
        <v>249.999</v>
      </c>
      <c r="I4649">
        <f>order_items[[#This Row],[list_price]]-order_items[[#This Row],[Discounted_price]]</f>
        <v>2249.991</v>
      </c>
      <c r="J4649">
        <f>VLOOKUP(B4649, Products!$A$2:$E$100, 3, FALSE)</f>
        <v>8</v>
      </c>
      <c r="K4649">
        <f>VLOOKUP(B4649, Products!$A$2:$F$100, 4, FALSE)</f>
        <v>6</v>
      </c>
    </row>
    <row r="4650" spans="1:11" x14ac:dyDescent="0.3">
      <c r="A4650">
        <v>1590</v>
      </c>
      <c r="B4650">
        <v>1</v>
      </c>
      <c r="C4650">
        <v>175</v>
      </c>
      <c r="D4650" t="str">
        <f>VLOOKUP(B4650, Products!$A$2:$C$100, 2, FALSE)</f>
        <v>Trek 820 - 2016</v>
      </c>
      <c r="E4650">
        <v>2</v>
      </c>
      <c r="F4650">
        <v>3199.99</v>
      </c>
      <c r="G4650">
        <v>7.0000000000000007E-2</v>
      </c>
      <c r="H4650">
        <v>223.99930000000001</v>
      </c>
      <c r="I4650">
        <f>order_items[[#This Row],[list_price]]-order_items[[#This Row],[Discounted_price]]</f>
        <v>2975.9906999999998</v>
      </c>
      <c r="J4650">
        <f>VLOOKUP(B4650, Products!$A$2:$E$100, 3, FALSE)</f>
        <v>9</v>
      </c>
      <c r="K4650">
        <f>VLOOKUP(B4650, Products!$A$2:$F$100, 4, FALSE)</f>
        <v>6</v>
      </c>
    </row>
    <row r="4651" spans="1:11" x14ac:dyDescent="0.3">
      <c r="A4651">
        <v>1590</v>
      </c>
      <c r="B4651">
        <v>2</v>
      </c>
      <c r="C4651">
        <v>248</v>
      </c>
      <c r="D4651" t="str">
        <f>VLOOKUP(B4651, Products!$A$2:$C$100, 2, FALSE)</f>
        <v>Ritchey Timberwolf Frameset - 2016</v>
      </c>
      <c r="E4651">
        <v>1</v>
      </c>
      <c r="F4651">
        <v>599.99</v>
      </c>
      <c r="G4651">
        <v>0.2</v>
      </c>
      <c r="H4651">
        <v>119.998</v>
      </c>
      <c r="I4651">
        <f>order_items[[#This Row],[list_price]]-order_items[[#This Row],[Discounted_price]]</f>
        <v>479.99200000000002</v>
      </c>
      <c r="J4651">
        <f>VLOOKUP(B4651, Products!$A$2:$E$100, 3, FALSE)</f>
        <v>5</v>
      </c>
      <c r="K4651">
        <f>VLOOKUP(B4651, Products!$A$2:$F$100, 4, FALSE)</f>
        <v>6</v>
      </c>
    </row>
    <row r="4652" spans="1:11" x14ac:dyDescent="0.3">
      <c r="A4652">
        <v>1590</v>
      </c>
      <c r="B4652">
        <v>3</v>
      </c>
      <c r="C4652">
        <v>23</v>
      </c>
      <c r="D4652" t="str">
        <f>VLOOKUP(B4652, Products!$A$2:$C$100, 2, FALSE)</f>
        <v>Surly Wednesday Frameset - 2016</v>
      </c>
      <c r="E4652">
        <v>1</v>
      </c>
      <c r="F4652">
        <v>299.99</v>
      </c>
      <c r="G4652">
        <v>7.0000000000000007E-2</v>
      </c>
      <c r="H4652">
        <v>20.999300000000002</v>
      </c>
      <c r="I4652">
        <f>order_items[[#This Row],[list_price]]-order_items[[#This Row],[Discounted_price]]</f>
        <v>278.9907</v>
      </c>
      <c r="J4652">
        <f>VLOOKUP(B4652, Products!$A$2:$E$100, 3, FALSE)</f>
        <v>8</v>
      </c>
      <c r="K4652">
        <f>VLOOKUP(B4652, Products!$A$2:$F$100, 4, FALSE)</f>
        <v>6</v>
      </c>
    </row>
    <row r="4653" spans="1:11" x14ac:dyDescent="0.3">
      <c r="A4653">
        <v>1591</v>
      </c>
      <c r="B4653">
        <v>1</v>
      </c>
      <c r="C4653">
        <v>286</v>
      </c>
      <c r="D4653" t="str">
        <f>VLOOKUP(B4653, Products!$A$2:$C$100, 2, FALSE)</f>
        <v>Trek 820 - 2016</v>
      </c>
      <c r="E4653">
        <v>2</v>
      </c>
      <c r="F4653">
        <v>279.99</v>
      </c>
      <c r="G4653">
        <v>0.2</v>
      </c>
      <c r="H4653">
        <v>55.998000000000005</v>
      </c>
      <c r="I4653">
        <f>order_items[[#This Row],[list_price]]-order_items[[#This Row],[Discounted_price]]</f>
        <v>223.99200000000002</v>
      </c>
      <c r="J4653">
        <f>VLOOKUP(B4653, Products!$A$2:$E$100, 3, FALSE)</f>
        <v>9</v>
      </c>
      <c r="K4653">
        <f>VLOOKUP(B4653, Products!$A$2:$F$100, 4, FALSE)</f>
        <v>6</v>
      </c>
    </row>
    <row r="4654" spans="1:11" x14ac:dyDescent="0.3">
      <c r="A4654">
        <v>1591</v>
      </c>
      <c r="B4654">
        <v>2</v>
      </c>
      <c r="C4654">
        <v>126</v>
      </c>
      <c r="D4654" t="str">
        <f>VLOOKUP(B4654, Products!$A$2:$C$100, 2, FALSE)</f>
        <v>Ritchey Timberwolf Frameset - 2016</v>
      </c>
      <c r="E4654">
        <v>2</v>
      </c>
      <c r="F4654">
        <v>469.99</v>
      </c>
      <c r="G4654">
        <v>0.2</v>
      </c>
      <c r="H4654">
        <v>93.998000000000005</v>
      </c>
      <c r="I4654">
        <f>order_items[[#This Row],[list_price]]-order_items[[#This Row],[Discounted_price]]</f>
        <v>375.99200000000002</v>
      </c>
      <c r="J4654">
        <f>VLOOKUP(B4654, Products!$A$2:$E$100, 3, FALSE)</f>
        <v>5</v>
      </c>
      <c r="K4654">
        <f>VLOOKUP(B4654, Products!$A$2:$F$100, 4, FALSE)</f>
        <v>6</v>
      </c>
    </row>
    <row r="4655" spans="1:11" x14ac:dyDescent="0.3">
      <c r="A4655">
        <v>1591</v>
      </c>
      <c r="B4655">
        <v>3</v>
      </c>
      <c r="C4655">
        <v>97</v>
      </c>
      <c r="D4655" t="str">
        <f>VLOOKUP(B4655, Products!$A$2:$C$100, 2, FALSE)</f>
        <v>Surly Wednesday Frameset - 2016</v>
      </c>
      <c r="E4655">
        <v>2</v>
      </c>
      <c r="F4655">
        <v>349.99</v>
      </c>
      <c r="G4655">
        <v>7.0000000000000007E-2</v>
      </c>
      <c r="H4655">
        <v>24.499300000000002</v>
      </c>
      <c r="I4655">
        <f>order_items[[#This Row],[list_price]]-order_items[[#This Row],[Discounted_price]]</f>
        <v>325.4907</v>
      </c>
      <c r="J4655">
        <f>VLOOKUP(B4655, Products!$A$2:$E$100, 3, FALSE)</f>
        <v>8</v>
      </c>
      <c r="K4655">
        <f>VLOOKUP(B4655, Products!$A$2:$F$100, 4, FALSE)</f>
        <v>6</v>
      </c>
    </row>
    <row r="4656" spans="1:11" x14ac:dyDescent="0.3">
      <c r="A4656">
        <v>1591</v>
      </c>
      <c r="B4656">
        <v>4</v>
      </c>
      <c r="C4656">
        <v>138</v>
      </c>
      <c r="D4656" t="str">
        <f>VLOOKUP(B4656, Products!$A$2:$C$100, 2, FALSE)</f>
        <v>Trek Fuel EX 8 29 - 2016</v>
      </c>
      <c r="E4656">
        <v>2</v>
      </c>
      <c r="F4656">
        <v>2249.9899999999998</v>
      </c>
      <c r="G4656">
        <v>0.05</v>
      </c>
      <c r="H4656">
        <v>112.4995</v>
      </c>
      <c r="I4656">
        <f>order_items[[#This Row],[list_price]]-order_items[[#This Row],[Discounted_price]]</f>
        <v>2137.4904999999999</v>
      </c>
      <c r="J4656">
        <f>VLOOKUP(B4656, Products!$A$2:$E$100, 3, FALSE)</f>
        <v>9</v>
      </c>
      <c r="K4656">
        <f>VLOOKUP(B4656, Products!$A$2:$F$100, 4, FALSE)</f>
        <v>6</v>
      </c>
    </row>
    <row r="4657" spans="1:11" x14ac:dyDescent="0.3">
      <c r="A4657">
        <v>1591</v>
      </c>
      <c r="B4657">
        <v>5</v>
      </c>
      <c r="C4657">
        <v>265</v>
      </c>
      <c r="D4657" t="str">
        <f>VLOOKUP(B4657, Products!$A$2:$C$100, 2, FALSE)</f>
        <v>Heller Shagamaw Frame - 2016</v>
      </c>
      <c r="E4657">
        <v>1</v>
      </c>
      <c r="F4657">
        <v>289.99</v>
      </c>
      <c r="G4657">
        <v>0.2</v>
      </c>
      <c r="H4657">
        <v>57.998000000000005</v>
      </c>
      <c r="I4657">
        <f>order_items[[#This Row],[list_price]]-order_items[[#This Row],[Discounted_price]]</f>
        <v>231.99200000000002</v>
      </c>
      <c r="J4657">
        <f>VLOOKUP(B4657, Products!$A$2:$E$100, 3, FALSE)</f>
        <v>3</v>
      </c>
      <c r="K4657">
        <f>VLOOKUP(B4657, Products!$A$2:$F$100, 4, FALSE)</f>
        <v>6</v>
      </c>
    </row>
    <row r="4658" spans="1:11" x14ac:dyDescent="0.3">
      <c r="A4658">
        <v>1592</v>
      </c>
      <c r="B4658">
        <v>1</v>
      </c>
      <c r="C4658">
        <v>211</v>
      </c>
      <c r="D4658" t="str">
        <f>VLOOKUP(B4658, Products!$A$2:$C$100, 2, FALSE)</f>
        <v>Trek 820 - 2016</v>
      </c>
      <c r="E4658">
        <v>2</v>
      </c>
      <c r="F4658">
        <v>1549</v>
      </c>
      <c r="G4658">
        <v>0.05</v>
      </c>
      <c r="H4658">
        <v>77.45</v>
      </c>
      <c r="I4658">
        <f>order_items[[#This Row],[list_price]]-order_items[[#This Row],[Discounted_price]]</f>
        <v>1471.55</v>
      </c>
      <c r="J4658">
        <f>VLOOKUP(B4658, Products!$A$2:$E$100, 3, FALSE)</f>
        <v>9</v>
      </c>
      <c r="K4658">
        <f>VLOOKUP(B4658, Products!$A$2:$F$100, 4, FALSE)</f>
        <v>6</v>
      </c>
    </row>
    <row r="4659" spans="1:11" x14ac:dyDescent="0.3">
      <c r="A4659">
        <v>1592</v>
      </c>
      <c r="B4659">
        <v>2</v>
      </c>
      <c r="C4659">
        <v>159</v>
      </c>
      <c r="D4659" t="str">
        <f>VLOOKUP(B4659, Products!$A$2:$C$100, 2, FALSE)</f>
        <v>Ritchey Timberwolf Frameset - 2016</v>
      </c>
      <c r="E4659">
        <v>1</v>
      </c>
      <c r="F4659">
        <v>2299.9899999999998</v>
      </c>
      <c r="G4659">
        <v>7.0000000000000007E-2</v>
      </c>
      <c r="H4659">
        <v>160.99930000000001</v>
      </c>
      <c r="I4659">
        <f>order_items[[#This Row],[list_price]]-order_items[[#This Row],[Discounted_price]]</f>
        <v>2138.9906999999998</v>
      </c>
      <c r="J4659">
        <f>VLOOKUP(B4659, Products!$A$2:$E$100, 3, FALSE)</f>
        <v>5</v>
      </c>
      <c r="K4659">
        <f>VLOOKUP(B4659, Products!$A$2:$F$100, 4, FALSE)</f>
        <v>6</v>
      </c>
    </row>
    <row r="4660" spans="1:11" x14ac:dyDescent="0.3">
      <c r="A4660">
        <v>1592</v>
      </c>
      <c r="B4660">
        <v>3</v>
      </c>
      <c r="C4660">
        <v>40</v>
      </c>
      <c r="D4660" t="str">
        <f>VLOOKUP(B4660, Products!$A$2:$C$100, 2, FALSE)</f>
        <v>Surly Wednesday Frameset - 2016</v>
      </c>
      <c r="E4660">
        <v>2</v>
      </c>
      <c r="F4660">
        <v>4999.99</v>
      </c>
      <c r="G4660">
        <v>7.0000000000000007E-2</v>
      </c>
      <c r="H4660">
        <v>349.99930000000001</v>
      </c>
      <c r="I4660">
        <f>order_items[[#This Row],[list_price]]-order_items[[#This Row],[Discounted_price]]</f>
        <v>4649.9906999999994</v>
      </c>
      <c r="J4660">
        <f>VLOOKUP(B4660, Products!$A$2:$E$100, 3, FALSE)</f>
        <v>8</v>
      </c>
      <c r="K4660">
        <f>VLOOKUP(B4660, Products!$A$2:$F$100, 4, FALSE)</f>
        <v>6</v>
      </c>
    </row>
    <row r="4661" spans="1:11" x14ac:dyDescent="0.3">
      <c r="A4661">
        <v>1592</v>
      </c>
      <c r="B4661">
        <v>4</v>
      </c>
      <c r="C4661">
        <v>9</v>
      </c>
      <c r="D4661" t="str">
        <f>VLOOKUP(B4661, Products!$A$2:$C$100, 2, FALSE)</f>
        <v>Trek Fuel EX 8 29 - 2016</v>
      </c>
      <c r="E4661">
        <v>1</v>
      </c>
      <c r="F4661">
        <v>2999.99</v>
      </c>
      <c r="G4661">
        <v>0.2</v>
      </c>
      <c r="H4661">
        <v>599.99799999999993</v>
      </c>
      <c r="I4661">
        <f>order_items[[#This Row],[list_price]]-order_items[[#This Row],[Discounted_price]]</f>
        <v>2399.9919999999997</v>
      </c>
      <c r="J4661">
        <f>VLOOKUP(B4661, Products!$A$2:$E$100, 3, FALSE)</f>
        <v>9</v>
      </c>
      <c r="K4661">
        <f>VLOOKUP(B4661, Products!$A$2:$F$100, 4, FALSE)</f>
        <v>6</v>
      </c>
    </row>
    <row r="4662" spans="1:11" x14ac:dyDescent="0.3">
      <c r="A4662">
        <v>1592</v>
      </c>
      <c r="B4662">
        <v>5</v>
      </c>
      <c r="C4662">
        <v>271</v>
      </c>
      <c r="D4662" t="str">
        <f>VLOOKUP(B4662, Products!$A$2:$C$100, 2, FALSE)</f>
        <v>Heller Shagamaw Frame - 2016</v>
      </c>
      <c r="E4662">
        <v>2</v>
      </c>
      <c r="F4662">
        <v>209.99</v>
      </c>
      <c r="G4662">
        <v>0.05</v>
      </c>
      <c r="H4662">
        <v>10.499500000000001</v>
      </c>
      <c r="I4662">
        <f>order_items[[#This Row],[list_price]]-order_items[[#This Row],[Discounted_price]]</f>
        <v>199.4905</v>
      </c>
      <c r="J4662">
        <f>VLOOKUP(B4662, Products!$A$2:$E$100, 3, FALSE)</f>
        <v>3</v>
      </c>
      <c r="K4662">
        <f>VLOOKUP(B4662, Products!$A$2:$F$100, 4, FALSE)</f>
        <v>6</v>
      </c>
    </row>
    <row r="4663" spans="1:11" x14ac:dyDescent="0.3">
      <c r="A4663">
        <v>1593</v>
      </c>
      <c r="B4663">
        <v>1</v>
      </c>
      <c r="C4663">
        <v>97</v>
      </c>
      <c r="D4663" t="str">
        <f>VLOOKUP(B4663, Products!$A$2:$C$100, 2, FALSE)</f>
        <v>Trek 820 - 2016</v>
      </c>
      <c r="E4663">
        <v>2</v>
      </c>
      <c r="F4663">
        <v>349.99</v>
      </c>
      <c r="G4663">
        <v>0.2</v>
      </c>
      <c r="H4663">
        <v>69.998000000000005</v>
      </c>
      <c r="I4663">
        <f>order_items[[#This Row],[list_price]]-order_items[[#This Row],[Discounted_price]]</f>
        <v>279.99200000000002</v>
      </c>
      <c r="J4663">
        <f>VLOOKUP(B4663, Products!$A$2:$E$100, 3, FALSE)</f>
        <v>9</v>
      </c>
      <c r="K4663">
        <f>VLOOKUP(B4663, Products!$A$2:$F$100, 4, FALSE)</f>
        <v>6</v>
      </c>
    </row>
    <row r="4664" spans="1:11" x14ac:dyDescent="0.3">
      <c r="A4664">
        <v>1593</v>
      </c>
      <c r="B4664">
        <v>2</v>
      </c>
      <c r="C4664">
        <v>34</v>
      </c>
      <c r="D4664" t="str">
        <f>VLOOKUP(B4664, Products!$A$2:$C$100, 2, FALSE)</f>
        <v>Ritchey Timberwolf Frameset - 2016</v>
      </c>
      <c r="E4664">
        <v>1</v>
      </c>
      <c r="F4664">
        <v>469.99</v>
      </c>
      <c r="G4664">
        <v>7.0000000000000007E-2</v>
      </c>
      <c r="H4664">
        <v>32.899300000000004</v>
      </c>
      <c r="I4664">
        <f>order_items[[#This Row],[list_price]]-order_items[[#This Row],[Discounted_price]]</f>
        <v>437.09070000000003</v>
      </c>
      <c r="J4664">
        <f>VLOOKUP(B4664, Products!$A$2:$E$100, 3, FALSE)</f>
        <v>5</v>
      </c>
      <c r="K4664">
        <f>VLOOKUP(B4664, Products!$A$2:$F$100, 4, FALSE)</f>
        <v>6</v>
      </c>
    </row>
    <row r="4665" spans="1:11" x14ac:dyDescent="0.3">
      <c r="A4665">
        <v>1593</v>
      </c>
      <c r="B4665">
        <v>3</v>
      </c>
      <c r="C4665">
        <v>190</v>
      </c>
      <c r="D4665" t="str">
        <f>VLOOKUP(B4665, Products!$A$2:$C$100, 2, FALSE)</f>
        <v>Surly Wednesday Frameset - 2016</v>
      </c>
      <c r="E4665">
        <v>2</v>
      </c>
      <c r="F4665">
        <v>2799.99</v>
      </c>
      <c r="G4665">
        <v>0.1</v>
      </c>
      <c r="H4665">
        <v>279.99899999999997</v>
      </c>
      <c r="I4665">
        <f>order_items[[#This Row],[list_price]]-order_items[[#This Row],[Discounted_price]]</f>
        <v>2519.991</v>
      </c>
      <c r="J4665">
        <f>VLOOKUP(B4665, Products!$A$2:$E$100, 3, FALSE)</f>
        <v>8</v>
      </c>
      <c r="K4665">
        <f>VLOOKUP(B4665, Products!$A$2:$F$100, 4, FALSE)</f>
        <v>6</v>
      </c>
    </row>
    <row r="4666" spans="1:11" x14ac:dyDescent="0.3">
      <c r="A4666">
        <v>1593</v>
      </c>
      <c r="B4666">
        <v>4</v>
      </c>
      <c r="C4666">
        <v>107</v>
      </c>
      <c r="D4666" t="str">
        <f>VLOOKUP(B4666, Products!$A$2:$C$100, 2, FALSE)</f>
        <v>Trek Fuel EX 8 29 - 2016</v>
      </c>
      <c r="E4666">
        <v>1</v>
      </c>
      <c r="F4666">
        <v>416.99</v>
      </c>
      <c r="G4666">
        <v>0.05</v>
      </c>
      <c r="H4666">
        <v>20.849500000000003</v>
      </c>
      <c r="I4666">
        <f>order_items[[#This Row],[list_price]]-order_items[[#This Row],[Discounted_price]]</f>
        <v>396.14050000000003</v>
      </c>
      <c r="J4666">
        <f>VLOOKUP(B4666, Products!$A$2:$E$100, 3, FALSE)</f>
        <v>9</v>
      </c>
      <c r="K4666">
        <f>VLOOKUP(B4666, Products!$A$2:$F$100, 4, FALSE)</f>
        <v>6</v>
      </c>
    </row>
    <row r="4667" spans="1:11" x14ac:dyDescent="0.3">
      <c r="A4667">
        <v>1593</v>
      </c>
      <c r="B4667">
        <v>5</v>
      </c>
      <c r="C4667">
        <v>169</v>
      </c>
      <c r="D4667" t="str">
        <f>VLOOKUP(B4667, Products!$A$2:$C$100, 2, FALSE)</f>
        <v>Heller Shagamaw Frame - 2016</v>
      </c>
      <c r="E4667">
        <v>2</v>
      </c>
      <c r="F4667">
        <v>6499.99</v>
      </c>
      <c r="G4667">
        <v>7.0000000000000007E-2</v>
      </c>
      <c r="H4667">
        <v>454.99930000000001</v>
      </c>
      <c r="I4667">
        <f>order_items[[#This Row],[list_price]]-order_items[[#This Row],[Discounted_price]]</f>
        <v>6044.9906999999994</v>
      </c>
      <c r="J4667">
        <f>VLOOKUP(B4667, Products!$A$2:$E$100, 3, FALSE)</f>
        <v>3</v>
      </c>
      <c r="K4667">
        <f>VLOOKUP(B4667, Products!$A$2:$F$100, 4, FALSE)</f>
        <v>6</v>
      </c>
    </row>
    <row r="4668" spans="1:11" x14ac:dyDescent="0.3">
      <c r="A4668">
        <v>1594</v>
      </c>
      <c r="B4668">
        <v>1</v>
      </c>
      <c r="C4668">
        <v>79</v>
      </c>
      <c r="D4668" t="str">
        <f>VLOOKUP(B4668, Products!$A$2:$C$100, 2, FALSE)</f>
        <v>Trek 820 - 2016</v>
      </c>
      <c r="E4668">
        <v>2</v>
      </c>
      <c r="F4668">
        <v>402.99</v>
      </c>
      <c r="G4668">
        <v>0.1</v>
      </c>
      <c r="H4668">
        <v>40.299000000000007</v>
      </c>
      <c r="I4668">
        <f>order_items[[#This Row],[list_price]]-order_items[[#This Row],[Discounted_price]]</f>
        <v>362.69100000000003</v>
      </c>
      <c r="J4668">
        <f>VLOOKUP(B4668, Products!$A$2:$E$100, 3, FALSE)</f>
        <v>9</v>
      </c>
      <c r="K4668">
        <f>VLOOKUP(B4668, Products!$A$2:$F$100, 4, FALSE)</f>
        <v>6</v>
      </c>
    </row>
    <row r="4669" spans="1:11" x14ac:dyDescent="0.3">
      <c r="A4669">
        <v>1594</v>
      </c>
      <c r="B4669">
        <v>2</v>
      </c>
      <c r="C4669">
        <v>105</v>
      </c>
      <c r="D4669" t="str">
        <f>VLOOKUP(B4669, Products!$A$2:$C$100, 2, FALSE)</f>
        <v>Ritchey Timberwolf Frameset - 2016</v>
      </c>
      <c r="E4669">
        <v>1</v>
      </c>
      <c r="F4669">
        <v>533.99</v>
      </c>
      <c r="G4669">
        <v>0.1</v>
      </c>
      <c r="H4669">
        <v>53.399000000000001</v>
      </c>
      <c r="I4669">
        <f>order_items[[#This Row],[list_price]]-order_items[[#This Row],[Discounted_price]]</f>
        <v>480.59100000000001</v>
      </c>
      <c r="J4669">
        <f>VLOOKUP(B4669, Products!$A$2:$E$100, 3, FALSE)</f>
        <v>5</v>
      </c>
      <c r="K4669">
        <f>VLOOKUP(B4669, Products!$A$2:$F$100, 4, FALSE)</f>
        <v>6</v>
      </c>
    </row>
    <row r="4670" spans="1:11" x14ac:dyDescent="0.3">
      <c r="A4670">
        <v>1595</v>
      </c>
      <c r="B4670">
        <v>1</v>
      </c>
      <c r="C4670">
        <v>112</v>
      </c>
      <c r="D4670" t="str">
        <f>VLOOKUP(B4670, Products!$A$2:$C$100, 2, FALSE)</f>
        <v>Trek 820 - 2016</v>
      </c>
      <c r="E4670">
        <v>1</v>
      </c>
      <c r="F4670">
        <v>379.99</v>
      </c>
      <c r="G4670">
        <v>0.2</v>
      </c>
      <c r="H4670">
        <v>75.998000000000005</v>
      </c>
      <c r="I4670">
        <f>order_items[[#This Row],[list_price]]-order_items[[#This Row],[Discounted_price]]</f>
        <v>303.99200000000002</v>
      </c>
      <c r="J4670">
        <f>VLOOKUP(B4670, Products!$A$2:$E$100, 3, FALSE)</f>
        <v>9</v>
      </c>
      <c r="K4670">
        <f>VLOOKUP(B4670, Products!$A$2:$F$100, 4, FALSE)</f>
        <v>6</v>
      </c>
    </row>
    <row r="4671" spans="1:11" x14ac:dyDescent="0.3">
      <c r="A4671">
        <v>1596</v>
      </c>
      <c r="B4671">
        <v>1</v>
      </c>
      <c r="C4671">
        <v>91</v>
      </c>
      <c r="D4671" t="str">
        <f>VLOOKUP(B4671, Products!$A$2:$C$100, 2, FALSE)</f>
        <v>Trek 820 - 2016</v>
      </c>
      <c r="E4671">
        <v>1</v>
      </c>
      <c r="F4671">
        <v>349.99</v>
      </c>
      <c r="G4671">
        <v>0.05</v>
      </c>
      <c r="H4671">
        <v>17.499500000000001</v>
      </c>
      <c r="I4671">
        <f>order_items[[#This Row],[list_price]]-order_items[[#This Row],[Discounted_price]]</f>
        <v>332.4905</v>
      </c>
      <c r="J4671">
        <f>VLOOKUP(B4671, Products!$A$2:$E$100, 3, FALSE)</f>
        <v>9</v>
      </c>
      <c r="K4671">
        <f>VLOOKUP(B4671, Products!$A$2:$F$100, 4, FALSE)</f>
        <v>6</v>
      </c>
    </row>
    <row r="4672" spans="1:11" x14ac:dyDescent="0.3">
      <c r="A4672">
        <v>1596</v>
      </c>
      <c r="B4672">
        <v>2</v>
      </c>
      <c r="C4672">
        <v>18</v>
      </c>
      <c r="D4672" t="str">
        <f>VLOOKUP(B4672, Products!$A$2:$C$100, 2, FALSE)</f>
        <v>Ritchey Timberwolf Frameset - 2016</v>
      </c>
      <c r="E4672">
        <v>1</v>
      </c>
      <c r="F4672">
        <v>449</v>
      </c>
      <c r="G4672">
        <v>0.1</v>
      </c>
      <c r="H4672">
        <v>44.900000000000006</v>
      </c>
      <c r="I4672">
        <f>order_items[[#This Row],[list_price]]-order_items[[#This Row],[Discounted_price]]</f>
        <v>404.1</v>
      </c>
      <c r="J4672">
        <f>VLOOKUP(B4672, Products!$A$2:$E$100, 3, FALSE)</f>
        <v>5</v>
      </c>
      <c r="K4672">
        <f>VLOOKUP(B4672, Products!$A$2:$F$100, 4, FALSE)</f>
        <v>6</v>
      </c>
    </row>
    <row r="4673" spans="1:11" x14ac:dyDescent="0.3">
      <c r="A4673">
        <v>1597</v>
      </c>
      <c r="B4673">
        <v>1</v>
      </c>
      <c r="C4673">
        <v>176</v>
      </c>
      <c r="D4673" t="str">
        <f>VLOOKUP(B4673, Products!$A$2:$C$100, 2, FALSE)</f>
        <v>Trek 820 - 2016</v>
      </c>
      <c r="E4673">
        <v>1</v>
      </c>
      <c r="F4673">
        <v>3199.99</v>
      </c>
      <c r="G4673">
        <v>7.0000000000000007E-2</v>
      </c>
      <c r="H4673">
        <v>223.99930000000001</v>
      </c>
      <c r="I4673">
        <f>order_items[[#This Row],[list_price]]-order_items[[#This Row],[Discounted_price]]</f>
        <v>2975.9906999999998</v>
      </c>
      <c r="J4673">
        <f>VLOOKUP(B4673, Products!$A$2:$E$100, 3, FALSE)</f>
        <v>9</v>
      </c>
      <c r="K4673">
        <f>VLOOKUP(B4673, Products!$A$2:$F$100, 4, FALSE)</f>
        <v>6</v>
      </c>
    </row>
    <row r="4674" spans="1:11" x14ac:dyDescent="0.3">
      <c r="A4674">
        <v>1597</v>
      </c>
      <c r="B4674">
        <v>2</v>
      </c>
      <c r="C4674">
        <v>59</v>
      </c>
      <c r="D4674" t="str">
        <f>VLOOKUP(B4674, Products!$A$2:$C$100, 2, FALSE)</f>
        <v>Ritchey Timberwolf Frameset - 2016</v>
      </c>
      <c r="E4674">
        <v>1</v>
      </c>
      <c r="F4674">
        <v>2599.9899999999998</v>
      </c>
      <c r="G4674">
        <v>7.0000000000000007E-2</v>
      </c>
      <c r="H4674">
        <v>181.99930000000001</v>
      </c>
      <c r="I4674">
        <f>order_items[[#This Row],[list_price]]-order_items[[#This Row],[Discounted_price]]</f>
        <v>2417.9906999999998</v>
      </c>
      <c r="J4674">
        <f>VLOOKUP(B4674, Products!$A$2:$E$100, 3, FALSE)</f>
        <v>5</v>
      </c>
      <c r="K4674">
        <f>VLOOKUP(B4674, Products!$A$2:$F$100, 4, FALSE)</f>
        <v>6</v>
      </c>
    </row>
    <row r="4675" spans="1:11" x14ac:dyDescent="0.3">
      <c r="A4675">
        <v>1598</v>
      </c>
      <c r="B4675">
        <v>1</v>
      </c>
      <c r="C4675">
        <v>247</v>
      </c>
      <c r="D4675" t="str">
        <f>VLOOKUP(B4675, Products!$A$2:$C$100, 2, FALSE)</f>
        <v>Trek 820 - 2016</v>
      </c>
      <c r="E4675">
        <v>1</v>
      </c>
      <c r="F4675">
        <v>599.99</v>
      </c>
      <c r="G4675">
        <v>0.2</v>
      </c>
      <c r="H4675">
        <v>119.998</v>
      </c>
      <c r="I4675">
        <f>order_items[[#This Row],[list_price]]-order_items[[#This Row],[Discounted_price]]</f>
        <v>479.99200000000002</v>
      </c>
      <c r="J4675">
        <f>VLOOKUP(B4675, Products!$A$2:$E$100, 3, FALSE)</f>
        <v>9</v>
      </c>
      <c r="K4675">
        <f>VLOOKUP(B4675, Products!$A$2:$F$100, 4, FALSE)</f>
        <v>6</v>
      </c>
    </row>
    <row r="4676" spans="1:11" x14ac:dyDescent="0.3">
      <c r="A4676">
        <v>1598</v>
      </c>
      <c r="B4676">
        <v>2</v>
      </c>
      <c r="C4676">
        <v>49</v>
      </c>
      <c r="D4676" t="str">
        <f>VLOOKUP(B4676, Products!$A$2:$C$100, 2, FALSE)</f>
        <v>Ritchey Timberwolf Frameset - 2016</v>
      </c>
      <c r="E4676">
        <v>2</v>
      </c>
      <c r="F4676">
        <v>3499.99</v>
      </c>
      <c r="G4676">
        <v>7.0000000000000007E-2</v>
      </c>
      <c r="H4676">
        <v>244.99930000000001</v>
      </c>
      <c r="I4676">
        <f>order_items[[#This Row],[list_price]]-order_items[[#This Row],[Discounted_price]]</f>
        <v>3254.9906999999998</v>
      </c>
      <c r="J4676">
        <f>VLOOKUP(B4676, Products!$A$2:$E$100, 3, FALSE)</f>
        <v>5</v>
      </c>
      <c r="K4676">
        <f>VLOOKUP(B4676, Products!$A$2:$F$100, 4, FALSE)</f>
        <v>6</v>
      </c>
    </row>
    <row r="4677" spans="1:11" x14ac:dyDescent="0.3">
      <c r="A4677">
        <v>1598</v>
      </c>
      <c r="B4677">
        <v>3</v>
      </c>
      <c r="C4677">
        <v>88</v>
      </c>
      <c r="D4677" t="str">
        <f>VLOOKUP(B4677, Products!$A$2:$C$100, 2, FALSE)</f>
        <v>Surly Wednesday Frameset - 2016</v>
      </c>
      <c r="E4677">
        <v>1</v>
      </c>
      <c r="F4677">
        <v>189.99</v>
      </c>
      <c r="G4677">
        <v>0.2</v>
      </c>
      <c r="H4677">
        <v>37.998000000000005</v>
      </c>
      <c r="I4677">
        <f>order_items[[#This Row],[list_price]]-order_items[[#This Row],[Discounted_price]]</f>
        <v>151.99200000000002</v>
      </c>
      <c r="J4677">
        <f>VLOOKUP(B4677, Products!$A$2:$E$100, 3, FALSE)</f>
        <v>8</v>
      </c>
      <c r="K4677">
        <f>VLOOKUP(B4677, Products!$A$2:$F$100, 4, FALSE)</f>
        <v>6</v>
      </c>
    </row>
    <row r="4678" spans="1:11" x14ac:dyDescent="0.3">
      <c r="A4678">
        <v>1599</v>
      </c>
      <c r="B4678">
        <v>1</v>
      </c>
      <c r="C4678">
        <v>104</v>
      </c>
      <c r="D4678" t="str">
        <f>VLOOKUP(B4678, Products!$A$2:$C$100, 2, FALSE)</f>
        <v>Trek 820 - 2016</v>
      </c>
      <c r="E4678">
        <v>2</v>
      </c>
      <c r="F4678">
        <v>481.99</v>
      </c>
      <c r="G4678">
        <v>0.2</v>
      </c>
      <c r="H4678">
        <v>96.39800000000001</v>
      </c>
      <c r="I4678">
        <f>order_items[[#This Row],[list_price]]-order_items[[#This Row],[Discounted_price]]</f>
        <v>385.59199999999998</v>
      </c>
      <c r="J4678">
        <f>VLOOKUP(B4678, Products!$A$2:$E$100, 3, FALSE)</f>
        <v>9</v>
      </c>
      <c r="K4678">
        <f>VLOOKUP(B4678, Products!$A$2:$F$100, 4, FALSE)</f>
        <v>6</v>
      </c>
    </row>
    <row r="4679" spans="1:11" x14ac:dyDescent="0.3">
      <c r="A4679">
        <v>1600</v>
      </c>
      <c r="B4679">
        <v>1</v>
      </c>
      <c r="C4679">
        <v>146</v>
      </c>
      <c r="D4679" t="str">
        <f>VLOOKUP(B4679, Products!$A$2:$C$100, 2, FALSE)</f>
        <v>Trek 820 - 2016</v>
      </c>
      <c r="E4679">
        <v>1</v>
      </c>
      <c r="F4679">
        <v>4999.99</v>
      </c>
      <c r="G4679">
        <v>0.1</v>
      </c>
      <c r="H4679">
        <v>499.99900000000002</v>
      </c>
      <c r="I4679">
        <f>order_items[[#This Row],[list_price]]-order_items[[#This Row],[Discounted_price]]</f>
        <v>4499.991</v>
      </c>
      <c r="J4679">
        <f>VLOOKUP(B4679, Products!$A$2:$E$100, 3, FALSE)</f>
        <v>9</v>
      </c>
      <c r="K4679">
        <f>VLOOKUP(B4679, Products!$A$2:$F$100, 4, FALSE)</f>
        <v>6</v>
      </c>
    </row>
    <row r="4680" spans="1:11" x14ac:dyDescent="0.3">
      <c r="A4680">
        <v>1600</v>
      </c>
      <c r="B4680">
        <v>2</v>
      </c>
      <c r="C4680">
        <v>295</v>
      </c>
      <c r="D4680" t="str">
        <f>VLOOKUP(B4680, Products!$A$2:$C$100, 2, FALSE)</f>
        <v>Ritchey Timberwolf Frameset - 2016</v>
      </c>
      <c r="E4680">
        <v>1</v>
      </c>
      <c r="F4680">
        <v>319.99</v>
      </c>
      <c r="G4680">
        <v>0.05</v>
      </c>
      <c r="H4680">
        <v>15.999500000000001</v>
      </c>
      <c r="I4680">
        <f>order_items[[#This Row],[list_price]]-order_items[[#This Row],[Discounted_price]]</f>
        <v>303.9905</v>
      </c>
      <c r="J4680">
        <f>VLOOKUP(B4680, Products!$A$2:$E$100, 3, FALSE)</f>
        <v>5</v>
      </c>
      <c r="K4680">
        <f>VLOOKUP(B4680, Products!$A$2:$F$100, 4, FALSE)</f>
        <v>6</v>
      </c>
    </row>
    <row r="4681" spans="1:11" x14ac:dyDescent="0.3">
      <c r="A4681">
        <v>1600</v>
      </c>
      <c r="B4681">
        <v>3</v>
      </c>
      <c r="C4681">
        <v>36</v>
      </c>
      <c r="D4681" t="str">
        <f>VLOOKUP(B4681, Products!$A$2:$C$100, 2, FALSE)</f>
        <v>Surly Wednesday Frameset - 2016</v>
      </c>
      <c r="E4681">
        <v>1</v>
      </c>
      <c r="F4681">
        <v>832.99</v>
      </c>
      <c r="G4681">
        <v>0.2</v>
      </c>
      <c r="H4681">
        <v>166.59800000000001</v>
      </c>
      <c r="I4681">
        <f>order_items[[#This Row],[list_price]]-order_items[[#This Row],[Discounted_price]]</f>
        <v>666.39200000000005</v>
      </c>
      <c r="J4681">
        <f>VLOOKUP(B4681, Products!$A$2:$E$100, 3, FALSE)</f>
        <v>8</v>
      </c>
      <c r="K4681">
        <f>VLOOKUP(B4681, Products!$A$2:$F$100, 4, FALSE)</f>
        <v>6</v>
      </c>
    </row>
    <row r="4682" spans="1:11" x14ac:dyDescent="0.3">
      <c r="A4682">
        <v>1601</v>
      </c>
      <c r="B4682">
        <v>1</v>
      </c>
      <c r="C4682">
        <v>114</v>
      </c>
      <c r="D4682" t="str">
        <f>VLOOKUP(B4682, Products!$A$2:$C$100, 2, FALSE)</f>
        <v>Trek 820 - 2016</v>
      </c>
      <c r="E4682">
        <v>2</v>
      </c>
      <c r="F4682">
        <v>579.99</v>
      </c>
      <c r="G4682">
        <v>0.2</v>
      </c>
      <c r="H4682">
        <v>115.998</v>
      </c>
      <c r="I4682">
        <f>order_items[[#This Row],[list_price]]-order_items[[#This Row],[Discounted_price]]</f>
        <v>463.99200000000002</v>
      </c>
      <c r="J4682">
        <f>VLOOKUP(B4682, Products!$A$2:$E$100, 3, FALSE)</f>
        <v>9</v>
      </c>
      <c r="K4682">
        <f>VLOOKUP(B4682, Products!$A$2:$F$100, 4, FALSE)</f>
        <v>6</v>
      </c>
    </row>
    <row r="4683" spans="1:11" x14ac:dyDescent="0.3">
      <c r="A4683">
        <v>1601</v>
      </c>
      <c r="B4683">
        <v>2</v>
      </c>
      <c r="C4683">
        <v>10</v>
      </c>
      <c r="D4683" t="str">
        <f>VLOOKUP(B4683, Products!$A$2:$C$100, 2, FALSE)</f>
        <v>Ritchey Timberwolf Frameset - 2016</v>
      </c>
      <c r="E4683">
        <v>1</v>
      </c>
      <c r="F4683">
        <v>1549</v>
      </c>
      <c r="G4683">
        <v>0.2</v>
      </c>
      <c r="H4683">
        <v>309.8</v>
      </c>
      <c r="I4683">
        <f>order_items[[#This Row],[list_price]]-order_items[[#This Row],[Discounted_price]]</f>
        <v>1239.2</v>
      </c>
      <c r="J4683">
        <f>VLOOKUP(B4683, Products!$A$2:$E$100, 3, FALSE)</f>
        <v>5</v>
      </c>
      <c r="K4683">
        <f>VLOOKUP(B4683, Products!$A$2:$F$100, 4, FALSE)</f>
        <v>6</v>
      </c>
    </row>
    <row r="4684" spans="1:11" x14ac:dyDescent="0.3">
      <c r="A4684">
        <v>1601</v>
      </c>
      <c r="B4684">
        <v>3</v>
      </c>
      <c r="C4684">
        <v>220</v>
      </c>
      <c r="D4684" t="str">
        <f>VLOOKUP(B4684, Products!$A$2:$C$100, 2, FALSE)</f>
        <v>Surly Wednesday Frameset - 2016</v>
      </c>
      <c r="E4684">
        <v>2</v>
      </c>
      <c r="F4684">
        <v>269.99</v>
      </c>
      <c r="G4684">
        <v>7.0000000000000007E-2</v>
      </c>
      <c r="H4684">
        <v>18.899300000000004</v>
      </c>
      <c r="I4684">
        <f>order_items[[#This Row],[list_price]]-order_items[[#This Row],[Discounted_price]]</f>
        <v>251.0907</v>
      </c>
      <c r="J4684">
        <f>VLOOKUP(B4684, Products!$A$2:$E$100, 3, FALSE)</f>
        <v>8</v>
      </c>
      <c r="K4684">
        <f>VLOOKUP(B4684, Products!$A$2:$F$100, 4, FALSE)</f>
        <v>6</v>
      </c>
    </row>
    <row r="4685" spans="1:11" x14ac:dyDescent="0.3">
      <c r="A4685">
        <v>1601</v>
      </c>
      <c r="B4685">
        <v>4</v>
      </c>
      <c r="C4685">
        <v>7</v>
      </c>
      <c r="D4685" t="str">
        <f>VLOOKUP(B4685, Products!$A$2:$C$100, 2, FALSE)</f>
        <v>Trek Fuel EX 8 29 - 2016</v>
      </c>
      <c r="E4685">
        <v>2</v>
      </c>
      <c r="F4685">
        <v>3999.99</v>
      </c>
      <c r="G4685">
        <v>7.0000000000000007E-2</v>
      </c>
      <c r="H4685">
        <v>279.99930000000001</v>
      </c>
      <c r="I4685">
        <f>order_items[[#This Row],[list_price]]-order_items[[#This Row],[Discounted_price]]</f>
        <v>3719.9906999999998</v>
      </c>
      <c r="J4685">
        <f>VLOOKUP(B4685, Products!$A$2:$E$100, 3, FALSE)</f>
        <v>9</v>
      </c>
      <c r="K4685">
        <f>VLOOKUP(B4685, Products!$A$2:$F$100, 4, FALSE)</f>
        <v>6</v>
      </c>
    </row>
    <row r="4686" spans="1:11" x14ac:dyDescent="0.3">
      <c r="A4686">
        <v>1601</v>
      </c>
      <c r="B4686">
        <v>5</v>
      </c>
      <c r="C4686">
        <v>180</v>
      </c>
      <c r="D4686" t="str">
        <f>VLOOKUP(B4686, Products!$A$2:$C$100, 2, FALSE)</f>
        <v>Heller Shagamaw Frame - 2016</v>
      </c>
      <c r="E4686">
        <v>1</v>
      </c>
      <c r="F4686">
        <v>919.99</v>
      </c>
      <c r="G4686">
        <v>0.1</v>
      </c>
      <c r="H4686">
        <v>91.999000000000009</v>
      </c>
      <c r="I4686">
        <f>order_items[[#This Row],[list_price]]-order_items[[#This Row],[Discounted_price]]</f>
        <v>827.99099999999999</v>
      </c>
      <c r="J4686">
        <f>VLOOKUP(B4686, Products!$A$2:$E$100, 3, FALSE)</f>
        <v>3</v>
      </c>
      <c r="K4686">
        <f>VLOOKUP(B4686, Products!$A$2:$F$100, 4, FALSE)</f>
        <v>6</v>
      </c>
    </row>
    <row r="4687" spans="1:11" x14ac:dyDescent="0.3">
      <c r="A4687">
        <v>1602</v>
      </c>
      <c r="B4687">
        <v>1</v>
      </c>
      <c r="C4687">
        <v>71</v>
      </c>
      <c r="D4687" t="str">
        <f>VLOOKUP(B4687, Products!$A$2:$C$100, 2, FALSE)</f>
        <v>Trek 820 - 2016</v>
      </c>
      <c r="E4687">
        <v>2</v>
      </c>
      <c r="F4687">
        <v>416.99</v>
      </c>
      <c r="G4687">
        <v>0.05</v>
      </c>
      <c r="H4687">
        <v>20.849500000000003</v>
      </c>
      <c r="I4687">
        <f>order_items[[#This Row],[list_price]]-order_items[[#This Row],[Discounted_price]]</f>
        <v>396.14050000000003</v>
      </c>
      <c r="J4687">
        <f>VLOOKUP(B4687, Products!$A$2:$E$100, 3, FALSE)</f>
        <v>9</v>
      </c>
      <c r="K4687">
        <f>VLOOKUP(B4687, Products!$A$2:$F$100, 4, FALSE)</f>
        <v>6</v>
      </c>
    </row>
    <row r="4688" spans="1:11" x14ac:dyDescent="0.3">
      <c r="A4688">
        <v>1602</v>
      </c>
      <c r="B4688">
        <v>2</v>
      </c>
      <c r="C4688">
        <v>37</v>
      </c>
      <c r="D4688" t="str">
        <f>VLOOKUP(B4688, Products!$A$2:$C$100, 2, FALSE)</f>
        <v>Ritchey Timberwolf Frameset - 2016</v>
      </c>
      <c r="E4688">
        <v>1</v>
      </c>
      <c r="F4688">
        <v>379.99</v>
      </c>
      <c r="G4688">
        <v>7.0000000000000007E-2</v>
      </c>
      <c r="H4688">
        <v>26.599300000000003</v>
      </c>
      <c r="I4688">
        <f>order_items[[#This Row],[list_price]]-order_items[[#This Row],[Discounted_price]]</f>
        <v>353.39069999999998</v>
      </c>
      <c r="J4688">
        <f>VLOOKUP(B4688, Products!$A$2:$E$100, 3, FALSE)</f>
        <v>5</v>
      </c>
      <c r="K4688">
        <f>VLOOKUP(B4688, Products!$A$2:$F$100, 4, FALSE)</f>
        <v>6</v>
      </c>
    </row>
    <row r="4689" spans="1:11" x14ac:dyDescent="0.3">
      <c r="A4689">
        <v>1602</v>
      </c>
      <c r="B4689">
        <v>3</v>
      </c>
      <c r="C4689">
        <v>275</v>
      </c>
      <c r="D4689" t="str">
        <f>VLOOKUP(B4689, Products!$A$2:$C$100, 2, FALSE)</f>
        <v>Surly Wednesday Frameset - 2016</v>
      </c>
      <c r="E4689">
        <v>2</v>
      </c>
      <c r="F4689">
        <v>229.99</v>
      </c>
      <c r="G4689">
        <v>0.2</v>
      </c>
      <c r="H4689">
        <v>45.998000000000005</v>
      </c>
      <c r="I4689">
        <f>order_items[[#This Row],[list_price]]-order_items[[#This Row],[Discounted_price]]</f>
        <v>183.99200000000002</v>
      </c>
      <c r="J4689">
        <f>VLOOKUP(B4689, Products!$A$2:$E$100, 3, FALSE)</f>
        <v>8</v>
      </c>
      <c r="K4689">
        <f>VLOOKUP(B4689, Products!$A$2:$F$100, 4, FALSE)</f>
        <v>6</v>
      </c>
    </row>
    <row r="4690" spans="1:11" x14ac:dyDescent="0.3">
      <c r="A4690">
        <v>1602</v>
      </c>
      <c r="B4690">
        <v>4</v>
      </c>
      <c r="C4690">
        <v>257</v>
      </c>
      <c r="D4690" t="str">
        <f>VLOOKUP(B4690, Products!$A$2:$C$100, 2, FALSE)</f>
        <v>Trek Fuel EX 8 29 - 2016</v>
      </c>
      <c r="E4690">
        <v>2</v>
      </c>
      <c r="F4690">
        <v>899.99</v>
      </c>
      <c r="G4690">
        <v>0.05</v>
      </c>
      <c r="H4690">
        <v>44.999500000000005</v>
      </c>
      <c r="I4690">
        <f>order_items[[#This Row],[list_price]]-order_items[[#This Row],[Discounted_price]]</f>
        <v>854.9905</v>
      </c>
      <c r="J4690">
        <f>VLOOKUP(B4690, Products!$A$2:$E$100, 3, FALSE)</f>
        <v>9</v>
      </c>
      <c r="K4690">
        <f>VLOOKUP(B4690, Products!$A$2:$F$100, 4, FALSE)</f>
        <v>6</v>
      </c>
    </row>
    <row r="4691" spans="1:11" x14ac:dyDescent="0.3">
      <c r="A4691">
        <v>1603</v>
      </c>
      <c r="B4691">
        <v>1</v>
      </c>
      <c r="C4691">
        <v>275</v>
      </c>
      <c r="D4691" t="str">
        <f>VLOOKUP(B4691, Products!$A$2:$C$100, 2, FALSE)</f>
        <v>Trek 820 - 2016</v>
      </c>
      <c r="E4691">
        <v>2</v>
      </c>
      <c r="F4691">
        <v>229.99</v>
      </c>
      <c r="G4691">
        <v>0.05</v>
      </c>
      <c r="H4691">
        <v>11.499500000000001</v>
      </c>
      <c r="I4691">
        <f>order_items[[#This Row],[list_price]]-order_items[[#This Row],[Discounted_price]]</f>
        <v>218.4905</v>
      </c>
      <c r="J4691">
        <f>VLOOKUP(B4691, Products!$A$2:$E$100, 3, FALSE)</f>
        <v>9</v>
      </c>
      <c r="K4691">
        <f>VLOOKUP(B4691, Products!$A$2:$F$100, 4, FALSE)</f>
        <v>6</v>
      </c>
    </row>
    <row r="4692" spans="1:11" x14ac:dyDescent="0.3">
      <c r="A4692">
        <v>1604</v>
      </c>
      <c r="B4692">
        <v>1</v>
      </c>
      <c r="C4692">
        <v>271</v>
      </c>
      <c r="D4692" t="str">
        <f>VLOOKUP(B4692, Products!$A$2:$C$100, 2, FALSE)</f>
        <v>Trek 820 - 2016</v>
      </c>
      <c r="E4692">
        <v>1</v>
      </c>
      <c r="F4692">
        <v>209.99</v>
      </c>
      <c r="G4692">
        <v>0.1</v>
      </c>
      <c r="H4692">
        <v>20.999000000000002</v>
      </c>
      <c r="I4692">
        <f>order_items[[#This Row],[list_price]]-order_items[[#This Row],[Discounted_price]]</f>
        <v>188.99100000000001</v>
      </c>
      <c r="J4692">
        <f>VLOOKUP(B4692, Products!$A$2:$E$100, 3, FALSE)</f>
        <v>9</v>
      </c>
      <c r="K4692">
        <f>VLOOKUP(B4692, Products!$A$2:$F$100, 4, FALSE)</f>
        <v>6</v>
      </c>
    </row>
    <row r="4693" spans="1:11" x14ac:dyDescent="0.3">
      <c r="A4693">
        <v>1605</v>
      </c>
      <c r="B4693">
        <v>1</v>
      </c>
      <c r="C4693">
        <v>72</v>
      </c>
      <c r="D4693" t="str">
        <f>VLOOKUP(B4693, Products!$A$2:$C$100, 2, FALSE)</f>
        <v>Trek 820 - 2016</v>
      </c>
      <c r="E4693">
        <v>1</v>
      </c>
      <c r="F4693">
        <v>619.99</v>
      </c>
      <c r="G4693">
        <v>0.1</v>
      </c>
      <c r="H4693">
        <v>61.999000000000002</v>
      </c>
      <c r="I4693">
        <f>order_items[[#This Row],[list_price]]-order_items[[#This Row],[Discounted_price]]</f>
        <v>557.99099999999999</v>
      </c>
      <c r="J4693">
        <f>VLOOKUP(B4693, Products!$A$2:$E$100, 3, FALSE)</f>
        <v>9</v>
      </c>
      <c r="K4693">
        <f>VLOOKUP(B4693, Products!$A$2:$F$100, 4, FALSE)</f>
        <v>6</v>
      </c>
    </row>
    <row r="4694" spans="1:11" x14ac:dyDescent="0.3">
      <c r="A4694">
        <v>1605</v>
      </c>
      <c r="B4694">
        <v>2</v>
      </c>
      <c r="C4694">
        <v>186</v>
      </c>
      <c r="D4694" t="str">
        <f>VLOOKUP(B4694, Products!$A$2:$C$100, 2, FALSE)</f>
        <v>Ritchey Timberwolf Frameset - 2016</v>
      </c>
      <c r="E4694">
        <v>1</v>
      </c>
      <c r="F4694">
        <v>4499.99</v>
      </c>
      <c r="G4694">
        <v>0.2</v>
      </c>
      <c r="H4694">
        <v>899.99800000000005</v>
      </c>
      <c r="I4694">
        <f>order_items[[#This Row],[list_price]]-order_items[[#This Row],[Discounted_price]]</f>
        <v>3599.9919999999997</v>
      </c>
      <c r="J4694">
        <f>VLOOKUP(B4694, Products!$A$2:$E$100, 3, FALSE)</f>
        <v>5</v>
      </c>
      <c r="K4694">
        <f>VLOOKUP(B4694, Products!$A$2:$F$100, 4, FALSE)</f>
        <v>6</v>
      </c>
    </row>
    <row r="4695" spans="1:11" x14ac:dyDescent="0.3">
      <c r="A4695">
        <v>1605</v>
      </c>
      <c r="B4695">
        <v>3</v>
      </c>
      <c r="C4695">
        <v>132</v>
      </c>
      <c r="D4695" t="str">
        <f>VLOOKUP(B4695, Products!$A$2:$C$100, 2, FALSE)</f>
        <v>Surly Wednesday Frameset - 2016</v>
      </c>
      <c r="E4695">
        <v>2</v>
      </c>
      <c r="F4695">
        <v>1499.99</v>
      </c>
      <c r="G4695">
        <v>0.1</v>
      </c>
      <c r="H4695">
        <v>149.999</v>
      </c>
      <c r="I4695">
        <f>order_items[[#This Row],[list_price]]-order_items[[#This Row],[Discounted_price]]</f>
        <v>1349.991</v>
      </c>
      <c r="J4695">
        <f>VLOOKUP(B4695, Products!$A$2:$E$100, 3, FALSE)</f>
        <v>8</v>
      </c>
      <c r="K4695">
        <f>VLOOKUP(B4695, Products!$A$2:$F$100, 4, FALSE)</f>
        <v>6</v>
      </c>
    </row>
    <row r="4696" spans="1:11" x14ac:dyDescent="0.3">
      <c r="A4696">
        <v>1605</v>
      </c>
      <c r="B4696">
        <v>4</v>
      </c>
      <c r="C4696">
        <v>301</v>
      </c>
      <c r="D4696" t="str">
        <f>VLOOKUP(B4696, Products!$A$2:$C$100, 2, FALSE)</f>
        <v>Trek Fuel EX 8 29 - 2016</v>
      </c>
      <c r="E4696">
        <v>1</v>
      </c>
      <c r="F4696">
        <v>899.99</v>
      </c>
      <c r="G4696">
        <v>0.1</v>
      </c>
      <c r="H4696">
        <v>89.999000000000009</v>
      </c>
      <c r="I4696">
        <f>order_items[[#This Row],[list_price]]-order_items[[#This Row],[Discounted_price]]</f>
        <v>809.99099999999999</v>
      </c>
      <c r="J4696">
        <f>VLOOKUP(B4696, Products!$A$2:$E$100, 3, FALSE)</f>
        <v>9</v>
      </c>
      <c r="K4696">
        <f>VLOOKUP(B4696, Products!$A$2:$F$100, 4, FALSE)</f>
        <v>6</v>
      </c>
    </row>
    <row r="4697" spans="1:11" x14ac:dyDescent="0.3">
      <c r="A4697">
        <v>1605</v>
      </c>
      <c r="B4697">
        <v>5</v>
      </c>
      <c r="C4697">
        <v>29</v>
      </c>
      <c r="D4697" t="str">
        <f>VLOOKUP(B4697, Products!$A$2:$C$100, 2, FALSE)</f>
        <v>Heller Shagamaw Frame - 2016</v>
      </c>
      <c r="E4697">
        <v>1</v>
      </c>
      <c r="F4697">
        <v>999.99</v>
      </c>
      <c r="G4697">
        <v>7.0000000000000007E-2</v>
      </c>
      <c r="H4697">
        <v>69.999300000000005</v>
      </c>
      <c r="I4697">
        <f>order_items[[#This Row],[list_price]]-order_items[[#This Row],[Discounted_price]]</f>
        <v>929.99070000000006</v>
      </c>
      <c r="J4697">
        <f>VLOOKUP(B4697, Products!$A$2:$E$100, 3, FALSE)</f>
        <v>3</v>
      </c>
      <c r="K4697">
        <f>VLOOKUP(B4697, Products!$A$2:$F$100, 4, FALSE)</f>
        <v>6</v>
      </c>
    </row>
    <row r="4698" spans="1:11" x14ac:dyDescent="0.3">
      <c r="A4698">
        <v>1606</v>
      </c>
      <c r="B4698">
        <v>1</v>
      </c>
      <c r="C4698">
        <v>245</v>
      </c>
      <c r="D4698" t="str">
        <f>VLOOKUP(B4698, Products!$A$2:$C$100, 2, FALSE)</f>
        <v>Trek 820 - 2016</v>
      </c>
      <c r="E4698">
        <v>1</v>
      </c>
      <c r="F4698">
        <v>659.99</v>
      </c>
      <c r="G4698">
        <v>0.1</v>
      </c>
      <c r="H4698">
        <v>65.999000000000009</v>
      </c>
      <c r="I4698">
        <f>order_items[[#This Row],[list_price]]-order_items[[#This Row],[Discounted_price]]</f>
        <v>593.99099999999999</v>
      </c>
      <c r="J4698">
        <f>VLOOKUP(B4698, Products!$A$2:$E$100, 3, FALSE)</f>
        <v>9</v>
      </c>
      <c r="K4698">
        <f>VLOOKUP(B4698, Products!$A$2:$F$100, 4, FALSE)</f>
        <v>6</v>
      </c>
    </row>
    <row r="4699" spans="1:11" x14ac:dyDescent="0.3">
      <c r="A4699">
        <v>1606</v>
      </c>
      <c r="B4699">
        <v>2</v>
      </c>
      <c r="C4699">
        <v>271</v>
      </c>
      <c r="D4699" t="str">
        <f>VLOOKUP(B4699, Products!$A$2:$C$100, 2, FALSE)</f>
        <v>Ritchey Timberwolf Frameset - 2016</v>
      </c>
      <c r="E4699">
        <v>1</v>
      </c>
      <c r="F4699">
        <v>209.99</v>
      </c>
      <c r="G4699">
        <v>0.1</v>
      </c>
      <c r="H4699">
        <v>20.999000000000002</v>
      </c>
      <c r="I4699">
        <f>order_items[[#This Row],[list_price]]-order_items[[#This Row],[Discounted_price]]</f>
        <v>188.99100000000001</v>
      </c>
      <c r="J4699">
        <f>VLOOKUP(B4699, Products!$A$2:$E$100, 3, FALSE)</f>
        <v>5</v>
      </c>
      <c r="K4699">
        <f>VLOOKUP(B4699, Products!$A$2:$F$100, 4, FALSE)</f>
        <v>6</v>
      </c>
    </row>
    <row r="4700" spans="1:11" x14ac:dyDescent="0.3">
      <c r="A4700">
        <v>1607</v>
      </c>
      <c r="B4700">
        <v>1</v>
      </c>
      <c r="C4700">
        <v>29</v>
      </c>
      <c r="D4700" t="str">
        <f>VLOOKUP(B4700, Products!$A$2:$C$100, 2, FALSE)</f>
        <v>Trek 820 - 2016</v>
      </c>
      <c r="E4700">
        <v>1</v>
      </c>
      <c r="F4700">
        <v>999.99</v>
      </c>
      <c r="G4700">
        <v>0.05</v>
      </c>
      <c r="H4700">
        <v>49.999500000000005</v>
      </c>
      <c r="I4700">
        <f>order_items[[#This Row],[list_price]]-order_items[[#This Row],[Discounted_price]]</f>
        <v>949.9905</v>
      </c>
      <c r="J4700">
        <f>VLOOKUP(B4700, Products!$A$2:$E$100, 3, FALSE)</f>
        <v>9</v>
      </c>
      <c r="K4700">
        <f>VLOOKUP(B4700, Products!$A$2:$F$100, 4, FALSE)</f>
        <v>6</v>
      </c>
    </row>
    <row r="4701" spans="1:11" x14ac:dyDescent="0.3">
      <c r="A4701">
        <v>1608</v>
      </c>
      <c r="B4701">
        <v>1</v>
      </c>
      <c r="C4701">
        <v>231</v>
      </c>
      <c r="D4701" t="str">
        <f>VLOOKUP(B4701, Products!$A$2:$C$100, 2, FALSE)</f>
        <v>Trek 820 - 2016</v>
      </c>
      <c r="E4701">
        <v>2</v>
      </c>
      <c r="F4701">
        <v>529.99</v>
      </c>
      <c r="G4701">
        <v>0.05</v>
      </c>
      <c r="H4701">
        <v>26.499500000000001</v>
      </c>
      <c r="I4701">
        <f>order_items[[#This Row],[list_price]]-order_items[[#This Row],[Discounted_price]]</f>
        <v>503.4905</v>
      </c>
      <c r="J4701">
        <f>VLOOKUP(B4701, Products!$A$2:$E$100, 3, FALSE)</f>
        <v>9</v>
      </c>
      <c r="K4701">
        <f>VLOOKUP(B4701, Products!$A$2:$F$100, 4, FALSE)</f>
        <v>6</v>
      </c>
    </row>
    <row r="4702" spans="1:11" x14ac:dyDescent="0.3">
      <c r="A4702">
        <v>1609</v>
      </c>
      <c r="B4702">
        <v>1</v>
      </c>
      <c r="C4702">
        <v>96</v>
      </c>
      <c r="D4702" t="str">
        <f>VLOOKUP(B4702, Products!$A$2:$C$100, 2, FALSE)</f>
        <v>Trek 820 - 2016</v>
      </c>
      <c r="E4702">
        <v>1</v>
      </c>
      <c r="F4702">
        <v>349.99</v>
      </c>
      <c r="G4702">
        <v>0.2</v>
      </c>
      <c r="H4702">
        <v>69.998000000000005</v>
      </c>
      <c r="I4702">
        <f>order_items[[#This Row],[list_price]]-order_items[[#This Row],[Discounted_price]]</f>
        <v>279.99200000000002</v>
      </c>
      <c r="J4702">
        <f>VLOOKUP(B4702, Products!$A$2:$E$100, 3, FALSE)</f>
        <v>9</v>
      </c>
      <c r="K4702">
        <f>VLOOKUP(B4702, Products!$A$2:$F$100, 4, FALSE)</f>
        <v>6</v>
      </c>
    </row>
    <row r="4703" spans="1:11" x14ac:dyDescent="0.3">
      <c r="A4703">
        <v>1609</v>
      </c>
      <c r="B4703">
        <v>2</v>
      </c>
      <c r="C4703">
        <v>238</v>
      </c>
      <c r="D4703" t="str">
        <f>VLOOKUP(B4703, Products!$A$2:$C$100, 2, FALSE)</f>
        <v>Ritchey Timberwolf Frameset - 2016</v>
      </c>
      <c r="E4703">
        <v>2</v>
      </c>
      <c r="F4703">
        <v>749.99</v>
      </c>
      <c r="G4703">
        <v>0.2</v>
      </c>
      <c r="H4703">
        <v>149.99800000000002</v>
      </c>
      <c r="I4703">
        <f>order_items[[#This Row],[list_price]]-order_items[[#This Row],[Discounted_price]]</f>
        <v>599.99199999999996</v>
      </c>
      <c r="J4703">
        <f>VLOOKUP(B4703, Products!$A$2:$E$100, 3, FALSE)</f>
        <v>5</v>
      </c>
      <c r="K4703">
        <f>VLOOKUP(B4703, Products!$A$2:$F$100, 4, FALSE)</f>
        <v>6</v>
      </c>
    </row>
    <row r="4704" spans="1:11" x14ac:dyDescent="0.3">
      <c r="A4704">
        <v>1609</v>
      </c>
      <c r="B4704">
        <v>3</v>
      </c>
      <c r="C4704">
        <v>228</v>
      </c>
      <c r="D4704" t="str">
        <f>VLOOKUP(B4704, Products!$A$2:$C$100, 2, FALSE)</f>
        <v>Surly Wednesday Frameset - 2016</v>
      </c>
      <c r="E4704">
        <v>2</v>
      </c>
      <c r="F4704">
        <v>319.99</v>
      </c>
      <c r="G4704">
        <v>0.1</v>
      </c>
      <c r="H4704">
        <v>31.999000000000002</v>
      </c>
      <c r="I4704">
        <f>order_items[[#This Row],[list_price]]-order_items[[#This Row],[Discounted_price]]</f>
        <v>287.99099999999999</v>
      </c>
      <c r="J4704">
        <f>VLOOKUP(B4704, Products!$A$2:$E$100, 3, FALSE)</f>
        <v>8</v>
      </c>
      <c r="K4704">
        <f>VLOOKUP(B4704, Products!$A$2:$F$100, 4, FALSE)</f>
        <v>6</v>
      </c>
    </row>
    <row r="4705" spans="1:11" x14ac:dyDescent="0.3">
      <c r="A4705">
        <v>1609</v>
      </c>
      <c r="B4705">
        <v>4</v>
      </c>
      <c r="C4705">
        <v>105</v>
      </c>
      <c r="D4705" t="str">
        <f>VLOOKUP(B4705, Products!$A$2:$C$100, 2, FALSE)</f>
        <v>Trek Fuel EX 8 29 - 2016</v>
      </c>
      <c r="E4705">
        <v>1</v>
      </c>
      <c r="F4705">
        <v>533.99</v>
      </c>
      <c r="G4705">
        <v>0.2</v>
      </c>
      <c r="H4705">
        <v>106.798</v>
      </c>
      <c r="I4705">
        <f>order_items[[#This Row],[list_price]]-order_items[[#This Row],[Discounted_price]]</f>
        <v>427.19200000000001</v>
      </c>
      <c r="J4705">
        <f>VLOOKUP(B4705, Products!$A$2:$E$100, 3, FALSE)</f>
        <v>9</v>
      </c>
      <c r="K4705">
        <f>VLOOKUP(B4705, Products!$A$2:$F$100, 4, FALSE)</f>
        <v>6</v>
      </c>
    </row>
    <row r="4706" spans="1:11" x14ac:dyDescent="0.3">
      <c r="A4706">
        <v>1610</v>
      </c>
      <c r="B4706">
        <v>1</v>
      </c>
      <c r="C4706">
        <v>36</v>
      </c>
      <c r="D4706" t="str">
        <f>VLOOKUP(B4706, Products!$A$2:$C$100, 2, FALSE)</f>
        <v>Trek 820 - 2016</v>
      </c>
      <c r="E4706">
        <v>1</v>
      </c>
      <c r="F4706">
        <v>832.99</v>
      </c>
      <c r="G4706">
        <v>7.0000000000000007E-2</v>
      </c>
      <c r="H4706">
        <v>58.309300000000007</v>
      </c>
      <c r="I4706">
        <f>order_items[[#This Row],[list_price]]-order_items[[#This Row],[Discounted_price]]</f>
        <v>774.6807</v>
      </c>
      <c r="J4706">
        <f>VLOOKUP(B4706, Products!$A$2:$E$100, 3, FALSE)</f>
        <v>9</v>
      </c>
      <c r="K4706">
        <f>VLOOKUP(B4706, Products!$A$2:$F$100, 4, FALSE)</f>
        <v>6</v>
      </c>
    </row>
    <row r="4707" spans="1:11" x14ac:dyDescent="0.3">
      <c r="A4707">
        <v>1610</v>
      </c>
      <c r="B4707">
        <v>2</v>
      </c>
      <c r="C4707">
        <v>173</v>
      </c>
      <c r="D4707" t="str">
        <f>VLOOKUP(B4707, Products!$A$2:$C$100, 2, FALSE)</f>
        <v>Ritchey Timberwolf Frameset - 2016</v>
      </c>
      <c r="E4707">
        <v>2</v>
      </c>
      <c r="F4707">
        <v>3199.99</v>
      </c>
      <c r="G4707">
        <v>0.2</v>
      </c>
      <c r="H4707">
        <v>639.99800000000005</v>
      </c>
      <c r="I4707">
        <f>order_items[[#This Row],[list_price]]-order_items[[#This Row],[Discounted_price]]</f>
        <v>2559.9919999999997</v>
      </c>
      <c r="J4707">
        <f>VLOOKUP(B4707, Products!$A$2:$E$100, 3, FALSE)</f>
        <v>5</v>
      </c>
      <c r="K4707">
        <f>VLOOKUP(B4707, Products!$A$2:$F$100, 4, FALSE)</f>
        <v>6</v>
      </c>
    </row>
    <row r="4708" spans="1:11" x14ac:dyDescent="0.3">
      <c r="A4708">
        <v>1611</v>
      </c>
      <c r="B4708">
        <v>1</v>
      </c>
      <c r="C4708">
        <v>191</v>
      </c>
      <c r="D4708" t="str">
        <f>VLOOKUP(B4708, Products!$A$2:$C$100, 2, FALSE)</f>
        <v>Trek 820 - 2016</v>
      </c>
      <c r="E4708">
        <v>1</v>
      </c>
      <c r="F4708">
        <v>2799.99</v>
      </c>
      <c r="G4708">
        <v>7.0000000000000007E-2</v>
      </c>
      <c r="H4708">
        <v>195.99930000000001</v>
      </c>
      <c r="I4708">
        <f>order_items[[#This Row],[list_price]]-order_items[[#This Row],[Discounted_price]]</f>
        <v>2603.9906999999998</v>
      </c>
      <c r="J4708">
        <f>VLOOKUP(B4708, Products!$A$2:$E$100, 3, FALSE)</f>
        <v>9</v>
      </c>
      <c r="K4708">
        <f>VLOOKUP(B4708, Products!$A$2:$F$100, 4, FALSE)</f>
        <v>6</v>
      </c>
    </row>
    <row r="4709" spans="1:11" x14ac:dyDescent="0.3">
      <c r="A4709">
        <v>1611</v>
      </c>
      <c r="B4709">
        <v>2</v>
      </c>
      <c r="C4709">
        <v>171</v>
      </c>
      <c r="D4709" t="str">
        <f>VLOOKUP(B4709, Products!$A$2:$C$100, 2, FALSE)</f>
        <v>Ritchey Timberwolf Frameset - 2016</v>
      </c>
      <c r="E4709">
        <v>2</v>
      </c>
      <c r="F4709">
        <v>3199.99</v>
      </c>
      <c r="G4709">
        <v>0.1</v>
      </c>
      <c r="H4709">
        <v>319.99900000000002</v>
      </c>
      <c r="I4709">
        <f>order_items[[#This Row],[list_price]]-order_items[[#This Row],[Discounted_price]]</f>
        <v>2879.991</v>
      </c>
      <c r="J4709">
        <f>VLOOKUP(B4709, Products!$A$2:$E$100, 3, FALSE)</f>
        <v>5</v>
      </c>
      <c r="K4709">
        <f>VLOOKUP(B4709, Products!$A$2:$F$100, 4, FALSE)</f>
        <v>6</v>
      </c>
    </row>
    <row r="4710" spans="1:11" x14ac:dyDescent="0.3">
      <c r="A4710">
        <v>1611</v>
      </c>
      <c r="B4710">
        <v>3</v>
      </c>
      <c r="C4710">
        <v>236</v>
      </c>
      <c r="D4710" t="str">
        <f>VLOOKUP(B4710, Products!$A$2:$C$100, 2, FALSE)</f>
        <v>Surly Wednesday Frameset - 2016</v>
      </c>
      <c r="E4710">
        <v>1</v>
      </c>
      <c r="F4710">
        <v>749.99</v>
      </c>
      <c r="G4710">
        <v>0.2</v>
      </c>
      <c r="H4710">
        <v>149.99800000000002</v>
      </c>
      <c r="I4710">
        <f>order_items[[#This Row],[list_price]]-order_items[[#This Row],[Discounted_price]]</f>
        <v>599.99199999999996</v>
      </c>
      <c r="J4710">
        <f>VLOOKUP(B4710, Products!$A$2:$E$100, 3, FALSE)</f>
        <v>8</v>
      </c>
      <c r="K4710">
        <f>VLOOKUP(B4710, Products!$A$2:$F$100, 4, FALSE)</f>
        <v>6</v>
      </c>
    </row>
    <row r="4711" spans="1:11" x14ac:dyDescent="0.3">
      <c r="A4711">
        <v>1612</v>
      </c>
      <c r="B4711">
        <v>1</v>
      </c>
      <c r="C4711">
        <v>242</v>
      </c>
      <c r="D4711" t="str">
        <f>VLOOKUP(B4711, Products!$A$2:$C$100, 2, FALSE)</f>
        <v>Trek 820 - 2016</v>
      </c>
      <c r="E4711">
        <v>1</v>
      </c>
      <c r="F4711">
        <v>699.99</v>
      </c>
      <c r="G4711">
        <v>0.1</v>
      </c>
      <c r="H4711">
        <v>69.999000000000009</v>
      </c>
      <c r="I4711">
        <f>order_items[[#This Row],[list_price]]-order_items[[#This Row],[Discounted_price]]</f>
        <v>629.99099999999999</v>
      </c>
      <c r="J4711">
        <f>VLOOKUP(B4711, Products!$A$2:$E$100, 3, FALSE)</f>
        <v>9</v>
      </c>
      <c r="K4711">
        <f>VLOOKUP(B4711, Products!$A$2:$F$100, 4, FALSE)</f>
        <v>6</v>
      </c>
    </row>
    <row r="4712" spans="1:11" x14ac:dyDescent="0.3">
      <c r="A4712">
        <v>1612</v>
      </c>
      <c r="B4712">
        <v>2</v>
      </c>
      <c r="C4712">
        <v>289</v>
      </c>
      <c r="D4712" t="str">
        <f>VLOOKUP(B4712, Products!$A$2:$C$100, 2, FALSE)</f>
        <v>Ritchey Timberwolf Frameset - 2016</v>
      </c>
      <c r="E4712">
        <v>2</v>
      </c>
      <c r="F4712">
        <v>319.99</v>
      </c>
      <c r="G4712">
        <v>0.05</v>
      </c>
      <c r="H4712">
        <v>15.999500000000001</v>
      </c>
      <c r="I4712">
        <f>order_items[[#This Row],[list_price]]-order_items[[#This Row],[Discounted_price]]</f>
        <v>303.9905</v>
      </c>
      <c r="J4712">
        <f>VLOOKUP(B4712, Products!$A$2:$E$100, 3, FALSE)</f>
        <v>5</v>
      </c>
      <c r="K4712">
        <f>VLOOKUP(B4712, Products!$A$2:$F$100, 4, FALSE)</f>
        <v>6</v>
      </c>
    </row>
    <row r="4713" spans="1:11" x14ac:dyDescent="0.3">
      <c r="A4713">
        <v>1612</v>
      </c>
      <c r="B4713">
        <v>3</v>
      </c>
      <c r="C4713">
        <v>101</v>
      </c>
      <c r="D4713" t="str">
        <f>VLOOKUP(B4713, Products!$A$2:$C$100, 2, FALSE)</f>
        <v>Surly Wednesday Frameset - 2016</v>
      </c>
      <c r="E4713">
        <v>2</v>
      </c>
      <c r="F4713">
        <v>339.99</v>
      </c>
      <c r="G4713">
        <v>0.2</v>
      </c>
      <c r="H4713">
        <v>67.998000000000005</v>
      </c>
      <c r="I4713">
        <f>order_items[[#This Row],[list_price]]-order_items[[#This Row],[Discounted_price]]</f>
        <v>271.99200000000002</v>
      </c>
      <c r="J4713">
        <f>VLOOKUP(B4713, Products!$A$2:$E$100, 3, FALSE)</f>
        <v>8</v>
      </c>
      <c r="K4713">
        <f>VLOOKUP(B4713, Products!$A$2:$F$100, 4, FALSE)</f>
        <v>6</v>
      </c>
    </row>
    <row r="4714" spans="1:11" x14ac:dyDescent="0.3">
      <c r="A4714">
        <v>1612</v>
      </c>
      <c r="B4714">
        <v>4</v>
      </c>
      <c r="C4714">
        <v>293</v>
      </c>
      <c r="D4714" t="str">
        <f>VLOOKUP(B4714, Products!$A$2:$C$100, 2, FALSE)</f>
        <v>Trek Fuel EX 8 29 - 2016</v>
      </c>
      <c r="E4714">
        <v>2</v>
      </c>
      <c r="F4714">
        <v>319.99</v>
      </c>
      <c r="G4714">
        <v>7.0000000000000007E-2</v>
      </c>
      <c r="H4714">
        <v>22.399300000000004</v>
      </c>
      <c r="I4714">
        <f>order_items[[#This Row],[list_price]]-order_items[[#This Row],[Discounted_price]]</f>
        <v>297.59070000000003</v>
      </c>
      <c r="J4714">
        <f>VLOOKUP(B4714, Products!$A$2:$E$100, 3, FALSE)</f>
        <v>9</v>
      </c>
      <c r="K4714">
        <f>VLOOKUP(B4714, Products!$A$2:$F$100, 4, FALSE)</f>
        <v>6</v>
      </c>
    </row>
    <row r="4715" spans="1:11" x14ac:dyDescent="0.3">
      <c r="A4715">
        <v>1612</v>
      </c>
      <c r="B4715">
        <v>5</v>
      </c>
      <c r="C4715">
        <v>60</v>
      </c>
      <c r="D4715" t="str">
        <f>VLOOKUP(B4715, Products!$A$2:$C$100, 2, FALSE)</f>
        <v>Heller Shagamaw Frame - 2016</v>
      </c>
      <c r="E4715">
        <v>1</v>
      </c>
      <c r="F4715">
        <v>1559.99</v>
      </c>
      <c r="G4715">
        <v>0.1</v>
      </c>
      <c r="H4715">
        <v>155.99900000000002</v>
      </c>
      <c r="I4715">
        <f>order_items[[#This Row],[list_price]]-order_items[[#This Row],[Discounted_price]]</f>
        <v>1403.991</v>
      </c>
      <c r="J4715">
        <f>VLOOKUP(B4715, Products!$A$2:$E$100, 3, FALSE)</f>
        <v>3</v>
      </c>
      <c r="K4715">
        <f>VLOOKUP(B4715, Products!$A$2:$F$100, 4, FALSE)</f>
        <v>6</v>
      </c>
    </row>
    <row r="4716" spans="1:11" x14ac:dyDescent="0.3">
      <c r="A4716">
        <v>1613</v>
      </c>
      <c r="B4716">
        <v>1</v>
      </c>
      <c r="C4716">
        <v>153</v>
      </c>
      <c r="D4716" t="str">
        <f>VLOOKUP(B4716, Products!$A$2:$C$100, 2, FALSE)</f>
        <v>Trek 820 - 2016</v>
      </c>
      <c r="E4716">
        <v>1</v>
      </c>
      <c r="F4716">
        <v>4999.99</v>
      </c>
      <c r="G4716">
        <v>7.0000000000000007E-2</v>
      </c>
      <c r="H4716">
        <v>349.99930000000001</v>
      </c>
      <c r="I4716">
        <f>order_items[[#This Row],[list_price]]-order_items[[#This Row],[Discounted_price]]</f>
        <v>4649.9906999999994</v>
      </c>
      <c r="J4716">
        <f>VLOOKUP(B4716, Products!$A$2:$E$100, 3, FALSE)</f>
        <v>9</v>
      </c>
      <c r="K4716">
        <f>VLOOKUP(B4716, Products!$A$2:$F$100, 4, FALSE)</f>
        <v>6</v>
      </c>
    </row>
    <row r="4717" spans="1:11" x14ac:dyDescent="0.3">
      <c r="A4717">
        <v>1613</v>
      </c>
      <c r="B4717">
        <v>2</v>
      </c>
      <c r="C4717">
        <v>283</v>
      </c>
      <c r="D4717" t="str">
        <f>VLOOKUP(B4717, Products!$A$2:$C$100, 2, FALSE)</f>
        <v>Ritchey Timberwolf Frameset - 2016</v>
      </c>
      <c r="E4717">
        <v>2</v>
      </c>
      <c r="F4717">
        <v>319.99</v>
      </c>
      <c r="G4717">
        <v>0.05</v>
      </c>
      <c r="H4717">
        <v>15.999500000000001</v>
      </c>
      <c r="I4717">
        <f>order_items[[#This Row],[list_price]]-order_items[[#This Row],[Discounted_price]]</f>
        <v>303.9905</v>
      </c>
      <c r="J4717">
        <f>VLOOKUP(B4717, Products!$A$2:$E$100, 3, FALSE)</f>
        <v>5</v>
      </c>
      <c r="K4717">
        <f>VLOOKUP(B4717, Products!$A$2:$F$100, 4, FALSE)</f>
        <v>6</v>
      </c>
    </row>
    <row r="4718" spans="1:11" x14ac:dyDescent="0.3">
      <c r="A4718">
        <v>1614</v>
      </c>
      <c r="B4718">
        <v>1</v>
      </c>
      <c r="C4718">
        <v>124</v>
      </c>
      <c r="D4718" t="str">
        <f>VLOOKUP(B4718, Products!$A$2:$C$100, 2, FALSE)</f>
        <v>Trek 820 - 2016</v>
      </c>
      <c r="E4718">
        <v>1</v>
      </c>
      <c r="F4718">
        <v>1499</v>
      </c>
      <c r="G4718">
        <v>7.0000000000000007E-2</v>
      </c>
      <c r="H4718">
        <v>104.93</v>
      </c>
      <c r="I4718">
        <f>order_items[[#This Row],[list_price]]-order_items[[#This Row],[Discounted_price]]</f>
        <v>1394.07</v>
      </c>
      <c r="J4718">
        <f>VLOOKUP(B4718, Products!$A$2:$E$100, 3, FALSE)</f>
        <v>9</v>
      </c>
      <c r="K4718">
        <f>VLOOKUP(B4718, Products!$A$2:$F$100, 4, FALSE)</f>
        <v>6</v>
      </c>
    </row>
    <row r="4719" spans="1:11" x14ac:dyDescent="0.3">
      <c r="A4719">
        <v>1614</v>
      </c>
      <c r="B4719">
        <v>2</v>
      </c>
      <c r="C4719">
        <v>159</v>
      </c>
      <c r="D4719" t="str">
        <f>VLOOKUP(B4719, Products!$A$2:$C$100, 2, FALSE)</f>
        <v>Ritchey Timberwolf Frameset - 2016</v>
      </c>
      <c r="E4719">
        <v>2</v>
      </c>
      <c r="F4719">
        <v>2299.9899999999998</v>
      </c>
      <c r="G4719">
        <v>7.0000000000000007E-2</v>
      </c>
      <c r="H4719">
        <v>160.99930000000001</v>
      </c>
      <c r="I4719">
        <f>order_items[[#This Row],[list_price]]-order_items[[#This Row],[Discounted_price]]</f>
        <v>2138.9906999999998</v>
      </c>
      <c r="J4719">
        <f>VLOOKUP(B4719, Products!$A$2:$E$100, 3, FALSE)</f>
        <v>5</v>
      </c>
      <c r="K4719">
        <f>VLOOKUP(B4719, Products!$A$2:$F$100, 4, FALSE)</f>
        <v>6</v>
      </c>
    </row>
    <row r="4720" spans="1:11" x14ac:dyDescent="0.3">
      <c r="A4720">
        <v>1614</v>
      </c>
      <c r="B4720">
        <v>3</v>
      </c>
      <c r="C4720">
        <v>213</v>
      </c>
      <c r="D4720" t="str">
        <f>VLOOKUP(B4720, Products!$A$2:$C$100, 2, FALSE)</f>
        <v>Surly Wednesday Frameset - 2016</v>
      </c>
      <c r="E4720">
        <v>2</v>
      </c>
      <c r="F4720">
        <v>269.99</v>
      </c>
      <c r="G4720">
        <v>0.2</v>
      </c>
      <c r="H4720">
        <v>53.998000000000005</v>
      </c>
      <c r="I4720">
        <f>order_items[[#This Row],[list_price]]-order_items[[#This Row],[Discounted_price]]</f>
        <v>215.99200000000002</v>
      </c>
      <c r="J4720">
        <f>VLOOKUP(B4720, Products!$A$2:$E$100, 3, FALSE)</f>
        <v>8</v>
      </c>
      <c r="K4720">
        <f>VLOOKUP(B4720, Products!$A$2:$F$100, 4, FALSE)</f>
        <v>6</v>
      </c>
    </row>
    <row r="4721" spans="1:11" x14ac:dyDescent="0.3">
      <c r="A4721">
        <v>1615</v>
      </c>
      <c r="B4721">
        <v>1</v>
      </c>
      <c r="C4721">
        <v>197</v>
      </c>
      <c r="D4721" t="str">
        <f>VLOOKUP(B4721, Products!$A$2:$C$100, 2, FALSE)</f>
        <v>Trek 820 - 2016</v>
      </c>
      <c r="E4721">
        <v>2</v>
      </c>
      <c r="F4721">
        <v>2299.9899999999998</v>
      </c>
      <c r="G4721">
        <v>0.2</v>
      </c>
      <c r="H4721">
        <v>459.99799999999999</v>
      </c>
      <c r="I4721">
        <f>order_items[[#This Row],[list_price]]-order_items[[#This Row],[Discounted_price]]</f>
        <v>1839.9919999999997</v>
      </c>
      <c r="J4721">
        <f>VLOOKUP(B4721, Products!$A$2:$E$100, 3, FALSE)</f>
        <v>9</v>
      </c>
      <c r="K4721">
        <f>VLOOKUP(B4721, Products!$A$2:$F$100, 4, FALSE)</f>
        <v>6</v>
      </c>
    </row>
    <row r="4722" spans="1:11" x14ac:dyDescent="0.3">
      <c r="A4722">
        <v>1615</v>
      </c>
      <c r="B4722">
        <v>2</v>
      </c>
      <c r="C4722">
        <v>214</v>
      </c>
      <c r="D4722" t="str">
        <f>VLOOKUP(B4722, Products!$A$2:$C$100, 2, FALSE)</f>
        <v>Ritchey Timberwolf Frameset - 2016</v>
      </c>
      <c r="E4722">
        <v>1</v>
      </c>
      <c r="F4722">
        <v>899.99</v>
      </c>
      <c r="G4722">
        <v>7.0000000000000007E-2</v>
      </c>
      <c r="H4722">
        <v>62.999300000000005</v>
      </c>
      <c r="I4722">
        <f>order_items[[#This Row],[list_price]]-order_items[[#This Row],[Discounted_price]]</f>
        <v>836.99070000000006</v>
      </c>
      <c r="J4722">
        <f>VLOOKUP(B4722, Products!$A$2:$E$100, 3, FALSE)</f>
        <v>5</v>
      </c>
      <c r="K4722">
        <f>VLOOKUP(B4722, Products!$A$2:$F$100, 4, FALSE)</f>
        <v>6</v>
      </c>
    </row>
    <row r="4723" spans="1:11" x14ac:dyDescent="0.3">
      <c r="A4723">
        <v>1615</v>
      </c>
      <c r="B4723">
        <v>3</v>
      </c>
      <c r="C4723">
        <v>182</v>
      </c>
      <c r="D4723" t="str">
        <f>VLOOKUP(B4723, Products!$A$2:$C$100, 2, FALSE)</f>
        <v>Surly Wednesday Frameset - 2016</v>
      </c>
      <c r="E4723">
        <v>1</v>
      </c>
      <c r="F4723">
        <v>2499.9899999999998</v>
      </c>
      <c r="G4723">
        <v>0.2</v>
      </c>
      <c r="H4723">
        <v>499.99799999999999</v>
      </c>
      <c r="I4723">
        <f>order_items[[#This Row],[list_price]]-order_items[[#This Row],[Discounted_price]]</f>
        <v>1999.9919999999997</v>
      </c>
      <c r="J4723">
        <f>VLOOKUP(B4723, Products!$A$2:$E$100, 3, FALSE)</f>
        <v>8</v>
      </c>
      <c r="K4723">
        <f>VLOOKUP(B4723, Products!$A$2:$F$100, 4, FALSE)</f>
        <v>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3B679-A222-44AA-BE87-C9DA2566B401}">
  <sheetPr codeName="Sheet6"/>
  <dimension ref="A1:H1616"/>
  <sheetViews>
    <sheetView workbookViewId="0">
      <selection activeCell="J18" sqref="J18"/>
    </sheetView>
  </sheetViews>
  <sheetFormatPr defaultRowHeight="14.4" x14ac:dyDescent="0.3"/>
  <cols>
    <col min="1" max="1" width="10.33203125" bestFit="1" customWidth="1"/>
    <col min="2" max="2" width="13.6640625" bestFit="1" customWidth="1"/>
    <col min="3" max="3" width="13.77734375" bestFit="1" customWidth="1"/>
    <col min="4" max="4" width="12.5546875" bestFit="1" customWidth="1"/>
    <col min="5" max="5" width="15.109375" bestFit="1" customWidth="1"/>
    <col min="6" max="6" width="14.6640625" bestFit="1" customWidth="1"/>
    <col min="7" max="7" width="10" bestFit="1" customWidth="1"/>
    <col min="8" max="8" width="9.5546875" bestFit="1" customWidth="1"/>
  </cols>
  <sheetData>
    <row r="1" spans="1:8" x14ac:dyDescent="0.3">
      <c r="A1" t="s">
        <v>5260</v>
      </c>
      <c r="B1" t="s">
        <v>20</v>
      </c>
      <c r="C1" t="s">
        <v>5267</v>
      </c>
      <c r="D1" t="s">
        <v>5268</v>
      </c>
      <c r="E1" t="s">
        <v>5269</v>
      </c>
      <c r="F1" t="s">
        <v>5270</v>
      </c>
      <c r="G1" t="s">
        <v>5271</v>
      </c>
      <c r="H1" t="s">
        <v>5272</v>
      </c>
    </row>
    <row r="2" spans="1:8" x14ac:dyDescent="0.3">
      <c r="A2">
        <v>1</v>
      </c>
      <c r="B2">
        <v>259</v>
      </c>
      <c r="C2">
        <v>4</v>
      </c>
      <c r="D2" s="1">
        <v>42370</v>
      </c>
      <c r="E2" s="1">
        <v>42372</v>
      </c>
      <c r="F2" s="1">
        <v>42372</v>
      </c>
      <c r="G2">
        <v>1</v>
      </c>
      <c r="H2">
        <v>2</v>
      </c>
    </row>
    <row r="3" spans="1:8" x14ac:dyDescent="0.3">
      <c r="A3">
        <v>2</v>
      </c>
      <c r="B3">
        <v>1212</v>
      </c>
      <c r="C3">
        <v>4</v>
      </c>
      <c r="D3" s="1">
        <v>42370</v>
      </c>
      <c r="E3" s="1">
        <v>42373</v>
      </c>
      <c r="F3" s="1">
        <v>42372</v>
      </c>
      <c r="G3">
        <v>2</v>
      </c>
      <c r="H3">
        <v>6</v>
      </c>
    </row>
    <row r="4" spans="1:8" x14ac:dyDescent="0.3">
      <c r="A4">
        <v>3</v>
      </c>
      <c r="B4">
        <v>523</v>
      </c>
      <c r="C4">
        <v>4</v>
      </c>
      <c r="D4" s="1">
        <v>42371</v>
      </c>
      <c r="E4" s="1">
        <v>42374</v>
      </c>
      <c r="F4" s="1">
        <v>42372</v>
      </c>
      <c r="G4">
        <v>2</v>
      </c>
      <c r="H4">
        <v>7</v>
      </c>
    </row>
    <row r="5" spans="1:8" x14ac:dyDescent="0.3">
      <c r="A5">
        <v>4</v>
      </c>
      <c r="B5">
        <v>175</v>
      </c>
      <c r="C5">
        <v>4</v>
      </c>
      <c r="D5" s="1">
        <v>42372</v>
      </c>
      <c r="E5" s="1">
        <v>42373</v>
      </c>
      <c r="F5" s="1">
        <v>42374</v>
      </c>
      <c r="G5">
        <v>1</v>
      </c>
      <c r="H5">
        <v>3</v>
      </c>
    </row>
    <row r="6" spans="1:8" x14ac:dyDescent="0.3">
      <c r="A6">
        <v>5</v>
      </c>
      <c r="B6">
        <v>1324</v>
      </c>
      <c r="C6">
        <v>4</v>
      </c>
      <c r="D6" s="1">
        <v>42372</v>
      </c>
      <c r="E6" s="1">
        <v>42375</v>
      </c>
      <c r="F6" s="1">
        <v>42375</v>
      </c>
      <c r="G6">
        <v>2</v>
      </c>
      <c r="H6">
        <v>6</v>
      </c>
    </row>
    <row r="7" spans="1:8" x14ac:dyDescent="0.3">
      <c r="A7">
        <v>6</v>
      </c>
      <c r="B7">
        <v>94</v>
      </c>
      <c r="C7">
        <v>4</v>
      </c>
      <c r="D7" s="1">
        <v>42373</v>
      </c>
      <c r="E7" s="1">
        <v>42376</v>
      </c>
      <c r="F7" s="1">
        <v>42374</v>
      </c>
      <c r="G7">
        <v>2</v>
      </c>
      <c r="H7">
        <v>6</v>
      </c>
    </row>
    <row r="8" spans="1:8" x14ac:dyDescent="0.3">
      <c r="A8">
        <v>7</v>
      </c>
      <c r="B8">
        <v>324</v>
      </c>
      <c r="C8">
        <v>4</v>
      </c>
      <c r="D8" s="1">
        <v>42373</v>
      </c>
      <c r="E8" s="1">
        <v>42376</v>
      </c>
      <c r="F8" s="1">
        <v>42374</v>
      </c>
      <c r="G8">
        <v>2</v>
      </c>
      <c r="H8">
        <v>6</v>
      </c>
    </row>
    <row r="9" spans="1:8" x14ac:dyDescent="0.3">
      <c r="A9">
        <v>8</v>
      </c>
      <c r="B9">
        <v>1204</v>
      </c>
      <c r="C9">
        <v>4</v>
      </c>
      <c r="D9" s="1">
        <v>42373</v>
      </c>
      <c r="E9" s="1">
        <v>42374</v>
      </c>
      <c r="F9" s="1">
        <v>42374</v>
      </c>
      <c r="G9">
        <v>2</v>
      </c>
      <c r="H9">
        <v>7</v>
      </c>
    </row>
    <row r="10" spans="1:8" x14ac:dyDescent="0.3">
      <c r="A10">
        <v>9</v>
      </c>
      <c r="B10">
        <v>60</v>
      </c>
      <c r="C10">
        <v>4</v>
      </c>
      <c r="D10" s="1">
        <v>42374</v>
      </c>
      <c r="E10" s="1">
        <v>42377</v>
      </c>
      <c r="F10" s="1">
        <v>42377</v>
      </c>
      <c r="G10">
        <v>1</v>
      </c>
      <c r="H10">
        <v>2</v>
      </c>
    </row>
    <row r="11" spans="1:8" x14ac:dyDescent="0.3">
      <c r="A11">
        <v>10</v>
      </c>
      <c r="B11">
        <v>442</v>
      </c>
      <c r="C11">
        <v>4</v>
      </c>
      <c r="D11" s="1">
        <v>42374</v>
      </c>
      <c r="E11" s="1">
        <v>42375</v>
      </c>
      <c r="F11" s="1">
        <v>42375</v>
      </c>
      <c r="G11">
        <v>2</v>
      </c>
      <c r="H11">
        <v>6</v>
      </c>
    </row>
    <row r="12" spans="1:8" x14ac:dyDescent="0.3">
      <c r="A12">
        <v>11</v>
      </c>
      <c r="B12">
        <v>1326</v>
      </c>
      <c r="C12">
        <v>4</v>
      </c>
      <c r="D12" s="1">
        <v>42374</v>
      </c>
      <c r="E12" s="1">
        <v>42377</v>
      </c>
      <c r="F12" s="1">
        <v>42376</v>
      </c>
      <c r="G12">
        <v>2</v>
      </c>
      <c r="H12">
        <v>7</v>
      </c>
    </row>
    <row r="13" spans="1:8" x14ac:dyDescent="0.3">
      <c r="A13">
        <v>12</v>
      </c>
      <c r="B13">
        <v>91</v>
      </c>
      <c r="C13">
        <v>4</v>
      </c>
      <c r="D13" s="1">
        <v>42375</v>
      </c>
      <c r="E13" s="1">
        <v>42377</v>
      </c>
      <c r="F13" s="1">
        <v>42378</v>
      </c>
      <c r="G13">
        <v>1</v>
      </c>
      <c r="H13">
        <v>2</v>
      </c>
    </row>
    <row r="14" spans="1:8" x14ac:dyDescent="0.3">
      <c r="A14">
        <v>13</v>
      </c>
      <c r="B14">
        <v>873</v>
      </c>
      <c r="C14">
        <v>4</v>
      </c>
      <c r="D14" s="1">
        <v>42377</v>
      </c>
      <c r="E14" s="1">
        <v>42380</v>
      </c>
      <c r="F14" s="1">
        <v>42380</v>
      </c>
      <c r="G14">
        <v>2</v>
      </c>
      <c r="H14">
        <v>6</v>
      </c>
    </row>
    <row r="15" spans="1:8" x14ac:dyDescent="0.3">
      <c r="A15">
        <v>14</v>
      </c>
      <c r="B15">
        <v>258</v>
      </c>
      <c r="C15">
        <v>4</v>
      </c>
      <c r="D15" s="1">
        <v>42378</v>
      </c>
      <c r="E15" s="1">
        <v>42380</v>
      </c>
      <c r="F15" s="1">
        <v>42381</v>
      </c>
      <c r="G15">
        <v>1</v>
      </c>
      <c r="H15">
        <v>3</v>
      </c>
    </row>
    <row r="16" spans="1:8" x14ac:dyDescent="0.3">
      <c r="A16">
        <v>15</v>
      </c>
      <c r="B16">
        <v>450</v>
      </c>
      <c r="C16">
        <v>4</v>
      </c>
      <c r="D16" s="1">
        <v>42378</v>
      </c>
      <c r="E16" s="1">
        <v>42379</v>
      </c>
      <c r="F16" s="1">
        <v>42381</v>
      </c>
      <c r="G16">
        <v>2</v>
      </c>
      <c r="H16">
        <v>7</v>
      </c>
    </row>
    <row r="17" spans="1:8" x14ac:dyDescent="0.3">
      <c r="A17">
        <v>16</v>
      </c>
      <c r="B17">
        <v>552</v>
      </c>
      <c r="C17">
        <v>4</v>
      </c>
      <c r="D17" s="1">
        <v>42381</v>
      </c>
      <c r="E17" s="1">
        <v>42384</v>
      </c>
      <c r="F17" s="1">
        <v>42384</v>
      </c>
      <c r="G17">
        <v>1</v>
      </c>
      <c r="H17">
        <v>3</v>
      </c>
    </row>
    <row r="18" spans="1:8" x14ac:dyDescent="0.3">
      <c r="A18">
        <v>17</v>
      </c>
      <c r="B18">
        <v>1175</v>
      </c>
      <c r="C18">
        <v>4</v>
      </c>
      <c r="D18" s="1">
        <v>42381</v>
      </c>
      <c r="E18" s="1">
        <v>42383</v>
      </c>
      <c r="F18" s="1">
        <v>42383</v>
      </c>
      <c r="G18">
        <v>1</v>
      </c>
      <c r="H18">
        <v>3</v>
      </c>
    </row>
    <row r="19" spans="1:8" x14ac:dyDescent="0.3">
      <c r="A19">
        <v>18</v>
      </c>
      <c r="B19">
        <v>541</v>
      </c>
      <c r="C19">
        <v>4</v>
      </c>
      <c r="D19" s="1">
        <v>42383</v>
      </c>
      <c r="E19" s="1">
        <v>42386</v>
      </c>
      <c r="F19" s="1">
        <v>42384</v>
      </c>
      <c r="G19">
        <v>1</v>
      </c>
      <c r="H19">
        <v>3</v>
      </c>
    </row>
    <row r="20" spans="1:8" x14ac:dyDescent="0.3">
      <c r="A20">
        <v>19</v>
      </c>
      <c r="B20">
        <v>696</v>
      </c>
      <c r="C20">
        <v>4</v>
      </c>
      <c r="D20" s="1">
        <v>42383</v>
      </c>
      <c r="E20" s="1">
        <v>42386</v>
      </c>
      <c r="F20" s="1">
        <v>42385</v>
      </c>
      <c r="G20">
        <v>1</v>
      </c>
      <c r="H20">
        <v>2</v>
      </c>
    </row>
    <row r="21" spans="1:8" x14ac:dyDescent="0.3">
      <c r="A21">
        <v>20</v>
      </c>
      <c r="B21">
        <v>923</v>
      </c>
      <c r="C21">
        <v>4</v>
      </c>
      <c r="D21" s="1">
        <v>42383</v>
      </c>
      <c r="E21" s="1">
        <v>42385</v>
      </c>
      <c r="F21" s="1">
        <v>42386</v>
      </c>
      <c r="G21">
        <v>1</v>
      </c>
      <c r="H21">
        <v>2</v>
      </c>
    </row>
    <row r="22" spans="1:8" x14ac:dyDescent="0.3">
      <c r="A22">
        <v>21</v>
      </c>
      <c r="B22">
        <v>1250</v>
      </c>
      <c r="C22">
        <v>4</v>
      </c>
      <c r="D22" s="1">
        <v>42384</v>
      </c>
      <c r="E22" s="1">
        <v>42385</v>
      </c>
      <c r="F22" s="1">
        <v>42387</v>
      </c>
      <c r="G22">
        <v>2</v>
      </c>
      <c r="H22">
        <v>6</v>
      </c>
    </row>
    <row r="23" spans="1:8" x14ac:dyDescent="0.3">
      <c r="A23">
        <v>22</v>
      </c>
      <c r="B23">
        <v>1035</v>
      </c>
      <c r="C23">
        <v>4</v>
      </c>
      <c r="D23" s="1">
        <v>42385</v>
      </c>
      <c r="E23" s="1">
        <v>42387</v>
      </c>
      <c r="F23" s="1">
        <v>42386</v>
      </c>
      <c r="G23">
        <v>1</v>
      </c>
      <c r="H23">
        <v>2</v>
      </c>
    </row>
    <row r="24" spans="1:8" x14ac:dyDescent="0.3">
      <c r="A24">
        <v>23</v>
      </c>
      <c r="B24">
        <v>1149</v>
      </c>
      <c r="C24">
        <v>4</v>
      </c>
      <c r="D24" s="1">
        <v>42385</v>
      </c>
      <c r="E24" s="1">
        <v>42388</v>
      </c>
      <c r="F24" s="1">
        <v>42388</v>
      </c>
      <c r="G24">
        <v>1</v>
      </c>
      <c r="H24">
        <v>2</v>
      </c>
    </row>
    <row r="25" spans="1:8" x14ac:dyDescent="0.3">
      <c r="A25">
        <v>24</v>
      </c>
      <c r="B25">
        <v>636</v>
      </c>
      <c r="C25">
        <v>4</v>
      </c>
      <c r="D25" s="1">
        <v>42387</v>
      </c>
      <c r="E25" s="1">
        <v>42389</v>
      </c>
      <c r="F25" s="1">
        <v>42388</v>
      </c>
      <c r="G25">
        <v>2</v>
      </c>
      <c r="H25">
        <v>7</v>
      </c>
    </row>
    <row r="26" spans="1:8" x14ac:dyDescent="0.3">
      <c r="A26">
        <v>25</v>
      </c>
      <c r="B26">
        <v>657</v>
      </c>
      <c r="C26">
        <v>4</v>
      </c>
      <c r="D26" s="1">
        <v>42387</v>
      </c>
      <c r="E26" s="1">
        <v>42390</v>
      </c>
      <c r="F26" s="1">
        <v>42390</v>
      </c>
      <c r="G26">
        <v>2</v>
      </c>
      <c r="H26">
        <v>6</v>
      </c>
    </row>
    <row r="27" spans="1:8" x14ac:dyDescent="0.3">
      <c r="A27">
        <v>26</v>
      </c>
      <c r="B27">
        <v>1280</v>
      </c>
      <c r="C27">
        <v>4</v>
      </c>
      <c r="D27" s="1">
        <v>42387</v>
      </c>
      <c r="E27" s="1">
        <v>42390</v>
      </c>
      <c r="F27" s="1">
        <v>42388</v>
      </c>
      <c r="G27">
        <v>2</v>
      </c>
      <c r="H27">
        <v>7</v>
      </c>
    </row>
    <row r="28" spans="1:8" x14ac:dyDescent="0.3">
      <c r="A28">
        <v>27</v>
      </c>
      <c r="B28">
        <v>57</v>
      </c>
      <c r="C28">
        <v>4</v>
      </c>
      <c r="D28" s="1">
        <v>42388</v>
      </c>
      <c r="E28" s="1">
        <v>42390</v>
      </c>
      <c r="F28" s="1">
        <v>42389</v>
      </c>
      <c r="G28">
        <v>2</v>
      </c>
      <c r="H28">
        <v>7</v>
      </c>
    </row>
    <row r="29" spans="1:8" x14ac:dyDescent="0.3">
      <c r="A29">
        <v>28</v>
      </c>
      <c r="B29">
        <v>252</v>
      </c>
      <c r="C29">
        <v>4</v>
      </c>
      <c r="D29" s="1">
        <v>42388</v>
      </c>
      <c r="E29" s="1">
        <v>42389</v>
      </c>
      <c r="F29" s="1">
        <v>42390</v>
      </c>
      <c r="G29">
        <v>2</v>
      </c>
      <c r="H29">
        <v>6</v>
      </c>
    </row>
    <row r="30" spans="1:8" x14ac:dyDescent="0.3">
      <c r="A30">
        <v>29</v>
      </c>
      <c r="B30">
        <v>437</v>
      </c>
      <c r="C30">
        <v>4</v>
      </c>
      <c r="D30" s="1">
        <v>42389</v>
      </c>
      <c r="E30" s="1">
        <v>42391</v>
      </c>
      <c r="F30" s="1">
        <v>42390</v>
      </c>
      <c r="G30">
        <v>2</v>
      </c>
      <c r="H30">
        <v>6</v>
      </c>
    </row>
    <row r="31" spans="1:8" x14ac:dyDescent="0.3">
      <c r="A31">
        <v>30</v>
      </c>
      <c r="B31">
        <v>1348</v>
      </c>
      <c r="C31">
        <v>4</v>
      </c>
      <c r="D31" s="1">
        <v>42389</v>
      </c>
      <c r="E31" s="1">
        <v>42390</v>
      </c>
      <c r="F31" s="1">
        <v>42390</v>
      </c>
      <c r="G31">
        <v>2</v>
      </c>
      <c r="H31">
        <v>6</v>
      </c>
    </row>
    <row r="32" spans="1:8" x14ac:dyDescent="0.3">
      <c r="A32">
        <v>31</v>
      </c>
      <c r="B32">
        <v>1238</v>
      </c>
      <c r="C32">
        <v>4</v>
      </c>
      <c r="D32" s="1">
        <v>42389</v>
      </c>
      <c r="E32" s="1">
        <v>42391</v>
      </c>
      <c r="F32" s="1">
        <v>42391</v>
      </c>
      <c r="G32">
        <v>3</v>
      </c>
      <c r="H32">
        <v>8</v>
      </c>
    </row>
    <row r="33" spans="1:8" x14ac:dyDescent="0.3">
      <c r="A33">
        <v>32</v>
      </c>
      <c r="B33">
        <v>1259</v>
      </c>
      <c r="C33">
        <v>4</v>
      </c>
      <c r="D33" s="1">
        <v>42390</v>
      </c>
      <c r="E33" s="1">
        <v>42393</v>
      </c>
      <c r="F33" s="1">
        <v>42391</v>
      </c>
      <c r="G33">
        <v>1</v>
      </c>
      <c r="H33">
        <v>3</v>
      </c>
    </row>
    <row r="34" spans="1:8" x14ac:dyDescent="0.3">
      <c r="A34">
        <v>33</v>
      </c>
      <c r="B34">
        <v>236</v>
      </c>
      <c r="C34">
        <v>4</v>
      </c>
      <c r="D34" s="1">
        <v>42390</v>
      </c>
      <c r="E34" s="1">
        <v>42391</v>
      </c>
      <c r="F34" s="1">
        <v>42391</v>
      </c>
      <c r="G34">
        <v>2</v>
      </c>
      <c r="H34">
        <v>6</v>
      </c>
    </row>
    <row r="35" spans="1:8" x14ac:dyDescent="0.3">
      <c r="A35">
        <v>34</v>
      </c>
      <c r="B35">
        <v>80</v>
      </c>
      <c r="C35">
        <v>4</v>
      </c>
      <c r="D35" s="1">
        <v>42391</v>
      </c>
      <c r="E35" s="1">
        <v>42394</v>
      </c>
      <c r="F35" s="1">
        <v>42392</v>
      </c>
      <c r="G35">
        <v>2</v>
      </c>
      <c r="H35">
        <v>6</v>
      </c>
    </row>
    <row r="36" spans="1:8" x14ac:dyDescent="0.3">
      <c r="A36">
        <v>35</v>
      </c>
      <c r="B36">
        <v>813</v>
      </c>
      <c r="C36">
        <v>4</v>
      </c>
      <c r="D36" s="1">
        <v>42391</v>
      </c>
      <c r="E36" s="1">
        <v>42394</v>
      </c>
      <c r="F36" s="1">
        <v>42393</v>
      </c>
      <c r="G36">
        <v>2</v>
      </c>
      <c r="H36">
        <v>7</v>
      </c>
    </row>
    <row r="37" spans="1:8" x14ac:dyDescent="0.3">
      <c r="A37">
        <v>36</v>
      </c>
      <c r="B37">
        <v>1321</v>
      </c>
      <c r="C37">
        <v>4</v>
      </c>
      <c r="D37" s="1">
        <v>42392</v>
      </c>
      <c r="E37" s="1">
        <v>42393</v>
      </c>
      <c r="F37" s="1">
        <v>42393</v>
      </c>
      <c r="G37">
        <v>2</v>
      </c>
      <c r="H37">
        <v>6</v>
      </c>
    </row>
    <row r="38" spans="1:8" x14ac:dyDescent="0.3">
      <c r="A38">
        <v>37</v>
      </c>
      <c r="B38">
        <v>164</v>
      </c>
      <c r="C38">
        <v>4</v>
      </c>
      <c r="D38" s="1">
        <v>42394</v>
      </c>
      <c r="E38" s="1">
        <v>42397</v>
      </c>
      <c r="F38" s="1">
        <v>42395</v>
      </c>
      <c r="G38">
        <v>2</v>
      </c>
      <c r="H38">
        <v>6</v>
      </c>
    </row>
    <row r="39" spans="1:8" x14ac:dyDescent="0.3">
      <c r="A39">
        <v>38</v>
      </c>
      <c r="B39">
        <v>583</v>
      </c>
      <c r="C39">
        <v>4</v>
      </c>
      <c r="D39" s="1">
        <v>42394</v>
      </c>
      <c r="E39" s="1">
        <v>42396</v>
      </c>
      <c r="F39" s="1">
        <v>42395</v>
      </c>
      <c r="G39">
        <v>2</v>
      </c>
      <c r="H39">
        <v>7</v>
      </c>
    </row>
    <row r="40" spans="1:8" x14ac:dyDescent="0.3">
      <c r="A40">
        <v>39</v>
      </c>
      <c r="B40">
        <v>1296</v>
      </c>
      <c r="C40">
        <v>4</v>
      </c>
      <c r="D40" s="1">
        <v>42394</v>
      </c>
      <c r="E40" s="1">
        <v>42395</v>
      </c>
      <c r="F40" s="1">
        <v>42395</v>
      </c>
      <c r="G40">
        <v>2</v>
      </c>
      <c r="H40">
        <v>7</v>
      </c>
    </row>
    <row r="41" spans="1:8" x14ac:dyDescent="0.3">
      <c r="A41">
        <v>40</v>
      </c>
      <c r="B41">
        <v>348</v>
      </c>
      <c r="C41">
        <v>4</v>
      </c>
      <c r="D41" s="1">
        <v>42396</v>
      </c>
      <c r="E41" s="1">
        <v>42397</v>
      </c>
      <c r="F41" s="1">
        <v>42398</v>
      </c>
      <c r="G41">
        <v>1</v>
      </c>
      <c r="H41">
        <v>3</v>
      </c>
    </row>
    <row r="42" spans="1:8" x14ac:dyDescent="0.3">
      <c r="A42">
        <v>41</v>
      </c>
      <c r="B42">
        <v>979</v>
      </c>
      <c r="C42">
        <v>4</v>
      </c>
      <c r="D42" s="1">
        <v>42396</v>
      </c>
      <c r="E42" s="1">
        <v>42399</v>
      </c>
      <c r="F42" s="1">
        <v>42398</v>
      </c>
      <c r="G42">
        <v>2</v>
      </c>
      <c r="H42">
        <v>6</v>
      </c>
    </row>
    <row r="43" spans="1:8" x14ac:dyDescent="0.3">
      <c r="A43">
        <v>42</v>
      </c>
      <c r="B43">
        <v>1095</v>
      </c>
      <c r="C43">
        <v>4</v>
      </c>
      <c r="D43" s="1">
        <v>42396</v>
      </c>
      <c r="E43" s="1">
        <v>42397</v>
      </c>
      <c r="F43" s="1">
        <v>42399</v>
      </c>
      <c r="G43">
        <v>2</v>
      </c>
      <c r="H43">
        <v>7</v>
      </c>
    </row>
    <row r="44" spans="1:8" x14ac:dyDescent="0.3">
      <c r="A44">
        <v>43</v>
      </c>
      <c r="B44">
        <v>1434</v>
      </c>
      <c r="C44">
        <v>4</v>
      </c>
      <c r="D44" s="1">
        <v>42396</v>
      </c>
      <c r="E44" s="1">
        <v>42397</v>
      </c>
      <c r="F44" s="1">
        <v>42399</v>
      </c>
      <c r="G44">
        <v>2</v>
      </c>
      <c r="H44">
        <v>7</v>
      </c>
    </row>
    <row r="45" spans="1:8" x14ac:dyDescent="0.3">
      <c r="A45">
        <v>44</v>
      </c>
      <c r="B45">
        <v>861</v>
      </c>
      <c r="C45">
        <v>4</v>
      </c>
      <c r="D45" s="1">
        <v>42397</v>
      </c>
      <c r="E45" s="1">
        <v>42400</v>
      </c>
      <c r="F45" s="1">
        <v>42399</v>
      </c>
      <c r="G45">
        <v>2</v>
      </c>
      <c r="H45">
        <v>7</v>
      </c>
    </row>
    <row r="46" spans="1:8" x14ac:dyDescent="0.3">
      <c r="A46">
        <v>45</v>
      </c>
      <c r="B46">
        <v>1220</v>
      </c>
      <c r="C46">
        <v>4</v>
      </c>
      <c r="D46" s="1">
        <v>42397</v>
      </c>
      <c r="E46" s="1">
        <v>42400</v>
      </c>
      <c r="F46" s="1">
        <v>42400</v>
      </c>
      <c r="G46">
        <v>2</v>
      </c>
      <c r="H46">
        <v>7</v>
      </c>
    </row>
    <row r="47" spans="1:8" x14ac:dyDescent="0.3">
      <c r="A47">
        <v>46</v>
      </c>
      <c r="B47">
        <v>746</v>
      </c>
      <c r="C47">
        <v>4</v>
      </c>
      <c r="D47" s="1">
        <v>42398</v>
      </c>
      <c r="E47" s="1">
        <v>42400</v>
      </c>
      <c r="F47" s="1">
        <v>42400</v>
      </c>
      <c r="G47">
        <v>2</v>
      </c>
      <c r="H47">
        <v>7</v>
      </c>
    </row>
    <row r="48" spans="1:8" x14ac:dyDescent="0.3">
      <c r="A48">
        <v>47</v>
      </c>
      <c r="B48">
        <v>1234</v>
      </c>
      <c r="C48">
        <v>4</v>
      </c>
      <c r="D48" s="1">
        <v>42398</v>
      </c>
      <c r="E48" s="1">
        <v>42399</v>
      </c>
      <c r="F48" s="1">
        <v>42400</v>
      </c>
      <c r="G48">
        <v>2</v>
      </c>
      <c r="H48">
        <v>7</v>
      </c>
    </row>
    <row r="49" spans="1:8" x14ac:dyDescent="0.3">
      <c r="A49">
        <v>48</v>
      </c>
      <c r="B49">
        <v>1012</v>
      </c>
      <c r="C49">
        <v>4</v>
      </c>
      <c r="D49" s="1">
        <v>42399</v>
      </c>
      <c r="E49" s="1">
        <v>42401</v>
      </c>
      <c r="F49" s="1">
        <v>42402</v>
      </c>
      <c r="G49">
        <v>2</v>
      </c>
      <c r="H49">
        <v>7</v>
      </c>
    </row>
    <row r="50" spans="1:8" x14ac:dyDescent="0.3">
      <c r="A50">
        <v>49</v>
      </c>
      <c r="B50">
        <v>608</v>
      </c>
      <c r="C50">
        <v>4</v>
      </c>
      <c r="D50" s="1">
        <v>42400</v>
      </c>
      <c r="E50" s="1">
        <v>42401</v>
      </c>
      <c r="F50" s="1">
        <v>42402</v>
      </c>
      <c r="G50">
        <v>2</v>
      </c>
      <c r="H50">
        <v>6</v>
      </c>
    </row>
    <row r="51" spans="1:8" x14ac:dyDescent="0.3">
      <c r="A51">
        <v>50</v>
      </c>
      <c r="B51">
        <v>872</v>
      </c>
      <c r="C51">
        <v>4</v>
      </c>
      <c r="D51" s="1">
        <v>42400</v>
      </c>
      <c r="E51" s="1">
        <v>42403</v>
      </c>
      <c r="F51" s="1">
        <v>42402</v>
      </c>
      <c r="G51">
        <v>3</v>
      </c>
      <c r="H51">
        <v>8</v>
      </c>
    </row>
    <row r="52" spans="1:8" x14ac:dyDescent="0.3">
      <c r="A52">
        <v>51</v>
      </c>
      <c r="B52">
        <v>1047</v>
      </c>
      <c r="C52">
        <v>4</v>
      </c>
      <c r="D52" s="1">
        <v>42401</v>
      </c>
      <c r="E52" s="1">
        <v>42402</v>
      </c>
      <c r="F52" s="1">
        <v>42403</v>
      </c>
      <c r="G52">
        <v>2</v>
      </c>
      <c r="H52">
        <v>7</v>
      </c>
    </row>
    <row r="53" spans="1:8" x14ac:dyDescent="0.3">
      <c r="A53">
        <v>52</v>
      </c>
      <c r="B53">
        <v>767</v>
      </c>
      <c r="C53">
        <v>4</v>
      </c>
      <c r="D53" s="1">
        <v>42403</v>
      </c>
      <c r="E53" s="1">
        <v>42404</v>
      </c>
      <c r="F53" s="1">
        <v>42405</v>
      </c>
      <c r="G53">
        <v>1</v>
      </c>
      <c r="H53">
        <v>2</v>
      </c>
    </row>
    <row r="54" spans="1:8" x14ac:dyDescent="0.3">
      <c r="A54">
        <v>53</v>
      </c>
      <c r="B54">
        <v>965</v>
      </c>
      <c r="C54">
        <v>4</v>
      </c>
      <c r="D54" s="1">
        <v>42403</v>
      </c>
      <c r="E54" s="1">
        <v>42404</v>
      </c>
      <c r="F54" s="1">
        <v>42405</v>
      </c>
      <c r="G54">
        <v>2</v>
      </c>
      <c r="H54">
        <v>6</v>
      </c>
    </row>
    <row r="55" spans="1:8" x14ac:dyDescent="0.3">
      <c r="A55">
        <v>54</v>
      </c>
      <c r="B55">
        <v>535</v>
      </c>
      <c r="C55">
        <v>4</v>
      </c>
      <c r="D55" s="1">
        <v>42404</v>
      </c>
      <c r="E55" s="1">
        <v>42407</v>
      </c>
      <c r="F55" s="1">
        <v>42407</v>
      </c>
      <c r="G55">
        <v>2</v>
      </c>
      <c r="H55">
        <v>7</v>
      </c>
    </row>
    <row r="56" spans="1:8" x14ac:dyDescent="0.3">
      <c r="A56">
        <v>55</v>
      </c>
      <c r="B56">
        <v>1173</v>
      </c>
      <c r="C56">
        <v>4</v>
      </c>
      <c r="D56" s="1">
        <v>42404</v>
      </c>
      <c r="E56" s="1">
        <v>42407</v>
      </c>
      <c r="F56" s="1">
        <v>42406</v>
      </c>
      <c r="G56">
        <v>2</v>
      </c>
      <c r="H56">
        <v>6</v>
      </c>
    </row>
    <row r="57" spans="1:8" x14ac:dyDescent="0.3">
      <c r="A57">
        <v>56</v>
      </c>
      <c r="B57">
        <v>1241</v>
      </c>
      <c r="C57">
        <v>4</v>
      </c>
      <c r="D57" s="1">
        <v>42404</v>
      </c>
      <c r="E57" s="1">
        <v>42406</v>
      </c>
      <c r="F57" s="1">
        <v>42407</v>
      </c>
      <c r="G57">
        <v>2</v>
      </c>
      <c r="H57">
        <v>6</v>
      </c>
    </row>
    <row r="58" spans="1:8" x14ac:dyDescent="0.3">
      <c r="A58">
        <v>57</v>
      </c>
      <c r="B58">
        <v>1305</v>
      </c>
      <c r="C58">
        <v>4</v>
      </c>
      <c r="D58" s="1">
        <v>42404</v>
      </c>
      <c r="E58" s="1">
        <v>42406</v>
      </c>
      <c r="F58" s="1">
        <v>42406</v>
      </c>
      <c r="G58">
        <v>2</v>
      </c>
      <c r="H58">
        <v>7</v>
      </c>
    </row>
    <row r="59" spans="1:8" x14ac:dyDescent="0.3">
      <c r="A59">
        <v>58</v>
      </c>
      <c r="B59">
        <v>504</v>
      </c>
      <c r="C59">
        <v>4</v>
      </c>
      <c r="D59" s="1">
        <v>42405</v>
      </c>
      <c r="E59" s="1">
        <v>42407</v>
      </c>
      <c r="F59" s="1">
        <v>42407</v>
      </c>
      <c r="G59">
        <v>2</v>
      </c>
      <c r="H59">
        <v>6</v>
      </c>
    </row>
    <row r="60" spans="1:8" x14ac:dyDescent="0.3">
      <c r="A60">
        <v>59</v>
      </c>
      <c r="B60">
        <v>563</v>
      </c>
      <c r="C60">
        <v>4</v>
      </c>
      <c r="D60" s="1">
        <v>42405</v>
      </c>
      <c r="E60" s="1">
        <v>42407</v>
      </c>
      <c r="F60" s="1">
        <v>42406</v>
      </c>
      <c r="G60">
        <v>2</v>
      </c>
      <c r="H60">
        <v>7</v>
      </c>
    </row>
    <row r="61" spans="1:8" x14ac:dyDescent="0.3">
      <c r="A61">
        <v>60</v>
      </c>
      <c r="B61">
        <v>151</v>
      </c>
      <c r="C61">
        <v>4</v>
      </c>
      <c r="D61" s="1">
        <v>42406</v>
      </c>
      <c r="E61" s="1">
        <v>42408</v>
      </c>
      <c r="F61" s="1">
        <v>42407</v>
      </c>
      <c r="G61">
        <v>1</v>
      </c>
      <c r="H61">
        <v>3</v>
      </c>
    </row>
    <row r="62" spans="1:8" x14ac:dyDescent="0.3">
      <c r="A62">
        <v>61</v>
      </c>
      <c r="B62">
        <v>277</v>
      </c>
      <c r="C62">
        <v>4</v>
      </c>
      <c r="D62" s="1">
        <v>42406</v>
      </c>
      <c r="E62" s="1">
        <v>42409</v>
      </c>
      <c r="F62" s="1">
        <v>42409</v>
      </c>
      <c r="G62">
        <v>2</v>
      </c>
      <c r="H62">
        <v>7</v>
      </c>
    </row>
    <row r="63" spans="1:8" x14ac:dyDescent="0.3">
      <c r="A63">
        <v>62</v>
      </c>
      <c r="B63">
        <v>208</v>
      </c>
      <c r="C63">
        <v>4</v>
      </c>
      <c r="D63" s="1">
        <v>42407</v>
      </c>
      <c r="E63" s="1">
        <v>42410</v>
      </c>
      <c r="F63" s="1">
        <v>42410</v>
      </c>
      <c r="G63">
        <v>1</v>
      </c>
      <c r="H63">
        <v>2</v>
      </c>
    </row>
    <row r="64" spans="1:8" x14ac:dyDescent="0.3">
      <c r="A64">
        <v>63</v>
      </c>
      <c r="B64">
        <v>1075</v>
      </c>
      <c r="C64">
        <v>4</v>
      </c>
      <c r="D64" s="1">
        <v>42407</v>
      </c>
      <c r="E64" s="1">
        <v>42409</v>
      </c>
      <c r="F64" s="1">
        <v>42409</v>
      </c>
      <c r="G64">
        <v>2</v>
      </c>
      <c r="H64">
        <v>7</v>
      </c>
    </row>
    <row r="65" spans="1:8" x14ac:dyDescent="0.3">
      <c r="A65">
        <v>64</v>
      </c>
      <c r="B65">
        <v>1185</v>
      </c>
      <c r="C65">
        <v>4</v>
      </c>
      <c r="D65" s="1">
        <v>42407</v>
      </c>
      <c r="E65" s="1">
        <v>42408</v>
      </c>
      <c r="F65" s="1">
        <v>42409</v>
      </c>
      <c r="G65">
        <v>2</v>
      </c>
      <c r="H65">
        <v>6</v>
      </c>
    </row>
    <row r="66" spans="1:8" x14ac:dyDescent="0.3">
      <c r="A66">
        <v>65</v>
      </c>
      <c r="B66">
        <v>996</v>
      </c>
      <c r="C66">
        <v>4</v>
      </c>
      <c r="D66" s="1">
        <v>42408</v>
      </c>
      <c r="E66" s="1">
        <v>42409</v>
      </c>
      <c r="F66" s="1">
        <v>42411</v>
      </c>
      <c r="G66">
        <v>2</v>
      </c>
      <c r="H66">
        <v>6</v>
      </c>
    </row>
    <row r="67" spans="1:8" x14ac:dyDescent="0.3">
      <c r="A67">
        <v>66</v>
      </c>
      <c r="B67">
        <v>1253</v>
      </c>
      <c r="C67">
        <v>4</v>
      </c>
      <c r="D67" s="1">
        <v>42409</v>
      </c>
      <c r="E67" s="1">
        <v>42412</v>
      </c>
      <c r="F67" s="1">
        <v>42412</v>
      </c>
      <c r="G67">
        <v>2</v>
      </c>
      <c r="H67">
        <v>7</v>
      </c>
    </row>
    <row r="68" spans="1:8" x14ac:dyDescent="0.3">
      <c r="A68">
        <v>67</v>
      </c>
      <c r="B68">
        <v>526</v>
      </c>
      <c r="C68">
        <v>4</v>
      </c>
      <c r="D68" s="1">
        <v>42409</v>
      </c>
      <c r="E68" s="1">
        <v>42411</v>
      </c>
      <c r="F68" s="1">
        <v>42410</v>
      </c>
      <c r="G68">
        <v>3</v>
      </c>
      <c r="H68">
        <v>8</v>
      </c>
    </row>
    <row r="69" spans="1:8" x14ac:dyDescent="0.3">
      <c r="A69">
        <v>68</v>
      </c>
      <c r="B69">
        <v>381</v>
      </c>
      <c r="C69">
        <v>4</v>
      </c>
      <c r="D69" s="1">
        <v>42410</v>
      </c>
      <c r="E69" s="1">
        <v>42411</v>
      </c>
      <c r="F69" s="1">
        <v>42413</v>
      </c>
      <c r="G69">
        <v>2</v>
      </c>
      <c r="H69">
        <v>6</v>
      </c>
    </row>
    <row r="70" spans="1:8" x14ac:dyDescent="0.3">
      <c r="A70">
        <v>69</v>
      </c>
      <c r="B70">
        <v>1413</v>
      </c>
      <c r="C70">
        <v>4</v>
      </c>
      <c r="D70" s="1">
        <v>42410</v>
      </c>
      <c r="E70" s="1">
        <v>42412</v>
      </c>
      <c r="F70" s="1">
        <v>42411</v>
      </c>
      <c r="G70">
        <v>2</v>
      </c>
      <c r="H70">
        <v>7</v>
      </c>
    </row>
    <row r="71" spans="1:8" x14ac:dyDescent="0.3">
      <c r="A71">
        <v>70</v>
      </c>
      <c r="B71">
        <v>50</v>
      </c>
      <c r="C71">
        <v>3</v>
      </c>
      <c r="D71" s="1">
        <v>42411</v>
      </c>
      <c r="E71" s="1">
        <v>42411</v>
      </c>
      <c r="F71" s="1">
        <v>42411</v>
      </c>
      <c r="G71">
        <v>3</v>
      </c>
      <c r="H71">
        <v>9</v>
      </c>
    </row>
    <row r="72" spans="1:8" x14ac:dyDescent="0.3">
      <c r="A72">
        <v>71</v>
      </c>
      <c r="B72">
        <v>797</v>
      </c>
      <c r="C72">
        <v>4</v>
      </c>
      <c r="D72" s="1">
        <v>42411</v>
      </c>
      <c r="E72" s="1">
        <v>42414</v>
      </c>
      <c r="F72" s="1">
        <v>42412</v>
      </c>
      <c r="G72">
        <v>2</v>
      </c>
      <c r="H72">
        <v>7</v>
      </c>
    </row>
    <row r="73" spans="1:8" x14ac:dyDescent="0.3">
      <c r="A73">
        <v>72</v>
      </c>
      <c r="B73">
        <v>1386</v>
      </c>
      <c r="C73">
        <v>4</v>
      </c>
      <c r="D73" s="1">
        <v>42412</v>
      </c>
      <c r="E73" s="1">
        <v>42415</v>
      </c>
      <c r="F73" s="1">
        <v>42413</v>
      </c>
      <c r="G73">
        <v>1</v>
      </c>
      <c r="H73">
        <v>2</v>
      </c>
    </row>
    <row r="74" spans="1:8" x14ac:dyDescent="0.3">
      <c r="A74">
        <v>73</v>
      </c>
      <c r="B74">
        <v>612</v>
      </c>
      <c r="C74">
        <v>4</v>
      </c>
      <c r="D74" s="1">
        <v>42412</v>
      </c>
      <c r="E74" s="1">
        <v>42415</v>
      </c>
      <c r="F74" s="1">
        <v>42414</v>
      </c>
      <c r="G74">
        <v>2</v>
      </c>
      <c r="H74">
        <v>7</v>
      </c>
    </row>
    <row r="75" spans="1:8" x14ac:dyDescent="0.3">
      <c r="A75">
        <v>74</v>
      </c>
      <c r="B75">
        <v>264</v>
      </c>
      <c r="C75">
        <v>4</v>
      </c>
      <c r="D75" s="1">
        <v>42413</v>
      </c>
      <c r="E75" s="1">
        <v>42415</v>
      </c>
      <c r="F75" s="1">
        <v>42415</v>
      </c>
      <c r="G75">
        <v>2</v>
      </c>
      <c r="H75">
        <v>7</v>
      </c>
    </row>
    <row r="76" spans="1:8" x14ac:dyDescent="0.3">
      <c r="A76">
        <v>75</v>
      </c>
      <c r="B76">
        <v>587</v>
      </c>
      <c r="C76">
        <v>4</v>
      </c>
      <c r="D76" s="1">
        <v>42414</v>
      </c>
      <c r="E76" s="1">
        <v>42415</v>
      </c>
      <c r="F76" s="1">
        <v>42417</v>
      </c>
      <c r="G76">
        <v>2</v>
      </c>
      <c r="H76">
        <v>6</v>
      </c>
    </row>
    <row r="77" spans="1:8" x14ac:dyDescent="0.3">
      <c r="A77">
        <v>76</v>
      </c>
      <c r="B77">
        <v>9</v>
      </c>
      <c r="C77">
        <v>3</v>
      </c>
      <c r="D77" s="1">
        <v>42416</v>
      </c>
      <c r="E77" s="1">
        <v>42416</v>
      </c>
      <c r="F77" s="1">
        <v>42411</v>
      </c>
      <c r="G77">
        <v>2</v>
      </c>
      <c r="H77">
        <v>6</v>
      </c>
    </row>
    <row r="78" spans="1:8" x14ac:dyDescent="0.3">
      <c r="A78">
        <v>77</v>
      </c>
      <c r="B78">
        <v>385</v>
      </c>
      <c r="C78">
        <v>4</v>
      </c>
      <c r="D78" s="1">
        <v>42416</v>
      </c>
      <c r="E78" s="1">
        <v>42419</v>
      </c>
      <c r="F78" s="1">
        <v>42419</v>
      </c>
      <c r="G78">
        <v>1</v>
      </c>
      <c r="H78">
        <v>2</v>
      </c>
    </row>
    <row r="79" spans="1:8" x14ac:dyDescent="0.3">
      <c r="A79">
        <v>78</v>
      </c>
      <c r="B79">
        <v>1182</v>
      </c>
      <c r="C79">
        <v>4</v>
      </c>
      <c r="D79" s="1">
        <v>42416</v>
      </c>
      <c r="E79" s="1">
        <v>42418</v>
      </c>
      <c r="F79" s="1">
        <v>42419</v>
      </c>
      <c r="G79">
        <v>2</v>
      </c>
      <c r="H79">
        <v>7</v>
      </c>
    </row>
    <row r="80" spans="1:8" x14ac:dyDescent="0.3">
      <c r="A80">
        <v>79</v>
      </c>
      <c r="B80">
        <v>529</v>
      </c>
      <c r="C80">
        <v>4</v>
      </c>
      <c r="D80" s="1">
        <v>42417</v>
      </c>
      <c r="E80" s="1">
        <v>42420</v>
      </c>
      <c r="F80" s="1">
        <v>42420</v>
      </c>
      <c r="G80">
        <v>1</v>
      </c>
      <c r="H80">
        <v>3</v>
      </c>
    </row>
    <row r="81" spans="1:8" x14ac:dyDescent="0.3">
      <c r="A81">
        <v>80</v>
      </c>
      <c r="B81">
        <v>397</v>
      </c>
      <c r="C81">
        <v>4</v>
      </c>
      <c r="D81" s="1">
        <v>42417</v>
      </c>
      <c r="E81" s="1">
        <v>42420</v>
      </c>
      <c r="F81" s="1">
        <v>42419</v>
      </c>
      <c r="G81">
        <v>2</v>
      </c>
      <c r="H81">
        <v>6</v>
      </c>
    </row>
    <row r="82" spans="1:8" x14ac:dyDescent="0.3">
      <c r="A82">
        <v>81</v>
      </c>
      <c r="B82">
        <v>521</v>
      </c>
      <c r="C82">
        <v>4</v>
      </c>
      <c r="D82" s="1">
        <v>42417</v>
      </c>
      <c r="E82" s="1">
        <v>42419</v>
      </c>
      <c r="F82" s="1">
        <v>42418</v>
      </c>
      <c r="G82">
        <v>2</v>
      </c>
      <c r="H82">
        <v>6</v>
      </c>
    </row>
    <row r="83" spans="1:8" x14ac:dyDescent="0.3">
      <c r="A83">
        <v>82</v>
      </c>
      <c r="B83">
        <v>1223</v>
      </c>
      <c r="C83">
        <v>4</v>
      </c>
      <c r="D83" s="1">
        <v>42418</v>
      </c>
      <c r="E83" s="1">
        <v>42421</v>
      </c>
      <c r="F83" s="1">
        <v>42420</v>
      </c>
      <c r="G83">
        <v>2</v>
      </c>
      <c r="H83">
        <v>6</v>
      </c>
    </row>
    <row r="84" spans="1:8" x14ac:dyDescent="0.3">
      <c r="A84">
        <v>83</v>
      </c>
      <c r="B84">
        <v>393</v>
      </c>
      <c r="C84">
        <v>4</v>
      </c>
      <c r="D84" s="1">
        <v>42419</v>
      </c>
      <c r="E84" s="1">
        <v>42420</v>
      </c>
      <c r="F84" s="1">
        <v>42420</v>
      </c>
      <c r="G84">
        <v>1</v>
      </c>
      <c r="H84">
        <v>3</v>
      </c>
    </row>
    <row r="85" spans="1:8" x14ac:dyDescent="0.3">
      <c r="A85">
        <v>84</v>
      </c>
      <c r="B85">
        <v>317</v>
      </c>
      <c r="C85">
        <v>4</v>
      </c>
      <c r="D85" s="1">
        <v>42420</v>
      </c>
      <c r="E85" s="1">
        <v>42422</v>
      </c>
      <c r="F85" s="1">
        <v>42421</v>
      </c>
      <c r="G85">
        <v>2</v>
      </c>
      <c r="H85">
        <v>7</v>
      </c>
    </row>
    <row r="86" spans="1:8" x14ac:dyDescent="0.3">
      <c r="A86">
        <v>85</v>
      </c>
      <c r="B86">
        <v>1174</v>
      </c>
      <c r="C86">
        <v>4</v>
      </c>
      <c r="D86" s="1">
        <v>42420</v>
      </c>
      <c r="E86" s="1">
        <v>42423</v>
      </c>
      <c r="F86" s="1">
        <v>42421</v>
      </c>
      <c r="G86">
        <v>2</v>
      </c>
      <c r="H86">
        <v>7</v>
      </c>
    </row>
    <row r="87" spans="1:8" x14ac:dyDescent="0.3">
      <c r="A87">
        <v>86</v>
      </c>
      <c r="B87">
        <v>276</v>
      </c>
      <c r="C87">
        <v>4</v>
      </c>
      <c r="D87" s="1">
        <v>42421</v>
      </c>
      <c r="E87" s="1">
        <v>42422</v>
      </c>
      <c r="F87" s="1">
        <v>42423</v>
      </c>
      <c r="G87">
        <v>2</v>
      </c>
      <c r="H87">
        <v>7</v>
      </c>
    </row>
    <row r="88" spans="1:8" x14ac:dyDescent="0.3">
      <c r="A88">
        <v>87</v>
      </c>
      <c r="B88">
        <v>516</v>
      </c>
      <c r="C88">
        <v>4</v>
      </c>
      <c r="D88" s="1">
        <v>42421</v>
      </c>
      <c r="E88" s="1">
        <v>42422</v>
      </c>
      <c r="F88" s="1">
        <v>42423</v>
      </c>
      <c r="G88">
        <v>2</v>
      </c>
      <c r="H88">
        <v>6</v>
      </c>
    </row>
    <row r="89" spans="1:8" x14ac:dyDescent="0.3">
      <c r="A89">
        <v>88</v>
      </c>
      <c r="B89">
        <v>1069</v>
      </c>
      <c r="C89">
        <v>4</v>
      </c>
      <c r="D89" s="1">
        <v>42421</v>
      </c>
      <c r="E89" s="1">
        <v>42422</v>
      </c>
      <c r="F89" s="1">
        <v>42423</v>
      </c>
      <c r="G89">
        <v>2</v>
      </c>
      <c r="H89">
        <v>6</v>
      </c>
    </row>
    <row r="90" spans="1:8" x14ac:dyDescent="0.3">
      <c r="A90">
        <v>89</v>
      </c>
      <c r="B90">
        <v>668</v>
      </c>
      <c r="C90">
        <v>4</v>
      </c>
      <c r="D90" s="1">
        <v>42421</v>
      </c>
      <c r="E90" s="1">
        <v>42424</v>
      </c>
      <c r="F90" s="1">
        <v>42424</v>
      </c>
      <c r="G90">
        <v>3</v>
      </c>
      <c r="H90">
        <v>8</v>
      </c>
    </row>
    <row r="91" spans="1:8" x14ac:dyDescent="0.3">
      <c r="A91">
        <v>90</v>
      </c>
      <c r="B91">
        <v>414</v>
      </c>
      <c r="C91">
        <v>4</v>
      </c>
      <c r="D91" s="1">
        <v>42423</v>
      </c>
      <c r="E91" s="1">
        <v>42425</v>
      </c>
      <c r="F91" s="1">
        <v>42424</v>
      </c>
      <c r="G91">
        <v>2</v>
      </c>
      <c r="H91">
        <v>7</v>
      </c>
    </row>
    <row r="92" spans="1:8" x14ac:dyDescent="0.3">
      <c r="A92">
        <v>91</v>
      </c>
      <c r="B92">
        <v>648</v>
      </c>
      <c r="C92">
        <v>4</v>
      </c>
      <c r="D92" s="1">
        <v>42425</v>
      </c>
      <c r="E92" s="1">
        <v>42427</v>
      </c>
      <c r="F92" s="1">
        <v>42428</v>
      </c>
      <c r="G92">
        <v>1</v>
      </c>
      <c r="H92">
        <v>2</v>
      </c>
    </row>
    <row r="93" spans="1:8" x14ac:dyDescent="0.3">
      <c r="A93">
        <v>92</v>
      </c>
      <c r="B93">
        <v>1309</v>
      </c>
      <c r="C93">
        <v>4</v>
      </c>
      <c r="D93" s="1">
        <v>42425</v>
      </c>
      <c r="E93" s="1">
        <v>42428</v>
      </c>
      <c r="F93" s="1">
        <v>42428</v>
      </c>
      <c r="G93">
        <v>2</v>
      </c>
      <c r="H93">
        <v>7</v>
      </c>
    </row>
    <row r="94" spans="1:8" x14ac:dyDescent="0.3">
      <c r="A94">
        <v>93</v>
      </c>
      <c r="B94">
        <v>1328</v>
      </c>
      <c r="C94">
        <v>4</v>
      </c>
      <c r="D94" s="1">
        <v>42426</v>
      </c>
      <c r="E94" s="1">
        <v>42428</v>
      </c>
      <c r="F94" s="1">
        <v>42427</v>
      </c>
      <c r="G94">
        <v>1</v>
      </c>
      <c r="H94">
        <v>3</v>
      </c>
    </row>
    <row r="95" spans="1:8" x14ac:dyDescent="0.3">
      <c r="A95">
        <v>94</v>
      </c>
      <c r="B95">
        <v>929</v>
      </c>
      <c r="C95">
        <v>4</v>
      </c>
      <c r="D95" s="1">
        <v>42427</v>
      </c>
      <c r="E95" s="1">
        <v>42428</v>
      </c>
      <c r="F95" s="1">
        <v>42429</v>
      </c>
      <c r="G95">
        <v>1</v>
      </c>
      <c r="H95">
        <v>2</v>
      </c>
    </row>
    <row r="96" spans="1:8" x14ac:dyDescent="0.3">
      <c r="A96">
        <v>95</v>
      </c>
      <c r="B96">
        <v>218</v>
      </c>
      <c r="C96">
        <v>4</v>
      </c>
      <c r="D96" s="1">
        <v>42427</v>
      </c>
      <c r="E96" s="1">
        <v>42429</v>
      </c>
      <c r="F96" s="1">
        <v>42428</v>
      </c>
      <c r="G96">
        <v>2</v>
      </c>
      <c r="H96">
        <v>7</v>
      </c>
    </row>
    <row r="97" spans="1:8" x14ac:dyDescent="0.3">
      <c r="A97">
        <v>96</v>
      </c>
      <c r="B97">
        <v>1094</v>
      </c>
      <c r="C97">
        <v>4</v>
      </c>
      <c r="D97" s="1">
        <v>42427</v>
      </c>
      <c r="E97" s="1">
        <v>42429</v>
      </c>
      <c r="F97" s="1">
        <v>42428</v>
      </c>
      <c r="G97">
        <v>2</v>
      </c>
      <c r="H97">
        <v>7</v>
      </c>
    </row>
    <row r="98" spans="1:8" x14ac:dyDescent="0.3">
      <c r="A98">
        <v>97</v>
      </c>
      <c r="B98">
        <v>204</v>
      </c>
      <c r="C98">
        <v>4</v>
      </c>
      <c r="D98" s="1">
        <v>42428</v>
      </c>
      <c r="E98" s="1">
        <v>42429</v>
      </c>
      <c r="F98" s="1">
        <v>42430</v>
      </c>
      <c r="G98">
        <v>2</v>
      </c>
      <c r="H98">
        <v>7</v>
      </c>
    </row>
    <row r="99" spans="1:8" x14ac:dyDescent="0.3">
      <c r="A99">
        <v>98</v>
      </c>
      <c r="B99">
        <v>1194</v>
      </c>
      <c r="C99">
        <v>4</v>
      </c>
      <c r="D99" s="1">
        <v>42428</v>
      </c>
      <c r="E99" s="1">
        <v>42429</v>
      </c>
      <c r="F99" s="1">
        <v>42429</v>
      </c>
      <c r="G99">
        <v>2</v>
      </c>
      <c r="H99">
        <v>6</v>
      </c>
    </row>
    <row r="100" spans="1:8" x14ac:dyDescent="0.3">
      <c r="A100">
        <v>99</v>
      </c>
      <c r="B100">
        <v>1165</v>
      </c>
      <c r="C100">
        <v>4</v>
      </c>
      <c r="D100" s="1">
        <v>42429</v>
      </c>
      <c r="E100" s="1">
        <v>42430</v>
      </c>
      <c r="F100" s="1">
        <v>42432</v>
      </c>
      <c r="G100">
        <v>3</v>
      </c>
      <c r="H100">
        <v>9</v>
      </c>
    </row>
    <row r="101" spans="1:8" x14ac:dyDescent="0.3">
      <c r="A101">
        <v>100</v>
      </c>
      <c r="B101">
        <v>1237</v>
      </c>
      <c r="C101">
        <v>4</v>
      </c>
      <c r="D101" s="1">
        <v>42430</v>
      </c>
      <c r="E101" s="1">
        <v>42433</v>
      </c>
      <c r="F101" s="1">
        <v>42432</v>
      </c>
      <c r="G101">
        <v>2</v>
      </c>
      <c r="H101">
        <v>7</v>
      </c>
    </row>
    <row r="102" spans="1:8" x14ac:dyDescent="0.3">
      <c r="A102">
        <v>101</v>
      </c>
      <c r="B102">
        <v>271</v>
      </c>
      <c r="C102">
        <v>4</v>
      </c>
      <c r="D102" s="1">
        <v>42430</v>
      </c>
      <c r="E102" s="1">
        <v>42433</v>
      </c>
      <c r="F102" s="1">
        <v>42433</v>
      </c>
      <c r="G102">
        <v>3</v>
      </c>
      <c r="H102">
        <v>8</v>
      </c>
    </row>
    <row r="103" spans="1:8" x14ac:dyDescent="0.3">
      <c r="A103">
        <v>102</v>
      </c>
      <c r="B103">
        <v>336</v>
      </c>
      <c r="C103">
        <v>4</v>
      </c>
      <c r="D103" s="1">
        <v>42431</v>
      </c>
      <c r="E103" s="1">
        <v>42434</v>
      </c>
      <c r="F103" s="1">
        <v>42432</v>
      </c>
      <c r="G103">
        <v>2</v>
      </c>
      <c r="H103">
        <v>7</v>
      </c>
    </row>
    <row r="104" spans="1:8" x14ac:dyDescent="0.3">
      <c r="A104">
        <v>103</v>
      </c>
      <c r="B104">
        <v>991</v>
      </c>
      <c r="C104">
        <v>4</v>
      </c>
      <c r="D104" s="1">
        <v>42432</v>
      </c>
      <c r="E104" s="1">
        <v>42435</v>
      </c>
      <c r="F104" s="1">
        <v>42434</v>
      </c>
      <c r="G104">
        <v>1</v>
      </c>
      <c r="H104">
        <v>2</v>
      </c>
    </row>
    <row r="105" spans="1:8" x14ac:dyDescent="0.3">
      <c r="A105">
        <v>104</v>
      </c>
      <c r="B105">
        <v>7</v>
      </c>
      <c r="C105">
        <v>4</v>
      </c>
      <c r="D105" s="1">
        <v>42432</v>
      </c>
      <c r="E105" s="1">
        <v>42434</v>
      </c>
      <c r="F105" s="1">
        <v>42434</v>
      </c>
      <c r="G105">
        <v>2</v>
      </c>
      <c r="H105">
        <v>7</v>
      </c>
    </row>
    <row r="106" spans="1:8" x14ac:dyDescent="0.3">
      <c r="A106">
        <v>105</v>
      </c>
      <c r="B106">
        <v>306</v>
      </c>
      <c r="C106">
        <v>4</v>
      </c>
      <c r="D106" s="1">
        <v>42432</v>
      </c>
      <c r="E106" s="1">
        <v>42434</v>
      </c>
      <c r="F106" s="1">
        <v>42433</v>
      </c>
      <c r="G106">
        <v>2</v>
      </c>
      <c r="H106">
        <v>7</v>
      </c>
    </row>
    <row r="107" spans="1:8" x14ac:dyDescent="0.3">
      <c r="A107">
        <v>106</v>
      </c>
      <c r="B107">
        <v>422</v>
      </c>
      <c r="C107">
        <v>4</v>
      </c>
      <c r="D107" s="1">
        <v>42433</v>
      </c>
      <c r="E107" s="1">
        <v>42434</v>
      </c>
      <c r="F107" s="1">
        <v>42434</v>
      </c>
      <c r="G107">
        <v>3</v>
      </c>
      <c r="H107">
        <v>9</v>
      </c>
    </row>
    <row r="108" spans="1:8" x14ac:dyDescent="0.3">
      <c r="A108">
        <v>107</v>
      </c>
      <c r="B108">
        <v>633</v>
      </c>
      <c r="C108">
        <v>4</v>
      </c>
      <c r="D108" s="1">
        <v>42435</v>
      </c>
      <c r="E108" s="1">
        <v>42438</v>
      </c>
      <c r="F108" s="1">
        <v>42438</v>
      </c>
      <c r="G108">
        <v>1</v>
      </c>
      <c r="H108">
        <v>2</v>
      </c>
    </row>
    <row r="109" spans="1:8" x14ac:dyDescent="0.3">
      <c r="A109">
        <v>108</v>
      </c>
      <c r="B109">
        <v>12</v>
      </c>
      <c r="C109">
        <v>4</v>
      </c>
      <c r="D109" s="1">
        <v>42435</v>
      </c>
      <c r="E109" s="1">
        <v>42438</v>
      </c>
      <c r="F109" s="1">
        <v>42436</v>
      </c>
      <c r="G109">
        <v>2</v>
      </c>
      <c r="H109">
        <v>6</v>
      </c>
    </row>
    <row r="110" spans="1:8" x14ac:dyDescent="0.3">
      <c r="A110">
        <v>109</v>
      </c>
      <c r="B110">
        <v>1255</v>
      </c>
      <c r="C110">
        <v>4</v>
      </c>
      <c r="D110" s="1">
        <v>42435</v>
      </c>
      <c r="E110" s="1">
        <v>42438</v>
      </c>
      <c r="F110" s="1">
        <v>42438</v>
      </c>
      <c r="G110">
        <v>2</v>
      </c>
      <c r="H110">
        <v>6</v>
      </c>
    </row>
    <row r="111" spans="1:8" x14ac:dyDescent="0.3">
      <c r="A111">
        <v>110</v>
      </c>
      <c r="B111">
        <v>677</v>
      </c>
      <c r="C111">
        <v>4</v>
      </c>
      <c r="D111" s="1">
        <v>42435</v>
      </c>
      <c r="E111" s="1">
        <v>42437</v>
      </c>
      <c r="F111" s="1">
        <v>42438</v>
      </c>
      <c r="G111">
        <v>3</v>
      </c>
      <c r="H111">
        <v>9</v>
      </c>
    </row>
    <row r="112" spans="1:8" x14ac:dyDescent="0.3">
      <c r="A112">
        <v>111</v>
      </c>
      <c r="B112">
        <v>630</v>
      </c>
      <c r="C112">
        <v>4</v>
      </c>
      <c r="D112" s="1">
        <v>42436</v>
      </c>
      <c r="E112" s="1">
        <v>42439</v>
      </c>
      <c r="F112" s="1">
        <v>42439</v>
      </c>
      <c r="G112">
        <v>2</v>
      </c>
      <c r="H112">
        <v>6</v>
      </c>
    </row>
    <row r="113" spans="1:8" x14ac:dyDescent="0.3">
      <c r="A113">
        <v>112</v>
      </c>
      <c r="B113">
        <v>469</v>
      </c>
      <c r="C113">
        <v>4</v>
      </c>
      <c r="D113" s="1">
        <v>42437</v>
      </c>
      <c r="E113" s="1">
        <v>42440</v>
      </c>
      <c r="F113" s="1">
        <v>42439</v>
      </c>
      <c r="G113">
        <v>2</v>
      </c>
      <c r="H113">
        <v>6</v>
      </c>
    </row>
    <row r="114" spans="1:8" x14ac:dyDescent="0.3">
      <c r="A114">
        <v>113</v>
      </c>
      <c r="B114">
        <v>1078</v>
      </c>
      <c r="C114">
        <v>4</v>
      </c>
      <c r="D114" s="1">
        <v>42437</v>
      </c>
      <c r="E114" s="1">
        <v>42440</v>
      </c>
      <c r="F114" s="1">
        <v>42440</v>
      </c>
      <c r="G114">
        <v>2</v>
      </c>
      <c r="H114">
        <v>6</v>
      </c>
    </row>
    <row r="115" spans="1:8" x14ac:dyDescent="0.3">
      <c r="A115">
        <v>114</v>
      </c>
      <c r="B115">
        <v>1431</v>
      </c>
      <c r="C115">
        <v>4</v>
      </c>
      <c r="D115" s="1">
        <v>42437</v>
      </c>
      <c r="E115" s="1">
        <v>42439</v>
      </c>
      <c r="F115" s="1">
        <v>42440</v>
      </c>
      <c r="G115">
        <v>2</v>
      </c>
      <c r="H115">
        <v>7</v>
      </c>
    </row>
    <row r="116" spans="1:8" x14ac:dyDescent="0.3">
      <c r="A116">
        <v>115</v>
      </c>
      <c r="B116">
        <v>1369</v>
      </c>
      <c r="C116">
        <v>4</v>
      </c>
      <c r="D116" s="1">
        <v>42438</v>
      </c>
      <c r="E116" s="1">
        <v>42440</v>
      </c>
      <c r="F116" s="1">
        <v>42440</v>
      </c>
      <c r="G116">
        <v>2</v>
      </c>
      <c r="H116">
        <v>7</v>
      </c>
    </row>
    <row r="117" spans="1:8" x14ac:dyDescent="0.3">
      <c r="A117">
        <v>116</v>
      </c>
      <c r="B117">
        <v>471</v>
      </c>
      <c r="C117">
        <v>4</v>
      </c>
      <c r="D117" s="1">
        <v>42439</v>
      </c>
      <c r="E117" s="1">
        <v>42440</v>
      </c>
      <c r="F117" s="1">
        <v>42440</v>
      </c>
      <c r="G117">
        <v>2</v>
      </c>
      <c r="H117">
        <v>7</v>
      </c>
    </row>
    <row r="118" spans="1:8" x14ac:dyDescent="0.3">
      <c r="A118">
        <v>117</v>
      </c>
      <c r="B118">
        <v>740</v>
      </c>
      <c r="C118">
        <v>4</v>
      </c>
      <c r="D118" s="1">
        <v>42439</v>
      </c>
      <c r="E118" s="1">
        <v>42442</v>
      </c>
      <c r="F118" s="1">
        <v>42440</v>
      </c>
      <c r="G118">
        <v>2</v>
      </c>
      <c r="H118">
        <v>6</v>
      </c>
    </row>
    <row r="119" spans="1:8" x14ac:dyDescent="0.3">
      <c r="A119">
        <v>118</v>
      </c>
      <c r="B119">
        <v>577</v>
      </c>
      <c r="C119">
        <v>4</v>
      </c>
      <c r="D119" s="1">
        <v>42441</v>
      </c>
      <c r="E119" s="1">
        <v>42443</v>
      </c>
      <c r="F119" s="1">
        <v>42442</v>
      </c>
      <c r="G119">
        <v>1</v>
      </c>
      <c r="H119">
        <v>2</v>
      </c>
    </row>
    <row r="120" spans="1:8" x14ac:dyDescent="0.3">
      <c r="A120">
        <v>119</v>
      </c>
      <c r="B120">
        <v>925</v>
      </c>
      <c r="C120">
        <v>4</v>
      </c>
      <c r="D120" s="1">
        <v>42441</v>
      </c>
      <c r="E120" s="1">
        <v>42443</v>
      </c>
      <c r="F120" s="1">
        <v>42443</v>
      </c>
      <c r="G120">
        <v>2</v>
      </c>
      <c r="H120">
        <v>7</v>
      </c>
    </row>
    <row r="121" spans="1:8" x14ac:dyDescent="0.3">
      <c r="A121">
        <v>120</v>
      </c>
      <c r="B121">
        <v>327</v>
      </c>
      <c r="C121">
        <v>4</v>
      </c>
      <c r="D121" s="1">
        <v>42443</v>
      </c>
      <c r="E121" s="1">
        <v>42444</v>
      </c>
      <c r="F121" s="1">
        <v>42446</v>
      </c>
      <c r="G121">
        <v>2</v>
      </c>
      <c r="H121">
        <v>7</v>
      </c>
    </row>
    <row r="122" spans="1:8" x14ac:dyDescent="0.3">
      <c r="A122">
        <v>121</v>
      </c>
      <c r="B122">
        <v>755</v>
      </c>
      <c r="C122">
        <v>4</v>
      </c>
      <c r="D122" s="1">
        <v>42443</v>
      </c>
      <c r="E122" s="1">
        <v>42444</v>
      </c>
      <c r="F122" s="1">
        <v>42445</v>
      </c>
      <c r="G122">
        <v>2</v>
      </c>
      <c r="H122">
        <v>6</v>
      </c>
    </row>
    <row r="123" spans="1:8" x14ac:dyDescent="0.3">
      <c r="A123">
        <v>122</v>
      </c>
      <c r="B123">
        <v>786</v>
      </c>
      <c r="C123">
        <v>4</v>
      </c>
      <c r="D123" s="1">
        <v>42443</v>
      </c>
      <c r="E123" s="1">
        <v>42445</v>
      </c>
      <c r="F123" s="1">
        <v>42444</v>
      </c>
      <c r="G123">
        <v>2</v>
      </c>
      <c r="H123">
        <v>6</v>
      </c>
    </row>
    <row r="124" spans="1:8" x14ac:dyDescent="0.3">
      <c r="A124">
        <v>123</v>
      </c>
      <c r="B124">
        <v>766</v>
      </c>
      <c r="C124">
        <v>4</v>
      </c>
      <c r="D124" s="1">
        <v>42444</v>
      </c>
      <c r="E124" s="1">
        <v>42447</v>
      </c>
      <c r="F124" s="1">
        <v>42446</v>
      </c>
      <c r="G124">
        <v>2</v>
      </c>
      <c r="H124">
        <v>6</v>
      </c>
    </row>
    <row r="125" spans="1:8" x14ac:dyDescent="0.3">
      <c r="A125">
        <v>124</v>
      </c>
      <c r="B125">
        <v>403</v>
      </c>
      <c r="C125">
        <v>4</v>
      </c>
      <c r="D125" s="1">
        <v>42445</v>
      </c>
      <c r="E125" s="1">
        <v>42447</v>
      </c>
      <c r="F125" s="1">
        <v>42446</v>
      </c>
      <c r="G125">
        <v>1</v>
      </c>
      <c r="H125">
        <v>3</v>
      </c>
    </row>
    <row r="126" spans="1:8" x14ac:dyDescent="0.3">
      <c r="A126">
        <v>125</v>
      </c>
      <c r="B126">
        <v>685</v>
      </c>
      <c r="C126">
        <v>4</v>
      </c>
      <c r="D126" s="1">
        <v>42445</v>
      </c>
      <c r="E126" s="1">
        <v>42448</v>
      </c>
      <c r="F126" s="1">
        <v>42446</v>
      </c>
      <c r="G126">
        <v>2</v>
      </c>
      <c r="H126">
        <v>6</v>
      </c>
    </row>
    <row r="127" spans="1:8" x14ac:dyDescent="0.3">
      <c r="A127">
        <v>126</v>
      </c>
      <c r="B127">
        <v>1365</v>
      </c>
      <c r="C127">
        <v>4</v>
      </c>
      <c r="D127" s="1">
        <v>42445</v>
      </c>
      <c r="E127" s="1">
        <v>42447</v>
      </c>
      <c r="F127" s="1">
        <v>42447</v>
      </c>
      <c r="G127">
        <v>2</v>
      </c>
      <c r="H127">
        <v>7</v>
      </c>
    </row>
    <row r="128" spans="1:8" x14ac:dyDescent="0.3">
      <c r="A128">
        <v>127</v>
      </c>
      <c r="B128">
        <v>484</v>
      </c>
      <c r="C128">
        <v>4</v>
      </c>
      <c r="D128" s="1">
        <v>42446</v>
      </c>
      <c r="E128" s="1">
        <v>42447</v>
      </c>
      <c r="F128" s="1">
        <v>42448</v>
      </c>
      <c r="G128">
        <v>3</v>
      </c>
      <c r="H128">
        <v>8</v>
      </c>
    </row>
    <row r="129" spans="1:8" x14ac:dyDescent="0.3">
      <c r="A129">
        <v>128</v>
      </c>
      <c r="B129">
        <v>86</v>
      </c>
      <c r="C129">
        <v>4</v>
      </c>
      <c r="D129" s="1">
        <v>42447</v>
      </c>
      <c r="E129" s="1">
        <v>42449</v>
      </c>
      <c r="F129" s="1">
        <v>42450</v>
      </c>
      <c r="G129">
        <v>2</v>
      </c>
      <c r="H129">
        <v>6</v>
      </c>
    </row>
    <row r="130" spans="1:8" x14ac:dyDescent="0.3">
      <c r="A130">
        <v>129</v>
      </c>
      <c r="B130">
        <v>84</v>
      </c>
      <c r="C130">
        <v>4</v>
      </c>
      <c r="D130" s="1">
        <v>42448</v>
      </c>
      <c r="E130" s="1">
        <v>42450</v>
      </c>
      <c r="F130" s="1">
        <v>42450</v>
      </c>
      <c r="G130">
        <v>2</v>
      </c>
      <c r="H130">
        <v>7</v>
      </c>
    </row>
    <row r="131" spans="1:8" x14ac:dyDescent="0.3">
      <c r="A131">
        <v>130</v>
      </c>
      <c r="B131">
        <v>1049</v>
      </c>
      <c r="C131">
        <v>4</v>
      </c>
      <c r="D131" s="1">
        <v>42448</v>
      </c>
      <c r="E131" s="1">
        <v>42451</v>
      </c>
      <c r="F131" s="1">
        <v>42449</v>
      </c>
      <c r="G131">
        <v>2</v>
      </c>
      <c r="H131">
        <v>6</v>
      </c>
    </row>
    <row r="132" spans="1:8" x14ac:dyDescent="0.3">
      <c r="A132">
        <v>131</v>
      </c>
      <c r="B132">
        <v>316</v>
      </c>
      <c r="C132">
        <v>4</v>
      </c>
      <c r="D132" s="1">
        <v>42448</v>
      </c>
      <c r="E132" s="1">
        <v>42451</v>
      </c>
      <c r="F132" s="1">
        <v>42449</v>
      </c>
      <c r="G132">
        <v>3</v>
      </c>
      <c r="H132">
        <v>8</v>
      </c>
    </row>
    <row r="133" spans="1:8" x14ac:dyDescent="0.3">
      <c r="A133">
        <v>132</v>
      </c>
      <c r="B133">
        <v>46</v>
      </c>
      <c r="C133">
        <v>4</v>
      </c>
      <c r="D133" s="1">
        <v>42449</v>
      </c>
      <c r="E133" s="1">
        <v>42451</v>
      </c>
      <c r="F133" s="1">
        <v>42452</v>
      </c>
      <c r="G133">
        <v>1</v>
      </c>
      <c r="H133">
        <v>3</v>
      </c>
    </row>
    <row r="134" spans="1:8" x14ac:dyDescent="0.3">
      <c r="A134">
        <v>133</v>
      </c>
      <c r="B134">
        <v>409</v>
      </c>
      <c r="C134">
        <v>4</v>
      </c>
      <c r="D134" s="1">
        <v>42449</v>
      </c>
      <c r="E134" s="1">
        <v>42451</v>
      </c>
      <c r="F134" s="1">
        <v>42450</v>
      </c>
      <c r="G134">
        <v>2</v>
      </c>
      <c r="H134">
        <v>7</v>
      </c>
    </row>
    <row r="135" spans="1:8" x14ac:dyDescent="0.3">
      <c r="A135">
        <v>134</v>
      </c>
      <c r="B135">
        <v>679</v>
      </c>
      <c r="C135">
        <v>4</v>
      </c>
      <c r="D135" s="1">
        <v>42449</v>
      </c>
      <c r="E135" s="1">
        <v>42450</v>
      </c>
      <c r="F135" s="1">
        <v>42450</v>
      </c>
      <c r="G135">
        <v>2</v>
      </c>
      <c r="H135">
        <v>7</v>
      </c>
    </row>
    <row r="136" spans="1:8" x14ac:dyDescent="0.3">
      <c r="A136">
        <v>135</v>
      </c>
      <c r="B136">
        <v>1354</v>
      </c>
      <c r="C136">
        <v>4</v>
      </c>
      <c r="D136" s="1">
        <v>42450</v>
      </c>
      <c r="E136" s="1">
        <v>42452</v>
      </c>
      <c r="F136" s="1">
        <v>42452</v>
      </c>
      <c r="G136">
        <v>2</v>
      </c>
      <c r="H136">
        <v>7</v>
      </c>
    </row>
    <row r="137" spans="1:8" x14ac:dyDescent="0.3">
      <c r="A137">
        <v>136</v>
      </c>
      <c r="B137">
        <v>1192</v>
      </c>
      <c r="C137">
        <v>4</v>
      </c>
      <c r="D137" s="1">
        <v>42450</v>
      </c>
      <c r="E137" s="1">
        <v>42453</v>
      </c>
      <c r="F137" s="1">
        <v>42452</v>
      </c>
      <c r="G137">
        <v>3</v>
      </c>
      <c r="H137">
        <v>8</v>
      </c>
    </row>
    <row r="138" spans="1:8" x14ac:dyDescent="0.3">
      <c r="A138">
        <v>137</v>
      </c>
      <c r="B138">
        <v>370</v>
      </c>
      <c r="C138">
        <v>4</v>
      </c>
      <c r="D138" s="1">
        <v>42452</v>
      </c>
      <c r="E138" s="1">
        <v>42455</v>
      </c>
      <c r="F138" s="1">
        <v>42454</v>
      </c>
      <c r="G138">
        <v>2</v>
      </c>
      <c r="H138">
        <v>7</v>
      </c>
    </row>
    <row r="139" spans="1:8" x14ac:dyDescent="0.3">
      <c r="A139">
        <v>138</v>
      </c>
      <c r="B139">
        <v>438</v>
      </c>
      <c r="C139">
        <v>4</v>
      </c>
      <c r="D139" s="1">
        <v>42452</v>
      </c>
      <c r="E139" s="1">
        <v>42453</v>
      </c>
      <c r="F139" s="1">
        <v>42454</v>
      </c>
      <c r="G139">
        <v>2</v>
      </c>
      <c r="H139">
        <v>7</v>
      </c>
    </row>
    <row r="140" spans="1:8" x14ac:dyDescent="0.3">
      <c r="A140">
        <v>139</v>
      </c>
      <c r="B140">
        <v>710</v>
      </c>
      <c r="C140">
        <v>4</v>
      </c>
      <c r="D140" s="1">
        <v>42452</v>
      </c>
      <c r="E140" s="1">
        <v>42453</v>
      </c>
      <c r="F140" s="1">
        <v>42455</v>
      </c>
      <c r="G140">
        <v>2</v>
      </c>
      <c r="H140">
        <v>7</v>
      </c>
    </row>
    <row r="141" spans="1:8" x14ac:dyDescent="0.3">
      <c r="A141">
        <v>140</v>
      </c>
      <c r="B141">
        <v>1264</v>
      </c>
      <c r="C141">
        <v>4</v>
      </c>
      <c r="D141" s="1">
        <v>42452</v>
      </c>
      <c r="E141" s="1">
        <v>42455</v>
      </c>
      <c r="F141" s="1">
        <v>42455</v>
      </c>
      <c r="G141">
        <v>2</v>
      </c>
      <c r="H141">
        <v>7</v>
      </c>
    </row>
    <row r="142" spans="1:8" x14ac:dyDescent="0.3">
      <c r="A142">
        <v>141</v>
      </c>
      <c r="B142">
        <v>557</v>
      </c>
      <c r="C142">
        <v>4</v>
      </c>
      <c r="D142" s="1">
        <v>42454</v>
      </c>
      <c r="E142" s="1">
        <v>42456</v>
      </c>
      <c r="F142" s="1">
        <v>42455</v>
      </c>
      <c r="G142">
        <v>2</v>
      </c>
      <c r="H142">
        <v>7</v>
      </c>
    </row>
    <row r="143" spans="1:8" x14ac:dyDescent="0.3">
      <c r="A143">
        <v>142</v>
      </c>
      <c r="B143">
        <v>170</v>
      </c>
      <c r="C143">
        <v>4</v>
      </c>
      <c r="D143" s="1">
        <v>42455</v>
      </c>
      <c r="E143" s="1">
        <v>42456</v>
      </c>
      <c r="F143" s="1">
        <v>42456</v>
      </c>
      <c r="G143">
        <v>1</v>
      </c>
      <c r="H143">
        <v>3</v>
      </c>
    </row>
    <row r="144" spans="1:8" x14ac:dyDescent="0.3">
      <c r="A144">
        <v>143</v>
      </c>
      <c r="B144">
        <v>693</v>
      </c>
      <c r="C144">
        <v>4</v>
      </c>
      <c r="D144" s="1">
        <v>42455</v>
      </c>
      <c r="E144" s="1">
        <v>42457</v>
      </c>
      <c r="F144" s="1">
        <v>42457</v>
      </c>
      <c r="G144">
        <v>2</v>
      </c>
      <c r="H144">
        <v>7</v>
      </c>
    </row>
    <row r="145" spans="1:8" x14ac:dyDescent="0.3">
      <c r="A145">
        <v>144</v>
      </c>
      <c r="B145">
        <v>1124</v>
      </c>
      <c r="C145">
        <v>4</v>
      </c>
      <c r="D145" s="1">
        <v>42455</v>
      </c>
      <c r="E145" s="1">
        <v>42458</v>
      </c>
      <c r="F145" s="1">
        <v>42458</v>
      </c>
      <c r="G145">
        <v>2</v>
      </c>
      <c r="H145">
        <v>7</v>
      </c>
    </row>
    <row r="146" spans="1:8" x14ac:dyDescent="0.3">
      <c r="A146">
        <v>145</v>
      </c>
      <c r="B146">
        <v>366</v>
      </c>
      <c r="C146">
        <v>4</v>
      </c>
      <c r="D146" s="1">
        <v>42456</v>
      </c>
      <c r="E146" s="1">
        <v>42458</v>
      </c>
      <c r="F146" s="1">
        <v>42459</v>
      </c>
      <c r="G146">
        <v>2</v>
      </c>
      <c r="H146">
        <v>6</v>
      </c>
    </row>
    <row r="147" spans="1:8" x14ac:dyDescent="0.3">
      <c r="A147">
        <v>146</v>
      </c>
      <c r="B147">
        <v>288</v>
      </c>
      <c r="C147">
        <v>4</v>
      </c>
      <c r="D147" s="1">
        <v>42457</v>
      </c>
      <c r="E147" s="1">
        <v>42459</v>
      </c>
      <c r="F147" s="1">
        <v>42459</v>
      </c>
      <c r="G147">
        <v>1</v>
      </c>
      <c r="H147">
        <v>3</v>
      </c>
    </row>
    <row r="148" spans="1:8" x14ac:dyDescent="0.3">
      <c r="A148">
        <v>147</v>
      </c>
      <c r="B148">
        <v>55</v>
      </c>
      <c r="C148">
        <v>4</v>
      </c>
      <c r="D148" s="1">
        <v>42457</v>
      </c>
      <c r="E148" s="1">
        <v>42460</v>
      </c>
      <c r="F148" s="1">
        <v>42460</v>
      </c>
      <c r="G148">
        <v>2</v>
      </c>
      <c r="H148">
        <v>7</v>
      </c>
    </row>
    <row r="149" spans="1:8" x14ac:dyDescent="0.3">
      <c r="A149">
        <v>148</v>
      </c>
      <c r="B149">
        <v>714</v>
      </c>
      <c r="C149">
        <v>4</v>
      </c>
      <c r="D149" s="1">
        <v>42457</v>
      </c>
      <c r="E149" s="1">
        <v>42459</v>
      </c>
      <c r="F149" s="1">
        <v>42459</v>
      </c>
      <c r="G149">
        <v>2</v>
      </c>
      <c r="H149">
        <v>6</v>
      </c>
    </row>
    <row r="150" spans="1:8" x14ac:dyDescent="0.3">
      <c r="A150">
        <v>149</v>
      </c>
      <c r="B150">
        <v>763</v>
      </c>
      <c r="C150">
        <v>4</v>
      </c>
      <c r="D150" s="1">
        <v>42457</v>
      </c>
      <c r="E150" s="1">
        <v>42459</v>
      </c>
      <c r="F150" s="1">
        <v>42458</v>
      </c>
      <c r="G150">
        <v>2</v>
      </c>
      <c r="H150">
        <v>6</v>
      </c>
    </row>
    <row r="151" spans="1:8" x14ac:dyDescent="0.3">
      <c r="A151">
        <v>150</v>
      </c>
      <c r="B151">
        <v>332</v>
      </c>
      <c r="C151">
        <v>4</v>
      </c>
      <c r="D151" s="1">
        <v>42458</v>
      </c>
      <c r="E151" s="1">
        <v>42460</v>
      </c>
      <c r="F151" s="1">
        <v>42461</v>
      </c>
      <c r="G151">
        <v>1</v>
      </c>
      <c r="H151">
        <v>2</v>
      </c>
    </row>
    <row r="152" spans="1:8" x14ac:dyDescent="0.3">
      <c r="A152">
        <v>151</v>
      </c>
      <c r="B152">
        <v>926</v>
      </c>
      <c r="C152">
        <v>4</v>
      </c>
      <c r="D152" s="1">
        <v>42458</v>
      </c>
      <c r="E152" s="1">
        <v>42461</v>
      </c>
      <c r="F152" s="1">
        <v>42460</v>
      </c>
      <c r="G152">
        <v>1</v>
      </c>
      <c r="H152">
        <v>2</v>
      </c>
    </row>
    <row r="153" spans="1:8" x14ac:dyDescent="0.3">
      <c r="A153">
        <v>152</v>
      </c>
      <c r="B153">
        <v>76</v>
      </c>
      <c r="C153">
        <v>4</v>
      </c>
      <c r="D153" s="1">
        <v>42458</v>
      </c>
      <c r="E153" s="1">
        <v>42459</v>
      </c>
      <c r="F153" s="1">
        <v>42459</v>
      </c>
      <c r="G153">
        <v>2</v>
      </c>
      <c r="H153">
        <v>6</v>
      </c>
    </row>
    <row r="154" spans="1:8" x14ac:dyDescent="0.3">
      <c r="A154">
        <v>153</v>
      </c>
      <c r="B154">
        <v>498</v>
      </c>
      <c r="C154">
        <v>4</v>
      </c>
      <c r="D154" s="1">
        <v>42459</v>
      </c>
      <c r="E154" s="1">
        <v>42462</v>
      </c>
      <c r="F154" s="1">
        <v>42461</v>
      </c>
      <c r="G154">
        <v>2</v>
      </c>
      <c r="H154">
        <v>6</v>
      </c>
    </row>
    <row r="155" spans="1:8" x14ac:dyDescent="0.3">
      <c r="A155">
        <v>154</v>
      </c>
      <c r="B155">
        <v>1286</v>
      </c>
      <c r="C155">
        <v>4</v>
      </c>
      <c r="D155" s="1">
        <v>42460</v>
      </c>
      <c r="E155" s="1">
        <v>42461</v>
      </c>
      <c r="F155" s="1">
        <v>42461</v>
      </c>
      <c r="G155">
        <v>1</v>
      </c>
      <c r="H155">
        <v>2</v>
      </c>
    </row>
    <row r="156" spans="1:8" x14ac:dyDescent="0.3">
      <c r="A156">
        <v>155</v>
      </c>
      <c r="B156">
        <v>371</v>
      </c>
      <c r="C156">
        <v>4</v>
      </c>
      <c r="D156" s="1">
        <v>42462</v>
      </c>
      <c r="E156" s="1">
        <v>42463</v>
      </c>
      <c r="F156" s="1">
        <v>42464</v>
      </c>
      <c r="G156">
        <v>2</v>
      </c>
      <c r="H156">
        <v>6</v>
      </c>
    </row>
    <row r="157" spans="1:8" x14ac:dyDescent="0.3">
      <c r="A157">
        <v>156</v>
      </c>
      <c r="B157">
        <v>357</v>
      </c>
      <c r="C157">
        <v>4</v>
      </c>
      <c r="D157" s="1">
        <v>42463</v>
      </c>
      <c r="E157" s="1">
        <v>42466</v>
      </c>
      <c r="F157" s="1">
        <v>42465</v>
      </c>
      <c r="G157">
        <v>1</v>
      </c>
      <c r="H157">
        <v>3</v>
      </c>
    </row>
    <row r="158" spans="1:8" x14ac:dyDescent="0.3">
      <c r="A158">
        <v>157</v>
      </c>
      <c r="B158">
        <v>43</v>
      </c>
      <c r="C158">
        <v>4</v>
      </c>
      <c r="D158" s="1">
        <v>42463</v>
      </c>
      <c r="E158" s="1">
        <v>42466</v>
      </c>
      <c r="F158" s="1">
        <v>42466</v>
      </c>
      <c r="G158">
        <v>3</v>
      </c>
      <c r="H158">
        <v>8</v>
      </c>
    </row>
    <row r="159" spans="1:8" x14ac:dyDescent="0.3">
      <c r="A159">
        <v>158</v>
      </c>
      <c r="B159">
        <v>117</v>
      </c>
      <c r="C159">
        <v>3</v>
      </c>
      <c r="D159" s="1">
        <v>42464</v>
      </c>
      <c r="E159" s="1">
        <v>42464</v>
      </c>
      <c r="F159" s="1">
        <v>42411</v>
      </c>
      <c r="G159">
        <v>3</v>
      </c>
      <c r="H159">
        <v>9</v>
      </c>
    </row>
    <row r="160" spans="1:8" x14ac:dyDescent="0.3">
      <c r="A160">
        <v>159</v>
      </c>
      <c r="B160">
        <v>32</v>
      </c>
      <c r="C160">
        <v>4</v>
      </c>
      <c r="D160" s="1">
        <v>42464</v>
      </c>
      <c r="E160" s="1">
        <v>42466</v>
      </c>
      <c r="F160" s="1">
        <v>42466</v>
      </c>
      <c r="G160">
        <v>1</v>
      </c>
      <c r="H160">
        <v>2</v>
      </c>
    </row>
    <row r="161" spans="1:8" x14ac:dyDescent="0.3">
      <c r="A161">
        <v>160</v>
      </c>
      <c r="B161">
        <v>205</v>
      </c>
      <c r="C161">
        <v>4</v>
      </c>
      <c r="D161" s="1">
        <v>42464</v>
      </c>
      <c r="E161" s="1">
        <v>42466</v>
      </c>
      <c r="F161" s="1">
        <v>42466</v>
      </c>
      <c r="G161">
        <v>2</v>
      </c>
      <c r="H161">
        <v>7</v>
      </c>
    </row>
    <row r="162" spans="1:8" x14ac:dyDescent="0.3">
      <c r="A162">
        <v>161</v>
      </c>
      <c r="B162">
        <v>251</v>
      </c>
      <c r="C162">
        <v>4</v>
      </c>
      <c r="D162" s="1">
        <v>42464</v>
      </c>
      <c r="E162" s="1">
        <v>42467</v>
      </c>
      <c r="F162" s="1">
        <v>42465</v>
      </c>
      <c r="G162">
        <v>2</v>
      </c>
      <c r="H162">
        <v>7</v>
      </c>
    </row>
    <row r="163" spans="1:8" x14ac:dyDescent="0.3">
      <c r="A163">
        <v>162</v>
      </c>
      <c r="B163">
        <v>31</v>
      </c>
      <c r="C163">
        <v>4</v>
      </c>
      <c r="D163" s="1">
        <v>42466</v>
      </c>
      <c r="E163" s="1">
        <v>42468</v>
      </c>
      <c r="F163" s="1">
        <v>42467</v>
      </c>
      <c r="G163">
        <v>1</v>
      </c>
      <c r="H163">
        <v>3</v>
      </c>
    </row>
    <row r="164" spans="1:8" x14ac:dyDescent="0.3">
      <c r="A164">
        <v>163</v>
      </c>
      <c r="B164">
        <v>1325</v>
      </c>
      <c r="C164">
        <v>4</v>
      </c>
      <c r="D164" s="1">
        <v>42466</v>
      </c>
      <c r="E164" s="1">
        <v>42467</v>
      </c>
      <c r="F164" s="1">
        <v>42467</v>
      </c>
      <c r="G164">
        <v>2</v>
      </c>
      <c r="H164">
        <v>7</v>
      </c>
    </row>
    <row r="165" spans="1:8" x14ac:dyDescent="0.3">
      <c r="A165">
        <v>164</v>
      </c>
      <c r="B165">
        <v>610</v>
      </c>
      <c r="C165">
        <v>4</v>
      </c>
      <c r="D165" s="1">
        <v>42467</v>
      </c>
      <c r="E165" s="1">
        <v>42468</v>
      </c>
      <c r="F165" s="1">
        <v>42469</v>
      </c>
      <c r="G165">
        <v>2</v>
      </c>
      <c r="H165">
        <v>7</v>
      </c>
    </row>
    <row r="166" spans="1:8" x14ac:dyDescent="0.3">
      <c r="A166">
        <v>165</v>
      </c>
      <c r="B166">
        <v>574</v>
      </c>
      <c r="C166">
        <v>4</v>
      </c>
      <c r="D166" s="1">
        <v>42468</v>
      </c>
      <c r="E166" s="1">
        <v>42470</v>
      </c>
      <c r="F166" s="1">
        <v>42470</v>
      </c>
      <c r="G166">
        <v>1</v>
      </c>
      <c r="H166">
        <v>3</v>
      </c>
    </row>
    <row r="167" spans="1:8" x14ac:dyDescent="0.3">
      <c r="A167">
        <v>166</v>
      </c>
      <c r="B167">
        <v>338</v>
      </c>
      <c r="C167">
        <v>4</v>
      </c>
      <c r="D167" s="1">
        <v>42468</v>
      </c>
      <c r="E167" s="1">
        <v>42471</v>
      </c>
      <c r="F167" s="1">
        <v>42471</v>
      </c>
      <c r="G167">
        <v>2</v>
      </c>
      <c r="H167">
        <v>6</v>
      </c>
    </row>
    <row r="168" spans="1:8" x14ac:dyDescent="0.3">
      <c r="A168">
        <v>167</v>
      </c>
      <c r="B168">
        <v>1034</v>
      </c>
      <c r="C168">
        <v>4</v>
      </c>
      <c r="D168" s="1">
        <v>42468</v>
      </c>
      <c r="E168" s="1">
        <v>42469</v>
      </c>
      <c r="F168" s="1">
        <v>42471</v>
      </c>
      <c r="G168">
        <v>2</v>
      </c>
      <c r="H168">
        <v>7</v>
      </c>
    </row>
    <row r="169" spans="1:8" x14ac:dyDescent="0.3">
      <c r="A169">
        <v>168</v>
      </c>
      <c r="B169">
        <v>1147</v>
      </c>
      <c r="C169">
        <v>4</v>
      </c>
      <c r="D169" s="1">
        <v>42469</v>
      </c>
      <c r="E169" s="1">
        <v>42472</v>
      </c>
      <c r="F169" s="1">
        <v>42471</v>
      </c>
      <c r="G169">
        <v>1</v>
      </c>
      <c r="H169">
        <v>3</v>
      </c>
    </row>
    <row r="170" spans="1:8" x14ac:dyDescent="0.3">
      <c r="A170">
        <v>169</v>
      </c>
      <c r="B170">
        <v>99</v>
      </c>
      <c r="C170">
        <v>4</v>
      </c>
      <c r="D170" s="1">
        <v>42470</v>
      </c>
      <c r="E170" s="1">
        <v>42471</v>
      </c>
      <c r="F170" s="1">
        <v>42471</v>
      </c>
      <c r="G170">
        <v>2</v>
      </c>
      <c r="H170">
        <v>7</v>
      </c>
    </row>
    <row r="171" spans="1:8" x14ac:dyDescent="0.3">
      <c r="A171">
        <v>170</v>
      </c>
      <c r="B171">
        <v>1200</v>
      </c>
      <c r="C171">
        <v>4</v>
      </c>
      <c r="D171" s="1">
        <v>42470</v>
      </c>
      <c r="E171" s="1">
        <v>42471</v>
      </c>
      <c r="F171" s="1">
        <v>42473</v>
      </c>
      <c r="G171">
        <v>2</v>
      </c>
      <c r="H171">
        <v>7</v>
      </c>
    </row>
    <row r="172" spans="1:8" x14ac:dyDescent="0.3">
      <c r="A172">
        <v>171</v>
      </c>
      <c r="B172">
        <v>237</v>
      </c>
      <c r="C172">
        <v>4</v>
      </c>
      <c r="D172" s="1">
        <v>42471</v>
      </c>
      <c r="E172" s="1">
        <v>42474</v>
      </c>
      <c r="F172" s="1">
        <v>42474</v>
      </c>
      <c r="G172">
        <v>1</v>
      </c>
      <c r="H172">
        <v>3</v>
      </c>
    </row>
    <row r="173" spans="1:8" x14ac:dyDescent="0.3">
      <c r="A173">
        <v>172</v>
      </c>
      <c r="B173">
        <v>1079</v>
      </c>
      <c r="C173">
        <v>4</v>
      </c>
      <c r="D173" s="1">
        <v>42471</v>
      </c>
      <c r="E173" s="1">
        <v>42472</v>
      </c>
      <c r="F173" s="1">
        <v>42474</v>
      </c>
      <c r="G173">
        <v>2</v>
      </c>
      <c r="H173">
        <v>7</v>
      </c>
    </row>
    <row r="174" spans="1:8" x14ac:dyDescent="0.3">
      <c r="A174">
        <v>173</v>
      </c>
      <c r="B174">
        <v>117</v>
      </c>
      <c r="C174">
        <v>4</v>
      </c>
      <c r="D174" s="1">
        <v>42471</v>
      </c>
      <c r="E174" s="1">
        <v>42474</v>
      </c>
      <c r="F174" s="1">
        <v>42473</v>
      </c>
      <c r="G174">
        <v>3</v>
      </c>
      <c r="H174">
        <v>8</v>
      </c>
    </row>
    <row r="175" spans="1:8" x14ac:dyDescent="0.3">
      <c r="A175">
        <v>174</v>
      </c>
      <c r="B175">
        <v>1361</v>
      </c>
      <c r="C175">
        <v>4</v>
      </c>
      <c r="D175" s="1">
        <v>42472</v>
      </c>
      <c r="E175" s="1">
        <v>42473</v>
      </c>
      <c r="F175" s="1">
        <v>42475</v>
      </c>
      <c r="G175">
        <v>2</v>
      </c>
      <c r="H175">
        <v>7</v>
      </c>
    </row>
    <row r="176" spans="1:8" x14ac:dyDescent="0.3">
      <c r="A176">
        <v>175</v>
      </c>
      <c r="B176">
        <v>951</v>
      </c>
      <c r="C176">
        <v>4</v>
      </c>
      <c r="D176" s="1">
        <v>42473</v>
      </c>
      <c r="E176" s="1">
        <v>42474</v>
      </c>
      <c r="F176" s="1">
        <v>42474</v>
      </c>
      <c r="G176">
        <v>2</v>
      </c>
      <c r="H176">
        <v>6</v>
      </c>
    </row>
    <row r="177" spans="1:8" x14ac:dyDescent="0.3">
      <c r="A177">
        <v>176</v>
      </c>
      <c r="B177">
        <v>643</v>
      </c>
      <c r="C177">
        <v>4</v>
      </c>
      <c r="D177" s="1">
        <v>42475</v>
      </c>
      <c r="E177" s="1">
        <v>42476</v>
      </c>
      <c r="F177" s="1">
        <v>42477</v>
      </c>
      <c r="G177">
        <v>2</v>
      </c>
      <c r="H177">
        <v>7</v>
      </c>
    </row>
    <row r="178" spans="1:8" x14ac:dyDescent="0.3">
      <c r="A178">
        <v>177</v>
      </c>
      <c r="B178">
        <v>121</v>
      </c>
      <c r="C178">
        <v>4</v>
      </c>
      <c r="D178" s="1">
        <v>42476</v>
      </c>
      <c r="E178" s="1">
        <v>42479</v>
      </c>
      <c r="F178" s="1">
        <v>42479</v>
      </c>
      <c r="G178">
        <v>1</v>
      </c>
      <c r="H178">
        <v>2</v>
      </c>
    </row>
    <row r="179" spans="1:8" x14ac:dyDescent="0.3">
      <c r="A179">
        <v>178</v>
      </c>
      <c r="B179">
        <v>756</v>
      </c>
      <c r="C179">
        <v>4</v>
      </c>
      <c r="D179" s="1">
        <v>42476</v>
      </c>
      <c r="E179" s="1">
        <v>42477</v>
      </c>
      <c r="F179" s="1">
        <v>42478</v>
      </c>
      <c r="G179">
        <v>2</v>
      </c>
      <c r="H179">
        <v>6</v>
      </c>
    </row>
    <row r="180" spans="1:8" x14ac:dyDescent="0.3">
      <c r="A180">
        <v>179</v>
      </c>
      <c r="B180">
        <v>616</v>
      </c>
      <c r="C180">
        <v>4</v>
      </c>
      <c r="D180" s="1">
        <v>42477</v>
      </c>
      <c r="E180" s="1">
        <v>42479</v>
      </c>
      <c r="F180" s="1">
        <v>42479</v>
      </c>
      <c r="G180">
        <v>2</v>
      </c>
      <c r="H180">
        <v>6</v>
      </c>
    </row>
    <row r="181" spans="1:8" x14ac:dyDescent="0.3">
      <c r="A181">
        <v>180</v>
      </c>
      <c r="B181">
        <v>918</v>
      </c>
      <c r="C181">
        <v>4</v>
      </c>
      <c r="D181" s="1">
        <v>42477</v>
      </c>
      <c r="E181" s="1">
        <v>42480</v>
      </c>
      <c r="F181" s="1">
        <v>42479</v>
      </c>
      <c r="G181">
        <v>2</v>
      </c>
      <c r="H181">
        <v>7</v>
      </c>
    </row>
    <row r="182" spans="1:8" x14ac:dyDescent="0.3">
      <c r="A182">
        <v>181</v>
      </c>
      <c r="B182">
        <v>459</v>
      </c>
      <c r="C182">
        <v>4</v>
      </c>
      <c r="D182" s="1">
        <v>42478</v>
      </c>
      <c r="E182" s="1">
        <v>42480</v>
      </c>
      <c r="F182" s="1">
        <v>42480</v>
      </c>
      <c r="G182">
        <v>1</v>
      </c>
      <c r="H182">
        <v>3</v>
      </c>
    </row>
    <row r="183" spans="1:8" x14ac:dyDescent="0.3">
      <c r="A183">
        <v>182</v>
      </c>
      <c r="B183">
        <v>854</v>
      </c>
      <c r="C183">
        <v>4</v>
      </c>
      <c r="D183" s="1">
        <v>42478</v>
      </c>
      <c r="E183" s="1">
        <v>42479</v>
      </c>
      <c r="F183" s="1">
        <v>42480</v>
      </c>
      <c r="G183">
        <v>2</v>
      </c>
      <c r="H183">
        <v>6</v>
      </c>
    </row>
    <row r="184" spans="1:8" x14ac:dyDescent="0.3">
      <c r="A184">
        <v>183</v>
      </c>
      <c r="B184">
        <v>22</v>
      </c>
      <c r="C184">
        <v>4</v>
      </c>
      <c r="D184" s="1">
        <v>42479</v>
      </c>
      <c r="E184" s="1">
        <v>42480</v>
      </c>
      <c r="F184" s="1">
        <v>42480</v>
      </c>
      <c r="G184">
        <v>2</v>
      </c>
      <c r="H184">
        <v>7</v>
      </c>
    </row>
    <row r="185" spans="1:8" x14ac:dyDescent="0.3">
      <c r="A185">
        <v>184</v>
      </c>
      <c r="B185">
        <v>134</v>
      </c>
      <c r="C185">
        <v>4</v>
      </c>
      <c r="D185" s="1">
        <v>42479</v>
      </c>
      <c r="E185" s="1">
        <v>42481</v>
      </c>
      <c r="F185" s="1">
        <v>42482</v>
      </c>
      <c r="G185">
        <v>2</v>
      </c>
      <c r="H185">
        <v>7</v>
      </c>
    </row>
    <row r="186" spans="1:8" x14ac:dyDescent="0.3">
      <c r="A186">
        <v>185</v>
      </c>
      <c r="B186">
        <v>24</v>
      </c>
      <c r="C186">
        <v>3</v>
      </c>
      <c r="D186" s="1">
        <v>42480</v>
      </c>
      <c r="E186" s="1">
        <v>42480</v>
      </c>
      <c r="F186" s="1">
        <v>42411</v>
      </c>
      <c r="G186">
        <v>1</v>
      </c>
      <c r="H186">
        <v>2</v>
      </c>
    </row>
    <row r="187" spans="1:8" x14ac:dyDescent="0.3">
      <c r="A187">
        <v>186</v>
      </c>
      <c r="B187">
        <v>1127</v>
      </c>
      <c r="C187">
        <v>4</v>
      </c>
      <c r="D187" s="1">
        <v>42481</v>
      </c>
      <c r="E187" s="1">
        <v>42482</v>
      </c>
      <c r="F187" s="1">
        <v>42484</v>
      </c>
      <c r="G187">
        <v>2</v>
      </c>
      <c r="H187">
        <v>6</v>
      </c>
    </row>
    <row r="188" spans="1:8" x14ac:dyDescent="0.3">
      <c r="A188">
        <v>187</v>
      </c>
      <c r="B188">
        <v>183</v>
      </c>
      <c r="C188">
        <v>4</v>
      </c>
      <c r="D188" s="1">
        <v>42482</v>
      </c>
      <c r="E188" s="1">
        <v>42483</v>
      </c>
      <c r="F188" s="1">
        <v>42484</v>
      </c>
      <c r="G188">
        <v>2</v>
      </c>
      <c r="H188">
        <v>6</v>
      </c>
    </row>
    <row r="189" spans="1:8" x14ac:dyDescent="0.3">
      <c r="A189">
        <v>188</v>
      </c>
      <c r="B189">
        <v>390</v>
      </c>
      <c r="C189">
        <v>4</v>
      </c>
      <c r="D189" s="1">
        <v>42482</v>
      </c>
      <c r="E189" s="1">
        <v>42483</v>
      </c>
      <c r="F189" s="1">
        <v>42485</v>
      </c>
      <c r="G189">
        <v>2</v>
      </c>
      <c r="H189">
        <v>6</v>
      </c>
    </row>
    <row r="190" spans="1:8" x14ac:dyDescent="0.3">
      <c r="A190">
        <v>189</v>
      </c>
      <c r="B190">
        <v>1288</v>
      </c>
      <c r="C190">
        <v>4</v>
      </c>
      <c r="D190" s="1">
        <v>42483</v>
      </c>
      <c r="E190" s="1">
        <v>42484</v>
      </c>
      <c r="F190" s="1">
        <v>42486</v>
      </c>
      <c r="G190">
        <v>1</v>
      </c>
      <c r="H190">
        <v>2</v>
      </c>
    </row>
    <row r="191" spans="1:8" x14ac:dyDescent="0.3">
      <c r="A191">
        <v>190</v>
      </c>
      <c r="B191">
        <v>98</v>
      </c>
      <c r="C191">
        <v>4</v>
      </c>
      <c r="D191" s="1">
        <v>42483</v>
      </c>
      <c r="E191" s="1">
        <v>42485</v>
      </c>
      <c r="F191" s="1">
        <v>42485</v>
      </c>
      <c r="G191">
        <v>2</v>
      </c>
      <c r="H191">
        <v>6</v>
      </c>
    </row>
    <row r="192" spans="1:8" x14ac:dyDescent="0.3">
      <c r="A192">
        <v>191</v>
      </c>
      <c r="B192">
        <v>919</v>
      </c>
      <c r="C192">
        <v>4</v>
      </c>
      <c r="D192" s="1">
        <v>42487</v>
      </c>
      <c r="E192" s="1">
        <v>42488</v>
      </c>
      <c r="F192" s="1">
        <v>42488</v>
      </c>
      <c r="G192">
        <v>1</v>
      </c>
      <c r="H192">
        <v>2</v>
      </c>
    </row>
    <row r="193" spans="1:8" x14ac:dyDescent="0.3">
      <c r="A193">
        <v>192</v>
      </c>
      <c r="B193">
        <v>728</v>
      </c>
      <c r="C193">
        <v>4</v>
      </c>
      <c r="D193" s="1">
        <v>42487</v>
      </c>
      <c r="E193" s="1">
        <v>42488</v>
      </c>
      <c r="F193" s="1">
        <v>42489</v>
      </c>
      <c r="G193">
        <v>2</v>
      </c>
      <c r="H193">
        <v>7</v>
      </c>
    </row>
    <row r="194" spans="1:8" x14ac:dyDescent="0.3">
      <c r="A194">
        <v>193</v>
      </c>
      <c r="B194">
        <v>1366</v>
      </c>
      <c r="C194">
        <v>4</v>
      </c>
      <c r="D194" s="1">
        <v>42488</v>
      </c>
      <c r="E194" s="1">
        <v>42490</v>
      </c>
      <c r="F194" s="1">
        <v>42490</v>
      </c>
      <c r="G194">
        <v>1</v>
      </c>
      <c r="H194">
        <v>3</v>
      </c>
    </row>
    <row r="195" spans="1:8" x14ac:dyDescent="0.3">
      <c r="A195">
        <v>194</v>
      </c>
      <c r="B195">
        <v>558</v>
      </c>
      <c r="C195">
        <v>4</v>
      </c>
      <c r="D195" s="1">
        <v>42488</v>
      </c>
      <c r="E195" s="1">
        <v>42490</v>
      </c>
      <c r="F195" s="1">
        <v>42491</v>
      </c>
      <c r="G195">
        <v>2</v>
      </c>
      <c r="H195">
        <v>7</v>
      </c>
    </row>
    <row r="196" spans="1:8" x14ac:dyDescent="0.3">
      <c r="A196">
        <v>195</v>
      </c>
      <c r="B196">
        <v>727</v>
      </c>
      <c r="C196">
        <v>4</v>
      </c>
      <c r="D196" s="1">
        <v>42488</v>
      </c>
      <c r="E196" s="1">
        <v>42491</v>
      </c>
      <c r="F196" s="1">
        <v>42491</v>
      </c>
      <c r="G196">
        <v>2</v>
      </c>
      <c r="H196">
        <v>7</v>
      </c>
    </row>
    <row r="197" spans="1:8" x14ac:dyDescent="0.3">
      <c r="A197">
        <v>196</v>
      </c>
      <c r="B197">
        <v>1247</v>
      </c>
      <c r="C197">
        <v>4</v>
      </c>
      <c r="D197" s="1">
        <v>42488</v>
      </c>
      <c r="E197" s="1">
        <v>42490</v>
      </c>
      <c r="F197" s="1">
        <v>42491</v>
      </c>
      <c r="G197">
        <v>2</v>
      </c>
      <c r="H197">
        <v>6</v>
      </c>
    </row>
    <row r="198" spans="1:8" x14ac:dyDescent="0.3">
      <c r="A198">
        <v>197</v>
      </c>
      <c r="B198">
        <v>127</v>
      </c>
      <c r="C198">
        <v>4</v>
      </c>
      <c r="D198" s="1">
        <v>42490</v>
      </c>
      <c r="E198" s="1">
        <v>42493</v>
      </c>
      <c r="F198" s="1">
        <v>42493</v>
      </c>
      <c r="G198">
        <v>2</v>
      </c>
      <c r="H198">
        <v>7</v>
      </c>
    </row>
    <row r="199" spans="1:8" x14ac:dyDescent="0.3">
      <c r="A199">
        <v>198</v>
      </c>
      <c r="B199">
        <v>640</v>
      </c>
      <c r="C199">
        <v>4</v>
      </c>
      <c r="D199" s="1">
        <v>42491</v>
      </c>
      <c r="E199" s="1">
        <v>42494</v>
      </c>
      <c r="F199" s="1">
        <v>42493</v>
      </c>
      <c r="G199">
        <v>2</v>
      </c>
      <c r="H199">
        <v>6</v>
      </c>
    </row>
    <row r="200" spans="1:8" x14ac:dyDescent="0.3">
      <c r="A200">
        <v>199</v>
      </c>
      <c r="B200">
        <v>760</v>
      </c>
      <c r="C200">
        <v>4</v>
      </c>
      <c r="D200" s="1">
        <v>42491</v>
      </c>
      <c r="E200" s="1">
        <v>42494</v>
      </c>
      <c r="F200" s="1">
        <v>42494</v>
      </c>
      <c r="G200">
        <v>2</v>
      </c>
      <c r="H200">
        <v>7</v>
      </c>
    </row>
    <row r="201" spans="1:8" x14ac:dyDescent="0.3">
      <c r="A201">
        <v>200</v>
      </c>
      <c r="B201">
        <v>1074</v>
      </c>
      <c r="C201">
        <v>4</v>
      </c>
      <c r="D201" s="1">
        <v>42491</v>
      </c>
      <c r="E201" s="1">
        <v>42493</v>
      </c>
      <c r="F201" s="1">
        <v>42493</v>
      </c>
      <c r="G201">
        <v>2</v>
      </c>
      <c r="H201">
        <v>6</v>
      </c>
    </row>
    <row r="202" spans="1:8" x14ac:dyDescent="0.3">
      <c r="A202">
        <v>201</v>
      </c>
      <c r="B202">
        <v>280</v>
      </c>
      <c r="C202">
        <v>4</v>
      </c>
      <c r="D202" s="1">
        <v>42491</v>
      </c>
      <c r="E202" s="1">
        <v>42494</v>
      </c>
      <c r="F202" s="1">
        <v>42492</v>
      </c>
      <c r="G202">
        <v>3</v>
      </c>
      <c r="H202">
        <v>9</v>
      </c>
    </row>
    <row r="203" spans="1:8" x14ac:dyDescent="0.3">
      <c r="A203">
        <v>202</v>
      </c>
      <c r="B203">
        <v>600</v>
      </c>
      <c r="C203">
        <v>4</v>
      </c>
      <c r="D203" s="1">
        <v>42493</v>
      </c>
      <c r="E203" s="1">
        <v>42495</v>
      </c>
      <c r="F203" s="1">
        <v>42494</v>
      </c>
      <c r="G203">
        <v>1</v>
      </c>
      <c r="H203">
        <v>2</v>
      </c>
    </row>
    <row r="204" spans="1:8" x14ac:dyDescent="0.3">
      <c r="A204">
        <v>203</v>
      </c>
      <c r="B204">
        <v>1102</v>
      </c>
      <c r="C204">
        <v>4</v>
      </c>
      <c r="D204" s="1">
        <v>42493</v>
      </c>
      <c r="E204" s="1">
        <v>42495</v>
      </c>
      <c r="F204" s="1">
        <v>42496</v>
      </c>
      <c r="G204">
        <v>3</v>
      </c>
      <c r="H204">
        <v>9</v>
      </c>
    </row>
    <row r="205" spans="1:8" x14ac:dyDescent="0.3">
      <c r="A205">
        <v>204</v>
      </c>
      <c r="B205">
        <v>591</v>
      </c>
      <c r="C205">
        <v>4</v>
      </c>
      <c r="D205" s="1">
        <v>42494</v>
      </c>
      <c r="E205" s="1">
        <v>42497</v>
      </c>
      <c r="F205" s="1">
        <v>42496</v>
      </c>
      <c r="G205">
        <v>2</v>
      </c>
      <c r="H205">
        <v>7</v>
      </c>
    </row>
    <row r="206" spans="1:8" x14ac:dyDescent="0.3">
      <c r="A206">
        <v>205</v>
      </c>
      <c r="B206">
        <v>635</v>
      </c>
      <c r="C206">
        <v>4</v>
      </c>
      <c r="D206" s="1">
        <v>42494</v>
      </c>
      <c r="E206" s="1">
        <v>42495</v>
      </c>
      <c r="F206" s="1">
        <v>42496</v>
      </c>
      <c r="G206">
        <v>2</v>
      </c>
      <c r="H206">
        <v>6</v>
      </c>
    </row>
    <row r="207" spans="1:8" x14ac:dyDescent="0.3">
      <c r="A207">
        <v>206</v>
      </c>
      <c r="B207">
        <v>743</v>
      </c>
      <c r="C207">
        <v>4</v>
      </c>
      <c r="D207" s="1">
        <v>42494</v>
      </c>
      <c r="E207" s="1">
        <v>42496</v>
      </c>
      <c r="F207" s="1">
        <v>42495</v>
      </c>
      <c r="G207">
        <v>3</v>
      </c>
      <c r="H207">
        <v>9</v>
      </c>
    </row>
    <row r="208" spans="1:8" x14ac:dyDescent="0.3">
      <c r="A208">
        <v>207</v>
      </c>
      <c r="B208">
        <v>105</v>
      </c>
      <c r="C208">
        <v>4</v>
      </c>
      <c r="D208" s="1">
        <v>42495</v>
      </c>
      <c r="E208" s="1">
        <v>42497</v>
      </c>
      <c r="F208" s="1">
        <v>42497</v>
      </c>
      <c r="G208">
        <v>2</v>
      </c>
      <c r="H208">
        <v>7</v>
      </c>
    </row>
    <row r="209" spans="1:8" x14ac:dyDescent="0.3">
      <c r="A209">
        <v>208</v>
      </c>
      <c r="B209">
        <v>815</v>
      </c>
      <c r="C209">
        <v>4</v>
      </c>
      <c r="D209" s="1">
        <v>42496</v>
      </c>
      <c r="E209" s="1">
        <v>42497</v>
      </c>
      <c r="F209" s="1">
        <v>42499</v>
      </c>
      <c r="G209">
        <v>2</v>
      </c>
      <c r="H209">
        <v>7</v>
      </c>
    </row>
    <row r="210" spans="1:8" x14ac:dyDescent="0.3">
      <c r="A210">
        <v>209</v>
      </c>
      <c r="B210">
        <v>514</v>
      </c>
      <c r="C210">
        <v>4</v>
      </c>
      <c r="D210" s="1">
        <v>42497</v>
      </c>
      <c r="E210" s="1">
        <v>42498</v>
      </c>
      <c r="F210" s="1">
        <v>42498</v>
      </c>
      <c r="G210">
        <v>2</v>
      </c>
      <c r="H210">
        <v>6</v>
      </c>
    </row>
    <row r="211" spans="1:8" x14ac:dyDescent="0.3">
      <c r="A211">
        <v>210</v>
      </c>
      <c r="B211">
        <v>943</v>
      </c>
      <c r="C211">
        <v>4</v>
      </c>
      <c r="D211" s="1">
        <v>42497</v>
      </c>
      <c r="E211" s="1">
        <v>42498</v>
      </c>
      <c r="F211" s="1">
        <v>42499</v>
      </c>
      <c r="G211">
        <v>2</v>
      </c>
      <c r="H211">
        <v>6</v>
      </c>
    </row>
    <row r="212" spans="1:8" x14ac:dyDescent="0.3">
      <c r="A212">
        <v>211</v>
      </c>
      <c r="B212">
        <v>1140</v>
      </c>
      <c r="C212">
        <v>4</v>
      </c>
      <c r="D212" s="1">
        <v>42497</v>
      </c>
      <c r="E212" s="1">
        <v>42499</v>
      </c>
      <c r="F212" s="1">
        <v>42498</v>
      </c>
      <c r="G212">
        <v>2</v>
      </c>
      <c r="H212">
        <v>6</v>
      </c>
    </row>
    <row r="213" spans="1:8" x14ac:dyDescent="0.3">
      <c r="A213">
        <v>212</v>
      </c>
      <c r="B213">
        <v>1373</v>
      </c>
      <c r="C213">
        <v>4</v>
      </c>
      <c r="D213" s="1">
        <v>42498</v>
      </c>
      <c r="E213" s="1">
        <v>42499</v>
      </c>
      <c r="F213" s="1">
        <v>42501</v>
      </c>
      <c r="G213">
        <v>2</v>
      </c>
      <c r="H213">
        <v>6</v>
      </c>
    </row>
    <row r="214" spans="1:8" x14ac:dyDescent="0.3">
      <c r="A214">
        <v>213</v>
      </c>
      <c r="B214">
        <v>788</v>
      </c>
      <c r="C214">
        <v>4</v>
      </c>
      <c r="D214" s="1">
        <v>42498</v>
      </c>
      <c r="E214" s="1">
        <v>42499</v>
      </c>
      <c r="F214" s="1">
        <v>42499</v>
      </c>
      <c r="G214">
        <v>3</v>
      </c>
      <c r="H214">
        <v>8</v>
      </c>
    </row>
    <row r="215" spans="1:8" x14ac:dyDescent="0.3">
      <c r="A215">
        <v>214</v>
      </c>
      <c r="B215">
        <v>363</v>
      </c>
      <c r="C215">
        <v>4</v>
      </c>
      <c r="D215" s="1">
        <v>42500</v>
      </c>
      <c r="E215" s="1">
        <v>42502</v>
      </c>
      <c r="F215" s="1">
        <v>42501</v>
      </c>
      <c r="G215">
        <v>2</v>
      </c>
      <c r="H215">
        <v>6</v>
      </c>
    </row>
    <row r="216" spans="1:8" x14ac:dyDescent="0.3">
      <c r="A216">
        <v>215</v>
      </c>
      <c r="B216">
        <v>1420</v>
      </c>
      <c r="C216">
        <v>4</v>
      </c>
      <c r="D216" s="1">
        <v>42500</v>
      </c>
      <c r="E216" s="1">
        <v>42503</v>
      </c>
      <c r="F216" s="1">
        <v>42502</v>
      </c>
      <c r="G216">
        <v>2</v>
      </c>
      <c r="H216">
        <v>7</v>
      </c>
    </row>
    <row r="217" spans="1:8" x14ac:dyDescent="0.3">
      <c r="A217">
        <v>216</v>
      </c>
      <c r="B217">
        <v>267</v>
      </c>
      <c r="C217">
        <v>4</v>
      </c>
      <c r="D217" s="1">
        <v>42501</v>
      </c>
      <c r="E217" s="1">
        <v>42504</v>
      </c>
      <c r="F217" s="1">
        <v>42503</v>
      </c>
      <c r="G217">
        <v>1</v>
      </c>
      <c r="H217">
        <v>3</v>
      </c>
    </row>
    <row r="218" spans="1:8" x14ac:dyDescent="0.3">
      <c r="A218">
        <v>217</v>
      </c>
      <c r="B218">
        <v>716</v>
      </c>
      <c r="C218">
        <v>4</v>
      </c>
      <c r="D218" s="1">
        <v>42501</v>
      </c>
      <c r="E218" s="1">
        <v>42502</v>
      </c>
      <c r="F218" s="1">
        <v>42504</v>
      </c>
      <c r="G218">
        <v>2</v>
      </c>
      <c r="H218">
        <v>7</v>
      </c>
    </row>
    <row r="219" spans="1:8" x14ac:dyDescent="0.3">
      <c r="A219">
        <v>218</v>
      </c>
      <c r="B219">
        <v>1179</v>
      </c>
      <c r="C219">
        <v>4</v>
      </c>
      <c r="D219" s="1">
        <v>42502</v>
      </c>
      <c r="E219" s="1">
        <v>42504</v>
      </c>
      <c r="F219" s="1">
        <v>42504</v>
      </c>
      <c r="G219">
        <v>2</v>
      </c>
      <c r="H219">
        <v>7</v>
      </c>
    </row>
    <row r="220" spans="1:8" x14ac:dyDescent="0.3">
      <c r="A220">
        <v>219</v>
      </c>
      <c r="B220">
        <v>1338</v>
      </c>
      <c r="C220">
        <v>4</v>
      </c>
      <c r="D220" s="1">
        <v>42502</v>
      </c>
      <c r="E220" s="1">
        <v>42505</v>
      </c>
      <c r="F220" s="1">
        <v>42505</v>
      </c>
      <c r="G220">
        <v>2</v>
      </c>
      <c r="H220">
        <v>6</v>
      </c>
    </row>
    <row r="221" spans="1:8" x14ac:dyDescent="0.3">
      <c r="A221">
        <v>220</v>
      </c>
      <c r="B221">
        <v>1358</v>
      </c>
      <c r="C221">
        <v>4</v>
      </c>
      <c r="D221" s="1">
        <v>42502</v>
      </c>
      <c r="E221" s="1">
        <v>42504</v>
      </c>
      <c r="F221" s="1">
        <v>42505</v>
      </c>
      <c r="G221">
        <v>2</v>
      </c>
      <c r="H221">
        <v>6</v>
      </c>
    </row>
    <row r="222" spans="1:8" x14ac:dyDescent="0.3">
      <c r="A222">
        <v>221</v>
      </c>
      <c r="B222">
        <v>1218</v>
      </c>
      <c r="C222">
        <v>4</v>
      </c>
      <c r="D222" s="1">
        <v>42503</v>
      </c>
      <c r="E222" s="1">
        <v>42506</v>
      </c>
      <c r="F222" s="1">
        <v>42504</v>
      </c>
      <c r="G222">
        <v>1</v>
      </c>
      <c r="H222">
        <v>2</v>
      </c>
    </row>
    <row r="223" spans="1:8" x14ac:dyDescent="0.3">
      <c r="A223">
        <v>222</v>
      </c>
      <c r="B223">
        <v>51</v>
      </c>
      <c r="C223">
        <v>4</v>
      </c>
      <c r="D223" s="1">
        <v>42503</v>
      </c>
      <c r="E223" s="1">
        <v>42506</v>
      </c>
      <c r="F223" s="1">
        <v>42504</v>
      </c>
      <c r="G223">
        <v>2</v>
      </c>
      <c r="H223">
        <v>6</v>
      </c>
    </row>
    <row r="224" spans="1:8" x14ac:dyDescent="0.3">
      <c r="A224">
        <v>223</v>
      </c>
      <c r="B224">
        <v>1368</v>
      </c>
      <c r="C224">
        <v>4</v>
      </c>
      <c r="D224" s="1">
        <v>42505</v>
      </c>
      <c r="E224" s="1">
        <v>42506</v>
      </c>
      <c r="F224" s="1">
        <v>42507</v>
      </c>
      <c r="G224">
        <v>2</v>
      </c>
      <c r="H224">
        <v>7</v>
      </c>
    </row>
    <row r="225" spans="1:8" x14ac:dyDescent="0.3">
      <c r="A225">
        <v>224</v>
      </c>
      <c r="B225">
        <v>157</v>
      </c>
      <c r="C225">
        <v>4</v>
      </c>
      <c r="D225" s="1">
        <v>42507</v>
      </c>
      <c r="E225" s="1">
        <v>42508</v>
      </c>
      <c r="F225" s="1">
        <v>42509</v>
      </c>
      <c r="G225">
        <v>1</v>
      </c>
      <c r="H225">
        <v>3</v>
      </c>
    </row>
    <row r="226" spans="1:8" x14ac:dyDescent="0.3">
      <c r="A226">
        <v>225</v>
      </c>
      <c r="B226">
        <v>307</v>
      </c>
      <c r="C226">
        <v>4</v>
      </c>
      <c r="D226" s="1">
        <v>42507</v>
      </c>
      <c r="E226" s="1">
        <v>42510</v>
      </c>
      <c r="F226" s="1">
        <v>42509</v>
      </c>
      <c r="G226">
        <v>1</v>
      </c>
      <c r="H226">
        <v>3</v>
      </c>
    </row>
    <row r="227" spans="1:8" x14ac:dyDescent="0.3">
      <c r="A227">
        <v>226</v>
      </c>
      <c r="B227">
        <v>501</v>
      </c>
      <c r="C227">
        <v>4</v>
      </c>
      <c r="D227" s="1">
        <v>42507</v>
      </c>
      <c r="E227" s="1">
        <v>42509</v>
      </c>
      <c r="F227" s="1">
        <v>42510</v>
      </c>
      <c r="G227">
        <v>1</v>
      </c>
      <c r="H227">
        <v>2</v>
      </c>
    </row>
    <row r="228" spans="1:8" x14ac:dyDescent="0.3">
      <c r="A228">
        <v>227</v>
      </c>
      <c r="B228">
        <v>489</v>
      </c>
      <c r="C228">
        <v>4</v>
      </c>
      <c r="D228" s="1">
        <v>42507</v>
      </c>
      <c r="E228" s="1">
        <v>42508</v>
      </c>
      <c r="F228" s="1">
        <v>42510</v>
      </c>
      <c r="G228">
        <v>2</v>
      </c>
      <c r="H228">
        <v>7</v>
      </c>
    </row>
    <row r="229" spans="1:8" x14ac:dyDescent="0.3">
      <c r="A229">
        <v>228</v>
      </c>
      <c r="B229">
        <v>615</v>
      </c>
      <c r="C229">
        <v>4</v>
      </c>
      <c r="D229" s="1">
        <v>42507</v>
      </c>
      <c r="E229" s="1">
        <v>42510</v>
      </c>
      <c r="F229" s="1">
        <v>42510</v>
      </c>
      <c r="G229">
        <v>2</v>
      </c>
      <c r="H229">
        <v>7</v>
      </c>
    </row>
    <row r="230" spans="1:8" x14ac:dyDescent="0.3">
      <c r="A230">
        <v>229</v>
      </c>
      <c r="B230">
        <v>742</v>
      </c>
      <c r="C230">
        <v>4</v>
      </c>
      <c r="D230" s="1">
        <v>42509</v>
      </c>
      <c r="E230" s="1">
        <v>42511</v>
      </c>
      <c r="F230" s="1">
        <v>42510</v>
      </c>
      <c r="G230">
        <v>2</v>
      </c>
      <c r="H230">
        <v>6</v>
      </c>
    </row>
    <row r="231" spans="1:8" x14ac:dyDescent="0.3">
      <c r="A231">
        <v>230</v>
      </c>
      <c r="B231">
        <v>1167</v>
      </c>
      <c r="C231">
        <v>4</v>
      </c>
      <c r="D231" s="1">
        <v>42509</v>
      </c>
      <c r="E231" s="1">
        <v>42510</v>
      </c>
      <c r="F231" s="1">
        <v>42511</v>
      </c>
      <c r="G231">
        <v>2</v>
      </c>
      <c r="H231">
        <v>6</v>
      </c>
    </row>
    <row r="232" spans="1:8" x14ac:dyDescent="0.3">
      <c r="A232">
        <v>231</v>
      </c>
      <c r="B232">
        <v>1257</v>
      </c>
      <c r="C232">
        <v>4</v>
      </c>
      <c r="D232" s="1">
        <v>42509</v>
      </c>
      <c r="E232" s="1">
        <v>42512</v>
      </c>
      <c r="F232" s="1">
        <v>42511</v>
      </c>
      <c r="G232">
        <v>2</v>
      </c>
      <c r="H232">
        <v>6</v>
      </c>
    </row>
    <row r="233" spans="1:8" x14ac:dyDescent="0.3">
      <c r="A233">
        <v>232</v>
      </c>
      <c r="B233">
        <v>1360</v>
      </c>
      <c r="C233">
        <v>4</v>
      </c>
      <c r="D233" s="1">
        <v>42510</v>
      </c>
      <c r="E233" s="1">
        <v>42513</v>
      </c>
      <c r="F233" s="1">
        <v>42513</v>
      </c>
      <c r="G233">
        <v>1</v>
      </c>
      <c r="H233">
        <v>3</v>
      </c>
    </row>
    <row r="234" spans="1:8" x14ac:dyDescent="0.3">
      <c r="A234">
        <v>233</v>
      </c>
      <c r="B234">
        <v>737</v>
      </c>
      <c r="C234">
        <v>4</v>
      </c>
      <c r="D234" s="1">
        <v>42511</v>
      </c>
      <c r="E234" s="1">
        <v>42512</v>
      </c>
      <c r="F234" s="1">
        <v>42514</v>
      </c>
      <c r="G234">
        <v>2</v>
      </c>
      <c r="H234">
        <v>6</v>
      </c>
    </row>
    <row r="235" spans="1:8" x14ac:dyDescent="0.3">
      <c r="A235">
        <v>234</v>
      </c>
      <c r="B235">
        <v>1435</v>
      </c>
      <c r="C235">
        <v>4</v>
      </c>
      <c r="D235" s="1">
        <v>42512</v>
      </c>
      <c r="E235" s="1">
        <v>42514</v>
      </c>
      <c r="F235" s="1">
        <v>42514</v>
      </c>
      <c r="G235">
        <v>2</v>
      </c>
      <c r="H235">
        <v>6</v>
      </c>
    </row>
    <row r="236" spans="1:8" x14ac:dyDescent="0.3">
      <c r="A236">
        <v>235</v>
      </c>
      <c r="B236">
        <v>649</v>
      </c>
      <c r="C236">
        <v>4</v>
      </c>
      <c r="D236" s="1">
        <v>42514</v>
      </c>
      <c r="E236" s="1">
        <v>42515</v>
      </c>
      <c r="F236" s="1">
        <v>42515</v>
      </c>
      <c r="G236">
        <v>2</v>
      </c>
      <c r="H236">
        <v>6</v>
      </c>
    </row>
    <row r="237" spans="1:8" x14ac:dyDescent="0.3">
      <c r="A237">
        <v>236</v>
      </c>
      <c r="B237">
        <v>206</v>
      </c>
      <c r="C237">
        <v>4</v>
      </c>
      <c r="D237" s="1">
        <v>42515</v>
      </c>
      <c r="E237" s="1">
        <v>42517</v>
      </c>
      <c r="F237" s="1">
        <v>42516</v>
      </c>
      <c r="G237">
        <v>2</v>
      </c>
      <c r="H237">
        <v>6</v>
      </c>
    </row>
    <row r="238" spans="1:8" x14ac:dyDescent="0.3">
      <c r="A238">
        <v>237</v>
      </c>
      <c r="B238">
        <v>1351</v>
      </c>
      <c r="C238">
        <v>4</v>
      </c>
      <c r="D238" s="1">
        <v>42515</v>
      </c>
      <c r="E238" s="1">
        <v>42516</v>
      </c>
      <c r="F238" s="1">
        <v>42517</v>
      </c>
      <c r="G238">
        <v>2</v>
      </c>
      <c r="H238">
        <v>7</v>
      </c>
    </row>
    <row r="239" spans="1:8" x14ac:dyDescent="0.3">
      <c r="A239">
        <v>238</v>
      </c>
      <c r="B239">
        <v>1350</v>
      </c>
      <c r="C239">
        <v>4</v>
      </c>
      <c r="D239" s="1">
        <v>42516</v>
      </c>
      <c r="E239" s="1">
        <v>42519</v>
      </c>
      <c r="F239" s="1">
        <v>42519</v>
      </c>
      <c r="G239">
        <v>2</v>
      </c>
      <c r="H239">
        <v>6</v>
      </c>
    </row>
    <row r="240" spans="1:8" x14ac:dyDescent="0.3">
      <c r="A240">
        <v>239</v>
      </c>
      <c r="B240">
        <v>13</v>
      </c>
      <c r="C240">
        <v>3</v>
      </c>
      <c r="D240" s="1">
        <v>42517</v>
      </c>
      <c r="E240" s="1">
        <v>42517</v>
      </c>
      <c r="F240" s="1">
        <v>42411</v>
      </c>
      <c r="G240">
        <v>3</v>
      </c>
      <c r="H240">
        <v>9</v>
      </c>
    </row>
    <row r="241" spans="1:8" x14ac:dyDescent="0.3">
      <c r="A241">
        <v>240</v>
      </c>
      <c r="B241">
        <v>65</v>
      </c>
      <c r="C241">
        <v>4</v>
      </c>
      <c r="D241" s="1">
        <v>42517</v>
      </c>
      <c r="E241" s="1">
        <v>42519</v>
      </c>
      <c r="F241" s="1">
        <v>42520</v>
      </c>
      <c r="G241">
        <v>2</v>
      </c>
      <c r="H241">
        <v>6</v>
      </c>
    </row>
    <row r="242" spans="1:8" x14ac:dyDescent="0.3">
      <c r="A242">
        <v>241</v>
      </c>
      <c r="B242">
        <v>1082</v>
      </c>
      <c r="C242">
        <v>4</v>
      </c>
      <c r="D242" s="1">
        <v>42517</v>
      </c>
      <c r="E242" s="1">
        <v>42519</v>
      </c>
      <c r="F242" s="1">
        <v>42519</v>
      </c>
      <c r="G242">
        <v>2</v>
      </c>
      <c r="H242">
        <v>7</v>
      </c>
    </row>
    <row r="243" spans="1:8" x14ac:dyDescent="0.3">
      <c r="A243">
        <v>242</v>
      </c>
      <c r="B243">
        <v>1168</v>
      </c>
      <c r="C243">
        <v>4</v>
      </c>
      <c r="D243" s="1">
        <v>42517</v>
      </c>
      <c r="E243" s="1">
        <v>42520</v>
      </c>
      <c r="F243" s="1">
        <v>42520</v>
      </c>
      <c r="G243">
        <v>2</v>
      </c>
      <c r="H243">
        <v>7</v>
      </c>
    </row>
    <row r="244" spans="1:8" x14ac:dyDescent="0.3">
      <c r="A244">
        <v>243</v>
      </c>
      <c r="B244">
        <v>802</v>
      </c>
      <c r="C244">
        <v>4</v>
      </c>
      <c r="D244" s="1">
        <v>42517</v>
      </c>
      <c r="E244" s="1">
        <v>42520</v>
      </c>
      <c r="F244" s="1">
        <v>42518</v>
      </c>
      <c r="G244">
        <v>3</v>
      </c>
      <c r="H244">
        <v>8</v>
      </c>
    </row>
    <row r="245" spans="1:8" x14ac:dyDescent="0.3">
      <c r="A245">
        <v>244</v>
      </c>
      <c r="B245">
        <v>956</v>
      </c>
      <c r="C245">
        <v>4</v>
      </c>
      <c r="D245" s="1">
        <v>42518</v>
      </c>
      <c r="E245" s="1">
        <v>42519</v>
      </c>
      <c r="F245" s="1">
        <v>42519</v>
      </c>
      <c r="G245">
        <v>2</v>
      </c>
      <c r="H245">
        <v>6</v>
      </c>
    </row>
    <row r="246" spans="1:8" x14ac:dyDescent="0.3">
      <c r="A246">
        <v>245</v>
      </c>
      <c r="B246">
        <v>223</v>
      </c>
      <c r="C246">
        <v>4</v>
      </c>
      <c r="D246" s="1">
        <v>42519</v>
      </c>
      <c r="E246" s="1">
        <v>42521</v>
      </c>
      <c r="F246" s="1">
        <v>42520</v>
      </c>
      <c r="G246">
        <v>2</v>
      </c>
      <c r="H246">
        <v>7</v>
      </c>
    </row>
    <row r="247" spans="1:8" x14ac:dyDescent="0.3">
      <c r="A247">
        <v>246</v>
      </c>
      <c r="B247">
        <v>17</v>
      </c>
      <c r="C247">
        <v>3</v>
      </c>
      <c r="D247" s="1">
        <v>42520</v>
      </c>
      <c r="E247" s="1">
        <v>42520</v>
      </c>
      <c r="F247" s="1">
        <v>42411</v>
      </c>
      <c r="G247">
        <v>2</v>
      </c>
      <c r="H247">
        <v>6</v>
      </c>
    </row>
    <row r="248" spans="1:8" x14ac:dyDescent="0.3">
      <c r="A248">
        <v>247</v>
      </c>
      <c r="B248">
        <v>928</v>
      </c>
      <c r="C248">
        <v>4</v>
      </c>
      <c r="D248" s="1">
        <v>42520</v>
      </c>
      <c r="E248" s="1">
        <v>42522</v>
      </c>
      <c r="F248" s="1">
        <v>42522</v>
      </c>
      <c r="G248">
        <v>1</v>
      </c>
      <c r="H248">
        <v>3</v>
      </c>
    </row>
    <row r="249" spans="1:8" x14ac:dyDescent="0.3">
      <c r="A249">
        <v>248</v>
      </c>
      <c r="B249">
        <v>1376</v>
      </c>
      <c r="C249">
        <v>4</v>
      </c>
      <c r="D249" s="1">
        <v>42520</v>
      </c>
      <c r="E249" s="1">
        <v>42522</v>
      </c>
      <c r="F249" s="1">
        <v>42521</v>
      </c>
      <c r="G249">
        <v>2</v>
      </c>
      <c r="H249">
        <v>7</v>
      </c>
    </row>
    <row r="250" spans="1:8" x14ac:dyDescent="0.3">
      <c r="A250">
        <v>249</v>
      </c>
      <c r="B250">
        <v>145</v>
      </c>
      <c r="C250">
        <v>4</v>
      </c>
      <c r="D250" s="1">
        <v>42522</v>
      </c>
      <c r="E250" s="1">
        <v>42525</v>
      </c>
      <c r="F250" s="1">
        <v>42525</v>
      </c>
      <c r="G250">
        <v>2</v>
      </c>
      <c r="H250">
        <v>6</v>
      </c>
    </row>
    <row r="251" spans="1:8" x14ac:dyDescent="0.3">
      <c r="A251">
        <v>250</v>
      </c>
      <c r="B251">
        <v>150</v>
      </c>
      <c r="C251">
        <v>4</v>
      </c>
      <c r="D251" s="1">
        <v>42522</v>
      </c>
      <c r="E251" s="1">
        <v>42523</v>
      </c>
      <c r="F251" s="1">
        <v>42525</v>
      </c>
      <c r="G251">
        <v>2</v>
      </c>
      <c r="H251">
        <v>7</v>
      </c>
    </row>
    <row r="252" spans="1:8" x14ac:dyDescent="0.3">
      <c r="A252">
        <v>251</v>
      </c>
      <c r="B252">
        <v>851</v>
      </c>
      <c r="C252">
        <v>4</v>
      </c>
      <c r="D252" s="1">
        <v>42522</v>
      </c>
      <c r="E252" s="1">
        <v>42525</v>
      </c>
      <c r="F252" s="1">
        <v>42525</v>
      </c>
      <c r="G252">
        <v>2</v>
      </c>
      <c r="H252">
        <v>7</v>
      </c>
    </row>
    <row r="253" spans="1:8" x14ac:dyDescent="0.3">
      <c r="A253">
        <v>252</v>
      </c>
      <c r="B253">
        <v>66</v>
      </c>
      <c r="C253">
        <v>4</v>
      </c>
      <c r="D253" s="1">
        <v>42522</v>
      </c>
      <c r="E253" s="1">
        <v>42525</v>
      </c>
      <c r="F253" s="1">
        <v>42523</v>
      </c>
      <c r="G253">
        <v>3</v>
      </c>
      <c r="H253">
        <v>8</v>
      </c>
    </row>
    <row r="254" spans="1:8" x14ac:dyDescent="0.3">
      <c r="A254">
        <v>253</v>
      </c>
      <c r="B254">
        <v>1267</v>
      </c>
      <c r="C254">
        <v>4</v>
      </c>
      <c r="D254" s="1">
        <v>42523</v>
      </c>
      <c r="E254" s="1">
        <v>42526</v>
      </c>
      <c r="F254" s="1">
        <v>42526</v>
      </c>
      <c r="G254">
        <v>2</v>
      </c>
      <c r="H254">
        <v>6</v>
      </c>
    </row>
    <row r="255" spans="1:8" x14ac:dyDescent="0.3">
      <c r="A255">
        <v>254</v>
      </c>
      <c r="B255">
        <v>510</v>
      </c>
      <c r="C255">
        <v>4</v>
      </c>
      <c r="D255" s="1">
        <v>42524</v>
      </c>
      <c r="E255" s="1">
        <v>42527</v>
      </c>
      <c r="F255" s="1">
        <v>42526</v>
      </c>
      <c r="G255">
        <v>2</v>
      </c>
      <c r="H255">
        <v>7</v>
      </c>
    </row>
    <row r="256" spans="1:8" x14ac:dyDescent="0.3">
      <c r="A256">
        <v>255</v>
      </c>
      <c r="B256">
        <v>801</v>
      </c>
      <c r="C256">
        <v>4</v>
      </c>
      <c r="D256" s="1">
        <v>42524</v>
      </c>
      <c r="E256" s="1">
        <v>42527</v>
      </c>
      <c r="F256" s="1">
        <v>42526</v>
      </c>
      <c r="G256">
        <v>2</v>
      </c>
      <c r="H256">
        <v>7</v>
      </c>
    </row>
    <row r="257" spans="1:8" x14ac:dyDescent="0.3">
      <c r="A257">
        <v>256</v>
      </c>
      <c r="B257">
        <v>26</v>
      </c>
      <c r="C257">
        <v>4</v>
      </c>
      <c r="D257" s="1">
        <v>42525</v>
      </c>
      <c r="E257" s="1">
        <v>42526</v>
      </c>
      <c r="F257" s="1">
        <v>42528</v>
      </c>
      <c r="G257">
        <v>2</v>
      </c>
      <c r="H257">
        <v>7</v>
      </c>
    </row>
    <row r="258" spans="1:8" x14ac:dyDescent="0.3">
      <c r="A258">
        <v>257</v>
      </c>
      <c r="B258">
        <v>1314</v>
      </c>
      <c r="C258">
        <v>4</v>
      </c>
      <c r="D258" s="1">
        <v>42526</v>
      </c>
      <c r="E258" s="1">
        <v>42527</v>
      </c>
      <c r="F258" s="1">
        <v>42529</v>
      </c>
      <c r="G258">
        <v>1</v>
      </c>
      <c r="H258">
        <v>3</v>
      </c>
    </row>
    <row r="259" spans="1:8" x14ac:dyDescent="0.3">
      <c r="A259">
        <v>258</v>
      </c>
      <c r="B259">
        <v>107</v>
      </c>
      <c r="C259">
        <v>4</v>
      </c>
      <c r="D259" s="1">
        <v>42527</v>
      </c>
      <c r="E259" s="1">
        <v>42528</v>
      </c>
      <c r="F259" s="1">
        <v>42528</v>
      </c>
      <c r="G259">
        <v>2</v>
      </c>
      <c r="H259">
        <v>7</v>
      </c>
    </row>
    <row r="260" spans="1:8" x14ac:dyDescent="0.3">
      <c r="A260">
        <v>259</v>
      </c>
      <c r="B260">
        <v>413</v>
      </c>
      <c r="C260">
        <v>4</v>
      </c>
      <c r="D260" s="1">
        <v>42527</v>
      </c>
      <c r="E260" s="1">
        <v>42530</v>
      </c>
      <c r="F260" s="1">
        <v>42530</v>
      </c>
      <c r="G260">
        <v>2</v>
      </c>
      <c r="H260">
        <v>7</v>
      </c>
    </row>
    <row r="261" spans="1:8" x14ac:dyDescent="0.3">
      <c r="A261">
        <v>260</v>
      </c>
      <c r="B261">
        <v>632</v>
      </c>
      <c r="C261">
        <v>4</v>
      </c>
      <c r="D261" s="1">
        <v>42527</v>
      </c>
      <c r="E261" s="1">
        <v>42529</v>
      </c>
      <c r="F261" s="1">
        <v>42529</v>
      </c>
      <c r="G261">
        <v>2</v>
      </c>
      <c r="H261">
        <v>6</v>
      </c>
    </row>
    <row r="262" spans="1:8" x14ac:dyDescent="0.3">
      <c r="A262">
        <v>261</v>
      </c>
      <c r="B262">
        <v>1045</v>
      </c>
      <c r="C262">
        <v>4</v>
      </c>
      <c r="D262" s="1">
        <v>42529</v>
      </c>
      <c r="E262" s="1">
        <v>42531</v>
      </c>
      <c r="F262" s="1">
        <v>42530</v>
      </c>
      <c r="G262">
        <v>1</v>
      </c>
      <c r="H262">
        <v>2</v>
      </c>
    </row>
    <row r="263" spans="1:8" x14ac:dyDescent="0.3">
      <c r="A263">
        <v>262</v>
      </c>
      <c r="B263">
        <v>579</v>
      </c>
      <c r="C263">
        <v>4</v>
      </c>
      <c r="D263" s="1">
        <v>42529</v>
      </c>
      <c r="E263" s="1">
        <v>42532</v>
      </c>
      <c r="F263" s="1">
        <v>42531</v>
      </c>
      <c r="G263">
        <v>3</v>
      </c>
      <c r="H263">
        <v>9</v>
      </c>
    </row>
    <row r="264" spans="1:8" x14ac:dyDescent="0.3">
      <c r="A264">
        <v>263</v>
      </c>
      <c r="B264">
        <v>1322</v>
      </c>
      <c r="C264">
        <v>4</v>
      </c>
      <c r="D264" s="1">
        <v>42530</v>
      </c>
      <c r="E264" s="1">
        <v>42531</v>
      </c>
      <c r="F264" s="1">
        <v>42533</v>
      </c>
      <c r="G264">
        <v>2</v>
      </c>
      <c r="H264">
        <v>6</v>
      </c>
    </row>
    <row r="265" spans="1:8" x14ac:dyDescent="0.3">
      <c r="A265">
        <v>264</v>
      </c>
      <c r="B265">
        <v>5</v>
      </c>
      <c r="C265">
        <v>3</v>
      </c>
      <c r="D265" s="1">
        <v>42531</v>
      </c>
      <c r="E265" s="1">
        <v>42531</v>
      </c>
      <c r="F265" s="1">
        <v>42411</v>
      </c>
      <c r="G265">
        <v>1</v>
      </c>
      <c r="H265">
        <v>3</v>
      </c>
    </row>
    <row r="266" spans="1:8" x14ac:dyDescent="0.3">
      <c r="A266">
        <v>265</v>
      </c>
      <c r="B266">
        <v>682</v>
      </c>
      <c r="C266">
        <v>4</v>
      </c>
      <c r="D266" s="1">
        <v>42531</v>
      </c>
      <c r="E266" s="1">
        <v>42533</v>
      </c>
      <c r="F266" s="1">
        <v>42532</v>
      </c>
      <c r="G266">
        <v>2</v>
      </c>
      <c r="H266">
        <v>7</v>
      </c>
    </row>
    <row r="267" spans="1:8" x14ac:dyDescent="0.3">
      <c r="A267">
        <v>266</v>
      </c>
      <c r="B267">
        <v>933</v>
      </c>
      <c r="C267">
        <v>4</v>
      </c>
      <c r="D267" s="1">
        <v>42531</v>
      </c>
      <c r="E267" s="1">
        <v>42534</v>
      </c>
      <c r="F267" s="1">
        <v>42534</v>
      </c>
      <c r="G267">
        <v>2</v>
      </c>
      <c r="H267">
        <v>7</v>
      </c>
    </row>
    <row r="268" spans="1:8" x14ac:dyDescent="0.3">
      <c r="A268">
        <v>267</v>
      </c>
      <c r="B268">
        <v>282</v>
      </c>
      <c r="C268">
        <v>4</v>
      </c>
      <c r="D268" s="1">
        <v>42532</v>
      </c>
      <c r="E268" s="1">
        <v>42535</v>
      </c>
      <c r="F268" s="1">
        <v>42535</v>
      </c>
      <c r="G268">
        <v>1</v>
      </c>
      <c r="H268">
        <v>3</v>
      </c>
    </row>
    <row r="269" spans="1:8" x14ac:dyDescent="0.3">
      <c r="A269">
        <v>268</v>
      </c>
      <c r="B269">
        <v>540</v>
      </c>
      <c r="C269">
        <v>4</v>
      </c>
      <c r="D269" s="1">
        <v>42532</v>
      </c>
      <c r="E269" s="1">
        <v>42535</v>
      </c>
      <c r="F269" s="1">
        <v>42533</v>
      </c>
      <c r="G269">
        <v>1</v>
      </c>
      <c r="H269">
        <v>3</v>
      </c>
    </row>
    <row r="270" spans="1:8" x14ac:dyDescent="0.3">
      <c r="A270">
        <v>269</v>
      </c>
      <c r="B270">
        <v>764</v>
      </c>
      <c r="C270">
        <v>4</v>
      </c>
      <c r="D270" s="1">
        <v>42533</v>
      </c>
      <c r="E270" s="1">
        <v>42534</v>
      </c>
      <c r="F270" s="1">
        <v>42536</v>
      </c>
      <c r="G270">
        <v>2</v>
      </c>
      <c r="H270">
        <v>6</v>
      </c>
    </row>
    <row r="271" spans="1:8" x14ac:dyDescent="0.3">
      <c r="A271">
        <v>270</v>
      </c>
      <c r="B271">
        <v>879</v>
      </c>
      <c r="C271">
        <v>4</v>
      </c>
      <c r="D271" s="1">
        <v>42533</v>
      </c>
      <c r="E271" s="1">
        <v>42536</v>
      </c>
      <c r="F271" s="1">
        <v>42534</v>
      </c>
      <c r="G271">
        <v>2</v>
      </c>
      <c r="H271">
        <v>7</v>
      </c>
    </row>
    <row r="272" spans="1:8" x14ac:dyDescent="0.3">
      <c r="A272">
        <v>271</v>
      </c>
      <c r="B272">
        <v>350</v>
      </c>
      <c r="C272">
        <v>4</v>
      </c>
      <c r="D272" s="1">
        <v>42534</v>
      </c>
      <c r="E272" s="1">
        <v>42537</v>
      </c>
      <c r="F272" s="1">
        <v>42535</v>
      </c>
      <c r="G272">
        <v>2</v>
      </c>
      <c r="H272">
        <v>7</v>
      </c>
    </row>
    <row r="273" spans="1:8" x14ac:dyDescent="0.3">
      <c r="A273">
        <v>272</v>
      </c>
      <c r="B273">
        <v>497</v>
      </c>
      <c r="C273">
        <v>4</v>
      </c>
      <c r="D273" s="1">
        <v>42536</v>
      </c>
      <c r="E273" s="1">
        <v>42539</v>
      </c>
      <c r="F273" s="1">
        <v>42537</v>
      </c>
      <c r="G273">
        <v>2</v>
      </c>
      <c r="H273">
        <v>7</v>
      </c>
    </row>
    <row r="274" spans="1:8" x14ac:dyDescent="0.3">
      <c r="A274">
        <v>273</v>
      </c>
      <c r="B274">
        <v>1340</v>
      </c>
      <c r="C274">
        <v>4</v>
      </c>
      <c r="D274" s="1">
        <v>42537</v>
      </c>
      <c r="E274" s="1">
        <v>42540</v>
      </c>
      <c r="F274" s="1">
        <v>42538</v>
      </c>
      <c r="G274">
        <v>2</v>
      </c>
      <c r="H274">
        <v>7</v>
      </c>
    </row>
    <row r="275" spans="1:8" x14ac:dyDescent="0.3">
      <c r="A275">
        <v>274</v>
      </c>
      <c r="B275">
        <v>411</v>
      </c>
      <c r="C275">
        <v>4</v>
      </c>
      <c r="D275" s="1">
        <v>42538</v>
      </c>
      <c r="E275" s="1">
        <v>42541</v>
      </c>
      <c r="F275" s="1">
        <v>42539</v>
      </c>
      <c r="G275">
        <v>2</v>
      </c>
      <c r="H275">
        <v>7</v>
      </c>
    </row>
    <row r="276" spans="1:8" x14ac:dyDescent="0.3">
      <c r="A276">
        <v>275</v>
      </c>
      <c r="B276">
        <v>1341</v>
      </c>
      <c r="C276">
        <v>4</v>
      </c>
      <c r="D276" s="1">
        <v>42538</v>
      </c>
      <c r="E276" s="1">
        <v>42540</v>
      </c>
      <c r="F276" s="1">
        <v>42539</v>
      </c>
      <c r="G276">
        <v>2</v>
      </c>
      <c r="H276">
        <v>7</v>
      </c>
    </row>
    <row r="277" spans="1:8" x14ac:dyDescent="0.3">
      <c r="A277">
        <v>276</v>
      </c>
      <c r="B277">
        <v>1227</v>
      </c>
      <c r="C277">
        <v>4</v>
      </c>
      <c r="D277" s="1">
        <v>42539</v>
      </c>
      <c r="E277" s="1">
        <v>42540</v>
      </c>
      <c r="F277" s="1">
        <v>42540</v>
      </c>
      <c r="G277">
        <v>2</v>
      </c>
      <c r="H277">
        <v>6</v>
      </c>
    </row>
    <row r="278" spans="1:8" x14ac:dyDescent="0.3">
      <c r="A278">
        <v>277</v>
      </c>
      <c r="B278">
        <v>546</v>
      </c>
      <c r="C278">
        <v>4</v>
      </c>
      <c r="D278" s="1">
        <v>42540</v>
      </c>
      <c r="E278" s="1">
        <v>42541</v>
      </c>
      <c r="F278" s="1">
        <v>42541</v>
      </c>
      <c r="G278">
        <v>2</v>
      </c>
      <c r="H278">
        <v>7</v>
      </c>
    </row>
    <row r="279" spans="1:8" x14ac:dyDescent="0.3">
      <c r="A279">
        <v>278</v>
      </c>
      <c r="B279">
        <v>1301</v>
      </c>
      <c r="C279">
        <v>4</v>
      </c>
      <c r="D279" s="1">
        <v>42541</v>
      </c>
      <c r="E279" s="1">
        <v>42544</v>
      </c>
      <c r="F279" s="1">
        <v>42542</v>
      </c>
      <c r="G279">
        <v>1</v>
      </c>
      <c r="H279">
        <v>3</v>
      </c>
    </row>
    <row r="280" spans="1:8" x14ac:dyDescent="0.3">
      <c r="A280">
        <v>279</v>
      </c>
      <c r="B280">
        <v>378</v>
      </c>
      <c r="C280">
        <v>4</v>
      </c>
      <c r="D280" s="1">
        <v>42542</v>
      </c>
      <c r="E280" s="1">
        <v>42543</v>
      </c>
      <c r="F280" s="1">
        <v>42543</v>
      </c>
      <c r="G280">
        <v>2</v>
      </c>
      <c r="H280">
        <v>6</v>
      </c>
    </row>
    <row r="281" spans="1:8" x14ac:dyDescent="0.3">
      <c r="A281">
        <v>280</v>
      </c>
      <c r="B281">
        <v>638</v>
      </c>
      <c r="C281">
        <v>4</v>
      </c>
      <c r="D281" s="1">
        <v>42542</v>
      </c>
      <c r="E281" s="1">
        <v>42543</v>
      </c>
      <c r="F281" s="1">
        <v>42544</v>
      </c>
      <c r="G281">
        <v>2</v>
      </c>
      <c r="H281">
        <v>7</v>
      </c>
    </row>
    <row r="282" spans="1:8" x14ac:dyDescent="0.3">
      <c r="A282">
        <v>281</v>
      </c>
      <c r="B282">
        <v>800</v>
      </c>
      <c r="C282">
        <v>4</v>
      </c>
      <c r="D282" s="1">
        <v>42542</v>
      </c>
      <c r="E282" s="1">
        <v>42543</v>
      </c>
      <c r="F282" s="1">
        <v>42544</v>
      </c>
      <c r="G282">
        <v>2</v>
      </c>
      <c r="H282">
        <v>7</v>
      </c>
    </row>
    <row r="283" spans="1:8" x14ac:dyDescent="0.3">
      <c r="A283">
        <v>282</v>
      </c>
      <c r="B283">
        <v>159</v>
      </c>
      <c r="C283">
        <v>4</v>
      </c>
      <c r="D283" s="1">
        <v>42543</v>
      </c>
      <c r="E283" s="1">
        <v>42546</v>
      </c>
      <c r="F283" s="1">
        <v>42546</v>
      </c>
      <c r="G283">
        <v>3</v>
      </c>
      <c r="H283">
        <v>9</v>
      </c>
    </row>
    <row r="284" spans="1:8" x14ac:dyDescent="0.3">
      <c r="A284">
        <v>283</v>
      </c>
      <c r="B284">
        <v>181</v>
      </c>
      <c r="C284">
        <v>4</v>
      </c>
      <c r="D284" s="1">
        <v>42544</v>
      </c>
      <c r="E284" s="1">
        <v>42547</v>
      </c>
      <c r="F284" s="1">
        <v>42547</v>
      </c>
      <c r="G284">
        <v>1</v>
      </c>
      <c r="H284">
        <v>2</v>
      </c>
    </row>
    <row r="285" spans="1:8" x14ac:dyDescent="0.3">
      <c r="A285">
        <v>284</v>
      </c>
      <c r="B285">
        <v>1356</v>
      </c>
      <c r="C285">
        <v>4</v>
      </c>
      <c r="D285" s="1">
        <v>42544</v>
      </c>
      <c r="E285" s="1">
        <v>42546</v>
      </c>
      <c r="F285" s="1">
        <v>42546</v>
      </c>
      <c r="G285">
        <v>2</v>
      </c>
      <c r="H285">
        <v>7</v>
      </c>
    </row>
    <row r="286" spans="1:8" x14ac:dyDescent="0.3">
      <c r="A286">
        <v>285</v>
      </c>
      <c r="B286">
        <v>319</v>
      </c>
      <c r="C286">
        <v>4</v>
      </c>
      <c r="D286" s="1">
        <v>42546</v>
      </c>
      <c r="E286" s="1">
        <v>42547</v>
      </c>
      <c r="F286" s="1">
        <v>42548</v>
      </c>
      <c r="G286">
        <v>1</v>
      </c>
      <c r="H286">
        <v>2</v>
      </c>
    </row>
    <row r="287" spans="1:8" x14ac:dyDescent="0.3">
      <c r="A287">
        <v>286</v>
      </c>
      <c r="B287">
        <v>59</v>
      </c>
      <c r="C287">
        <v>4</v>
      </c>
      <c r="D287" s="1">
        <v>42546</v>
      </c>
      <c r="E287" s="1">
        <v>42547</v>
      </c>
      <c r="F287" s="1">
        <v>42547</v>
      </c>
      <c r="G287">
        <v>2</v>
      </c>
      <c r="H287">
        <v>6</v>
      </c>
    </row>
    <row r="288" spans="1:8" x14ac:dyDescent="0.3">
      <c r="A288">
        <v>287</v>
      </c>
      <c r="B288">
        <v>133</v>
      </c>
      <c r="C288">
        <v>4</v>
      </c>
      <c r="D288" s="1">
        <v>42546</v>
      </c>
      <c r="E288" s="1">
        <v>42547</v>
      </c>
      <c r="F288" s="1">
        <v>42548</v>
      </c>
      <c r="G288">
        <v>2</v>
      </c>
      <c r="H288">
        <v>6</v>
      </c>
    </row>
    <row r="289" spans="1:8" x14ac:dyDescent="0.3">
      <c r="A289">
        <v>288</v>
      </c>
      <c r="B289">
        <v>780</v>
      </c>
      <c r="C289">
        <v>4</v>
      </c>
      <c r="D289" s="1">
        <v>42546</v>
      </c>
      <c r="E289" s="1">
        <v>42549</v>
      </c>
      <c r="F289" s="1">
        <v>42549</v>
      </c>
      <c r="G289">
        <v>2</v>
      </c>
      <c r="H289">
        <v>6</v>
      </c>
    </row>
    <row r="290" spans="1:8" x14ac:dyDescent="0.3">
      <c r="A290">
        <v>289</v>
      </c>
      <c r="B290">
        <v>849</v>
      </c>
      <c r="C290">
        <v>4</v>
      </c>
      <c r="D290" s="1">
        <v>42548</v>
      </c>
      <c r="E290" s="1">
        <v>42549</v>
      </c>
      <c r="F290" s="1">
        <v>42551</v>
      </c>
      <c r="G290">
        <v>2</v>
      </c>
      <c r="H290">
        <v>6</v>
      </c>
    </row>
    <row r="291" spans="1:8" x14ac:dyDescent="0.3">
      <c r="A291">
        <v>290</v>
      </c>
      <c r="B291">
        <v>202</v>
      </c>
      <c r="C291">
        <v>4</v>
      </c>
      <c r="D291" s="1">
        <v>42549</v>
      </c>
      <c r="E291" s="1">
        <v>42550</v>
      </c>
      <c r="F291" s="1">
        <v>42551</v>
      </c>
      <c r="G291">
        <v>2</v>
      </c>
      <c r="H291">
        <v>6</v>
      </c>
    </row>
    <row r="292" spans="1:8" x14ac:dyDescent="0.3">
      <c r="A292">
        <v>291</v>
      </c>
      <c r="B292">
        <v>158</v>
      </c>
      <c r="C292">
        <v>4</v>
      </c>
      <c r="D292" s="1">
        <v>42550</v>
      </c>
      <c r="E292" s="1">
        <v>42551</v>
      </c>
      <c r="F292" s="1">
        <v>42552</v>
      </c>
      <c r="G292">
        <v>2</v>
      </c>
      <c r="H292">
        <v>6</v>
      </c>
    </row>
    <row r="293" spans="1:8" x14ac:dyDescent="0.3">
      <c r="A293">
        <v>292</v>
      </c>
      <c r="B293">
        <v>360</v>
      </c>
      <c r="C293">
        <v>4</v>
      </c>
      <c r="D293" s="1">
        <v>42550</v>
      </c>
      <c r="E293" s="1">
        <v>42551</v>
      </c>
      <c r="F293" s="1">
        <v>42553</v>
      </c>
      <c r="G293">
        <v>3</v>
      </c>
      <c r="H293">
        <v>9</v>
      </c>
    </row>
    <row r="294" spans="1:8" x14ac:dyDescent="0.3">
      <c r="A294">
        <v>293</v>
      </c>
      <c r="B294">
        <v>573</v>
      </c>
      <c r="C294">
        <v>4</v>
      </c>
      <c r="D294" s="1">
        <v>42551</v>
      </c>
      <c r="E294" s="1">
        <v>42554</v>
      </c>
      <c r="F294" s="1">
        <v>42553</v>
      </c>
      <c r="G294">
        <v>2</v>
      </c>
      <c r="H294">
        <v>7</v>
      </c>
    </row>
    <row r="295" spans="1:8" x14ac:dyDescent="0.3">
      <c r="A295">
        <v>294</v>
      </c>
      <c r="B295">
        <v>732</v>
      </c>
      <c r="C295">
        <v>4</v>
      </c>
      <c r="D295" s="1">
        <v>42552</v>
      </c>
      <c r="E295" s="1">
        <v>42553</v>
      </c>
      <c r="F295" s="1">
        <v>42553</v>
      </c>
      <c r="G295">
        <v>2</v>
      </c>
      <c r="H295">
        <v>7</v>
      </c>
    </row>
    <row r="296" spans="1:8" x14ac:dyDescent="0.3">
      <c r="A296">
        <v>295</v>
      </c>
      <c r="B296">
        <v>1130</v>
      </c>
      <c r="C296">
        <v>4</v>
      </c>
      <c r="D296" s="1">
        <v>42552</v>
      </c>
      <c r="E296" s="1">
        <v>42555</v>
      </c>
      <c r="F296" s="1">
        <v>42555</v>
      </c>
      <c r="G296">
        <v>2</v>
      </c>
      <c r="H296">
        <v>7</v>
      </c>
    </row>
    <row r="297" spans="1:8" x14ac:dyDescent="0.3">
      <c r="A297">
        <v>296</v>
      </c>
      <c r="B297">
        <v>1245</v>
      </c>
      <c r="C297">
        <v>4</v>
      </c>
      <c r="D297" s="1">
        <v>42555</v>
      </c>
      <c r="E297" s="1">
        <v>42558</v>
      </c>
      <c r="F297" s="1">
        <v>42557</v>
      </c>
      <c r="G297">
        <v>2</v>
      </c>
      <c r="H297">
        <v>6</v>
      </c>
    </row>
    <row r="298" spans="1:8" x14ac:dyDescent="0.3">
      <c r="A298">
        <v>297</v>
      </c>
      <c r="B298">
        <v>1425</v>
      </c>
      <c r="C298">
        <v>4</v>
      </c>
      <c r="D298" s="1">
        <v>42555</v>
      </c>
      <c r="E298" s="1">
        <v>42556</v>
      </c>
      <c r="F298" s="1">
        <v>42557</v>
      </c>
      <c r="G298">
        <v>2</v>
      </c>
      <c r="H298">
        <v>7</v>
      </c>
    </row>
    <row r="299" spans="1:8" x14ac:dyDescent="0.3">
      <c r="A299">
        <v>298</v>
      </c>
      <c r="B299">
        <v>885</v>
      </c>
      <c r="C299">
        <v>4</v>
      </c>
      <c r="D299" s="1">
        <v>42555</v>
      </c>
      <c r="E299" s="1">
        <v>42558</v>
      </c>
      <c r="F299" s="1">
        <v>42558</v>
      </c>
      <c r="G299">
        <v>3</v>
      </c>
      <c r="H299">
        <v>9</v>
      </c>
    </row>
    <row r="300" spans="1:8" x14ac:dyDescent="0.3">
      <c r="A300">
        <v>299</v>
      </c>
      <c r="B300">
        <v>281</v>
      </c>
      <c r="C300">
        <v>4</v>
      </c>
      <c r="D300" s="1">
        <v>42556</v>
      </c>
      <c r="E300" s="1">
        <v>42557</v>
      </c>
      <c r="F300" s="1">
        <v>42558</v>
      </c>
      <c r="G300">
        <v>2</v>
      </c>
      <c r="H300">
        <v>6</v>
      </c>
    </row>
    <row r="301" spans="1:8" x14ac:dyDescent="0.3">
      <c r="A301">
        <v>300</v>
      </c>
      <c r="B301">
        <v>1205</v>
      </c>
      <c r="C301">
        <v>4</v>
      </c>
      <c r="D301" s="1">
        <v>42556</v>
      </c>
      <c r="E301" s="1">
        <v>42559</v>
      </c>
      <c r="F301" s="1">
        <v>42559</v>
      </c>
      <c r="G301">
        <v>2</v>
      </c>
      <c r="H301">
        <v>6</v>
      </c>
    </row>
    <row r="302" spans="1:8" x14ac:dyDescent="0.3">
      <c r="A302">
        <v>301</v>
      </c>
      <c r="B302">
        <v>17</v>
      </c>
      <c r="C302">
        <v>4</v>
      </c>
      <c r="D302" s="1">
        <v>42557</v>
      </c>
      <c r="E302" s="1">
        <v>42560</v>
      </c>
      <c r="F302" s="1">
        <v>42559</v>
      </c>
      <c r="G302">
        <v>2</v>
      </c>
      <c r="H302">
        <v>6</v>
      </c>
    </row>
    <row r="303" spans="1:8" x14ac:dyDescent="0.3">
      <c r="A303">
        <v>302</v>
      </c>
      <c r="B303">
        <v>1375</v>
      </c>
      <c r="C303">
        <v>4</v>
      </c>
      <c r="D303" s="1">
        <v>42557</v>
      </c>
      <c r="E303" s="1">
        <v>42558</v>
      </c>
      <c r="F303" s="1">
        <v>42560</v>
      </c>
      <c r="G303">
        <v>2</v>
      </c>
      <c r="H303">
        <v>6</v>
      </c>
    </row>
    <row r="304" spans="1:8" x14ac:dyDescent="0.3">
      <c r="A304">
        <v>303</v>
      </c>
      <c r="B304">
        <v>36</v>
      </c>
      <c r="C304">
        <v>4</v>
      </c>
      <c r="D304" s="1">
        <v>42558</v>
      </c>
      <c r="E304" s="1">
        <v>42559</v>
      </c>
      <c r="F304" s="1">
        <v>42560</v>
      </c>
      <c r="G304">
        <v>2</v>
      </c>
      <c r="H304">
        <v>7</v>
      </c>
    </row>
    <row r="305" spans="1:8" x14ac:dyDescent="0.3">
      <c r="A305">
        <v>304</v>
      </c>
      <c r="B305">
        <v>230</v>
      </c>
      <c r="C305">
        <v>4</v>
      </c>
      <c r="D305" s="1">
        <v>42558</v>
      </c>
      <c r="E305" s="1">
        <v>42559</v>
      </c>
      <c r="F305" s="1">
        <v>42559</v>
      </c>
      <c r="G305">
        <v>2</v>
      </c>
      <c r="H305">
        <v>6</v>
      </c>
    </row>
    <row r="306" spans="1:8" x14ac:dyDescent="0.3">
      <c r="A306">
        <v>305</v>
      </c>
      <c r="B306">
        <v>705</v>
      </c>
      <c r="C306">
        <v>4</v>
      </c>
      <c r="D306" s="1">
        <v>42558</v>
      </c>
      <c r="E306" s="1">
        <v>42559</v>
      </c>
      <c r="F306" s="1">
        <v>42559</v>
      </c>
      <c r="G306">
        <v>2</v>
      </c>
      <c r="H306">
        <v>7</v>
      </c>
    </row>
    <row r="307" spans="1:8" x14ac:dyDescent="0.3">
      <c r="A307">
        <v>306</v>
      </c>
      <c r="B307">
        <v>424</v>
      </c>
      <c r="C307">
        <v>4</v>
      </c>
      <c r="D307" s="1">
        <v>42560</v>
      </c>
      <c r="E307" s="1">
        <v>42561</v>
      </c>
      <c r="F307" s="1">
        <v>42563</v>
      </c>
      <c r="G307">
        <v>2</v>
      </c>
      <c r="H307">
        <v>7</v>
      </c>
    </row>
    <row r="308" spans="1:8" x14ac:dyDescent="0.3">
      <c r="A308">
        <v>307</v>
      </c>
      <c r="B308">
        <v>695</v>
      </c>
      <c r="C308">
        <v>4</v>
      </c>
      <c r="D308" s="1">
        <v>42560</v>
      </c>
      <c r="E308" s="1">
        <v>42562</v>
      </c>
      <c r="F308" s="1">
        <v>42562</v>
      </c>
      <c r="G308">
        <v>2</v>
      </c>
      <c r="H308">
        <v>6</v>
      </c>
    </row>
    <row r="309" spans="1:8" x14ac:dyDescent="0.3">
      <c r="A309">
        <v>308</v>
      </c>
      <c r="B309">
        <v>156</v>
      </c>
      <c r="C309">
        <v>4</v>
      </c>
      <c r="D309" s="1">
        <v>42562</v>
      </c>
      <c r="E309" s="1">
        <v>42563</v>
      </c>
      <c r="F309" s="1">
        <v>42565</v>
      </c>
      <c r="G309">
        <v>2</v>
      </c>
      <c r="H309">
        <v>6</v>
      </c>
    </row>
    <row r="310" spans="1:8" x14ac:dyDescent="0.3">
      <c r="A310">
        <v>309</v>
      </c>
      <c r="B310">
        <v>211</v>
      </c>
      <c r="C310">
        <v>4</v>
      </c>
      <c r="D310" s="1">
        <v>42562</v>
      </c>
      <c r="E310" s="1">
        <v>42564</v>
      </c>
      <c r="F310" s="1">
        <v>42564</v>
      </c>
      <c r="G310">
        <v>2</v>
      </c>
      <c r="H310">
        <v>6</v>
      </c>
    </row>
    <row r="311" spans="1:8" x14ac:dyDescent="0.3">
      <c r="A311">
        <v>310</v>
      </c>
      <c r="B311">
        <v>627</v>
      </c>
      <c r="C311">
        <v>4</v>
      </c>
      <c r="D311" s="1">
        <v>42563</v>
      </c>
      <c r="E311" s="1">
        <v>42564</v>
      </c>
      <c r="F311" s="1">
        <v>42564</v>
      </c>
      <c r="G311">
        <v>1</v>
      </c>
      <c r="H311">
        <v>2</v>
      </c>
    </row>
    <row r="312" spans="1:8" x14ac:dyDescent="0.3">
      <c r="A312">
        <v>311</v>
      </c>
      <c r="B312">
        <v>1400</v>
      </c>
      <c r="C312">
        <v>4</v>
      </c>
      <c r="D312" s="1">
        <v>42563</v>
      </c>
      <c r="E312" s="1">
        <v>42565</v>
      </c>
      <c r="F312" s="1">
        <v>42564</v>
      </c>
      <c r="G312">
        <v>2</v>
      </c>
      <c r="H312">
        <v>6</v>
      </c>
    </row>
    <row r="313" spans="1:8" x14ac:dyDescent="0.3">
      <c r="A313">
        <v>312</v>
      </c>
      <c r="B313">
        <v>299</v>
      </c>
      <c r="C313">
        <v>4</v>
      </c>
      <c r="D313" s="1">
        <v>42564</v>
      </c>
      <c r="E313" s="1">
        <v>42566</v>
      </c>
      <c r="F313" s="1">
        <v>42567</v>
      </c>
      <c r="G313">
        <v>2</v>
      </c>
      <c r="H313">
        <v>6</v>
      </c>
    </row>
    <row r="314" spans="1:8" x14ac:dyDescent="0.3">
      <c r="A314">
        <v>313</v>
      </c>
      <c r="B314">
        <v>565</v>
      </c>
      <c r="C314">
        <v>4</v>
      </c>
      <c r="D314" s="1">
        <v>42565</v>
      </c>
      <c r="E314" s="1">
        <v>42566</v>
      </c>
      <c r="F314" s="1">
        <v>42566</v>
      </c>
      <c r="G314">
        <v>3</v>
      </c>
      <c r="H314">
        <v>9</v>
      </c>
    </row>
    <row r="315" spans="1:8" x14ac:dyDescent="0.3">
      <c r="A315">
        <v>314</v>
      </c>
      <c r="B315">
        <v>1019</v>
      </c>
      <c r="C315">
        <v>4</v>
      </c>
      <c r="D315" s="1">
        <v>42566</v>
      </c>
      <c r="E315" s="1">
        <v>42568</v>
      </c>
      <c r="F315" s="1">
        <v>42568</v>
      </c>
      <c r="G315">
        <v>2</v>
      </c>
      <c r="H315">
        <v>7</v>
      </c>
    </row>
    <row r="316" spans="1:8" x14ac:dyDescent="0.3">
      <c r="A316">
        <v>315</v>
      </c>
      <c r="B316">
        <v>1263</v>
      </c>
      <c r="C316">
        <v>4</v>
      </c>
      <c r="D316" s="1">
        <v>42567</v>
      </c>
      <c r="E316" s="1">
        <v>42570</v>
      </c>
      <c r="F316" s="1">
        <v>42568</v>
      </c>
      <c r="G316">
        <v>2</v>
      </c>
      <c r="H316">
        <v>6</v>
      </c>
    </row>
    <row r="317" spans="1:8" x14ac:dyDescent="0.3">
      <c r="A317">
        <v>316</v>
      </c>
      <c r="B317">
        <v>670</v>
      </c>
      <c r="C317">
        <v>4</v>
      </c>
      <c r="D317" s="1">
        <v>42568</v>
      </c>
      <c r="E317" s="1">
        <v>42571</v>
      </c>
      <c r="F317" s="1">
        <v>42570</v>
      </c>
      <c r="G317">
        <v>2</v>
      </c>
      <c r="H317">
        <v>7</v>
      </c>
    </row>
    <row r="318" spans="1:8" x14ac:dyDescent="0.3">
      <c r="A318">
        <v>317</v>
      </c>
      <c r="B318">
        <v>795</v>
      </c>
      <c r="C318">
        <v>4</v>
      </c>
      <c r="D318" s="1">
        <v>42568</v>
      </c>
      <c r="E318" s="1">
        <v>42571</v>
      </c>
      <c r="F318" s="1">
        <v>42570</v>
      </c>
      <c r="G318">
        <v>2</v>
      </c>
      <c r="H318">
        <v>7</v>
      </c>
    </row>
    <row r="319" spans="1:8" x14ac:dyDescent="0.3">
      <c r="A319">
        <v>318</v>
      </c>
      <c r="B319">
        <v>1141</v>
      </c>
      <c r="C319">
        <v>4</v>
      </c>
      <c r="D319" s="1">
        <v>42568</v>
      </c>
      <c r="E319" s="1">
        <v>42570</v>
      </c>
      <c r="F319" s="1">
        <v>42571</v>
      </c>
      <c r="G319">
        <v>2</v>
      </c>
      <c r="H319">
        <v>7</v>
      </c>
    </row>
    <row r="320" spans="1:8" x14ac:dyDescent="0.3">
      <c r="A320">
        <v>319</v>
      </c>
      <c r="B320">
        <v>941</v>
      </c>
      <c r="C320">
        <v>4</v>
      </c>
      <c r="D320" s="1">
        <v>42569</v>
      </c>
      <c r="E320" s="1">
        <v>42572</v>
      </c>
      <c r="F320" s="1">
        <v>42572</v>
      </c>
      <c r="G320">
        <v>2</v>
      </c>
      <c r="H320">
        <v>6</v>
      </c>
    </row>
    <row r="321" spans="1:8" x14ac:dyDescent="0.3">
      <c r="A321">
        <v>320</v>
      </c>
      <c r="B321">
        <v>1428</v>
      </c>
      <c r="C321">
        <v>4</v>
      </c>
      <c r="D321" s="1">
        <v>42570</v>
      </c>
      <c r="E321" s="1">
        <v>42571</v>
      </c>
      <c r="F321" s="1">
        <v>42572</v>
      </c>
      <c r="G321">
        <v>1</v>
      </c>
      <c r="H321">
        <v>2</v>
      </c>
    </row>
    <row r="322" spans="1:8" x14ac:dyDescent="0.3">
      <c r="A322">
        <v>321</v>
      </c>
      <c r="B322">
        <v>568</v>
      </c>
      <c r="C322">
        <v>4</v>
      </c>
      <c r="D322" s="1">
        <v>42570</v>
      </c>
      <c r="E322" s="1">
        <v>42573</v>
      </c>
      <c r="F322" s="1">
        <v>42572</v>
      </c>
      <c r="G322">
        <v>2</v>
      </c>
      <c r="H322">
        <v>6</v>
      </c>
    </row>
    <row r="323" spans="1:8" x14ac:dyDescent="0.3">
      <c r="A323">
        <v>322</v>
      </c>
      <c r="B323">
        <v>924</v>
      </c>
      <c r="C323">
        <v>4</v>
      </c>
      <c r="D323" s="1">
        <v>42570</v>
      </c>
      <c r="E323" s="1">
        <v>42573</v>
      </c>
      <c r="F323" s="1">
        <v>42571</v>
      </c>
      <c r="G323">
        <v>2</v>
      </c>
      <c r="H323">
        <v>6</v>
      </c>
    </row>
    <row r="324" spans="1:8" x14ac:dyDescent="0.3">
      <c r="A324">
        <v>323</v>
      </c>
      <c r="B324">
        <v>1243</v>
      </c>
      <c r="C324">
        <v>4</v>
      </c>
      <c r="D324" s="1">
        <v>42570</v>
      </c>
      <c r="E324" s="1">
        <v>42573</v>
      </c>
      <c r="F324" s="1">
        <v>42572</v>
      </c>
      <c r="G324">
        <v>2</v>
      </c>
      <c r="H324">
        <v>6</v>
      </c>
    </row>
    <row r="325" spans="1:8" x14ac:dyDescent="0.3">
      <c r="A325">
        <v>324</v>
      </c>
      <c r="B325">
        <v>480</v>
      </c>
      <c r="C325">
        <v>4</v>
      </c>
      <c r="D325" s="1">
        <v>42571</v>
      </c>
      <c r="E325" s="1">
        <v>42573</v>
      </c>
      <c r="F325" s="1">
        <v>42574</v>
      </c>
      <c r="G325">
        <v>2</v>
      </c>
      <c r="H325">
        <v>6</v>
      </c>
    </row>
    <row r="326" spans="1:8" x14ac:dyDescent="0.3">
      <c r="A326">
        <v>325</v>
      </c>
      <c r="B326">
        <v>848</v>
      </c>
      <c r="C326">
        <v>4</v>
      </c>
      <c r="D326" s="1">
        <v>42571</v>
      </c>
      <c r="E326" s="1">
        <v>42572</v>
      </c>
      <c r="F326" s="1">
        <v>42572</v>
      </c>
      <c r="G326">
        <v>2</v>
      </c>
      <c r="H326">
        <v>6</v>
      </c>
    </row>
    <row r="327" spans="1:8" x14ac:dyDescent="0.3">
      <c r="A327">
        <v>326</v>
      </c>
      <c r="B327">
        <v>1337</v>
      </c>
      <c r="C327">
        <v>4</v>
      </c>
      <c r="D327" s="1">
        <v>42571</v>
      </c>
      <c r="E327" s="1">
        <v>42572</v>
      </c>
      <c r="F327" s="1">
        <v>42573</v>
      </c>
      <c r="G327">
        <v>3</v>
      </c>
      <c r="H327">
        <v>9</v>
      </c>
    </row>
    <row r="328" spans="1:8" x14ac:dyDescent="0.3">
      <c r="A328">
        <v>327</v>
      </c>
      <c r="B328">
        <v>83</v>
      </c>
      <c r="C328">
        <v>4</v>
      </c>
      <c r="D328" s="1">
        <v>42572</v>
      </c>
      <c r="E328" s="1">
        <v>42575</v>
      </c>
      <c r="F328" s="1">
        <v>42573</v>
      </c>
      <c r="G328">
        <v>2</v>
      </c>
      <c r="H328">
        <v>6</v>
      </c>
    </row>
    <row r="329" spans="1:8" x14ac:dyDescent="0.3">
      <c r="A329">
        <v>328</v>
      </c>
      <c r="B329">
        <v>528</v>
      </c>
      <c r="C329">
        <v>4</v>
      </c>
      <c r="D329" s="1">
        <v>42574</v>
      </c>
      <c r="E329" s="1">
        <v>42577</v>
      </c>
      <c r="F329" s="1">
        <v>42576</v>
      </c>
      <c r="G329">
        <v>2</v>
      </c>
      <c r="H329">
        <v>6</v>
      </c>
    </row>
    <row r="330" spans="1:8" x14ac:dyDescent="0.3">
      <c r="A330">
        <v>329</v>
      </c>
      <c r="B330">
        <v>274</v>
      </c>
      <c r="C330">
        <v>4</v>
      </c>
      <c r="D330" s="1">
        <v>42575</v>
      </c>
      <c r="E330" s="1">
        <v>42578</v>
      </c>
      <c r="F330" s="1">
        <v>42577</v>
      </c>
      <c r="G330">
        <v>2</v>
      </c>
      <c r="H330">
        <v>6</v>
      </c>
    </row>
    <row r="331" spans="1:8" x14ac:dyDescent="0.3">
      <c r="A331">
        <v>330</v>
      </c>
      <c r="B331">
        <v>622</v>
      </c>
      <c r="C331">
        <v>4</v>
      </c>
      <c r="D331" s="1">
        <v>42575</v>
      </c>
      <c r="E331" s="1">
        <v>42578</v>
      </c>
      <c r="F331" s="1">
        <v>42578</v>
      </c>
      <c r="G331">
        <v>2</v>
      </c>
      <c r="H331">
        <v>6</v>
      </c>
    </row>
    <row r="332" spans="1:8" x14ac:dyDescent="0.3">
      <c r="A332">
        <v>331</v>
      </c>
      <c r="B332">
        <v>642</v>
      </c>
      <c r="C332">
        <v>4</v>
      </c>
      <c r="D332" s="1">
        <v>42575</v>
      </c>
      <c r="E332" s="1">
        <v>42577</v>
      </c>
      <c r="F332" s="1">
        <v>42576</v>
      </c>
      <c r="G332">
        <v>2</v>
      </c>
      <c r="H332">
        <v>6</v>
      </c>
    </row>
    <row r="333" spans="1:8" x14ac:dyDescent="0.3">
      <c r="A333">
        <v>332</v>
      </c>
      <c r="B333">
        <v>659</v>
      </c>
      <c r="C333">
        <v>4</v>
      </c>
      <c r="D333" s="1">
        <v>42575</v>
      </c>
      <c r="E333" s="1">
        <v>42577</v>
      </c>
      <c r="F333" s="1">
        <v>42577</v>
      </c>
      <c r="G333">
        <v>2</v>
      </c>
      <c r="H333">
        <v>7</v>
      </c>
    </row>
    <row r="334" spans="1:8" x14ac:dyDescent="0.3">
      <c r="A334">
        <v>333</v>
      </c>
      <c r="B334">
        <v>779</v>
      </c>
      <c r="C334">
        <v>4</v>
      </c>
      <c r="D334" s="1">
        <v>42576</v>
      </c>
      <c r="E334" s="1">
        <v>42578</v>
      </c>
      <c r="F334" s="1">
        <v>42577</v>
      </c>
      <c r="G334">
        <v>2</v>
      </c>
      <c r="H334">
        <v>6</v>
      </c>
    </row>
    <row r="335" spans="1:8" x14ac:dyDescent="0.3">
      <c r="A335">
        <v>334</v>
      </c>
      <c r="B335">
        <v>1112</v>
      </c>
      <c r="C335">
        <v>4</v>
      </c>
      <c r="D335" s="1">
        <v>42576</v>
      </c>
      <c r="E335" s="1">
        <v>42579</v>
      </c>
      <c r="F335" s="1">
        <v>42578</v>
      </c>
      <c r="G335">
        <v>2</v>
      </c>
      <c r="H335">
        <v>7</v>
      </c>
    </row>
    <row r="336" spans="1:8" x14ac:dyDescent="0.3">
      <c r="A336">
        <v>335</v>
      </c>
      <c r="B336">
        <v>1193</v>
      </c>
      <c r="C336">
        <v>4</v>
      </c>
      <c r="D336" s="1">
        <v>42576</v>
      </c>
      <c r="E336" s="1">
        <v>42578</v>
      </c>
      <c r="F336" s="1">
        <v>42577</v>
      </c>
      <c r="G336">
        <v>2</v>
      </c>
      <c r="H336">
        <v>6</v>
      </c>
    </row>
    <row r="337" spans="1:8" x14ac:dyDescent="0.3">
      <c r="A337">
        <v>336</v>
      </c>
      <c r="B337">
        <v>1030</v>
      </c>
      <c r="C337">
        <v>4</v>
      </c>
      <c r="D337" s="1">
        <v>42577</v>
      </c>
      <c r="E337" s="1">
        <v>42580</v>
      </c>
      <c r="F337" s="1">
        <v>42578</v>
      </c>
      <c r="G337">
        <v>2</v>
      </c>
      <c r="H337">
        <v>7</v>
      </c>
    </row>
    <row r="338" spans="1:8" x14ac:dyDescent="0.3">
      <c r="A338">
        <v>337</v>
      </c>
      <c r="B338">
        <v>1252</v>
      </c>
      <c r="C338">
        <v>4</v>
      </c>
      <c r="D338" s="1">
        <v>42577</v>
      </c>
      <c r="E338" s="1">
        <v>42578</v>
      </c>
      <c r="F338" s="1">
        <v>42579</v>
      </c>
      <c r="G338">
        <v>2</v>
      </c>
      <c r="H338">
        <v>7</v>
      </c>
    </row>
    <row r="339" spans="1:8" x14ac:dyDescent="0.3">
      <c r="A339">
        <v>338</v>
      </c>
      <c r="B339">
        <v>1333</v>
      </c>
      <c r="C339">
        <v>4</v>
      </c>
      <c r="D339" s="1">
        <v>42579</v>
      </c>
      <c r="E339" s="1">
        <v>42580</v>
      </c>
      <c r="F339" s="1">
        <v>42581</v>
      </c>
      <c r="G339">
        <v>1</v>
      </c>
      <c r="H339">
        <v>3</v>
      </c>
    </row>
    <row r="340" spans="1:8" x14ac:dyDescent="0.3">
      <c r="A340">
        <v>339</v>
      </c>
      <c r="B340">
        <v>1110</v>
      </c>
      <c r="C340">
        <v>4</v>
      </c>
      <c r="D340" s="1">
        <v>42579</v>
      </c>
      <c r="E340" s="1">
        <v>42582</v>
      </c>
      <c r="F340" s="1">
        <v>42580</v>
      </c>
      <c r="G340">
        <v>2</v>
      </c>
      <c r="H340">
        <v>7</v>
      </c>
    </row>
    <row r="341" spans="1:8" x14ac:dyDescent="0.3">
      <c r="A341">
        <v>340</v>
      </c>
      <c r="B341">
        <v>963</v>
      </c>
      <c r="C341">
        <v>4</v>
      </c>
      <c r="D341" s="1">
        <v>42580</v>
      </c>
      <c r="E341" s="1">
        <v>42581</v>
      </c>
      <c r="F341" s="1">
        <v>42582</v>
      </c>
      <c r="G341">
        <v>2</v>
      </c>
      <c r="H341">
        <v>7</v>
      </c>
    </row>
    <row r="342" spans="1:8" x14ac:dyDescent="0.3">
      <c r="A342">
        <v>341</v>
      </c>
      <c r="B342">
        <v>1357</v>
      </c>
      <c r="C342">
        <v>4</v>
      </c>
      <c r="D342" s="1">
        <v>42582</v>
      </c>
      <c r="E342" s="1">
        <v>42585</v>
      </c>
      <c r="F342" s="1">
        <v>42583</v>
      </c>
      <c r="G342">
        <v>1</v>
      </c>
      <c r="H342">
        <v>3</v>
      </c>
    </row>
    <row r="343" spans="1:8" x14ac:dyDescent="0.3">
      <c r="A343">
        <v>342</v>
      </c>
      <c r="B343">
        <v>806</v>
      </c>
      <c r="C343">
        <v>4</v>
      </c>
      <c r="D343" s="1">
        <v>42582</v>
      </c>
      <c r="E343" s="1">
        <v>42583</v>
      </c>
      <c r="F343" s="1">
        <v>42585</v>
      </c>
      <c r="G343">
        <v>2</v>
      </c>
      <c r="H343">
        <v>7</v>
      </c>
    </row>
    <row r="344" spans="1:8" x14ac:dyDescent="0.3">
      <c r="A344">
        <v>343</v>
      </c>
      <c r="B344">
        <v>961</v>
      </c>
      <c r="C344">
        <v>4</v>
      </c>
      <c r="D344" s="1">
        <v>42582</v>
      </c>
      <c r="E344" s="1">
        <v>42584</v>
      </c>
      <c r="F344" s="1">
        <v>42583</v>
      </c>
      <c r="G344">
        <v>2</v>
      </c>
      <c r="H344">
        <v>7</v>
      </c>
    </row>
    <row r="345" spans="1:8" x14ac:dyDescent="0.3">
      <c r="A345">
        <v>344</v>
      </c>
      <c r="B345">
        <v>750</v>
      </c>
      <c r="C345">
        <v>4</v>
      </c>
      <c r="D345" s="1">
        <v>42583</v>
      </c>
      <c r="E345" s="1">
        <v>42585</v>
      </c>
      <c r="F345" s="1">
        <v>42584</v>
      </c>
      <c r="G345">
        <v>2</v>
      </c>
      <c r="H345">
        <v>6</v>
      </c>
    </row>
    <row r="346" spans="1:8" x14ac:dyDescent="0.3">
      <c r="A346">
        <v>345</v>
      </c>
      <c r="B346">
        <v>1299</v>
      </c>
      <c r="C346">
        <v>4</v>
      </c>
      <c r="D346" s="1">
        <v>42583</v>
      </c>
      <c r="E346" s="1">
        <v>42586</v>
      </c>
      <c r="F346" s="1">
        <v>42585</v>
      </c>
      <c r="G346">
        <v>2</v>
      </c>
      <c r="H346">
        <v>6</v>
      </c>
    </row>
    <row r="347" spans="1:8" x14ac:dyDescent="0.3">
      <c r="A347">
        <v>346</v>
      </c>
      <c r="B347">
        <v>584</v>
      </c>
      <c r="C347">
        <v>4</v>
      </c>
      <c r="D347" s="1">
        <v>42583</v>
      </c>
      <c r="E347" s="1">
        <v>42585</v>
      </c>
      <c r="F347" s="1">
        <v>42584</v>
      </c>
      <c r="G347">
        <v>3</v>
      </c>
      <c r="H347">
        <v>9</v>
      </c>
    </row>
    <row r="348" spans="1:8" x14ac:dyDescent="0.3">
      <c r="A348">
        <v>347</v>
      </c>
      <c r="B348">
        <v>1004</v>
      </c>
      <c r="C348">
        <v>4</v>
      </c>
      <c r="D348" s="1">
        <v>42584</v>
      </c>
      <c r="E348" s="1">
        <v>42585</v>
      </c>
      <c r="F348" s="1">
        <v>42587</v>
      </c>
      <c r="G348">
        <v>2</v>
      </c>
      <c r="H348">
        <v>6</v>
      </c>
    </row>
    <row r="349" spans="1:8" x14ac:dyDescent="0.3">
      <c r="A349">
        <v>348</v>
      </c>
      <c r="B349">
        <v>907</v>
      </c>
      <c r="C349">
        <v>4</v>
      </c>
      <c r="D349" s="1">
        <v>42584</v>
      </c>
      <c r="E349" s="1">
        <v>42587</v>
      </c>
      <c r="F349" s="1">
        <v>42586</v>
      </c>
      <c r="G349">
        <v>3</v>
      </c>
      <c r="H349">
        <v>9</v>
      </c>
    </row>
    <row r="350" spans="1:8" x14ac:dyDescent="0.3">
      <c r="A350">
        <v>349</v>
      </c>
      <c r="B350">
        <v>30</v>
      </c>
      <c r="C350">
        <v>3</v>
      </c>
      <c r="D350" s="1">
        <v>42585</v>
      </c>
      <c r="E350" s="1">
        <v>42585</v>
      </c>
      <c r="F350" s="1">
        <v>42411</v>
      </c>
      <c r="G350">
        <v>1</v>
      </c>
      <c r="H350">
        <v>3</v>
      </c>
    </row>
    <row r="351" spans="1:8" x14ac:dyDescent="0.3">
      <c r="A351">
        <v>350</v>
      </c>
      <c r="B351">
        <v>31</v>
      </c>
      <c r="C351">
        <v>3</v>
      </c>
      <c r="D351" s="1">
        <v>42585</v>
      </c>
      <c r="E351" s="1">
        <v>42585</v>
      </c>
      <c r="F351" s="1">
        <v>42411</v>
      </c>
      <c r="G351">
        <v>1</v>
      </c>
      <c r="H351">
        <v>3</v>
      </c>
    </row>
    <row r="352" spans="1:8" x14ac:dyDescent="0.3">
      <c r="A352">
        <v>351</v>
      </c>
      <c r="B352">
        <v>1307</v>
      </c>
      <c r="C352">
        <v>4</v>
      </c>
      <c r="D352" s="1">
        <v>42585</v>
      </c>
      <c r="E352" s="1">
        <v>42588</v>
      </c>
      <c r="F352" s="1">
        <v>42586</v>
      </c>
      <c r="G352">
        <v>1</v>
      </c>
      <c r="H352">
        <v>2</v>
      </c>
    </row>
    <row r="353" spans="1:8" x14ac:dyDescent="0.3">
      <c r="A353">
        <v>352</v>
      </c>
      <c r="B353">
        <v>16</v>
      </c>
      <c r="C353">
        <v>4</v>
      </c>
      <c r="D353" s="1">
        <v>42585</v>
      </c>
      <c r="E353" s="1">
        <v>42586</v>
      </c>
      <c r="F353" s="1">
        <v>42588</v>
      </c>
      <c r="G353">
        <v>2</v>
      </c>
      <c r="H353">
        <v>7</v>
      </c>
    </row>
    <row r="354" spans="1:8" x14ac:dyDescent="0.3">
      <c r="A354">
        <v>353</v>
      </c>
      <c r="B354">
        <v>1387</v>
      </c>
      <c r="C354">
        <v>4</v>
      </c>
      <c r="D354" s="1">
        <v>42585</v>
      </c>
      <c r="E354" s="1">
        <v>42588</v>
      </c>
      <c r="F354" s="1">
        <v>42588</v>
      </c>
      <c r="G354">
        <v>2</v>
      </c>
      <c r="H354">
        <v>7</v>
      </c>
    </row>
    <row r="355" spans="1:8" x14ac:dyDescent="0.3">
      <c r="A355">
        <v>354</v>
      </c>
      <c r="B355">
        <v>551</v>
      </c>
      <c r="C355">
        <v>4</v>
      </c>
      <c r="D355" s="1">
        <v>42585</v>
      </c>
      <c r="E355" s="1">
        <v>42587</v>
      </c>
      <c r="F355" s="1">
        <v>42588</v>
      </c>
      <c r="G355">
        <v>3</v>
      </c>
      <c r="H355">
        <v>8</v>
      </c>
    </row>
    <row r="356" spans="1:8" x14ac:dyDescent="0.3">
      <c r="A356">
        <v>355</v>
      </c>
      <c r="B356">
        <v>1011</v>
      </c>
      <c r="C356">
        <v>4</v>
      </c>
      <c r="D356" s="1">
        <v>42585</v>
      </c>
      <c r="E356" s="1">
        <v>42587</v>
      </c>
      <c r="F356" s="1">
        <v>42587</v>
      </c>
      <c r="G356">
        <v>3</v>
      </c>
      <c r="H356">
        <v>8</v>
      </c>
    </row>
    <row r="357" spans="1:8" x14ac:dyDescent="0.3">
      <c r="A357">
        <v>356</v>
      </c>
      <c r="B357">
        <v>1189</v>
      </c>
      <c r="C357">
        <v>4</v>
      </c>
      <c r="D357" s="1">
        <v>42586</v>
      </c>
      <c r="E357" s="1">
        <v>42589</v>
      </c>
      <c r="F357" s="1">
        <v>42588</v>
      </c>
      <c r="G357">
        <v>2</v>
      </c>
      <c r="H357">
        <v>6</v>
      </c>
    </row>
    <row r="358" spans="1:8" x14ac:dyDescent="0.3">
      <c r="A358">
        <v>357</v>
      </c>
      <c r="B358">
        <v>14</v>
      </c>
      <c r="C358">
        <v>3</v>
      </c>
      <c r="D358" s="1">
        <v>42587</v>
      </c>
      <c r="E358" s="1">
        <v>42587</v>
      </c>
      <c r="F358" s="1">
        <v>42411</v>
      </c>
      <c r="G358">
        <v>3</v>
      </c>
      <c r="H358">
        <v>8</v>
      </c>
    </row>
    <row r="359" spans="1:8" x14ac:dyDescent="0.3">
      <c r="A359">
        <v>358</v>
      </c>
      <c r="B359">
        <v>1042</v>
      </c>
      <c r="C359">
        <v>4</v>
      </c>
      <c r="D359" s="1">
        <v>42587</v>
      </c>
      <c r="E359" s="1">
        <v>42589</v>
      </c>
      <c r="F359" s="1">
        <v>42589</v>
      </c>
      <c r="G359">
        <v>2</v>
      </c>
      <c r="H359">
        <v>7</v>
      </c>
    </row>
    <row r="360" spans="1:8" x14ac:dyDescent="0.3">
      <c r="A360">
        <v>359</v>
      </c>
      <c r="B360">
        <v>441</v>
      </c>
      <c r="C360">
        <v>4</v>
      </c>
      <c r="D360" s="1">
        <v>42589</v>
      </c>
      <c r="E360" s="1">
        <v>42592</v>
      </c>
      <c r="F360" s="1">
        <v>42592</v>
      </c>
      <c r="G360">
        <v>2</v>
      </c>
      <c r="H360">
        <v>7</v>
      </c>
    </row>
    <row r="361" spans="1:8" x14ac:dyDescent="0.3">
      <c r="A361">
        <v>360</v>
      </c>
      <c r="B361">
        <v>1300</v>
      </c>
      <c r="C361">
        <v>4</v>
      </c>
      <c r="D361" s="1">
        <v>42589</v>
      </c>
      <c r="E361" s="1">
        <v>42591</v>
      </c>
      <c r="F361" s="1">
        <v>42592</v>
      </c>
      <c r="G361">
        <v>2</v>
      </c>
      <c r="H361">
        <v>6</v>
      </c>
    </row>
    <row r="362" spans="1:8" x14ac:dyDescent="0.3">
      <c r="A362">
        <v>361</v>
      </c>
      <c r="B362">
        <v>994</v>
      </c>
      <c r="C362">
        <v>4</v>
      </c>
      <c r="D362" s="1">
        <v>42590</v>
      </c>
      <c r="E362" s="1">
        <v>42591</v>
      </c>
      <c r="F362" s="1">
        <v>42593</v>
      </c>
      <c r="G362">
        <v>2</v>
      </c>
      <c r="H362">
        <v>6</v>
      </c>
    </row>
    <row r="363" spans="1:8" x14ac:dyDescent="0.3">
      <c r="A363">
        <v>362</v>
      </c>
      <c r="B363">
        <v>187</v>
      </c>
      <c r="C363">
        <v>4</v>
      </c>
      <c r="D363" s="1">
        <v>42591</v>
      </c>
      <c r="E363" s="1">
        <v>42593</v>
      </c>
      <c r="F363" s="1">
        <v>42593</v>
      </c>
      <c r="G363">
        <v>1</v>
      </c>
      <c r="H363">
        <v>2</v>
      </c>
    </row>
    <row r="364" spans="1:8" x14ac:dyDescent="0.3">
      <c r="A364">
        <v>363</v>
      </c>
      <c r="B364">
        <v>834</v>
      </c>
      <c r="C364">
        <v>4</v>
      </c>
      <c r="D364" s="1">
        <v>42593</v>
      </c>
      <c r="E364" s="1">
        <v>42594</v>
      </c>
      <c r="F364" s="1">
        <v>42595</v>
      </c>
      <c r="G364">
        <v>3</v>
      </c>
      <c r="H364">
        <v>8</v>
      </c>
    </row>
    <row r="365" spans="1:8" x14ac:dyDescent="0.3">
      <c r="A365">
        <v>364</v>
      </c>
      <c r="B365">
        <v>373</v>
      </c>
      <c r="C365">
        <v>4</v>
      </c>
      <c r="D365" s="1">
        <v>42594</v>
      </c>
      <c r="E365" s="1">
        <v>42596</v>
      </c>
      <c r="F365" s="1">
        <v>42595</v>
      </c>
      <c r="G365">
        <v>2</v>
      </c>
      <c r="H365">
        <v>6</v>
      </c>
    </row>
    <row r="366" spans="1:8" x14ac:dyDescent="0.3">
      <c r="A366">
        <v>365</v>
      </c>
      <c r="B366">
        <v>981</v>
      </c>
      <c r="C366">
        <v>4</v>
      </c>
      <c r="D366" s="1">
        <v>42595</v>
      </c>
      <c r="E366" s="1">
        <v>42596</v>
      </c>
      <c r="F366" s="1">
        <v>42597</v>
      </c>
      <c r="G366">
        <v>2</v>
      </c>
      <c r="H366">
        <v>6</v>
      </c>
    </row>
    <row r="367" spans="1:8" x14ac:dyDescent="0.3">
      <c r="A367">
        <v>366</v>
      </c>
      <c r="B367">
        <v>1054</v>
      </c>
      <c r="C367">
        <v>4</v>
      </c>
      <c r="D367" s="1">
        <v>42595</v>
      </c>
      <c r="E367" s="1">
        <v>42596</v>
      </c>
      <c r="F367" s="1">
        <v>42596</v>
      </c>
      <c r="G367">
        <v>3</v>
      </c>
      <c r="H367">
        <v>9</v>
      </c>
    </row>
    <row r="368" spans="1:8" x14ac:dyDescent="0.3">
      <c r="A368">
        <v>367</v>
      </c>
      <c r="B368">
        <v>527</v>
      </c>
      <c r="C368">
        <v>4</v>
      </c>
      <c r="D368" s="1">
        <v>42596</v>
      </c>
      <c r="E368" s="1">
        <v>42597</v>
      </c>
      <c r="F368" s="1">
        <v>42597</v>
      </c>
      <c r="G368">
        <v>2</v>
      </c>
      <c r="H368">
        <v>7</v>
      </c>
    </row>
    <row r="369" spans="1:8" x14ac:dyDescent="0.3">
      <c r="A369">
        <v>368</v>
      </c>
      <c r="B369">
        <v>995</v>
      </c>
      <c r="C369">
        <v>4</v>
      </c>
      <c r="D369" s="1">
        <v>42596</v>
      </c>
      <c r="E369" s="1">
        <v>42597</v>
      </c>
      <c r="F369" s="1">
        <v>42599</v>
      </c>
      <c r="G369">
        <v>2</v>
      </c>
      <c r="H369">
        <v>7</v>
      </c>
    </row>
    <row r="370" spans="1:8" x14ac:dyDescent="0.3">
      <c r="A370">
        <v>369</v>
      </c>
      <c r="B370">
        <v>1285</v>
      </c>
      <c r="C370">
        <v>4</v>
      </c>
      <c r="D370" s="1">
        <v>42597</v>
      </c>
      <c r="E370" s="1">
        <v>42600</v>
      </c>
      <c r="F370" s="1">
        <v>42600</v>
      </c>
      <c r="G370">
        <v>1</v>
      </c>
      <c r="H370">
        <v>3</v>
      </c>
    </row>
    <row r="371" spans="1:8" x14ac:dyDescent="0.3">
      <c r="A371">
        <v>370</v>
      </c>
      <c r="B371">
        <v>758</v>
      </c>
      <c r="C371">
        <v>4</v>
      </c>
      <c r="D371" s="1">
        <v>42597</v>
      </c>
      <c r="E371" s="1">
        <v>42600</v>
      </c>
      <c r="F371" s="1">
        <v>42600</v>
      </c>
      <c r="G371">
        <v>2</v>
      </c>
      <c r="H371">
        <v>7</v>
      </c>
    </row>
    <row r="372" spans="1:8" x14ac:dyDescent="0.3">
      <c r="A372">
        <v>371</v>
      </c>
      <c r="B372">
        <v>891</v>
      </c>
      <c r="C372">
        <v>4</v>
      </c>
      <c r="D372" s="1">
        <v>42597</v>
      </c>
      <c r="E372" s="1">
        <v>42598</v>
      </c>
      <c r="F372" s="1">
        <v>42600</v>
      </c>
      <c r="G372">
        <v>2</v>
      </c>
      <c r="H372">
        <v>7</v>
      </c>
    </row>
    <row r="373" spans="1:8" x14ac:dyDescent="0.3">
      <c r="A373">
        <v>372</v>
      </c>
      <c r="B373">
        <v>132</v>
      </c>
      <c r="C373">
        <v>4</v>
      </c>
      <c r="D373" s="1">
        <v>42598</v>
      </c>
      <c r="E373" s="1">
        <v>42600</v>
      </c>
      <c r="F373" s="1">
        <v>42600</v>
      </c>
      <c r="G373">
        <v>2</v>
      </c>
      <c r="H373">
        <v>6</v>
      </c>
    </row>
    <row r="374" spans="1:8" x14ac:dyDescent="0.3">
      <c r="A374">
        <v>373</v>
      </c>
      <c r="B374">
        <v>337</v>
      </c>
      <c r="C374">
        <v>4</v>
      </c>
      <c r="D374" s="1">
        <v>42598</v>
      </c>
      <c r="E374" s="1">
        <v>42601</v>
      </c>
      <c r="F374" s="1">
        <v>42599</v>
      </c>
      <c r="G374">
        <v>2</v>
      </c>
      <c r="H374">
        <v>7</v>
      </c>
    </row>
    <row r="375" spans="1:8" x14ac:dyDescent="0.3">
      <c r="A375">
        <v>374</v>
      </c>
      <c r="B375">
        <v>1313</v>
      </c>
      <c r="C375">
        <v>4</v>
      </c>
      <c r="D375" s="1">
        <v>42599</v>
      </c>
      <c r="E375" s="1">
        <v>42601</v>
      </c>
      <c r="F375" s="1">
        <v>42600</v>
      </c>
      <c r="G375">
        <v>1</v>
      </c>
      <c r="H375">
        <v>2</v>
      </c>
    </row>
    <row r="376" spans="1:8" x14ac:dyDescent="0.3">
      <c r="A376">
        <v>375</v>
      </c>
      <c r="B376">
        <v>536</v>
      </c>
      <c r="C376">
        <v>4</v>
      </c>
      <c r="D376" s="1">
        <v>42599</v>
      </c>
      <c r="E376" s="1">
        <v>42602</v>
      </c>
      <c r="F376" s="1">
        <v>42602</v>
      </c>
      <c r="G376">
        <v>2</v>
      </c>
      <c r="H376">
        <v>7</v>
      </c>
    </row>
    <row r="377" spans="1:8" x14ac:dyDescent="0.3">
      <c r="A377">
        <v>376</v>
      </c>
      <c r="B377">
        <v>825</v>
      </c>
      <c r="C377">
        <v>4</v>
      </c>
      <c r="D377" s="1">
        <v>42599</v>
      </c>
      <c r="E377" s="1">
        <v>42601</v>
      </c>
      <c r="F377" s="1">
        <v>42600</v>
      </c>
      <c r="G377">
        <v>2</v>
      </c>
      <c r="H377">
        <v>6</v>
      </c>
    </row>
    <row r="378" spans="1:8" x14ac:dyDescent="0.3">
      <c r="A378">
        <v>377</v>
      </c>
      <c r="B378">
        <v>1355</v>
      </c>
      <c r="C378">
        <v>4</v>
      </c>
      <c r="D378" s="1">
        <v>42599</v>
      </c>
      <c r="E378" s="1">
        <v>42601</v>
      </c>
      <c r="F378" s="1">
        <v>42602</v>
      </c>
      <c r="G378">
        <v>2</v>
      </c>
      <c r="H378">
        <v>6</v>
      </c>
    </row>
    <row r="379" spans="1:8" x14ac:dyDescent="0.3">
      <c r="A379">
        <v>378</v>
      </c>
      <c r="B379">
        <v>475</v>
      </c>
      <c r="C379">
        <v>4</v>
      </c>
      <c r="D379" s="1">
        <v>42599</v>
      </c>
      <c r="E379" s="1">
        <v>42602</v>
      </c>
      <c r="F379" s="1">
        <v>42602</v>
      </c>
      <c r="G379">
        <v>3</v>
      </c>
      <c r="H379">
        <v>9</v>
      </c>
    </row>
    <row r="380" spans="1:8" x14ac:dyDescent="0.3">
      <c r="A380">
        <v>379</v>
      </c>
      <c r="B380">
        <v>954</v>
      </c>
      <c r="C380">
        <v>4</v>
      </c>
      <c r="D380" s="1">
        <v>42600</v>
      </c>
      <c r="E380" s="1">
        <v>42603</v>
      </c>
      <c r="F380" s="1">
        <v>42603</v>
      </c>
      <c r="G380">
        <v>2</v>
      </c>
      <c r="H380">
        <v>7</v>
      </c>
    </row>
    <row r="381" spans="1:8" x14ac:dyDescent="0.3">
      <c r="A381">
        <v>380</v>
      </c>
      <c r="B381">
        <v>1156</v>
      </c>
      <c r="C381">
        <v>4</v>
      </c>
      <c r="D381" s="1">
        <v>42601</v>
      </c>
      <c r="E381" s="1">
        <v>42602</v>
      </c>
      <c r="F381" s="1">
        <v>42603</v>
      </c>
      <c r="G381">
        <v>2</v>
      </c>
      <c r="H381">
        <v>7</v>
      </c>
    </row>
    <row r="382" spans="1:8" x14ac:dyDescent="0.3">
      <c r="A382">
        <v>381</v>
      </c>
      <c r="B382">
        <v>1297</v>
      </c>
      <c r="C382">
        <v>4</v>
      </c>
      <c r="D382" s="1">
        <v>42601</v>
      </c>
      <c r="E382" s="1">
        <v>42603</v>
      </c>
      <c r="F382" s="1">
        <v>42603</v>
      </c>
      <c r="G382">
        <v>2</v>
      </c>
      <c r="H382">
        <v>7</v>
      </c>
    </row>
    <row r="383" spans="1:8" x14ac:dyDescent="0.3">
      <c r="A383">
        <v>382</v>
      </c>
      <c r="B383">
        <v>199</v>
      </c>
      <c r="C383">
        <v>4</v>
      </c>
      <c r="D383" s="1">
        <v>42602</v>
      </c>
      <c r="E383" s="1">
        <v>42605</v>
      </c>
      <c r="F383" s="1">
        <v>42605</v>
      </c>
      <c r="G383">
        <v>2</v>
      </c>
      <c r="H383">
        <v>6</v>
      </c>
    </row>
    <row r="384" spans="1:8" x14ac:dyDescent="0.3">
      <c r="A384">
        <v>383</v>
      </c>
      <c r="B384">
        <v>331</v>
      </c>
      <c r="C384">
        <v>4</v>
      </c>
      <c r="D384" s="1">
        <v>42602</v>
      </c>
      <c r="E384" s="1">
        <v>42605</v>
      </c>
      <c r="F384" s="1">
        <v>42604</v>
      </c>
      <c r="G384">
        <v>2</v>
      </c>
      <c r="H384">
        <v>7</v>
      </c>
    </row>
    <row r="385" spans="1:8" x14ac:dyDescent="0.3">
      <c r="A385">
        <v>384</v>
      </c>
      <c r="B385">
        <v>410</v>
      </c>
      <c r="C385">
        <v>4</v>
      </c>
      <c r="D385" s="1">
        <v>42602</v>
      </c>
      <c r="E385" s="1">
        <v>42604</v>
      </c>
      <c r="F385" s="1">
        <v>42605</v>
      </c>
      <c r="G385">
        <v>2</v>
      </c>
      <c r="H385">
        <v>7</v>
      </c>
    </row>
    <row r="386" spans="1:8" x14ac:dyDescent="0.3">
      <c r="A386">
        <v>385</v>
      </c>
      <c r="B386">
        <v>1274</v>
      </c>
      <c r="C386">
        <v>4</v>
      </c>
      <c r="D386" s="1">
        <v>42602</v>
      </c>
      <c r="E386" s="1">
        <v>42605</v>
      </c>
      <c r="F386" s="1">
        <v>42604</v>
      </c>
      <c r="G386">
        <v>2</v>
      </c>
      <c r="H386">
        <v>7</v>
      </c>
    </row>
    <row r="387" spans="1:8" x14ac:dyDescent="0.3">
      <c r="A387">
        <v>386</v>
      </c>
      <c r="B387">
        <v>1362</v>
      </c>
      <c r="C387">
        <v>4</v>
      </c>
      <c r="D387" s="1">
        <v>42602</v>
      </c>
      <c r="E387" s="1">
        <v>42605</v>
      </c>
      <c r="F387" s="1">
        <v>42605</v>
      </c>
      <c r="G387">
        <v>2</v>
      </c>
      <c r="H387">
        <v>6</v>
      </c>
    </row>
    <row r="388" spans="1:8" x14ac:dyDescent="0.3">
      <c r="A388">
        <v>387</v>
      </c>
      <c r="B388">
        <v>451</v>
      </c>
      <c r="C388">
        <v>4</v>
      </c>
      <c r="D388" s="1">
        <v>42602</v>
      </c>
      <c r="E388" s="1">
        <v>42603</v>
      </c>
      <c r="F388" s="1">
        <v>42603</v>
      </c>
      <c r="G388">
        <v>3</v>
      </c>
      <c r="H388">
        <v>8</v>
      </c>
    </row>
    <row r="389" spans="1:8" x14ac:dyDescent="0.3">
      <c r="A389">
        <v>388</v>
      </c>
      <c r="B389">
        <v>1080</v>
      </c>
      <c r="C389">
        <v>4</v>
      </c>
      <c r="D389" s="1">
        <v>42603</v>
      </c>
      <c r="E389" s="1">
        <v>42606</v>
      </c>
      <c r="F389" s="1">
        <v>42605</v>
      </c>
      <c r="G389">
        <v>3</v>
      </c>
      <c r="H389">
        <v>8</v>
      </c>
    </row>
    <row r="390" spans="1:8" x14ac:dyDescent="0.3">
      <c r="A390">
        <v>389</v>
      </c>
      <c r="B390">
        <v>53</v>
      </c>
      <c r="C390">
        <v>4</v>
      </c>
      <c r="D390" s="1">
        <v>42604</v>
      </c>
      <c r="E390" s="1">
        <v>42606</v>
      </c>
      <c r="F390" s="1">
        <v>42607</v>
      </c>
      <c r="G390">
        <v>1</v>
      </c>
      <c r="H390">
        <v>3</v>
      </c>
    </row>
    <row r="391" spans="1:8" x14ac:dyDescent="0.3">
      <c r="A391">
        <v>390</v>
      </c>
      <c r="B391">
        <v>576</v>
      </c>
      <c r="C391">
        <v>4</v>
      </c>
      <c r="D391" s="1">
        <v>42604</v>
      </c>
      <c r="E391" s="1">
        <v>42606</v>
      </c>
      <c r="F391" s="1">
        <v>42607</v>
      </c>
      <c r="G391">
        <v>3</v>
      </c>
      <c r="H391">
        <v>9</v>
      </c>
    </row>
    <row r="392" spans="1:8" x14ac:dyDescent="0.3">
      <c r="A392">
        <v>391</v>
      </c>
      <c r="B392">
        <v>61</v>
      </c>
      <c r="C392">
        <v>3</v>
      </c>
      <c r="D392" s="1">
        <v>42605</v>
      </c>
      <c r="E392" s="1">
        <v>42605</v>
      </c>
      <c r="F392" s="1">
        <v>42411</v>
      </c>
      <c r="G392">
        <v>3</v>
      </c>
      <c r="H392">
        <v>9</v>
      </c>
    </row>
    <row r="393" spans="1:8" x14ac:dyDescent="0.3">
      <c r="A393">
        <v>392</v>
      </c>
      <c r="B393">
        <v>176</v>
      </c>
      <c r="C393">
        <v>4</v>
      </c>
      <c r="D393" s="1">
        <v>42605</v>
      </c>
      <c r="E393" s="1">
        <v>42608</v>
      </c>
      <c r="F393" s="1">
        <v>42606</v>
      </c>
      <c r="G393">
        <v>1</v>
      </c>
      <c r="H393">
        <v>3</v>
      </c>
    </row>
    <row r="394" spans="1:8" x14ac:dyDescent="0.3">
      <c r="A394">
        <v>393</v>
      </c>
      <c r="B394">
        <v>368</v>
      </c>
      <c r="C394">
        <v>4</v>
      </c>
      <c r="D394" s="1">
        <v>42607</v>
      </c>
      <c r="E394" s="1">
        <v>42608</v>
      </c>
      <c r="F394" s="1">
        <v>42609</v>
      </c>
      <c r="G394">
        <v>2</v>
      </c>
      <c r="H394">
        <v>6</v>
      </c>
    </row>
    <row r="395" spans="1:8" x14ac:dyDescent="0.3">
      <c r="A395">
        <v>394</v>
      </c>
      <c r="B395">
        <v>522</v>
      </c>
      <c r="C395">
        <v>4</v>
      </c>
      <c r="D395" s="1">
        <v>42608</v>
      </c>
      <c r="E395" s="1">
        <v>42610</v>
      </c>
      <c r="F395" s="1">
        <v>42611</v>
      </c>
      <c r="G395">
        <v>1</v>
      </c>
      <c r="H395">
        <v>3</v>
      </c>
    </row>
    <row r="396" spans="1:8" x14ac:dyDescent="0.3">
      <c r="A396">
        <v>395</v>
      </c>
      <c r="B396">
        <v>144</v>
      </c>
      <c r="C396">
        <v>4</v>
      </c>
      <c r="D396" s="1">
        <v>42608</v>
      </c>
      <c r="E396" s="1">
        <v>42609</v>
      </c>
      <c r="F396" s="1">
        <v>42611</v>
      </c>
      <c r="G396">
        <v>2</v>
      </c>
      <c r="H396">
        <v>6</v>
      </c>
    </row>
    <row r="397" spans="1:8" x14ac:dyDescent="0.3">
      <c r="A397">
        <v>396</v>
      </c>
      <c r="B397">
        <v>542</v>
      </c>
      <c r="C397">
        <v>4</v>
      </c>
      <c r="D397" s="1">
        <v>42609</v>
      </c>
      <c r="E397" s="1">
        <v>42612</v>
      </c>
      <c r="F397" s="1">
        <v>42611</v>
      </c>
      <c r="G397">
        <v>2</v>
      </c>
      <c r="H397">
        <v>6</v>
      </c>
    </row>
    <row r="398" spans="1:8" x14ac:dyDescent="0.3">
      <c r="A398">
        <v>397</v>
      </c>
      <c r="B398">
        <v>1437</v>
      </c>
      <c r="C398">
        <v>4</v>
      </c>
      <c r="D398" s="1">
        <v>42610</v>
      </c>
      <c r="E398" s="1">
        <v>42613</v>
      </c>
      <c r="F398" s="1">
        <v>42611</v>
      </c>
      <c r="G398">
        <v>2</v>
      </c>
      <c r="H398">
        <v>7</v>
      </c>
    </row>
    <row r="399" spans="1:8" x14ac:dyDescent="0.3">
      <c r="A399">
        <v>398</v>
      </c>
      <c r="B399">
        <v>447</v>
      </c>
      <c r="C399">
        <v>4</v>
      </c>
      <c r="D399" s="1">
        <v>42611</v>
      </c>
      <c r="E399" s="1">
        <v>42612</v>
      </c>
      <c r="F399" s="1">
        <v>42614</v>
      </c>
      <c r="G399">
        <v>1</v>
      </c>
      <c r="H399">
        <v>2</v>
      </c>
    </row>
    <row r="400" spans="1:8" x14ac:dyDescent="0.3">
      <c r="A400">
        <v>399</v>
      </c>
      <c r="B400">
        <v>1001</v>
      </c>
      <c r="C400">
        <v>4</v>
      </c>
      <c r="D400" s="1">
        <v>42611</v>
      </c>
      <c r="E400" s="1">
        <v>42614</v>
      </c>
      <c r="F400" s="1">
        <v>42614</v>
      </c>
      <c r="G400">
        <v>2</v>
      </c>
      <c r="H400">
        <v>7</v>
      </c>
    </row>
    <row r="401" spans="1:8" x14ac:dyDescent="0.3">
      <c r="A401">
        <v>400</v>
      </c>
      <c r="B401">
        <v>1295</v>
      </c>
      <c r="C401">
        <v>4</v>
      </c>
      <c r="D401" s="1">
        <v>42611</v>
      </c>
      <c r="E401" s="1">
        <v>42612</v>
      </c>
      <c r="F401" s="1">
        <v>42613</v>
      </c>
      <c r="G401">
        <v>2</v>
      </c>
      <c r="H401">
        <v>6</v>
      </c>
    </row>
    <row r="402" spans="1:8" x14ac:dyDescent="0.3">
      <c r="A402">
        <v>401</v>
      </c>
      <c r="B402">
        <v>103</v>
      </c>
      <c r="C402">
        <v>4</v>
      </c>
      <c r="D402" s="1">
        <v>42612</v>
      </c>
      <c r="E402" s="1">
        <v>42615</v>
      </c>
      <c r="F402" s="1">
        <v>42614</v>
      </c>
      <c r="G402">
        <v>2</v>
      </c>
      <c r="H402">
        <v>6</v>
      </c>
    </row>
    <row r="403" spans="1:8" x14ac:dyDescent="0.3">
      <c r="A403">
        <v>402</v>
      </c>
      <c r="B403">
        <v>1335</v>
      </c>
      <c r="C403">
        <v>4</v>
      </c>
      <c r="D403" s="1">
        <v>42612</v>
      </c>
      <c r="E403" s="1">
        <v>42614</v>
      </c>
      <c r="F403" s="1">
        <v>42613</v>
      </c>
      <c r="G403">
        <v>2</v>
      </c>
      <c r="H403">
        <v>6</v>
      </c>
    </row>
    <row r="404" spans="1:8" x14ac:dyDescent="0.3">
      <c r="A404">
        <v>403</v>
      </c>
      <c r="B404">
        <v>578</v>
      </c>
      <c r="C404">
        <v>4</v>
      </c>
      <c r="D404" s="1">
        <v>42613</v>
      </c>
      <c r="E404" s="1">
        <v>42614</v>
      </c>
      <c r="F404" s="1">
        <v>42615</v>
      </c>
      <c r="G404">
        <v>1</v>
      </c>
      <c r="H404">
        <v>3</v>
      </c>
    </row>
    <row r="405" spans="1:8" x14ac:dyDescent="0.3">
      <c r="A405">
        <v>404</v>
      </c>
      <c r="B405">
        <v>396</v>
      </c>
      <c r="C405">
        <v>4</v>
      </c>
      <c r="D405" s="1">
        <v>42613</v>
      </c>
      <c r="E405" s="1">
        <v>42616</v>
      </c>
      <c r="F405" s="1">
        <v>42614</v>
      </c>
      <c r="G405">
        <v>2</v>
      </c>
      <c r="H405">
        <v>7</v>
      </c>
    </row>
    <row r="406" spans="1:8" x14ac:dyDescent="0.3">
      <c r="A406">
        <v>405</v>
      </c>
      <c r="B406">
        <v>603</v>
      </c>
      <c r="C406">
        <v>4</v>
      </c>
      <c r="D406" s="1">
        <v>42613</v>
      </c>
      <c r="E406" s="1">
        <v>42614</v>
      </c>
      <c r="F406" s="1">
        <v>42614</v>
      </c>
      <c r="G406">
        <v>2</v>
      </c>
      <c r="H406">
        <v>6</v>
      </c>
    </row>
    <row r="407" spans="1:8" x14ac:dyDescent="0.3">
      <c r="A407">
        <v>406</v>
      </c>
      <c r="B407">
        <v>1380</v>
      </c>
      <c r="C407">
        <v>4</v>
      </c>
      <c r="D407" s="1">
        <v>42613</v>
      </c>
      <c r="E407" s="1">
        <v>42615</v>
      </c>
      <c r="F407" s="1">
        <v>42614</v>
      </c>
      <c r="G407">
        <v>2</v>
      </c>
      <c r="H407">
        <v>7</v>
      </c>
    </row>
    <row r="408" spans="1:8" x14ac:dyDescent="0.3">
      <c r="A408">
        <v>407</v>
      </c>
      <c r="B408">
        <v>77</v>
      </c>
      <c r="C408">
        <v>3</v>
      </c>
      <c r="D408" s="1">
        <v>42614</v>
      </c>
      <c r="E408" s="1">
        <v>42614</v>
      </c>
      <c r="F408" s="1">
        <v>42411</v>
      </c>
      <c r="G408">
        <v>3</v>
      </c>
      <c r="H408">
        <v>8</v>
      </c>
    </row>
    <row r="409" spans="1:8" x14ac:dyDescent="0.3">
      <c r="A409">
        <v>408</v>
      </c>
      <c r="B409">
        <v>1071</v>
      </c>
      <c r="C409">
        <v>4</v>
      </c>
      <c r="D409" s="1">
        <v>42614</v>
      </c>
      <c r="E409" s="1">
        <v>42615</v>
      </c>
      <c r="F409" s="1">
        <v>42615</v>
      </c>
      <c r="G409">
        <v>1</v>
      </c>
      <c r="H409">
        <v>2</v>
      </c>
    </row>
    <row r="410" spans="1:8" x14ac:dyDescent="0.3">
      <c r="A410">
        <v>409</v>
      </c>
      <c r="B410">
        <v>416</v>
      </c>
      <c r="C410">
        <v>4</v>
      </c>
      <c r="D410" s="1">
        <v>42614</v>
      </c>
      <c r="E410" s="1">
        <v>42617</v>
      </c>
      <c r="F410" s="1">
        <v>42617</v>
      </c>
      <c r="G410">
        <v>2</v>
      </c>
      <c r="H410">
        <v>7</v>
      </c>
    </row>
    <row r="411" spans="1:8" x14ac:dyDescent="0.3">
      <c r="A411">
        <v>410</v>
      </c>
      <c r="B411">
        <v>1151</v>
      </c>
      <c r="C411">
        <v>4</v>
      </c>
      <c r="D411" s="1">
        <v>42614</v>
      </c>
      <c r="E411" s="1">
        <v>42616</v>
      </c>
      <c r="F411" s="1">
        <v>42615</v>
      </c>
      <c r="G411">
        <v>2</v>
      </c>
      <c r="H411">
        <v>6</v>
      </c>
    </row>
    <row r="412" spans="1:8" x14ac:dyDescent="0.3">
      <c r="A412">
        <v>411</v>
      </c>
      <c r="B412">
        <v>261</v>
      </c>
      <c r="C412">
        <v>4</v>
      </c>
      <c r="D412" s="1">
        <v>42615</v>
      </c>
      <c r="E412" s="1">
        <v>42617</v>
      </c>
      <c r="F412" s="1">
        <v>42617</v>
      </c>
      <c r="G412">
        <v>1</v>
      </c>
      <c r="H412">
        <v>3</v>
      </c>
    </row>
    <row r="413" spans="1:8" x14ac:dyDescent="0.3">
      <c r="A413">
        <v>412</v>
      </c>
      <c r="B413">
        <v>1202</v>
      </c>
      <c r="C413">
        <v>4</v>
      </c>
      <c r="D413" s="1">
        <v>42615</v>
      </c>
      <c r="E413" s="1">
        <v>42617</v>
      </c>
      <c r="F413" s="1">
        <v>42617</v>
      </c>
      <c r="G413">
        <v>1</v>
      </c>
      <c r="H413">
        <v>3</v>
      </c>
    </row>
    <row r="414" spans="1:8" x14ac:dyDescent="0.3">
      <c r="A414">
        <v>413</v>
      </c>
      <c r="B414">
        <v>717</v>
      </c>
      <c r="C414">
        <v>4</v>
      </c>
      <c r="D414" s="1">
        <v>42615</v>
      </c>
      <c r="E414" s="1">
        <v>42618</v>
      </c>
      <c r="F414" s="1">
        <v>42616</v>
      </c>
      <c r="G414">
        <v>2</v>
      </c>
      <c r="H414">
        <v>6</v>
      </c>
    </row>
    <row r="415" spans="1:8" x14ac:dyDescent="0.3">
      <c r="A415">
        <v>414</v>
      </c>
      <c r="B415">
        <v>917</v>
      </c>
      <c r="C415">
        <v>4</v>
      </c>
      <c r="D415" s="1">
        <v>42616</v>
      </c>
      <c r="E415" s="1">
        <v>42619</v>
      </c>
      <c r="F415" s="1">
        <v>42619</v>
      </c>
      <c r="G415">
        <v>2</v>
      </c>
      <c r="H415">
        <v>7</v>
      </c>
    </row>
    <row r="416" spans="1:8" x14ac:dyDescent="0.3">
      <c r="A416">
        <v>415</v>
      </c>
      <c r="B416">
        <v>1265</v>
      </c>
      <c r="C416">
        <v>4</v>
      </c>
      <c r="D416" s="1">
        <v>42616</v>
      </c>
      <c r="E416" s="1">
        <v>42619</v>
      </c>
      <c r="F416" s="1">
        <v>42619</v>
      </c>
      <c r="G416">
        <v>2</v>
      </c>
      <c r="H416">
        <v>7</v>
      </c>
    </row>
    <row r="417" spans="1:8" x14ac:dyDescent="0.3">
      <c r="A417">
        <v>416</v>
      </c>
      <c r="B417">
        <v>1377</v>
      </c>
      <c r="C417">
        <v>4</v>
      </c>
      <c r="D417" s="1">
        <v>42616</v>
      </c>
      <c r="E417" s="1">
        <v>42617</v>
      </c>
      <c r="F417" s="1">
        <v>42619</v>
      </c>
      <c r="G417">
        <v>2</v>
      </c>
      <c r="H417">
        <v>7</v>
      </c>
    </row>
    <row r="418" spans="1:8" x14ac:dyDescent="0.3">
      <c r="A418">
        <v>417</v>
      </c>
      <c r="B418">
        <v>359</v>
      </c>
      <c r="C418">
        <v>4</v>
      </c>
      <c r="D418" s="1">
        <v>42617</v>
      </c>
      <c r="E418" s="1">
        <v>42618</v>
      </c>
      <c r="F418" s="1">
        <v>42619</v>
      </c>
      <c r="G418">
        <v>1</v>
      </c>
      <c r="H418">
        <v>3</v>
      </c>
    </row>
    <row r="419" spans="1:8" x14ac:dyDescent="0.3">
      <c r="A419">
        <v>418</v>
      </c>
      <c r="B419">
        <v>88</v>
      </c>
      <c r="C419">
        <v>4</v>
      </c>
      <c r="D419" s="1">
        <v>42617</v>
      </c>
      <c r="E419" s="1">
        <v>42618</v>
      </c>
      <c r="F419" s="1">
        <v>42618</v>
      </c>
      <c r="G419">
        <v>2</v>
      </c>
      <c r="H419">
        <v>6</v>
      </c>
    </row>
    <row r="420" spans="1:8" x14ac:dyDescent="0.3">
      <c r="A420">
        <v>419</v>
      </c>
      <c r="B420">
        <v>14</v>
      </c>
      <c r="C420">
        <v>4</v>
      </c>
      <c r="D420" s="1">
        <v>42617</v>
      </c>
      <c r="E420" s="1">
        <v>42620</v>
      </c>
      <c r="F420" s="1">
        <v>42619</v>
      </c>
      <c r="G420">
        <v>3</v>
      </c>
      <c r="H420">
        <v>8</v>
      </c>
    </row>
    <row r="421" spans="1:8" x14ac:dyDescent="0.3">
      <c r="A421">
        <v>420</v>
      </c>
      <c r="B421">
        <v>72</v>
      </c>
      <c r="C421">
        <v>4</v>
      </c>
      <c r="D421" s="1">
        <v>42618</v>
      </c>
      <c r="E421" s="1">
        <v>42619</v>
      </c>
      <c r="F421" s="1">
        <v>42620</v>
      </c>
      <c r="G421">
        <v>1</v>
      </c>
      <c r="H421">
        <v>3</v>
      </c>
    </row>
    <row r="422" spans="1:8" x14ac:dyDescent="0.3">
      <c r="A422">
        <v>421</v>
      </c>
      <c r="B422">
        <v>240</v>
      </c>
      <c r="C422">
        <v>4</v>
      </c>
      <c r="D422" s="1">
        <v>42618</v>
      </c>
      <c r="E422" s="1">
        <v>42619</v>
      </c>
      <c r="F422" s="1">
        <v>42621</v>
      </c>
      <c r="G422">
        <v>1</v>
      </c>
      <c r="H422">
        <v>3</v>
      </c>
    </row>
    <row r="423" spans="1:8" x14ac:dyDescent="0.3">
      <c r="A423">
        <v>422</v>
      </c>
      <c r="B423">
        <v>398</v>
      </c>
      <c r="C423">
        <v>4</v>
      </c>
      <c r="D423" s="1">
        <v>42619</v>
      </c>
      <c r="E423" s="1">
        <v>42620</v>
      </c>
      <c r="F423" s="1">
        <v>42622</v>
      </c>
      <c r="G423">
        <v>2</v>
      </c>
      <c r="H423">
        <v>6</v>
      </c>
    </row>
    <row r="424" spans="1:8" x14ac:dyDescent="0.3">
      <c r="A424">
        <v>423</v>
      </c>
      <c r="B424">
        <v>1397</v>
      </c>
      <c r="C424">
        <v>4</v>
      </c>
      <c r="D424" s="1">
        <v>42619</v>
      </c>
      <c r="E424" s="1">
        <v>42622</v>
      </c>
      <c r="F424" s="1">
        <v>42622</v>
      </c>
      <c r="G424">
        <v>2</v>
      </c>
      <c r="H424">
        <v>7</v>
      </c>
    </row>
    <row r="425" spans="1:8" x14ac:dyDescent="0.3">
      <c r="A425">
        <v>424</v>
      </c>
      <c r="B425">
        <v>67</v>
      </c>
      <c r="C425">
        <v>4</v>
      </c>
      <c r="D425" s="1">
        <v>42621</v>
      </c>
      <c r="E425" s="1">
        <v>42624</v>
      </c>
      <c r="F425" s="1">
        <v>42624</v>
      </c>
      <c r="G425">
        <v>1</v>
      </c>
      <c r="H425">
        <v>3</v>
      </c>
    </row>
    <row r="426" spans="1:8" x14ac:dyDescent="0.3">
      <c r="A426">
        <v>425</v>
      </c>
      <c r="B426">
        <v>843</v>
      </c>
      <c r="C426">
        <v>4</v>
      </c>
      <c r="D426" s="1">
        <v>42621</v>
      </c>
      <c r="E426" s="1">
        <v>42624</v>
      </c>
      <c r="F426" s="1">
        <v>42624</v>
      </c>
      <c r="G426">
        <v>2</v>
      </c>
      <c r="H426">
        <v>6</v>
      </c>
    </row>
    <row r="427" spans="1:8" x14ac:dyDescent="0.3">
      <c r="A427">
        <v>426</v>
      </c>
      <c r="B427">
        <v>944</v>
      </c>
      <c r="C427">
        <v>4</v>
      </c>
      <c r="D427" s="1">
        <v>42621</v>
      </c>
      <c r="E427" s="1">
        <v>42623</v>
      </c>
      <c r="F427" s="1">
        <v>42623</v>
      </c>
      <c r="G427">
        <v>2</v>
      </c>
      <c r="H427">
        <v>6</v>
      </c>
    </row>
    <row r="428" spans="1:8" x14ac:dyDescent="0.3">
      <c r="A428">
        <v>427</v>
      </c>
      <c r="B428">
        <v>434</v>
      </c>
      <c r="C428">
        <v>4</v>
      </c>
      <c r="D428" s="1">
        <v>42622</v>
      </c>
      <c r="E428" s="1">
        <v>42623</v>
      </c>
      <c r="F428" s="1">
        <v>42624</v>
      </c>
      <c r="G428">
        <v>1</v>
      </c>
      <c r="H428">
        <v>2</v>
      </c>
    </row>
    <row r="429" spans="1:8" x14ac:dyDescent="0.3">
      <c r="A429">
        <v>428</v>
      </c>
      <c r="B429">
        <v>1039</v>
      </c>
      <c r="C429">
        <v>4</v>
      </c>
      <c r="D429" s="1">
        <v>42622</v>
      </c>
      <c r="E429" s="1">
        <v>42625</v>
      </c>
      <c r="F429" s="1">
        <v>42623</v>
      </c>
      <c r="G429">
        <v>2</v>
      </c>
      <c r="H429">
        <v>6</v>
      </c>
    </row>
    <row r="430" spans="1:8" x14ac:dyDescent="0.3">
      <c r="A430">
        <v>429</v>
      </c>
      <c r="B430">
        <v>153</v>
      </c>
      <c r="C430">
        <v>4</v>
      </c>
      <c r="D430" s="1">
        <v>42623</v>
      </c>
      <c r="E430" s="1">
        <v>42625</v>
      </c>
      <c r="F430" s="1">
        <v>42625</v>
      </c>
      <c r="G430">
        <v>3</v>
      </c>
      <c r="H430">
        <v>8</v>
      </c>
    </row>
    <row r="431" spans="1:8" x14ac:dyDescent="0.3">
      <c r="A431">
        <v>430</v>
      </c>
      <c r="B431">
        <v>272</v>
      </c>
      <c r="C431">
        <v>4</v>
      </c>
      <c r="D431" s="1">
        <v>42624</v>
      </c>
      <c r="E431" s="1">
        <v>42626</v>
      </c>
      <c r="F431" s="1">
        <v>42625</v>
      </c>
      <c r="G431">
        <v>2</v>
      </c>
      <c r="H431">
        <v>6</v>
      </c>
    </row>
    <row r="432" spans="1:8" x14ac:dyDescent="0.3">
      <c r="A432">
        <v>431</v>
      </c>
      <c r="B432">
        <v>1217</v>
      </c>
      <c r="C432">
        <v>4</v>
      </c>
      <c r="D432" s="1">
        <v>42624</v>
      </c>
      <c r="E432" s="1">
        <v>42625</v>
      </c>
      <c r="F432" s="1">
        <v>42625</v>
      </c>
      <c r="G432">
        <v>2</v>
      </c>
      <c r="H432">
        <v>6</v>
      </c>
    </row>
    <row r="433" spans="1:8" x14ac:dyDescent="0.3">
      <c r="A433">
        <v>432</v>
      </c>
      <c r="B433">
        <v>169</v>
      </c>
      <c r="C433">
        <v>4</v>
      </c>
      <c r="D433" s="1">
        <v>42625</v>
      </c>
      <c r="E433" s="1">
        <v>42628</v>
      </c>
      <c r="F433" s="1">
        <v>42627</v>
      </c>
      <c r="G433">
        <v>1</v>
      </c>
      <c r="H433">
        <v>2</v>
      </c>
    </row>
    <row r="434" spans="1:8" x14ac:dyDescent="0.3">
      <c r="A434">
        <v>433</v>
      </c>
      <c r="B434">
        <v>1062</v>
      </c>
      <c r="C434">
        <v>4</v>
      </c>
      <c r="D434" s="1">
        <v>42625</v>
      </c>
      <c r="E434" s="1">
        <v>42628</v>
      </c>
      <c r="F434" s="1">
        <v>42626</v>
      </c>
      <c r="G434">
        <v>2</v>
      </c>
      <c r="H434">
        <v>6</v>
      </c>
    </row>
    <row r="435" spans="1:8" x14ac:dyDescent="0.3">
      <c r="A435">
        <v>434</v>
      </c>
      <c r="B435">
        <v>726</v>
      </c>
      <c r="C435">
        <v>4</v>
      </c>
      <c r="D435" s="1">
        <v>42626</v>
      </c>
      <c r="E435" s="1">
        <v>42628</v>
      </c>
      <c r="F435" s="1">
        <v>42627</v>
      </c>
      <c r="G435">
        <v>2</v>
      </c>
      <c r="H435">
        <v>6</v>
      </c>
    </row>
    <row r="436" spans="1:8" x14ac:dyDescent="0.3">
      <c r="A436">
        <v>435</v>
      </c>
      <c r="B436">
        <v>77</v>
      </c>
      <c r="C436">
        <v>4</v>
      </c>
      <c r="D436" s="1">
        <v>42627</v>
      </c>
      <c r="E436" s="1">
        <v>42628</v>
      </c>
      <c r="F436" s="1">
        <v>42629</v>
      </c>
      <c r="G436">
        <v>3</v>
      </c>
      <c r="H436">
        <v>9</v>
      </c>
    </row>
    <row r="437" spans="1:8" x14ac:dyDescent="0.3">
      <c r="A437">
        <v>436</v>
      </c>
      <c r="B437">
        <v>791</v>
      </c>
      <c r="C437">
        <v>4</v>
      </c>
      <c r="D437" s="1">
        <v>42629</v>
      </c>
      <c r="E437" s="1">
        <v>42632</v>
      </c>
      <c r="F437" s="1">
        <v>42632</v>
      </c>
      <c r="G437">
        <v>2</v>
      </c>
      <c r="H437">
        <v>7</v>
      </c>
    </row>
    <row r="438" spans="1:8" x14ac:dyDescent="0.3">
      <c r="A438">
        <v>437</v>
      </c>
      <c r="B438">
        <v>1085</v>
      </c>
      <c r="C438">
        <v>4</v>
      </c>
      <c r="D438" s="1">
        <v>42629</v>
      </c>
      <c r="E438" s="1">
        <v>42631</v>
      </c>
      <c r="F438" s="1">
        <v>42631</v>
      </c>
      <c r="G438">
        <v>2</v>
      </c>
      <c r="H438">
        <v>7</v>
      </c>
    </row>
    <row r="439" spans="1:8" x14ac:dyDescent="0.3">
      <c r="A439">
        <v>438</v>
      </c>
      <c r="B439">
        <v>314</v>
      </c>
      <c r="C439">
        <v>4</v>
      </c>
      <c r="D439" s="1">
        <v>42629</v>
      </c>
      <c r="E439" s="1">
        <v>42632</v>
      </c>
      <c r="F439" s="1">
        <v>42631</v>
      </c>
      <c r="G439">
        <v>3</v>
      </c>
      <c r="H439">
        <v>8</v>
      </c>
    </row>
    <row r="440" spans="1:8" x14ac:dyDescent="0.3">
      <c r="A440">
        <v>439</v>
      </c>
      <c r="B440">
        <v>149</v>
      </c>
      <c r="C440">
        <v>4</v>
      </c>
      <c r="D440" s="1">
        <v>42630</v>
      </c>
      <c r="E440" s="1">
        <v>42633</v>
      </c>
      <c r="F440" s="1">
        <v>42631</v>
      </c>
      <c r="G440">
        <v>2</v>
      </c>
      <c r="H440">
        <v>6</v>
      </c>
    </row>
    <row r="441" spans="1:8" x14ac:dyDescent="0.3">
      <c r="A441">
        <v>440</v>
      </c>
      <c r="B441">
        <v>882</v>
      </c>
      <c r="C441">
        <v>4</v>
      </c>
      <c r="D441" s="1">
        <v>42630</v>
      </c>
      <c r="E441" s="1">
        <v>42631</v>
      </c>
      <c r="F441" s="1">
        <v>42632</v>
      </c>
      <c r="G441">
        <v>2</v>
      </c>
      <c r="H441">
        <v>7</v>
      </c>
    </row>
    <row r="442" spans="1:8" x14ac:dyDescent="0.3">
      <c r="A442">
        <v>441</v>
      </c>
      <c r="B442">
        <v>704</v>
      </c>
      <c r="C442">
        <v>4</v>
      </c>
      <c r="D442" s="1">
        <v>42631</v>
      </c>
      <c r="E442" s="1">
        <v>42632</v>
      </c>
      <c r="F442" s="1">
        <v>42632</v>
      </c>
      <c r="G442">
        <v>1</v>
      </c>
      <c r="H442">
        <v>2</v>
      </c>
    </row>
    <row r="443" spans="1:8" x14ac:dyDescent="0.3">
      <c r="A443">
        <v>442</v>
      </c>
      <c r="B443">
        <v>667</v>
      </c>
      <c r="C443">
        <v>4</v>
      </c>
      <c r="D443" s="1">
        <v>42631</v>
      </c>
      <c r="E443" s="1">
        <v>42634</v>
      </c>
      <c r="F443" s="1">
        <v>42634</v>
      </c>
      <c r="G443">
        <v>2</v>
      </c>
      <c r="H443">
        <v>7</v>
      </c>
    </row>
    <row r="444" spans="1:8" x14ac:dyDescent="0.3">
      <c r="A444">
        <v>443</v>
      </c>
      <c r="B444">
        <v>1371</v>
      </c>
      <c r="C444">
        <v>4</v>
      </c>
      <c r="D444" s="1">
        <v>42631</v>
      </c>
      <c r="E444" s="1">
        <v>42632</v>
      </c>
      <c r="F444" s="1">
        <v>42633</v>
      </c>
      <c r="G444">
        <v>2</v>
      </c>
      <c r="H444">
        <v>6</v>
      </c>
    </row>
    <row r="445" spans="1:8" x14ac:dyDescent="0.3">
      <c r="A445">
        <v>444</v>
      </c>
      <c r="B445">
        <v>30</v>
      </c>
      <c r="C445">
        <v>4</v>
      </c>
      <c r="D445" s="1">
        <v>42632</v>
      </c>
      <c r="E445" s="1">
        <v>42633</v>
      </c>
      <c r="F445" s="1">
        <v>42634</v>
      </c>
      <c r="G445">
        <v>1</v>
      </c>
      <c r="H445">
        <v>2</v>
      </c>
    </row>
    <row r="446" spans="1:8" x14ac:dyDescent="0.3">
      <c r="A446">
        <v>445</v>
      </c>
      <c r="B446">
        <v>362</v>
      </c>
      <c r="C446">
        <v>4</v>
      </c>
      <c r="D446" s="1">
        <v>42632</v>
      </c>
      <c r="E446" s="1">
        <v>42635</v>
      </c>
      <c r="F446" s="1">
        <v>42635</v>
      </c>
      <c r="G446">
        <v>2</v>
      </c>
      <c r="H446">
        <v>6</v>
      </c>
    </row>
    <row r="447" spans="1:8" x14ac:dyDescent="0.3">
      <c r="A447">
        <v>446</v>
      </c>
      <c r="B447">
        <v>399</v>
      </c>
      <c r="C447">
        <v>4</v>
      </c>
      <c r="D447" s="1">
        <v>42632</v>
      </c>
      <c r="E447" s="1">
        <v>42634</v>
      </c>
      <c r="F447" s="1">
        <v>42633</v>
      </c>
      <c r="G447">
        <v>2</v>
      </c>
      <c r="H447">
        <v>7</v>
      </c>
    </row>
    <row r="448" spans="1:8" x14ac:dyDescent="0.3">
      <c r="A448">
        <v>447</v>
      </c>
      <c r="B448">
        <v>808</v>
      </c>
      <c r="C448">
        <v>4</v>
      </c>
      <c r="D448" s="1">
        <v>42633</v>
      </c>
      <c r="E448" s="1">
        <v>42636</v>
      </c>
      <c r="F448" s="1">
        <v>42635</v>
      </c>
      <c r="G448">
        <v>3</v>
      </c>
      <c r="H448">
        <v>8</v>
      </c>
    </row>
    <row r="449" spans="1:8" x14ac:dyDescent="0.3">
      <c r="A449">
        <v>448</v>
      </c>
      <c r="B449">
        <v>101</v>
      </c>
      <c r="C449">
        <v>4</v>
      </c>
      <c r="D449" s="1">
        <v>42634</v>
      </c>
      <c r="E449" s="1">
        <v>42635</v>
      </c>
      <c r="F449" s="1">
        <v>42637</v>
      </c>
      <c r="G449">
        <v>2</v>
      </c>
      <c r="H449">
        <v>6</v>
      </c>
    </row>
    <row r="450" spans="1:8" x14ac:dyDescent="0.3">
      <c r="A450">
        <v>449</v>
      </c>
      <c r="B450">
        <v>492</v>
      </c>
      <c r="C450">
        <v>4</v>
      </c>
      <c r="D450" s="1">
        <v>42634</v>
      </c>
      <c r="E450" s="1">
        <v>42637</v>
      </c>
      <c r="F450" s="1">
        <v>42635</v>
      </c>
      <c r="G450">
        <v>2</v>
      </c>
      <c r="H450">
        <v>7</v>
      </c>
    </row>
    <row r="451" spans="1:8" x14ac:dyDescent="0.3">
      <c r="A451">
        <v>450</v>
      </c>
      <c r="B451">
        <v>575</v>
      </c>
      <c r="C451">
        <v>4</v>
      </c>
      <c r="D451" s="1">
        <v>42634</v>
      </c>
      <c r="E451" s="1">
        <v>42637</v>
      </c>
      <c r="F451" s="1">
        <v>42636</v>
      </c>
      <c r="G451">
        <v>2</v>
      </c>
      <c r="H451">
        <v>7</v>
      </c>
    </row>
    <row r="452" spans="1:8" x14ac:dyDescent="0.3">
      <c r="A452">
        <v>451</v>
      </c>
      <c r="B452">
        <v>1146</v>
      </c>
      <c r="C452">
        <v>4</v>
      </c>
      <c r="D452" s="1">
        <v>42634</v>
      </c>
      <c r="E452" s="1">
        <v>42636</v>
      </c>
      <c r="F452" s="1">
        <v>42635</v>
      </c>
      <c r="G452">
        <v>2</v>
      </c>
      <c r="H452">
        <v>7</v>
      </c>
    </row>
    <row r="453" spans="1:8" x14ac:dyDescent="0.3">
      <c r="A453">
        <v>452</v>
      </c>
      <c r="B453">
        <v>997</v>
      </c>
      <c r="C453">
        <v>4</v>
      </c>
      <c r="D453" s="1">
        <v>42635</v>
      </c>
      <c r="E453" s="1">
        <v>42636</v>
      </c>
      <c r="F453" s="1">
        <v>42637</v>
      </c>
      <c r="G453">
        <v>2</v>
      </c>
      <c r="H453">
        <v>7</v>
      </c>
    </row>
    <row r="454" spans="1:8" x14ac:dyDescent="0.3">
      <c r="A454">
        <v>453</v>
      </c>
      <c r="B454">
        <v>1028</v>
      </c>
      <c r="C454">
        <v>4</v>
      </c>
      <c r="D454" s="1">
        <v>42635</v>
      </c>
      <c r="E454" s="1">
        <v>42637</v>
      </c>
      <c r="F454" s="1">
        <v>42638</v>
      </c>
      <c r="G454">
        <v>2</v>
      </c>
      <c r="H454">
        <v>7</v>
      </c>
    </row>
    <row r="455" spans="1:8" x14ac:dyDescent="0.3">
      <c r="A455">
        <v>454</v>
      </c>
      <c r="B455">
        <v>988</v>
      </c>
      <c r="C455">
        <v>4</v>
      </c>
      <c r="D455" s="1">
        <v>42636</v>
      </c>
      <c r="E455" s="1">
        <v>42638</v>
      </c>
      <c r="F455" s="1">
        <v>42639</v>
      </c>
      <c r="G455">
        <v>2</v>
      </c>
      <c r="H455">
        <v>6</v>
      </c>
    </row>
    <row r="456" spans="1:8" x14ac:dyDescent="0.3">
      <c r="A456">
        <v>455</v>
      </c>
      <c r="B456">
        <v>1055</v>
      </c>
      <c r="C456">
        <v>4</v>
      </c>
      <c r="D456" s="1">
        <v>42636</v>
      </c>
      <c r="E456" s="1">
        <v>42637</v>
      </c>
      <c r="F456" s="1">
        <v>42637</v>
      </c>
      <c r="G456">
        <v>2</v>
      </c>
      <c r="H456">
        <v>7</v>
      </c>
    </row>
    <row r="457" spans="1:8" x14ac:dyDescent="0.3">
      <c r="A457">
        <v>456</v>
      </c>
      <c r="B457">
        <v>1061</v>
      </c>
      <c r="C457">
        <v>4</v>
      </c>
      <c r="D457" s="1">
        <v>42636</v>
      </c>
      <c r="E457" s="1">
        <v>42639</v>
      </c>
      <c r="F457" s="1">
        <v>42638</v>
      </c>
      <c r="G457">
        <v>3</v>
      </c>
      <c r="H457">
        <v>9</v>
      </c>
    </row>
    <row r="458" spans="1:8" x14ac:dyDescent="0.3">
      <c r="A458">
        <v>457</v>
      </c>
      <c r="B458">
        <v>1349</v>
      </c>
      <c r="C458">
        <v>4</v>
      </c>
      <c r="D458" s="1">
        <v>42637</v>
      </c>
      <c r="E458" s="1">
        <v>42640</v>
      </c>
      <c r="F458" s="1">
        <v>42640</v>
      </c>
      <c r="G458">
        <v>1</v>
      </c>
      <c r="H458">
        <v>3</v>
      </c>
    </row>
    <row r="459" spans="1:8" x14ac:dyDescent="0.3">
      <c r="A459">
        <v>458</v>
      </c>
      <c r="B459">
        <v>197</v>
      </c>
      <c r="C459">
        <v>4</v>
      </c>
      <c r="D459" s="1">
        <v>42638</v>
      </c>
      <c r="E459" s="1">
        <v>42641</v>
      </c>
      <c r="F459" s="1">
        <v>42639</v>
      </c>
      <c r="G459">
        <v>2</v>
      </c>
      <c r="H459">
        <v>6</v>
      </c>
    </row>
    <row r="460" spans="1:8" x14ac:dyDescent="0.3">
      <c r="A460">
        <v>459</v>
      </c>
      <c r="B460">
        <v>874</v>
      </c>
      <c r="C460">
        <v>4</v>
      </c>
      <c r="D460" s="1">
        <v>42638</v>
      </c>
      <c r="E460" s="1">
        <v>42641</v>
      </c>
      <c r="F460" s="1">
        <v>42639</v>
      </c>
      <c r="G460">
        <v>2</v>
      </c>
      <c r="H460">
        <v>6</v>
      </c>
    </row>
    <row r="461" spans="1:8" x14ac:dyDescent="0.3">
      <c r="A461">
        <v>460</v>
      </c>
      <c r="B461">
        <v>691</v>
      </c>
      <c r="C461">
        <v>4</v>
      </c>
      <c r="D461" s="1">
        <v>42638</v>
      </c>
      <c r="E461" s="1">
        <v>42640</v>
      </c>
      <c r="F461" s="1">
        <v>42639</v>
      </c>
      <c r="G461">
        <v>3</v>
      </c>
      <c r="H461">
        <v>8</v>
      </c>
    </row>
    <row r="462" spans="1:8" x14ac:dyDescent="0.3">
      <c r="A462">
        <v>461</v>
      </c>
      <c r="B462">
        <v>853</v>
      </c>
      <c r="C462">
        <v>4</v>
      </c>
      <c r="D462" s="1">
        <v>42639</v>
      </c>
      <c r="E462" s="1">
        <v>42640</v>
      </c>
      <c r="F462" s="1">
        <v>42640</v>
      </c>
      <c r="G462">
        <v>2</v>
      </c>
      <c r="H462">
        <v>7</v>
      </c>
    </row>
    <row r="463" spans="1:8" x14ac:dyDescent="0.3">
      <c r="A463">
        <v>462</v>
      </c>
      <c r="B463">
        <v>852</v>
      </c>
      <c r="C463">
        <v>4</v>
      </c>
      <c r="D463" s="1">
        <v>42640</v>
      </c>
      <c r="E463" s="1">
        <v>42641</v>
      </c>
      <c r="F463" s="1">
        <v>42642</v>
      </c>
      <c r="G463">
        <v>2</v>
      </c>
      <c r="H463">
        <v>6</v>
      </c>
    </row>
    <row r="464" spans="1:8" x14ac:dyDescent="0.3">
      <c r="A464">
        <v>463</v>
      </c>
      <c r="B464">
        <v>964</v>
      </c>
      <c r="C464">
        <v>4</v>
      </c>
      <c r="D464" s="1">
        <v>42640</v>
      </c>
      <c r="E464" s="1">
        <v>42641</v>
      </c>
      <c r="F464" s="1">
        <v>42641</v>
      </c>
      <c r="G464">
        <v>3</v>
      </c>
      <c r="H464">
        <v>8</v>
      </c>
    </row>
    <row r="465" spans="1:8" x14ac:dyDescent="0.3">
      <c r="A465">
        <v>464</v>
      </c>
      <c r="B465">
        <v>74</v>
      </c>
      <c r="C465">
        <v>4</v>
      </c>
      <c r="D465" s="1">
        <v>42641</v>
      </c>
      <c r="E465" s="1">
        <v>42643</v>
      </c>
      <c r="F465" s="1">
        <v>42642</v>
      </c>
      <c r="G465">
        <v>2</v>
      </c>
      <c r="H465">
        <v>7</v>
      </c>
    </row>
    <row r="466" spans="1:8" x14ac:dyDescent="0.3">
      <c r="A466">
        <v>465</v>
      </c>
      <c r="B466">
        <v>1198</v>
      </c>
      <c r="C466">
        <v>4</v>
      </c>
      <c r="D466" s="1">
        <v>42641</v>
      </c>
      <c r="E466" s="1">
        <v>42644</v>
      </c>
      <c r="F466" s="1">
        <v>42644</v>
      </c>
      <c r="G466">
        <v>2</v>
      </c>
      <c r="H466">
        <v>6</v>
      </c>
    </row>
    <row r="467" spans="1:8" x14ac:dyDescent="0.3">
      <c r="A467">
        <v>466</v>
      </c>
      <c r="B467">
        <v>1440</v>
      </c>
      <c r="C467">
        <v>4</v>
      </c>
      <c r="D467" s="1">
        <v>42641</v>
      </c>
      <c r="E467" s="1">
        <v>42642</v>
      </c>
      <c r="F467" s="1">
        <v>42644</v>
      </c>
      <c r="G467">
        <v>2</v>
      </c>
      <c r="H467">
        <v>7</v>
      </c>
    </row>
    <row r="468" spans="1:8" x14ac:dyDescent="0.3">
      <c r="A468">
        <v>467</v>
      </c>
      <c r="B468">
        <v>555</v>
      </c>
      <c r="C468">
        <v>4</v>
      </c>
      <c r="D468" s="1">
        <v>42641</v>
      </c>
      <c r="E468" s="1">
        <v>42643</v>
      </c>
      <c r="F468" s="1">
        <v>42643</v>
      </c>
      <c r="G468">
        <v>3</v>
      </c>
      <c r="H468">
        <v>8</v>
      </c>
    </row>
    <row r="469" spans="1:8" x14ac:dyDescent="0.3">
      <c r="A469">
        <v>468</v>
      </c>
      <c r="B469">
        <v>1261</v>
      </c>
      <c r="C469">
        <v>4</v>
      </c>
      <c r="D469" s="1">
        <v>42642</v>
      </c>
      <c r="E469" s="1">
        <v>42645</v>
      </c>
      <c r="F469" s="1">
        <v>42643</v>
      </c>
      <c r="G469">
        <v>1</v>
      </c>
      <c r="H469">
        <v>3</v>
      </c>
    </row>
    <row r="470" spans="1:8" x14ac:dyDescent="0.3">
      <c r="A470">
        <v>469</v>
      </c>
      <c r="B470">
        <v>1089</v>
      </c>
      <c r="C470">
        <v>4</v>
      </c>
      <c r="D470" s="1">
        <v>42642</v>
      </c>
      <c r="E470" s="1">
        <v>42645</v>
      </c>
      <c r="F470" s="1">
        <v>42645</v>
      </c>
      <c r="G470">
        <v>2</v>
      </c>
      <c r="H470">
        <v>7</v>
      </c>
    </row>
    <row r="471" spans="1:8" x14ac:dyDescent="0.3">
      <c r="A471">
        <v>470</v>
      </c>
      <c r="B471">
        <v>641</v>
      </c>
      <c r="C471">
        <v>4</v>
      </c>
      <c r="D471" s="1">
        <v>42643</v>
      </c>
      <c r="E471" s="1">
        <v>42645</v>
      </c>
      <c r="F471" s="1">
        <v>42645</v>
      </c>
      <c r="G471">
        <v>1</v>
      </c>
      <c r="H471">
        <v>3</v>
      </c>
    </row>
    <row r="472" spans="1:8" x14ac:dyDescent="0.3">
      <c r="A472">
        <v>471</v>
      </c>
      <c r="B472">
        <v>697</v>
      </c>
      <c r="C472">
        <v>4</v>
      </c>
      <c r="D472" s="1">
        <v>42643</v>
      </c>
      <c r="E472" s="1">
        <v>42645</v>
      </c>
      <c r="F472" s="1">
        <v>42644</v>
      </c>
      <c r="G472">
        <v>1</v>
      </c>
      <c r="H472">
        <v>3</v>
      </c>
    </row>
    <row r="473" spans="1:8" x14ac:dyDescent="0.3">
      <c r="A473">
        <v>472</v>
      </c>
      <c r="B473">
        <v>468</v>
      </c>
      <c r="C473">
        <v>4</v>
      </c>
      <c r="D473" s="1">
        <v>42643</v>
      </c>
      <c r="E473" s="1">
        <v>42644</v>
      </c>
      <c r="F473" s="1">
        <v>42644</v>
      </c>
      <c r="G473">
        <v>2</v>
      </c>
      <c r="H473">
        <v>7</v>
      </c>
    </row>
    <row r="474" spans="1:8" x14ac:dyDescent="0.3">
      <c r="A474">
        <v>473</v>
      </c>
      <c r="B474">
        <v>549</v>
      </c>
      <c r="C474">
        <v>4</v>
      </c>
      <c r="D474" s="1">
        <v>42643</v>
      </c>
      <c r="E474" s="1">
        <v>42645</v>
      </c>
      <c r="F474" s="1">
        <v>42646</v>
      </c>
      <c r="G474">
        <v>2</v>
      </c>
      <c r="H474">
        <v>7</v>
      </c>
    </row>
    <row r="475" spans="1:8" x14ac:dyDescent="0.3">
      <c r="A475">
        <v>474</v>
      </c>
      <c r="B475">
        <v>553</v>
      </c>
      <c r="C475">
        <v>4</v>
      </c>
      <c r="D475" s="1">
        <v>42644</v>
      </c>
      <c r="E475" s="1">
        <v>42647</v>
      </c>
      <c r="F475" s="1">
        <v>42647</v>
      </c>
      <c r="G475">
        <v>1</v>
      </c>
      <c r="H475">
        <v>3</v>
      </c>
    </row>
    <row r="476" spans="1:8" x14ac:dyDescent="0.3">
      <c r="A476">
        <v>475</v>
      </c>
      <c r="B476">
        <v>241</v>
      </c>
      <c r="C476">
        <v>4</v>
      </c>
      <c r="D476" s="1">
        <v>42644</v>
      </c>
      <c r="E476" s="1">
        <v>42647</v>
      </c>
      <c r="F476" s="1">
        <v>42646</v>
      </c>
      <c r="G476">
        <v>2</v>
      </c>
      <c r="H476">
        <v>7</v>
      </c>
    </row>
    <row r="477" spans="1:8" x14ac:dyDescent="0.3">
      <c r="A477">
        <v>476</v>
      </c>
      <c r="B477">
        <v>559</v>
      </c>
      <c r="C477">
        <v>4</v>
      </c>
      <c r="D477" s="1">
        <v>42644</v>
      </c>
      <c r="E477" s="1">
        <v>42647</v>
      </c>
      <c r="F477" s="1">
        <v>42645</v>
      </c>
      <c r="G477">
        <v>2</v>
      </c>
      <c r="H477">
        <v>6</v>
      </c>
    </row>
    <row r="478" spans="1:8" x14ac:dyDescent="0.3">
      <c r="A478">
        <v>477</v>
      </c>
      <c r="B478">
        <v>449</v>
      </c>
      <c r="C478">
        <v>4</v>
      </c>
      <c r="D478" s="1">
        <v>42645</v>
      </c>
      <c r="E478" s="1">
        <v>42648</v>
      </c>
      <c r="F478" s="1">
        <v>42647</v>
      </c>
      <c r="G478">
        <v>1</v>
      </c>
      <c r="H478">
        <v>2</v>
      </c>
    </row>
    <row r="479" spans="1:8" x14ac:dyDescent="0.3">
      <c r="A479">
        <v>478</v>
      </c>
      <c r="B479">
        <v>304</v>
      </c>
      <c r="C479">
        <v>4</v>
      </c>
      <c r="D479" s="1">
        <v>42645</v>
      </c>
      <c r="E479" s="1">
        <v>42648</v>
      </c>
      <c r="F479" s="1">
        <v>42646</v>
      </c>
      <c r="G479">
        <v>2</v>
      </c>
      <c r="H479">
        <v>7</v>
      </c>
    </row>
    <row r="480" spans="1:8" x14ac:dyDescent="0.3">
      <c r="A480">
        <v>479</v>
      </c>
      <c r="B480">
        <v>984</v>
      </c>
      <c r="C480">
        <v>4</v>
      </c>
      <c r="D480" s="1">
        <v>42646</v>
      </c>
      <c r="E480" s="1">
        <v>42647</v>
      </c>
      <c r="F480" s="1">
        <v>42647</v>
      </c>
      <c r="G480">
        <v>2</v>
      </c>
      <c r="H480">
        <v>6</v>
      </c>
    </row>
    <row r="481" spans="1:8" x14ac:dyDescent="0.3">
      <c r="A481">
        <v>480</v>
      </c>
      <c r="B481">
        <v>686</v>
      </c>
      <c r="C481">
        <v>4</v>
      </c>
      <c r="D481" s="1">
        <v>42647</v>
      </c>
      <c r="E481" s="1">
        <v>42650</v>
      </c>
      <c r="F481" s="1">
        <v>42648</v>
      </c>
      <c r="G481">
        <v>1</v>
      </c>
      <c r="H481">
        <v>3</v>
      </c>
    </row>
    <row r="482" spans="1:8" x14ac:dyDescent="0.3">
      <c r="A482">
        <v>481</v>
      </c>
      <c r="B482">
        <v>481</v>
      </c>
      <c r="C482">
        <v>4</v>
      </c>
      <c r="D482" s="1">
        <v>42647</v>
      </c>
      <c r="E482" s="1">
        <v>42650</v>
      </c>
      <c r="F482" s="1">
        <v>42649</v>
      </c>
      <c r="G482">
        <v>3</v>
      </c>
      <c r="H482">
        <v>9</v>
      </c>
    </row>
    <row r="483" spans="1:8" x14ac:dyDescent="0.3">
      <c r="A483">
        <v>482</v>
      </c>
      <c r="B483">
        <v>513</v>
      </c>
      <c r="C483">
        <v>4</v>
      </c>
      <c r="D483" s="1">
        <v>42648</v>
      </c>
      <c r="E483" s="1">
        <v>42649</v>
      </c>
      <c r="F483" s="1">
        <v>42649</v>
      </c>
      <c r="G483">
        <v>2</v>
      </c>
      <c r="H483">
        <v>6</v>
      </c>
    </row>
    <row r="484" spans="1:8" x14ac:dyDescent="0.3">
      <c r="A484">
        <v>483</v>
      </c>
      <c r="B484">
        <v>703</v>
      </c>
      <c r="C484">
        <v>4</v>
      </c>
      <c r="D484" s="1">
        <v>42649</v>
      </c>
      <c r="E484" s="1">
        <v>42650</v>
      </c>
      <c r="F484" s="1">
        <v>42652</v>
      </c>
      <c r="G484">
        <v>1</v>
      </c>
      <c r="H484">
        <v>2</v>
      </c>
    </row>
    <row r="485" spans="1:8" x14ac:dyDescent="0.3">
      <c r="A485">
        <v>484</v>
      </c>
      <c r="B485">
        <v>421</v>
      </c>
      <c r="C485">
        <v>4</v>
      </c>
      <c r="D485" s="1">
        <v>42649</v>
      </c>
      <c r="E485" s="1">
        <v>42652</v>
      </c>
      <c r="F485" s="1">
        <v>42650</v>
      </c>
      <c r="G485">
        <v>2</v>
      </c>
      <c r="H485">
        <v>7</v>
      </c>
    </row>
    <row r="486" spans="1:8" x14ac:dyDescent="0.3">
      <c r="A486">
        <v>485</v>
      </c>
      <c r="B486">
        <v>465</v>
      </c>
      <c r="C486">
        <v>4</v>
      </c>
      <c r="D486" s="1">
        <v>42649</v>
      </c>
      <c r="E486" s="1">
        <v>42651</v>
      </c>
      <c r="F486" s="1">
        <v>42650</v>
      </c>
      <c r="G486">
        <v>2</v>
      </c>
      <c r="H486">
        <v>7</v>
      </c>
    </row>
    <row r="487" spans="1:8" x14ac:dyDescent="0.3">
      <c r="A487">
        <v>486</v>
      </c>
      <c r="B487">
        <v>709</v>
      </c>
      <c r="C487">
        <v>4</v>
      </c>
      <c r="D487" s="1">
        <v>42649</v>
      </c>
      <c r="E487" s="1">
        <v>42651</v>
      </c>
      <c r="F487" s="1">
        <v>42652</v>
      </c>
      <c r="G487">
        <v>2</v>
      </c>
      <c r="H487">
        <v>7</v>
      </c>
    </row>
    <row r="488" spans="1:8" x14ac:dyDescent="0.3">
      <c r="A488">
        <v>487</v>
      </c>
      <c r="B488">
        <v>827</v>
      </c>
      <c r="C488">
        <v>4</v>
      </c>
      <c r="D488" s="1">
        <v>42649</v>
      </c>
      <c r="E488" s="1">
        <v>42652</v>
      </c>
      <c r="F488" s="1">
        <v>42652</v>
      </c>
      <c r="G488">
        <v>2</v>
      </c>
      <c r="H488">
        <v>6</v>
      </c>
    </row>
    <row r="489" spans="1:8" x14ac:dyDescent="0.3">
      <c r="A489">
        <v>488</v>
      </c>
      <c r="B489">
        <v>921</v>
      </c>
      <c r="C489">
        <v>4</v>
      </c>
      <c r="D489" s="1">
        <v>42649</v>
      </c>
      <c r="E489" s="1">
        <v>42652</v>
      </c>
      <c r="F489" s="1">
        <v>42651</v>
      </c>
      <c r="G489">
        <v>2</v>
      </c>
      <c r="H489">
        <v>6</v>
      </c>
    </row>
    <row r="490" spans="1:8" x14ac:dyDescent="0.3">
      <c r="A490">
        <v>489</v>
      </c>
      <c r="B490">
        <v>899</v>
      </c>
      <c r="C490">
        <v>4</v>
      </c>
      <c r="D490" s="1">
        <v>42649</v>
      </c>
      <c r="E490" s="1">
        <v>42651</v>
      </c>
      <c r="F490" s="1">
        <v>42651</v>
      </c>
      <c r="G490">
        <v>3</v>
      </c>
      <c r="H490">
        <v>8</v>
      </c>
    </row>
    <row r="491" spans="1:8" x14ac:dyDescent="0.3">
      <c r="A491">
        <v>490</v>
      </c>
      <c r="B491">
        <v>876</v>
      </c>
      <c r="C491">
        <v>4</v>
      </c>
      <c r="D491" s="1">
        <v>42650</v>
      </c>
      <c r="E491" s="1">
        <v>42653</v>
      </c>
      <c r="F491" s="1">
        <v>42652</v>
      </c>
      <c r="G491">
        <v>2</v>
      </c>
      <c r="H491">
        <v>6</v>
      </c>
    </row>
    <row r="492" spans="1:8" x14ac:dyDescent="0.3">
      <c r="A492">
        <v>491</v>
      </c>
      <c r="B492">
        <v>1048</v>
      </c>
      <c r="C492">
        <v>4</v>
      </c>
      <c r="D492" s="1">
        <v>42651</v>
      </c>
      <c r="E492" s="1">
        <v>42653</v>
      </c>
      <c r="F492" s="1">
        <v>42654</v>
      </c>
      <c r="G492">
        <v>1</v>
      </c>
      <c r="H492">
        <v>2</v>
      </c>
    </row>
    <row r="493" spans="1:8" x14ac:dyDescent="0.3">
      <c r="A493">
        <v>492</v>
      </c>
      <c r="B493">
        <v>191</v>
      </c>
      <c r="C493">
        <v>4</v>
      </c>
      <c r="D493" s="1">
        <v>42652</v>
      </c>
      <c r="E493" s="1">
        <v>42653</v>
      </c>
      <c r="F493" s="1">
        <v>42655</v>
      </c>
      <c r="G493">
        <v>1</v>
      </c>
      <c r="H493">
        <v>2</v>
      </c>
    </row>
    <row r="494" spans="1:8" x14ac:dyDescent="0.3">
      <c r="A494">
        <v>493</v>
      </c>
      <c r="B494">
        <v>796</v>
      </c>
      <c r="C494">
        <v>4</v>
      </c>
      <c r="D494" s="1">
        <v>42652</v>
      </c>
      <c r="E494" s="1">
        <v>42655</v>
      </c>
      <c r="F494" s="1">
        <v>42654</v>
      </c>
      <c r="G494">
        <v>1</v>
      </c>
      <c r="H494">
        <v>3</v>
      </c>
    </row>
    <row r="495" spans="1:8" x14ac:dyDescent="0.3">
      <c r="A495">
        <v>494</v>
      </c>
      <c r="B495">
        <v>875</v>
      </c>
      <c r="C495">
        <v>4</v>
      </c>
      <c r="D495" s="1">
        <v>42652</v>
      </c>
      <c r="E495" s="1">
        <v>42653</v>
      </c>
      <c r="F495" s="1">
        <v>42654</v>
      </c>
      <c r="G495">
        <v>2</v>
      </c>
      <c r="H495">
        <v>6</v>
      </c>
    </row>
    <row r="496" spans="1:8" x14ac:dyDescent="0.3">
      <c r="A496">
        <v>495</v>
      </c>
      <c r="B496">
        <v>712</v>
      </c>
      <c r="C496">
        <v>4</v>
      </c>
      <c r="D496" s="1">
        <v>42653</v>
      </c>
      <c r="E496" s="1">
        <v>42655</v>
      </c>
      <c r="F496" s="1">
        <v>42656</v>
      </c>
      <c r="G496">
        <v>1</v>
      </c>
      <c r="H496">
        <v>3</v>
      </c>
    </row>
    <row r="497" spans="1:8" x14ac:dyDescent="0.3">
      <c r="A497">
        <v>496</v>
      </c>
      <c r="B497">
        <v>193</v>
      </c>
      <c r="C497">
        <v>4</v>
      </c>
      <c r="D497" s="1">
        <v>42653</v>
      </c>
      <c r="E497" s="1">
        <v>42655</v>
      </c>
      <c r="F497" s="1">
        <v>42654</v>
      </c>
      <c r="G497">
        <v>2</v>
      </c>
      <c r="H497">
        <v>6</v>
      </c>
    </row>
    <row r="498" spans="1:8" x14ac:dyDescent="0.3">
      <c r="A498">
        <v>497</v>
      </c>
      <c r="B498">
        <v>785</v>
      </c>
      <c r="C498">
        <v>4</v>
      </c>
      <c r="D498" s="1">
        <v>42653</v>
      </c>
      <c r="E498" s="1">
        <v>42654</v>
      </c>
      <c r="F498" s="1">
        <v>42654</v>
      </c>
      <c r="G498">
        <v>2</v>
      </c>
      <c r="H498">
        <v>6</v>
      </c>
    </row>
    <row r="499" spans="1:8" x14ac:dyDescent="0.3">
      <c r="A499">
        <v>498</v>
      </c>
      <c r="B499">
        <v>1331</v>
      </c>
      <c r="C499">
        <v>4</v>
      </c>
      <c r="D499" s="1">
        <v>42653</v>
      </c>
      <c r="E499" s="1">
        <v>42655</v>
      </c>
      <c r="F499" s="1">
        <v>42654</v>
      </c>
      <c r="G499">
        <v>2</v>
      </c>
      <c r="H499">
        <v>6</v>
      </c>
    </row>
    <row r="500" spans="1:8" x14ac:dyDescent="0.3">
      <c r="A500">
        <v>499</v>
      </c>
      <c r="B500">
        <v>260</v>
      </c>
      <c r="C500">
        <v>4</v>
      </c>
      <c r="D500" s="1">
        <v>42654</v>
      </c>
      <c r="E500" s="1">
        <v>42657</v>
      </c>
      <c r="F500" s="1">
        <v>42656</v>
      </c>
      <c r="G500">
        <v>1</v>
      </c>
      <c r="H500">
        <v>2</v>
      </c>
    </row>
    <row r="501" spans="1:8" x14ac:dyDescent="0.3">
      <c r="A501">
        <v>500</v>
      </c>
      <c r="B501">
        <v>148</v>
      </c>
      <c r="C501">
        <v>4</v>
      </c>
      <c r="D501" s="1">
        <v>42654</v>
      </c>
      <c r="E501" s="1">
        <v>42655</v>
      </c>
      <c r="F501" s="1">
        <v>42656</v>
      </c>
      <c r="G501">
        <v>2</v>
      </c>
      <c r="H501">
        <v>6</v>
      </c>
    </row>
    <row r="502" spans="1:8" x14ac:dyDescent="0.3">
      <c r="A502">
        <v>501</v>
      </c>
      <c r="B502">
        <v>977</v>
      </c>
      <c r="C502">
        <v>4</v>
      </c>
      <c r="D502" s="1">
        <v>42654</v>
      </c>
      <c r="E502" s="1">
        <v>42655</v>
      </c>
      <c r="F502" s="1">
        <v>42656</v>
      </c>
      <c r="G502">
        <v>2</v>
      </c>
      <c r="H502">
        <v>7</v>
      </c>
    </row>
    <row r="503" spans="1:8" x14ac:dyDescent="0.3">
      <c r="A503">
        <v>502</v>
      </c>
      <c r="B503">
        <v>401</v>
      </c>
      <c r="C503">
        <v>4</v>
      </c>
      <c r="D503" s="1">
        <v>42655</v>
      </c>
      <c r="E503" s="1">
        <v>42656</v>
      </c>
      <c r="F503" s="1">
        <v>42656</v>
      </c>
      <c r="G503">
        <v>3</v>
      </c>
      <c r="H503">
        <v>9</v>
      </c>
    </row>
    <row r="504" spans="1:8" x14ac:dyDescent="0.3">
      <c r="A504">
        <v>503</v>
      </c>
      <c r="B504">
        <v>932</v>
      </c>
      <c r="C504">
        <v>4</v>
      </c>
      <c r="D504" s="1">
        <v>42656</v>
      </c>
      <c r="E504" s="1">
        <v>42659</v>
      </c>
      <c r="F504" s="1">
        <v>42657</v>
      </c>
      <c r="G504">
        <v>2</v>
      </c>
      <c r="H504">
        <v>6</v>
      </c>
    </row>
    <row r="505" spans="1:8" x14ac:dyDescent="0.3">
      <c r="A505">
        <v>504</v>
      </c>
      <c r="B505">
        <v>1381</v>
      </c>
      <c r="C505">
        <v>4</v>
      </c>
      <c r="D505" s="1">
        <v>42657</v>
      </c>
      <c r="E505" s="1">
        <v>42658</v>
      </c>
      <c r="F505" s="1">
        <v>42658</v>
      </c>
      <c r="G505">
        <v>1</v>
      </c>
      <c r="H505">
        <v>2</v>
      </c>
    </row>
    <row r="506" spans="1:8" x14ac:dyDescent="0.3">
      <c r="A506">
        <v>505</v>
      </c>
      <c r="B506">
        <v>721</v>
      </c>
      <c r="C506">
        <v>4</v>
      </c>
      <c r="D506" s="1">
        <v>42657</v>
      </c>
      <c r="E506" s="1">
        <v>42659</v>
      </c>
      <c r="F506" s="1">
        <v>42660</v>
      </c>
      <c r="G506">
        <v>2</v>
      </c>
      <c r="H506">
        <v>6</v>
      </c>
    </row>
    <row r="507" spans="1:8" x14ac:dyDescent="0.3">
      <c r="A507">
        <v>506</v>
      </c>
      <c r="B507">
        <v>831</v>
      </c>
      <c r="C507">
        <v>4</v>
      </c>
      <c r="D507" s="1">
        <v>42657</v>
      </c>
      <c r="E507" s="1">
        <v>42659</v>
      </c>
      <c r="F507" s="1">
        <v>42659</v>
      </c>
      <c r="G507">
        <v>2</v>
      </c>
      <c r="H507">
        <v>6</v>
      </c>
    </row>
    <row r="508" spans="1:8" x14ac:dyDescent="0.3">
      <c r="A508">
        <v>507</v>
      </c>
      <c r="B508">
        <v>1378</v>
      </c>
      <c r="C508">
        <v>4</v>
      </c>
      <c r="D508" s="1">
        <v>42658</v>
      </c>
      <c r="E508" s="1">
        <v>42660</v>
      </c>
      <c r="F508" s="1">
        <v>42660</v>
      </c>
      <c r="G508">
        <v>1</v>
      </c>
      <c r="H508">
        <v>3</v>
      </c>
    </row>
    <row r="509" spans="1:8" x14ac:dyDescent="0.3">
      <c r="A509">
        <v>508</v>
      </c>
      <c r="B509">
        <v>1359</v>
      </c>
      <c r="C509">
        <v>4</v>
      </c>
      <c r="D509" s="1">
        <v>42658</v>
      </c>
      <c r="E509" s="1">
        <v>42661</v>
      </c>
      <c r="F509" s="1">
        <v>42661</v>
      </c>
      <c r="G509">
        <v>2</v>
      </c>
      <c r="H509">
        <v>6</v>
      </c>
    </row>
    <row r="510" spans="1:8" x14ac:dyDescent="0.3">
      <c r="A510">
        <v>509</v>
      </c>
      <c r="B510">
        <v>235</v>
      </c>
      <c r="C510">
        <v>4</v>
      </c>
      <c r="D510" s="1">
        <v>42659</v>
      </c>
      <c r="E510" s="1">
        <v>42660</v>
      </c>
      <c r="F510" s="1">
        <v>42660</v>
      </c>
      <c r="G510">
        <v>2</v>
      </c>
      <c r="H510">
        <v>7</v>
      </c>
    </row>
    <row r="511" spans="1:8" x14ac:dyDescent="0.3">
      <c r="A511">
        <v>510</v>
      </c>
      <c r="B511">
        <v>586</v>
      </c>
      <c r="C511">
        <v>4</v>
      </c>
      <c r="D511" s="1">
        <v>42660</v>
      </c>
      <c r="E511" s="1">
        <v>42661</v>
      </c>
      <c r="F511" s="1">
        <v>42661</v>
      </c>
      <c r="G511">
        <v>2</v>
      </c>
      <c r="H511">
        <v>7</v>
      </c>
    </row>
    <row r="512" spans="1:8" x14ac:dyDescent="0.3">
      <c r="A512">
        <v>511</v>
      </c>
      <c r="B512">
        <v>377</v>
      </c>
      <c r="C512">
        <v>4</v>
      </c>
      <c r="D512" s="1">
        <v>42661</v>
      </c>
      <c r="E512" s="1">
        <v>42663</v>
      </c>
      <c r="F512" s="1">
        <v>42662</v>
      </c>
      <c r="G512">
        <v>2</v>
      </c>
      <c r="H512">
        <v>7</v>
      </c>
    </row>
    <row r="513" spans="1:8" x14ac:dyDescent="0.3">
      <c r="A513">
        <v>512</v>
      </c>
      <c r="B513">
        <v>8</v>
      </c>
      <c r="C513">
        <v>4</v>
      </c>
      <c r="D513" s="1">
        <v>42662</v>
      </c>
      <c r="E513" s="1">
        <v>42665</v>
      </c>
      <c r="F513" s="1">
        <v>42663</v>
      </c>
      <c r="G513">
        <v>2</v>
      </c>
      <c r="H513">
        <v>7</v>
      </c>
    </row>
    <row r="514" spans="1:8" x14ac:dyDescent="0.3">
      <c r="A514">
        <v>513</v>
      </c>
      <c r="B514">
        <v>155</v>
      </c>
      <c r="C514">
        <v>4</v>
      </c>
      <c r="D514" s="1">
        <v>42662</v>
      </c>
      <c r="E514" s="1">
        <v>42664</v>
      </c>
      <c r="F514" s="1">
        <v>42664</v>
      </c>
      <c r="G514">
        <v>2</v>
      </c>
      <c r="H514">
        <v>6</v>
      </c>
    </row>
    <row r="515" spans="1:8" x14ac:dyDescent="0.3">
      <c r="A515">
        <v>514</v>
      </c>
      <c r="B515">
        <v>927</v>
      </c>
      <c r="C515">
        <v>4</v>
      </c>
      <c r="D515" s="1">
        <v>42662</v>
      </c>
      <c r="E515" s="1">
        <v>42664</v>
      </c>
      <c r="F515" s="1">
        <v>42663</v>
      </c>
      <c r="G515">
        <v>2</v>
      </c>
      <c r="H515">
        <v>7</v>
      </c>
    </row>
    <row r="516" spans="1:8" x14ac:dyDescent="0.3">
      <c r="A516">
        <v>515</v>
      </c>
      <c r="B516">
        <v>986</v>
      </c>
      <c r="C516">
        <v>4</v>
      </c>
      <c r="D516" s="1">
        <v>42662</v>
      </c>
      <c r="E516" s="1">
        <v>42663</v>
      </c>
      <c r="F516" s="1">
        <v>42665</v>
      </c>
      <c r="G516">
        <v>2</v>
      </c>
      <c r="H516">
        <v>6</v>
      </c>
    </row>
    <row r="517" spans="1:8" x14ac:dyDescent="0.3">
      <c r="A517">
        <v>516</v>
      </c>
      <c r="B517">
        <v>111</v>
      </c>
      <c r="C517">
        <v>4</v>
      </c>
      <c r="D517" s="1">
        <v>42664</v>
      </c>
      <c r="E517" s="1">
        <v>42666</v>
      </c>
      <c r="F517" s="1">
        <v>42667</v>
      </c>
      <c r="G517">
        <v>2</v>
      </c>
      <c r="H517">
        <v>6</v>
      </c>
    </row>
    <row r="518" spans="1:8" x14ac:dyDescent="0.3">
      <c r="A518">
        <v>517</v>
      </c>
      <c r="B518">
        <v>613</v>
      </c>
      <c r="C518">
        <v>4</v>
      </c>
      <c r="D518" s="1">
        <v>42664</v>
      </c>
      <c r="E518" s="1">
        <v>42665</v>
      </c>
      <c r="F518" s="1">
        <v>42667</v>
      </c>
      <c r="G518">
        <v>2</v>
      </c>
      <c r="H518">
        <v>6</v>
      </c>
    </row>
    <row r="519" spans="1:8" x14ac:dyDescent="0.3">
      <c r="A519">
        <v>518</v>
      </c>
      <c r="B519">
        <v>1374</v>
      </c>
      <c r="C519">
        <v>4</v>
      </c>
      <c r="D519" s="1">
        <v>42665</v>
      </c>
      <c r="E519" s="1">
        <v>42667</v>
      </c>
      <c r="F519" s="1">
        <v>42668</v>
      </c>
      <c r="G519">
        <v>1</v>
      </c>
      <c r="H519">
        <v>2</v>
      </c>
    </row>
    <row r="520" spans="1:8" x14ac:dyDescent="0.3">
      <c r="A520">
        <v>519</v>
      </c>
      <c r="B520">
        <v>54</v>
      </c>
      <c r="C520">
        <v>4</v>
      </c>
      <c r="D520" s="1">
        <v>42665</v>
      </c>
      <c r="E520" s="1">
        <v>42666</v>
      </c>
      <c r="F520" s="1">
        <v>42667</v>
      </c>
      <c r="G520">
        <v>2</v>
      </c>
      <c r="H520">
        <v>7</v>
      </c>
    </row>
    <row r="521" spans="1:8" x14ac:dyDescent="0.3">
      <c r="A521">
        <v>520</v>
      </c>
      <c r="B521">
        <v>639</v>
      </c>
      <c r="C521">
        <v>4</v>
      </c>
      <c r="D521" s="1">
        <v>42666</v>
      </c>
      <c r="E521" s="1">
        <v>42669</v>
      </c>
      <c r="F521" s="1">
        <v>42667</v>
      </c>
      <c r="G521">
        <v>2</v>
      </c>
      <c r="H521">
        <v>7</v>
      </c>
    </row>
    <row r="522" spans="1:8" x14ac:dyDescent="0.3">
      <c r="A522">
        <v>521</v>
      </c>
      <c r="B522">
        <v>664</v>
      </c>
      <c r="C522">
        <v>4</v>
      </c>
      <c r="D522" s="1">
        <v>42666</v>
      </c>
      <c r="E522" s="1">
        <v>42668</v>
      </c>
      <c r="F522" s="1">
        <v>42668</v>
      </c>
      <c r="G522">
        <v>2</v>
      </c>
      <c r="H522">
        <v>6</v>
      </c>
    </row>
    <row r="523" spans="1:8" x14ac:dyDescent="0.3">
      <c r="A523">
        <v>522</v>
      </c>
      <c r="B523">
        <v>724</v>
      </c>
      <c r="C523">
        <v>4</v>
      </c>
      <c r="D523" s="1">
        <v>42666</v>
      </c>
      <c r="E523" s="1">
        <v>42667</v>
      </c>
      <c r="F523" s="1">
        <v>42667</v>
      </c>
      <c r="G523">
        <v>2</v>
      </c>
      <c r="H523">
        <v>7</v>
      </c>
    </row>
    <row r="524" spans="1:8" x14ac:dyDescent="0.3">
      <c r="A524">
        <v>523</v>
      </c>
      <c r="B524">
        <v>1056</v>
      </c>
      <c r="C524">
        <v>4</v>
      </c>
      <c r="D524" s="1">
        <v>42667</v>
      </c>
      <c r="E524" s="1">
        <v>42669</v>
      </c>
      <c r="F524" s="1">
        <v>42670</v>
      </c>
      <c r="G524">
        <v>2</v>
      </c>
      <c r="H524">
        <v>6</v>
      </c>
    </row>
    <row r="525" spans="1:8" x14ac:dyDescent="0.3">
      <c r="A525">
        <v>524</v>
      </c>
      <c r="B525">
        <v>569</v>
      </c>
      <c r="C525">
        <v>4</v>
      </c>
      <c r="D525" s="1">
        <v>42668</v>
      </c>
      <c r="E525" s="1">
        <v>42669</v>
      </c>
      <c r="F525" s="1">
        <v>42670</v>
      </c>
      <c r="G525">
        <v>1</v>
      </c>
      <c r="H525">
        <v>2</v>
      </c>
    </row>
    <row r="526" spans="1:8" x14ac:dyDescent="0.3">
      <c r="A526">
        <v>525</v>
      </c>
      <c r="B526">
        <v>1315</v>
      </c>
      <c r="C526">
        <v>4</v>
      </c>
      <c r="D526" s="1">
        <v>42669</v>
      </c>
      <c r="E526" s="1">
        <v>42671</v>
      </c>
      <c r="F526" s="1">
        <v>42672</v>
      </c>
      <c r="G526">
        <v>1</v>
      </c>
      <c r="H526">
        <v>3</v>
      </c>
    </row>
    <row r="527" spans="1:8" x14ac:dyDescent="0.3">
      <c r="A527">
        <v>526</v>
      </c>
      <c r="B527">
        <v>1096</v>
      </c>
      <c r="C527">
        <v>4</v>
      </c>
      <c r="D527" s="1">
        <v>42669</v>
      </c>
      <c r="E527" s="1">
        <v>42671</v>
      </c>
      <c r="F527" s="1">
        <v>42671</v>
      </c>
      <c r="G527">
        <v>2</v>
      </c>
      <c r="H527">
        <v>6</v>
      </c>
    </row>
    <row r="528" spans="1:8" x14ac:dyDescent="0.3">
      <c r="A528">
        <v>527</v>
      </c>
      <c r="B528">
        <v>506</v>
      </c>
      <c r="C528">
        <v>4</v>
      </c>
      <c r="D528" s="1">
        <v>42670</v>
      </c>
      <c r="E528" s="1">
        <v>42672</v>
      </c>
      <c r="F528" s="1">
        <v>42671</v>
      </c>
      <c r="G528">
        <v>1</v>
      </c>
      <c r="H528">
        <v>2</v>
      </c>
    </row>
    <row r="529" spans="1:8" x14ac:dyDescent="0.3">
      <c r="A529">
        <v>528</v>
      </c>
      <c r="B529">
        <v>676</v>
      </c>
      <c r="C529">
        <v>4</v>
      </c>
      <c r="D529" s="1">
        <v>42671</v>
      </c>
      <c r="E529" s="1">
        <v>42674</v>
      </c>
      <c r="F529" s="1">
        <v>42674</v>
      </c>
      <c r="G529">
        <v>2</v>
      </c>
      <c r="H529">
        <v>7</v>
      </c>
    </row>
    <row r="530" spans="1:8" x14ac:dyDescent="0.3">
      <c r="A530">
        <v>529</v>
      </c>
      <c r="B530">
        <v>753</v>
      </c>
      <c r="C530">
        <v>4</v>
      </c>
      <c r="D530" s="1">
        <v>42671</v>
      </c>
      <c r="E530" s="1">
        <v>42673</v>
      </c>
      <c r="F530" s="1">
        <v>42674</v>
      </c>
      <c r="G530">
        <v>2</v>
      </c>
      <c r="H530">
        <v>7</v>
      </c>
    </row>
    <row r="531" spans="1:8" x14ac:dyDescent="0.3">
      <c r="A531">
        <v>530</v>
      </c>
      <c r="B531">
        <v>773</v>
      </c>
      <c r="C531">
        <v>4</v>
      </c>
      <c r="D531" s="1">
        <v>42671</v>
      </c>
      <c r="E531" s="1">
        <v>42674</v>
      </c>
      <c r="F531" s="1">
        <v>42674</v>
      </c>
      <c r="G531">
        <v>2</v>
      </c>
      <c r="H531">
        <v>6</v>
      </c>
    </row>
    <row r="532" spans="1:8" x14ac:dyDescent="0.3">
      <c r="A532">
        <v>531</v>
      </c>
      <c r="B532">
        <v>116</v>
      </c>
      <c r="C532">
        <v>4</v>
      </c>
      <c r="D532" s="1">
        <v>42671</v>
      </c>
      <c r="E532" s="1">
        <v>42672</v>
      </c>
      <c r="F532" s="1">
        <v>42673</v>
      </c>
      <c r="G532">
        <v>3</v>
      </c>
      <c r="H532">
        <v>8</v>
      </c>
    </row>
    <row r="533" spans="1:8" x14ac:dyDescent="0.3">
      <c r="A533">
        <v>532</v>
      </c>
      <c r="B533">
        <v>817</v>
      </c>
      <c r="C533">
        <v>4</v>
      </c>
      <c r="D533" s="1">
        <v>42672</v>
      </c>
      <c r="E533" s="1">
        <v>42674</v>
      </c>
      <c r="F533" s="1">
        <v>42673</v>
      </c>
      <c r="G533">
        <v>2</v>
      </c>
      <c r="H533">
        <v>7</v>
      </c>
    </row>
    <row r="534" spans="1:8" x14ac:dyDescent="0.3">
      <c r="A534">
        <v>533</v>
      </c>
      <c r="B534">
        <v>1334</v>
      </c>
      <c r="C534">
        <v>4</v>
      </c>
      <c r="D534" s="1">
        <v>42672</v>
      </c>
      <c r="E534" s="1">
        <v>42675</v>
      </c>
      <c r="F534" s="1">
        <v>42675</v>
      </c>
      <c r="G534">
        <v>2</v>
      </c>
      <c r="H534">
        <v>6</v>
      </c>
    </row>
    <row r="535" spans="1:8" x14ac:dyDescent="0.3">
      <c r="A535">
        <v>534</v>
      </c>
      <c r="B535">
        <v>1406</v>
      </c>
      <c r="C535">
        <v>4</v>
      </c>
      <c r="D535" s="1">
        <v>42672</v>
      </c>
      <c r="E535" s="1">
        <v>42673</v>
      </c>
      <c r="F535" s="1">
        <v>42674</v>
      </c>
      <c r="G535">
        <v>2</v>
      </c>
      <c r="H535">
        <v>7</v>
      </c>
    </row>
    <row r="536" spans="1:8" x14ac:dyDescent="0.3">
      <c r="A536">
        <v>535</v>
      </c>
      <c r="B536">
        <v>835</v>
      </c>
      <c r="C536">
        <v>4</v>
      </c>
      <c r="D536" s="1">
        <v>42672</v>
      </c>
      <c r="E536" s="1">
        <v>42674</v>
      </c>
      <c r="F536" s="1">
        <v>42675</v>
      </c>
      <c r="G536">
        <v>3</v>
      </c>
      <c r="H536">
        <v>9</v>
      </c>
    </row>
    <row r="537" spans="1:8" x14ac:dyDescent="0.3">
      <c r="A537">
        <v>536</v>
      </c>
      <c r="B537">
        <v>759</v>
      </c>
      <c r="C537">
        <v>4</v>
      </c>
      <c r="D537" s="1">
        <v>42674</v>
      </c>
      <c r="E537" s="1">
        <v>42676</v>
      </c>
      <c r="F537" s="1">
        <v>42675</v>
      </c>
      <c r="G537">
        <v>1</v>
      </c>
      <c r="H537">
        <v>3</v>
      </c>
    </row>
    <row r="538" spans="1:8" x14ac:dyDescent="0.3">
      <c r="A538">
        <v>537</v>
      </c>
      <c r="B538">
        <v>1353</v>
      </c>
      <c r="C538">
        <v>4</v>
      </c>
      <c r="D538" s="1">
        <v>42674</v>
      </c>
      <c r="E538" s="1">
        <v>42675</v>
      </c>
      <c r="F538" s="1">
        <v>42677</v>
      </c>
      <c r="G538">
        <v>1</v>
      </c>
      <c r="H538">
        <v>2</v>
      </c>
    </row>
    <row r="539" spans="1:8" x14ac:dyDescent="0.3">
      <c r="A539">
        <v>538</v>
      </c>
      <c r="B539">
        <v>341</v>
      </c>
      <c r="C539">
        <v>4</v>
      </c>
      <c r="D539" s="1">
        <v>42676</v>
      </c>
      <c r="E539" s="1">
        <v>42679</v>
      </c>
      <c r="F539" s="1">
        <v>42679</v>
      </c>
      <c r="G539">
        <v>2</v>
      </c>
      <c r="H539">
        <v>6</v>
      </c>
    </row>
    <row r="540" spans="1:8" x14ac:dyDescent="0.3">
      <c r="A540">
        <v>539</v>
      </c>
      <c r="B540">
        <v>1144</v>
      </c>
      <c r="C540">
        <v>4</v>
      </c>
      <c r="D540" s="1">
        <v>42676</v>
      </c>
      <c r="E540" s="1">
        <v>42678</v>
      </c>
      <c r="F540" s="1">
        <v>42677</v>
      </c>
      <c r="G540">
        <v>2</v>
      </c>
      <c r="H540">
        <v>7</v>
      </c>
    </row>
    <row r="541" spans="1:8" x14ac:dyDescent="0.3">
      <c r="A541">
        <v>540</v>
      </c>
      <c r="B541">
        <v>1429</v>
      </c>
      <c r="C541">
        <v>4</v>
      </c>
      <c r="D541" s="1">
        <v>42677</v>
      </c>
      <c r="E541" s="1">
        <v>42679</v>
      </c>
      <c r="F541" s="1">
        <v>42680</v>
      </c>
      <c r="G541">
        <v>1</v>
      </c>
      <c r="H541">
        <v>3</v>
      </c>
    </row>
    <row r="542" spans="1:8" x14ac:dyDescent="0.3">
      <c r="A542">
        <v>541</v>
      </c>
      <c r="B542">
        <v>1228</v>
      </c>
      <c r="C542">
        <v>4</v>
      </c>
      <c r="D542" s="1">
        <v>42678</v>
      </c>
      <c r="E542" s="1">
        <v>42681</v>
      </c>
      <c r="F542" s="1">
        <v>42681</v>
      </c>
      <c r="G542">
        <v>1</v>
      </c>
      <c r="H542">
        <v>3</v>
      </c>
    </row>
    <row r="543" spans="1:8" x14ac:dyDescent="0.3">
      <c r="A543">
        <v>542</v>
      </c>
      <c r="B543">
        <v>313</v>
      </c>
      <c r="C543">
        <v>4</v>
      </c>
      <c r="D543" s="1">
        <v>42678</v>
      </c>
      <c r="E543" s="1">
        <v>42680</v>
      </c>
      <c r="F543" s="1">
        <v>42679</v>
      </c>
      <c r="G543">
        <v>2</v>
      </c>
      <c r="H543">
        <v>7</v>
      </c>
    </row>
    <row r="544" spans="1:8" x14ac:dyDescent="0.3">
      <c r="A544">
        <v>543</v>
      </c>
      <c r="B544">
        <v>62</v>
      </c>
      <c r="C544">
        <v>4</v>
      </c>
      <c r="D544" s="1">
        <v>42680</v>
      </c>
      <c r="E544" s="1">
        <v>42683</v>
      </c>
      <c r="F544" s="1">
        <v>42682</v>
      </c>
      <c r="G544">
        <v>2</v>
      </c>
      <c r="H544">
        <v>6</v>
      </c>
    </row>
    <row r="545" spans="1:8" x14ac:dyDescent="0.3">
      <c r="A545">
        <v>544</v>
      </c>
      <c r="B545">
        <v>321</v>
      </c>
      <c r="C545">
        <v>4</v>
      </c>
      <c r="D545" s="1">
        <v>42680</v>
      </c>
      <c r="E545" s="1">
        <v>42681</v>
      </c>
      <c r="F545" s="1">
        <v>42682</v>
      </c>
      <c r="G545">
        <v>2</v>
      </c>
      <c r="H545">
        <v>7</v>
      </c>
    </row>
    <row r="546" spans="1:8" x14ac:dyDescent="0.3">
      <c r="A546">
        <v>545</v>
      </c>
      <c r="B546">
        <v>1108</v>
      </c>
      <c r="C546">
        <v>4</v>
      </c>
      <c r="D546" s="1">
        <v>42682</v>
      </c>
      <c r="E546" s="1">
        <v>42684</v>
      </c>
      <c r="F546" s="1">
        <v>42683</v>
      </c>
      <c r="G546">
        <v>3</v>
      </c>
      <c r="H546">
        <v>9</v>
      </c>
    </row>
    <row r="547" spans="1:8" x14ac:dyDescent="0.3">
      <c r="A547">
        <v>546</v>
      </c>
      <c r="B547">
        <v>470</v>
      </c>
      <c r="C547">
        <v>4</v>
      </c>
      <c r="D547" s="1">
        <v>42683</v>
      </c>
      <c r="E547" s="1">
        <v>42686</v>
      </c>
      <c r="F547" s="1">
        <v>42684</v>
      </c>
      <c r="G547">
        <v>2</v>
      </c>
      <c r="H547">
        <v>7</v>
      </c>
    </row>
    <row r="548" spans="1:8" x14ac:dyDescent="0.3">
      <c r="A548">
        <v>547</v>
      </c>
      <c r="B548">
        <v>20</v>
      </c>
      <c r="C548">
        <v>4</v>
      </c>
      <c r="D548" s="1">
        <v>42683</v>
      </c>
      <c r="E548" s="1">
        <v>42685</v>
      </c>
      <c r="F548" s="1">
        <v>42684</v>
      </c>
      <c r="G548">
        <v>3</v>
      </c>
      <c r="H548">
        <v>8</v>
      </c>
    </row>
    <row r="549" spans="1:8" x14ac:dyDescent="0.3">
      <c r="A549">
        <v>548</v>
      </c>
      <c r="B549">
        <v>739</v>
      </c>
      <c r="C549">
        <v>4</v>
      </c>
      <c r="D549" s="1">
        <v>42685</v>
      </c>
      <c r="E549" s="1">
        <v>42687</v>
      </c>
      <c r="F549" s="1">
        <v>42687</v>
      </c>
      <c r="G549">
        <v>2</v>
      </c>
      <c r="H549">
        <v>7</v>
      </c>
    </row>
    <row r="550" spans="1:8" x14ac:dyDescent="0.3">
      <c r="A550">
        <v>549</v>
      </c>
      <c r="B550">
        <v>64</v>
      </c>
      <c r="C550">
        <v>3</v>
      </c>
      <c r="D550" s="1">
        <v>42686</v>
      </c>
      <c r="E550" s="1">
        <v>42686</v>
      </c>
      <c r="F550" s="1">
        <v>42411</v>
      </c>
      <c r="G550">
        <v>3</v>
      </c>
      <c r="H550">
        <v>9</v>
      </c>
    </row>
    <row r="551" spans="1:8" x14ac:dyDescent="0.3">
      <c r="A551">
        <v>550</v>
      </c>
      <c r="B551">
        <v>892</v>
      </c>
      <c r="C551">
        <v>4</v>
      </c>
      <c r="D551" s="1">
        <v>42686</v>
      </c>
      <c r="E551" s="1">
        <v>42688</v>
      </c>
      <c r="F551" s="1">
        <v>42689</v>
      </c>
      <c r="G551">
        <v>2</v>
      </c>
      <c r="H551">
        <v>7</v>
      </c>
    </row>
    <row r="552" spans="1:8" x14ac:dyDescent="0.3">
      <c r="A552">
        <v>551</v>
      </c>
      <c r="B552">
        <v>1169</v>
      </c>
      <c r="C552">
        <v>4</v>
      </c>
      <c r="D552" s="1">
        <v>42686</v>
      </c>
      <c r="E552" s="1">
        <v>42687</v>
      </c>
      <c r="F552" s="1">
        <v>42687</v>
      </c>
      <c r="G552">
        <v>2</v>
      </c>
      <c r="H552">
        <v>6</v>
      </c>
    </row>
    <row r="553" spans="1:8" x14ac:dyDescent="0.3">
      <c r="A553">
        <v>552</v>
      </c>
      <c r="B553">
        <v>1282</v>
      </c>
      <c r="C553">
        <v>4</v>
      </c>
      <c r="D553" s="1">
        <v>42686</v>
      </c>
      <c r="E553" s="1">
        <v>42689</v>
      </c>
      <c r="F553" s="1">
        <v>42687</v>
      </c>
      <c r="G553">
        <v>2</v>
      </c>
      <c r="H553">
        <v>7</v>
      </c>
    </row>
    <row r="554" spans="1:8" x14ac:dyDescent="0.3">
      <c r="A554">
        <v>553</v>
      </c>
      <c r="B554">
        <v>913</v>
      </c>
      <c r="C554">
        <v>4</v>
      </c>
      <c r="D554" s="1">
        <v>42686</v>
      </c>
      <c r="E554" s="1">
        <v>42687</v>
      </c>
      <c r="F554" s="1">
        <v>42689</v>
      </c>
      <c r="G554">
        <v>3</v>
      </c>
      <c r="H554">
        <v>9</v>
      </c>
    </row>
    <row r="555" spans="1:8" x14ac:dyDescent="0.3">
      <c r="A555">
        <v>554</v>
      </c>
      <c r="B555">
        <v>104</v>
      </c>
      <c r="C555">
        <v>4</v>
      </c>
      <c r="D555" s="1">
        <v>42687</v>
      </c>
      <c r="E555" s="1">
        <v>42688</v>
      </c>
      <c r="F555" s="1">
        <v>42690</v>
      </c>
      <c r="G555">
        <v>1</v>
      </c>
      <c r="H555">
        <v>3</v>
      </c>
    </row>
    <row r="556" spans="1:8" x14ac:dyDescent="0.3">
      <c r="A556">
        <v>555</v>
      </c>
      <c r="B556">
        <v>212</v>
      </c>
      <c r="C556">
        <v>4</v>
      </c>
      <c r="D556" s="1">
        <v>42687</v>
      </c>
      <c r="E556" s="1">
        <v>42688</v>
      </c>
      <c r="F556" s="1">
        <v>42690</v>
      </c>
      <c r="G556">
        <v>2</v>
      </c>
      <c r="H556">
        <v>7</v>
      </c>
    </row>
    <row r="557" spans="1:8" x14ac:dyDescent="0.3">
      <c r="A557">
        <v>556</v>
      </c>
      <c r="B557">
        <v>61</v>
      </c>
      <c r="C557">
        <v>4</v>
      </c>
      <c r="D557" s="1">
        <v>42687</v>
      </c>
      <c r="E557" s="1">
        <v>42688</v>
      </c>
      <c r="F557" s="1">
        <v>42689</v>
      </c>
      <c r="G557">
        <v>3</v>
      </c>
      <c r="H557">
        <v>9</v>
      </c>
    </row>
    <row r="558" spans="1:8" x14ac:dyDescent="0.3">
      <c r="A558">
        <v>557</v>
      </c>
      <c r="B558">
        <v>1248</v>
      </c>
      <c r="C558">
        <v>4</v>
      </c>
      <c r="D558" s="1">
        <v>42688</v>
      </c>
      <c r="E558" s="1">
        <v>42691</v>
      </c>
      <c r="F558" s="1">
        <v>42689</v>
      </c>
      <c r="G558">
        <v>2</v>
      </c>
      <c r="H558">
        <v>6</v>
      </c>
    </row>
    <row r="559" spans="1:8" x14ac:dyDescent="0.3">
      <c r="A559">
        <v>558</v>
      </c>
      <c r="B559">
        <v>1443</v>
      </c>
      <c r="C559">
        <v>4</v>
      </c>
      <c r="D559" s="1">
        <v>42689</v>
      </c>
      <c r="E559" s="1">
        <v>42690</v>
      </c>
      <c r="F559" s="1">
        <v>42691</v>
      </c>
      <c r="G559">
        <v>2</v>
      </c>
      <c r="H559">
        <v>7</v>
      </c>
    </row>
    <row r="560" spans="1:8" x14ac:dyDescent="0.3">
      <c r="A560">
        <v>559</v>
      </c>
      <c r="B560">
        <v>959</v>
      </c>
      <c r="C560">
        <v>4</v>
      </c>
      <c r="D560" s="1">
        <v>42690</v>
      </c>
      <c r="E560" s="1">
        <v>42691</v>
      </c>
      <c r="F560" s="1">
        <v>42691</v>
      </c>
      <c r="G560">
        <v>1</v>
      </c>
      <c r="H560">
        <v>2</v>
      </c>
    </row>
    <row r="561" spans="1:8" x14ac:dyDescent="0.3">
      <c r="A561">
        <v>560</v>
      </c>
      <c r="B561">
        <v>1405</v>
      </c>
      <c r="C561">
        <v>4</v>
      </c>
      <c r="D561" s="1">
        <v>42692</v>
      </c>
      <c r="E561" s="1">
        <v>42693</v>
      </c>
      <c r="F561" s="1">
        <v>42695</v>
      </c>
      <c r="G561">
        <v>2</v>
      </c>
      <c r="H561">
        <v>6</v>
      </c>
    </row>
    <row r="562" spans="1:8" x14ac:dyDescent="0.3">
      <c r="A562">
        <v>561</v>
      </c>
      <c r="B562">
        <v>90</v>
      </c>
      <c r="C562">
        <v>4</v>
      </c>
      <c r="D562" s="1">
        <v>42693</v>
      </c>
      <c r="E562" s="1">
        <v>42696</v>
      </c>
      <c r="F562" s="1">
        <v>42696</v>
      </c>
      <c r="G562">
        <v>2</v>
      </c>
      <c r="H562">
        <v>6</v>
      </c>
    </row>
    <row r="563" spans="1:8" x14ac:dyDescent="0.3">
      <c r="A563">
        <v>562</v>
      </c>
      <c r="B563">
        <v>942</v>
      </c>
      <c r="C563">
        <v>4</v>
      </c>
      <c r="D563" s="1">
        <v>42693</v>
      </c>
      <c r="E563" s="1">
        <v>42694</v>
      </c>
      <c r="F563" s="1">
        <v>42696</v>
      </c>
      <c r="G563">
        <v>2</v>
      </c>
      <c r="H563">
        <v>7</v>
      </c>
    </row>
    <row r="564" spans="1:8" x14ac:dyDescent="0.3">
      <c r="A564">
        <v>563</v>
      </c>
      <c r="B564">
        <v>365</v>
      </c>
      <c r="C564">
        <v>4</v>
      </c>
      <c r="D564" s="1">
        <v>42694</v>
      </c>
      <c r="E564" s="1">
        <v>42696</v>
      </c>
      <c r="F564" s="1">
        <v>42695</v>
      </c>
      <c r="G564">
        <v>2</v>
      </c>
      <c r="H564">
        <v>6</v>
      </c>
    </row>
    <row r="565" spans="1:8" x14ac:dyDescent="0.3">
      <c r="A565">
        <v>564</v>
      </c>
      <c r="B565">
        <v>1058</v>
      </c>
      <c r="C565">
        <v>4</v>
      </c>
      <c r="D565" s="1">
        <v>42694</v>
      </c>
      <c r="E565" s="1">
        <v>42697</v>
      </c>
      <c r="F565" s="1">
        <v>42696</v>
      </c>
      <c r="G565">
        <v>2</v>
      </c>
      <c r="H565">
        <v>7</v>
      </c>
    </row>
    <row r="566" spans="1:8" x14ac:dyDescent="0.3">
      <c r="A566">
        <v>565</v>
      </c>
      <c r="B566">
        <v>894</v>
      </c>
      <c r="C566">
        <v>4</v>
      </c>
      <c r="D566" s="1">
        <v>42695</v>
      </c>
      <c r="E566" s="1">
        <v>42696</v>
      </c>
      <c r="F566" s="1">
        <v>42696</v>
      </c>
      <c r="G566">
        <v>2</v>
      </c>
      <c r="H566">
        <v>7</v>
      </c>
    </row>
    <row r="567" spans="1:8" x14ac:dyDescent="0.3">
      <c r="A567">
        <v>566</v>
      </c>
      <c r="B567">
        <v>298</v>
      </c>
      <c r="C567">
        <v>4</v>
      </c>
      <c r="D567" s="1">
        <v>42696</v>
      </c>
      <c r="E567" s="1">
        <v>42699</v>
      </c>
      <c r="F567" s="1">
        <v>42697</v>
      </c>
      <c r="G567">
        <v>1</v>
      </c>
      <c r="H567">
        <v>3</v>
      </c>
    </row>
    <row r="568" spans="1:8" x14ac:dyDescent="0.3">
      <c r="A568">
        <v>567</v>
      </c>
      <c r="B568">
        <v>1430</v>
      </c>
      <c r="C568">
        <v>4</v>
      </c>
      <c r="D568" s="1">
        <v>42696</v>
      </c>
      <c r="E568" s="1">
        <v>42697</v>
      </c>
      <c r="F568" s="1">
        <v>42697</v>
      </c>
      <c r="G568">
        <v>1</v>
      </c>
      <c r="H568">
        <v>2</v>
      </c>
    </row>
    <row r="569" spans="1:8" x14ac:dyDescent="0.3">
      <c r="A569">
        <v>568</v>
      </c>
      <c r="B569">
        <v>1275</v>
      </c>
      <c r="C569">
        <v>4</v>
      </c>
      <c r="D569" s="1">
        <v>42697</v>
      </c>
      <c r="E569" s="1">
        <v>42699</v>
      </c>
      <c r="F569" s="1">
        <v>42698</v>
      </c>
      <c r="G569">
        <v>1</v>
      </c>
      <c r="H569">
        <v>3</v>
      </c>
    </row>
    <row r="570" spans="1:8" x14ac:dyDescent="0.3">
      <c r="A570">
        <v>569</v>
      </c>
      <c r="B570">
        <v>707</v>
      </c>
      <c r="C570">
        <v>4</v>
      </c>
      <c r="D570" s="1">
        <v>42697</v>
      </c>
      <c r="E570" s="1">
        <v>42698</v>
      </c>
      <c r="F570" s="1">
        <v>42699</v>
      </c>
      <c r="G570">
        <v>2</v>
      </c>
      <c r="H570">
        <v>6</v>
      </c>
    </row>
    <row r="571" spans="1:8" x14ac:dyDescent="0.3">
      <c r="A571">
        <v>570</v>
      </c>
      <c r="B571">
        <v>989</v>
      </c>
      <c r="C571">
        <v>4</v>
      </c>
      <c r="D571" s="1">
        <v>42697</v>
      </c>
      <c r="E571" s="1">
        <v>42698</v>
      </c>
      <c r="F571" s="1">
        <v>42699</v>
      </c>
      <c r="G571">
        <v>2</v>
      </c>
      <c r="H571">
        <v>6</v>
      </c>
    </row>
    <row r="572" spans="1:8" x14ac:dyDescent="0.3">
      <c r="A572">
        <v>571</v>
      </c>
      <c r="B572">
        <v>5</v>
      </c>
      <c r="C572">
        <v>4</v>
      </c>
      <c r="D572" s="1">
        <v>42698</v>
      </c>
      <c r="E572" s="1">
        <v>42699</v>
      </c>
      <c r="F572" s="1">
        <v>42701</v>
      </c>
      <c r="G572">
        <v>1</v>
      </c>
      <c r="H572">
        <v>2</v>
      </c>
    </row>
    <row r="573" spans="1:8" x14ac:dyDescent="0.3">
      <c r="A573">
        <v>572</v>
      </c>
      <c r="B573">
        <v>178</v>
      </c>
      <c r="C573">
        <v>4</v>
      </c>
      <c r="D573" s="1">
        <v>42698</v>
      </c>
      <c r="E573" s="1">
        <v>42700</v>
      </c>
      <c r="F573" s="1">
        <v>42700</v>
      </c>
      <c r="G573">
        <v>2</v>
      </c>
      <c r="H573">
        <v>6</v>
      </c>
    </row>
    <row r="574" spans="1:8" x14ac:dyDescent="0.3">
      <c r="A574">
        <v>573</v>
      </c>
      <c r="B574">
        <v>423</v>
      </c>
      <c r="C574">
        <v>4</v>
      </c>
      <c r="D574" s="1">
        <v>42698</v>
      </c>
      <c r="E574" s="1">
        <v>42700</v>
      </c>
      <c r="F574" s="1">
        <v>42701</v>
      </c>
      <c r="G574">
        <v>2</v>
      </c>
      <c r="H574">
        <v>6</v>
      </c>
    </row>
    <row r="575" spans="1:8" x14ac:dyDescent="0.3">
      <c r="A575">
        <v>574</v>
      </c>
      <c r="B575">
        <v>833</v>
      </c>
      <c r="C575">
        <v>4</v>
      </c>
      <c r="D575" s="1">
        <v>42700</v>
      </c>
      <c r="E575" s="1">
        <v>42701</v>
      </c>
      <c r="F575" s="1">
        <v>42703</v>
      </c>
      <c r="G575">
        <v>2</v>
      </c>
      <c r="H575">
        <v>7</v>
      </c>
    </row>
    <row r="576" spans="1:8" x14ac:dyDescent="0.3">
      <c r="A576">
        <v>575</v>
      </c>
      <c r="B576">
        <v>33</v>
      </c>
      <c r="C576">
        <v>4</v>
      </c>
      <c r="D576" s="1">
        <v>42701</v>
      </c>
      <c r="E576" s="1">
        <v>42702</v>
      </c>
      <c r="F576" s="1">
        <v>42704</v>
      </c>
      <c r="G576">
        <v>1</v>
      </c>
      <c r="H576">
        <v>3</v>
      </c>
    </row>
    <row r="577" spans="1:8" x14ac:dyDescent="0.3">
      <c r="A577">
        <v>576</v>
      </c>
      <c r="B577">
        <v>1272</v>
      </c>
      <c r="C577">
        <v>4</v>
      </c>
      <c r="D577" s="1">
        <v>42701</v>
      </c>
      <c r="E577" s="1">
        <v>42704</v>
      </c>
      <c r="F577" s="1">
        <v>42702</v>
      </c>
      <c r="G577">
        <v>1</v>
      </c>
      <c r="H577">
        <v>3</v>
      </c>
    </row>
    <row r="578" spans="1:8" x14ac:dyDescent="0.3">
      <c r="A578">
        <v>577</v>
      </c>
      <c r="B578">
        <v>445</v>
      </c>
      <c r="C578">
        <v>4</v>
      </c>
      <c r="D578" s="1">
        <v>42701</v>
      </c>
      <c r="E578" s="1">
        <v>42704</v>
      </c>
      <c r="F578" s="1">
        <v>42703</v>
      </c>
      <c r="G578">
        <v>2</v>
      </c>
      <c r="H578">
        <v>6</v>
      </c>
    </row>
    <row r="579" spans="1:8" x14ac:dyDescent="0.3">
      <c r="A579">
        <v>578</v>
      </c>
      <c r="B579">
        <v>819</v>
      </c>
      <c r="C579">
        <v>4</v>
      </c>
      <c r="D579" s="1">
        <v>42701</v>
      </c>
      <c r="E579" s="1">
        <v>42702</v>
      </c>
      <c r="F579" s="1">
        <v>42703</v>
      </c>
      <c r="G579">
        <v>2</v>
      </c>
      <c r="H579">
        <v>7</v>
      </c>
    </row>
    <row r="580" spans="1:8" x14ac:dyDescent="0.3">
      <c r="A580">
        <v>579</v>
      </c>
      <c r="B580">
        <v>160</v>
      </c>
      <c r="C580">
        <v>4</v>
      </c>
      <c r="D580" s="1">
        <v>42701</v>
      </c>
      <c r="E580" s="1">
        <v>42704</v>
      </c>
      <c r="F580" s="1">
        <v>42703</v>
      </c>
      <c r="G580">
        <v>3</v>
      </c>
      <c r="H580">
        <v>8</v>
      </c>
    </row>
    <row r="581" spans="1:8" x14ac:dyDescent="0.3">
      <c r="A581">
        <v>580</v>
      </c>
      <c r="B581">
        <v>581</v>
      </c>
      <c r="C581">
        <v>4</v>
      </c>
      <c r="D581" s="1">
        <v>42704</v>
      </c>
      <c r="E581" s="1">
        <v>42706</v>
      </c>
      <c r="F581" s="1">
        <v>42706</v>
      </c>
      <c r="G581">
        <v>1</v>
      </c>
      <c r="H581">
        <v>3</v>
      </c>
    </row>
    <row r="582" spans="1:8" x14ac:dyDescent="0.3">
      <c r="A582">
        <v>581</v>
      </c>
      <c r="B582">
        <v>688</v>
      </c>
      <c r="C582">
        <v>4</v>
      </c>
      <c r="D582" s="1">
        <v>42707</v>
      </c>
      <c r="E582" s="1">
        <v>42709</v>
      </c>
      <c r="F582" s="1">
        <v>42710</v>
      </c>
      <c r="G582">
        <v>1</v>
      </c>
      <c r="H582">
        <v>3</v>
      </c>
    </row>
    <row r="583" spans="1:8" x14ac:dyDescent="0.3">
      <c r="A583">
        <v>582</v>
      </c>
      <c r="B583">
        <v>32</v>
      </c>
      <c r="C583">
        <v>3</v>
      </c>
      <c r="D583" s="1">
        <v>42708</v>
      </c>
      <c r="E583" s="1">
        <v>42708</v>
      </c>
      <c r="F583" s="1">
        <v>42411</v>
      </c>
      <c r="G583">
        <v>1</v>
      </c>
      <c r="H583">
        <v>2</v>
      </c>
    </row>
    <row r="584" spans="1:8" x14ac:dyDescent="0.3">
      <c r="A584">
        <v>583</v>
      </c>
      <c r="B584">
        <v>792</v>
      </c>
      <c r="C584">
        <v>4</v>
      </c>
      <c r="D584" s="1">
        <v>42708</v>
      </c>
      <c r="E584" s="1">
        <v>42709</v>
      </c>
      <c r="F584" s="1">
        <v>42711</v>
      </c>
      <c r="G584">
        <v>2</v>
      </c>
      <c r="H584">
        <v>7</v>
      </c>
    </row>
    <row r="585" spans="1:8" x14ac:dyDescent="0.3">
      <c r="A585">
        <v>584</v>
      </c>
      <c r="B585">
        <v>1209</v>
      </c>
      <c r="C585">
        <v>4</v>
      </c>
      <c r="D585" s="1">
        <v>42708</v>
      </c>
      <c r="E585" s="1">
        <v>42709</v>
      </c>
      <c r="F585" s="1">
        <v>42709</v>
      </c>
      <c r="G585">
        <v>2</v>
      </c>
      <c r="H585">
        <v>7</v>
      </c>
    </row>
    <row r="586" spans="1:8" x14ac:dyDescent="0.3">
      <c r="A586">
        <v>585</v>
      </c>
      <c r="B586">
        <v>1219</v>
      </c>
      <c r="C586">
        <v>4</v>
      </c>
      <c r="D586" s="1">
        <v>42708</v>
      </c>
      <c r="E586" s="1">
        <v>42709</v>
      </c>
      <c r="F586" s="1">
        <v>42709</v>
      </c>
      <c r="G586">
        <v>2</v>
      </c>
      <c r="H586">
        <v>7</v>
      </c>
    </row>
    <row r="587" spans="1:8" x14ac:dyDescent="0.3">
      <c r="A587">
        <v>586</v>
      </c>
      <c r="B587">
        <v>1306</v>
      </c>
      <c r="C587">
        <v>4</v>
      </c>
      <c r="D587" s="1">
        <v>42708</v>
      </c>
      <c r="E587" s="1">
        <v>42710</v>
      </c>
      <c r="F587" s="1">
        <v>42709</v>
      </c>
      <c r="G587">
        <v>2</v>
      </c>
      <c r="H587">
        <v>6</v>
      </c>
    </row>
    <row r="588" spans="1:8" x14ac:dyDescent="0.3">
      <c r="A588">
        <v>587</v>
      </c>
      <c r="B588">
        <v>487</v>
      </c>
      <c r="C588">
        <v>4</v>
      </c>
      <c r="D588" s="1">
        <v>42710</v>
      </c>
      <c r="E588" s="1">
        <v>42712</v>
      </c>
      <c r="F588" s="1">
        <v>42712</v>
      </c>
      <c r="G588">
        <v>1</v>
      </c>
      <c r="H588">
        <v>2</v>
      </c>
    </row>
    <row r="589" spans="1:8" x14ac:dyDescent="0.3">
      <c r="A589">
        <v>588</v>
      </c>
      <c r="B589">
        <v>102</v>
      </c>
      <c r="C589">
        <v>4</v>
      </c>
      <c r="D589" s="1">
        <v>42710</v>
      </c>
      <c r="E589" s="1">
        <v>42711</v>
      </c>
      <c r="F589" s="1">
        <v>42711</v>
      </c>
      <c r="G589">
        <v>2</v>
      </c>
      <c r="H589">
        <v>7</v>
      </c>
    </row>
    <row r="590" spans="1:8" x14ac:dyDescent="0.3">
      <c r="A590">
        <v>589</v>
      </c>
      <c r="B590">
        <v>719</v>
      </c>
      <c r="C590">
        <v>4</v>
      </c>
      <c r="D590" s="1">
        <v>42710</v>
      </c>
      <c r="E590" s="1">
        <v>42711</v>
      </c>
      <c r="F590" s="1">
        <v>42711</v>
      </c>
      <c r="G590">
        <v>2</v>
      </c>
      <c r="H590">
        <v>7</v>
      </c>
    </row>
    <row r="591" spans="1:8" x14ac:dyDescent="0.3">
      <c r="A591">
        <v>590</v>
      </c>
      <c r="B591">
        <v>990</v>
      </c>
      <c r="C591">
        <v>4</v>
      </c>
      <c r="D591" s="1">
        <v>42710</v>
      </c>
      <c r="E591" s="1">
        <v>42713</v>
      </c>
      <c r="F591" s="1">
        <v>42711</v>
      </c>
      <c r="G591">
        <v>2</v>
      </c>
      <c r="H591">
        <v>7</v>
      </c>
    </row>
    <row r="592" spans="1:8" x14ac:dyDescent="0.3">
      <c r="A592">
        <v>591</v>
      </c>
      <c r="B592">
        <v>1211</v>
      </c>
      <c r="C592">
        <v>4</v>
      </c>
      <c r="D592" s="1">
        <v>42710</v>
      </c>
      <c r="E592" s="1">
        <v>42713</v>
      </c>
      <c r="F592" s="1">
        <v>42713</v>
      </c>
      <c r="G592">
        <v>2</v>
      </c>
      <c r="H592">
        <v>7</v>
      </c>
    </row>
    <row r="593" spans="1:8" x14ac:dyDescent="0.3">
      <c r="A593">
        <v>592</v>
      </c>
      <c r="B593">
        <v>1232</v>
      </c>
      <c r="C593">
        <v>4</v>
      </c>
      <c r="D593" s="1">
        <v>42710</v>
      </c>
      <c r="E593" s="1">
        <v>42712</v>
      </c>
      <c r="F593" s="1">
        <v>42712</v>
      </c>
      <c r="G593">
        <v>2</v>
      </c>
      <c r="H593">
        <v>7</v>
      </c>
    </row>
    <row r="594" spans="1:8" x14ac:dyDescent="0.3">
      <c r="A594">
        <v>593</v>
      </c>
      <c r="B594">
        <v>50</v>
      </c>
      <c r="C594">
        <v>4</v>
      </c>
      <c r="D594" s="1">
        <v>42711</v>
      </c>
      <c r="E594" s="1">
        <v>42714</v>
      </c>
      <c r="F594" s="1">
        <v>42712</v>
      </c>
      <c r="G594">
        <v>3</v>
      </c>
      <c r="H594">
        <v>8</v>
      </c>
    </row>
    <row r="595" spans="1:8" x14ac:dyDescent="0.3">
      <c r="A595">
        <v>594</v>
      </c>
      <c r="B595">
        <v>1318</v>
      </c>
      <c r="C595">
        <v>4</v>
      </c>
      <c r="D595" s="1">
        <v>42711</v>
      </c>
      <c r="E595" s="1">
        <v>42712</v>
      </c>
      <c r="F595" s="1">
        <v>42712</v>
      </c>
      <c r="G595">
        <v>3</v>
      </c>
      <c r="H595">
        <v>8</v>
      </c>
    </row>
    <row r="596" spans="1:8" x14ac:dyDescent="0.3">
      <c r="A596">
        <v>595</v>
      </c>
      <c r="B596">
        <v>538</v>
      </c>
      <c r="C596">
        <v>4</v>
      </c>
      <c r="D596" s="1">
        <v>42712</v>
      </c>
      <c r="E596" s="1">
        <v>42713</v>
      </c>
      <c r="F596" s="1">
        <v>42715</v>
      </c>
      <c r="G596">
        <v>1</v>
      </c>
      <c r="H596">
        <v>2</v>
      </c>
    </row>
    <row r="597" spans="1:8" x14ac:dyDescent="0.3">
      <c r="A597">
        <v>596</v>
      </c>
      <c r="B597">
        <v>952</v>
      </c>
      <c r="C597">
        <v>4</v>
      </c>
      <c r="D597" s="1">
        <v>42712</v>
      </c>
      <c r="E597" s="1">
        <v>42713</v>
      </c>
      <c r="F597" s="1">
        <v>42713</v>
      </c>
      <c r="G597">
        <v>1</v>
      </c>
      <c r="H597">
        <v>3</v>
      </c>
    </row>
    <row r="598" spans="1:8" x14ac:dyDescent="0.3">
      <c r="A598">
        <v>597</v>
      </c>
      <c r="B598">
        <v>1121</v>
      </c>
      <c r="C598">
        <v>4</v>
      </c>
      <c r="D598" s="1">
        <v>42712</v>
      </c>
      <c r="E598" s="1">
        <v>42713</v>
      </c>
      <c r="F598" s="1">
        <v>42714</v>
      </c>
      <c r="G598">
        <v>2</v>
      </c>
      <c r="H598">
        <v>6</v>
      </c>
    </row>
    <row r="599" spans="1:8" x14ac:dyDescent="0.3">
      <c r="A599">
        <v>598</v>
      </c>
      <c r="B599">
        <v>40</v>
      </c>
      <c r="C599">
        <v>3</v>
      </c>
      <c r="D599" s="1">
        <v>42713</v>
      </c>
      <c r="E599" s="1">
        <v>42713</v>
      </c>
      <c r="F599" s="1">
        <v>42411</v>
      </c>
      <c r="G599">
        <v>1</v>
      </c>
      <c r="H599">
        <v>3</v>
      </c>
    </row>
    <row r="600" spans="1:8" x14ac:dyDescent="0.3">
      <c r="A600">
        <v>599</v>
      </c>
      <c r="B600">
        <v>1</v>
      </c>
      <c r="C600">
        <v>4</v>
      </c>
      <c r="D600" s="1">
        <v>42713</v>
      </c>
      <c r="E600" s="1">
        <v>42714</v>
      </c>
      <c r="F600" s="1">
        <v>42716</v>
      </c>
      <c r="G600">
        <v>2</v>
      </c>
      <c r="H600">
        <v>6</v>
      </c>
    </row>
    <row r="601" spans="1:8" x14ac:dyDescent="0.3">
      <c r="A601">
        <v>600</v>
      </c>
      <c r="B601">
        <v>624</v>
      </c>
      <c r="C601">
        <v>4</v>
      </c>
      <c r="D601" s="1">
        <v>42713</v>
      </c>
      <c r="E601" s="1">
        <v>42716</v>
      </c>
      <c r="F601" s="1">
        <v>42715</v>
      </c>
      <c r="G601">
        <v>2</v>
      </c>
      <c r="H601">
        <v>7</v>
      </c>
    </row>
    <row r="602" spans="1:8" x14ac:dyDescent="0.3">
      <c r="A602">
        <v>601</v>
      </c>
      <c r="B602">
        <v>683</v>
      </c>
      <c r="C602">
        <v>4</v>
      </c>
      <c r="D602" s="1">
        <v>42713</v>
      </c>
      <c r="E602" s="1">
        <v>42714</v>
      </c>
      <c r="F602" s="1">
        <v>42714</v>
      </c>
      <c r="G602">
        <v>2</v>
      </c>
      <c r="H602">
        <v>6</v>
      </c>
    </row>
    <row r="603" spans="1:8" x14ac:dyDescent="0.3">
      <c r="A603">
        <v>602</v>
      </c>
      <c r="B603">
        <v>823</v>
      </c>
      <c r="C603">
        <v>4</v>
      </c>
      <c r="D603" s="1">
        <v>42713</v>
      </c>
      <c r="E603" s="1">
        <v>42714</v>
      </c>
      <c r="F603" s="1">
        <v>42715</v>
      </c>
      <c r="G603">
        <v>2</v>
      </c>
      <c r="H603">
        <v>6</v>
      </c>
    </row>
    <row r="604" spans="1:8" x14ac:dyDescent="0.3">
      <c r="A604">
        <v>603</v>
      </c>
      <c r="B604">
        <v>1032</v>
      </c>
      <c r="C604">
        <v>4</v>
      </c>
      <c r="D604" s="1">
        <v>42713</v>
      </c>
      <c r="E604" s="1">
        <v>42714</v>
      </c>
      <c r="F604" s="1">
        <v>42714</v>
      </c>
      <c r="G604">
        <v>2</v>
      </c>
      <c r="H604">
        <v>7</v>
      </c>
    </row>
    <row r="605" spans="1:8" x14ac:dyDescent="0.3">
      <c r="A605">
        <v>604</v>
      </c>
      <c r="B605">
        <v>96</v>
      </c>
      <c r="C605">
        <v>4</v>
      </c>
      <c r="D605" s="1">
        <v>42714</v>
      </c>
      <c r="E605" s="1">
        <v>42717</v>
      </c>
      <c r="F605" s="1">
        <v>42716</v>
      </c>
      <c r="G605">
        <v>2</v>
      </c>
      <c r="H605">
        <v>7</v>
      </c>
    </row>
    <row r="606" spans="1:8" x14ac:dyDescent="0.3">
      <c r="A606">
        <v>605</v>
      </c>
      <c r="B606">
        <v>1208</v>
      </c>
      <c r="C606">
        <v>4</v>
      </c>
      <c r="D606" s="1">
        <v>42714</v>
      </c>
      <c r="E606" s="1">
        <v>42715</v>
      </c>
      <c r="F606" s="1">
        <v>42716</v>
      </c>
      <c r="G606">
        <v>2</v>
      </c>
      <c r="H606">
        <v>6</v>
      </c>
    </row>
    <row r="607" spans="1:8" x14ac:dyDescent="0.3">
      <c r="A607">
        <v>606</v>
      </c>
      <c r="B607">
        <v>18</v>
      </c>
      <c r="C607">
        <v>4</v>
      </c>
      <c r="D607" s="1">
        <v>42715</v>
      </c>
      <c r="E607" s="1">
        <v>42716</v>
      </c>
      <c r="F607" s="1">
        <v>42717</v>
      </c>
      <c r="G607">
        <v>2</v>
      </c>
      <c r="H607">
        <v>7</v>
      </c>
    </row>
    <row r="608" spans="1:8" x14ac:dyDescent="0.3">
      <c r="A608">
        <v>607</v>
      </c>
      <c r="B608">
        <v>309</v>
      </c>
      <c r="C608">
        <v>4</v>
      </c>
      <c r="D608" s="1">
        <v>42715</v>
      </c>
      <c r="E608" s="1">
        <v>42718</v>
      </c>
      <c r="F608" s="1">
        <v>42717</v>
      </c>
      <c r="G608">
        <v>2</v>
      </c>
      <c r="H608">
        <v>6</v>
      </c>
    </row>
    <row r="609" spans="1:8" x14ac:dyDescent="0.3">
      <c r="A609">
        <v>608</v>
      </c>
      <c r="B609">
        <v>1103</v>
      </c>
      <c r="C609">
        <v>4</v>
      </c>
      <c r="D609" s="1">
        <v>42716</v>
      </c>
      <c r="E609" s="1">
        <v>42719</v>
      </c>
      <c r="F609" s="1">
        <v>42718</v>
      </c>
      <c r="G609">
        <v>1</v>
      </c>
      <c r="H609">
        <v>3</v>
      </c>
    </row>
    <row r="610" spans="1:8" x14ac:dyDescent="0.3">
      <c r="A610">
        <v>609</v>
      </c>
      <c r="B610">
        <v>896</v>
      </c>
      <c r="C610">
        <v>4</v>
      </c>
      <c r="D610" s="1">
        <v>42716</v>
      </c>
      <c r="E610" s="1">
        <v>42717</v>
      </c>
      <c r="F610" s="1">
        <v>42718</v>
      </c>
      <c r="G610">
        <v>2</v>
      </c>
      <c r="H610">
        <v>7</v>
      </c>
    </row>
    <row r="611" spans="1:8" x14ac:dyDescent="0.3">
      <c r="A611">
        <v>610</v>
      </c>
      <c r="B611">
        <v>711</v>
      </c>
      <c r="C611">
        <v>4</v>
      </c>
      <c r="D611" s="1">
        <v>42717</v>
      </c>
      <c r="E611" s="1">
        <v>42719</v>
      </c>
      <c r="F611" s="1">
        <v>42718</v>
      </c>
      <c r="G611">
        <v>2</v>
      </c>
      <c r="H611">
        <v>6</v>
      </c>
    </row>
    <row r="612" spans="1:8" x14ac:dyDescent="0.3">
      <c r="A612">
        <v>611</v>
      </c>
      <c r="B612">
        <v>1073</v>
      </c>
      <c r="C612">
        <v>4</v>
      </c>
      <c r="D612" s="1">
        <v>42719</v>
      </c>
      <c r="E612" s="1">
        <v>42721</v>
      </c>
      <c r="F612" s="1">
        <v>42722</v>
      </c>
      <c r="G612">
        <v>2</v>
      </c>
      <c r="H612">
        <v>7</v>
      </c>
    </row>
    <row r="613" spans="1:8" x14ac:dyDescent="0.3">
      <c r="A613">
        <v>612</v>
      </c>
      <c r="B613">
        <v>634</v>
      </c>
      <c r="C613">
        <v>4</v>
      </c>
      <c r="D613" s="1">
        <v>42720</v>
      </c>
      <c r="E613" s="1">
        <v>42721</v>
      </c>
      <c r="F613" s="1">
        <v>42721</v>
      </c>
      <c r="G613">
        <v>2</v>
      </c>
      <c r="H613">
        <v>7</v>
      </c>
    </row>
    <row r="614" spans="1:8" x14ac:dyDescent="0.3">
      <c r="A614">
        <v>613</v>
      </c>
      <c r="B614">
        <v>1159</v>
      </c>
      <c r="C614">
        <v>4</v>
      </c>
      <c r="D614" s="1">
        <v>42721</v>
      </c>
      <c r="E614" s="1">
        <v>42723</v>
      </c>
      <c r="F614" s="1">
        <v>42723</v>
      </c>
      <c r="G614">
        <v>2</v>
      </c>
      <c r="H614">
        <v>7</v>
      </c>
    </row>
    <row r="615" spans="1:8" x14ac:dyDescent="0.3">
      <c r="A615">
        <v>614</v>
      </c>
      <c r="B615">
        <v>654</v>
      </c>
      <c r="C615">
        <v>4</v>
      </c>
      <c r="D615" s="1">
        <v>42722</v>
      </c>
      <c r="E615" s="1">
        <v>42725</v>
      </c>
      <c r="F615" s="1">
        <v>42725</v>
      </c>
      <c r="G615">
        <v>1</v>
      </c>
      <c r="H615">
        <v>2</v>
      </c>
    </row>
    <row r="616" spans="1:8" x14ac:dyDescent="0.3">
      <c r="A616">
        <v>615</v>
      </c>
      <c r="B616">
        <v>560</v>
      </c>
      <c r="C616">
        <v>4</v>
      </c>
      <c r="D616" s="1">
        <v>42723</v>
      </c>
      <c r="E616" s="1">
        <v>42726</v>
      </c>
      <c r="F616" s="1">
        <v>42725</v>
      </c>
      <c r="G616">
        <v>3</v>
      </c>
      <c r="H616">
        <v>9</v>
      </c>
    </row>
    <row r="617" spans="1:8" x14ac:dyDescent="0.3">
      <c r="A617">
        <v>616</v>
      </c>
      <c r="B617">
        <v>1444</v>
      </c>
      <c r="C617">
        <v>4</v>
      </c>
      <c r="D617" s="1">
        <v>42724</v>
      </c>
      <c r="E617" s="1">
        <v>42727</v>
      </c>
      <c r="F617" s="1">
        <v>42727</v>
      </c>
      <c r="G617">
        <v>2</v>
      </c>
      <c r="H617">
        <v>6</v>
      </c>
    </row>
    <row r="618" spans="1:8" x14ac:dyDescent="0.3">
      <c r="A618">
        <v>617</v>
      </c>
      <c r="B618">
        <v>118</v>
      </c>
      <c r="C618">
        <v>4</v>
      </c>
      <c r="D618" s="1">
        <v>42725</v>
      </c>
      <c r="E618" s="1">
        <v>42727</v>
      </c>
      <c r="F618" s="1">
        <v>42727</v>
      </c>
      <c r="G618">
        <v>2</v>
      </c>
      <c r="H618">
        <v>7</v>
      </c>
    </row>
    <row r="619" spans="1:8" x14ac:dyDescent="0.3">
      <c r="A619">
        <v>618</v>
      </c>
      <c r="B619">
        <v>131</v>
      </c>
      <c r="C619">
        <v>4</v>
      </c>
      <c r="D619" s="1">
        <v>42725</v>
      </c>
      <c r="E619" s="1">
        <v>42726</v>
      </c>
      <c r="F619" s="1">
        <v>42726</v>
      </c>
      <c r="G619">
        <v>2</v>
      </c>
      <c r="H619">
        <v>6</v>
      </c>
    </row>
    <row r="620" spans="1:8" x14ac:dyDescent="0.3">
      <c r="A620">
        <v>619</v>
      </c>
      <c r="B620">
        <v>454</v>
      </c>
      <c r="C620">
        <v>4</v>
      </c>
      <c r="D620" s="1">
        <v>42726</v>
      </c>
      <c r="E620" s="1">
        <v>42729</v>
      </c>
      <c r="F620" s="1">
        <v>42729</v>
      </c>
      <c r="G620">
        <v>2</v>
      </c>
      <c r="H620">
        <v>7</v>
      </c>
    </row>
    <row r="621" spans="1:8" x14ac:dyDescent="0.3">
      <c r="A621">
        <v>620</v>
      </c>
      <c r="B621">
        <v>466</v>
      </c>
      <c r="C621">
        <v>4</v>
      </c>
      <c r="D621" s="1">
        <v>42726</v>
      </c>
      <c r="E621" s="1">
        <v>42728</v>
      </c>
      <c r="F621" s="1">
        <v>42728</v>
      </c>
      <c r="G621">
        <v>2</v>
      </c>
      <c r="H621">
        <v>6</v>
      </c>
    </row>
    <row r="622" spans="1:8" x14ac:dyDescent="0.3">
      <c r="A622">
        <v>621</v>
      </c>
      <c r="B622">
        <v>1157</v>
      </c>
      <c r="C622">
        <v>4</v>
      </c>
      <c r="D622" s="1">
        <v>42727</v>
      </c>
      <c r="E622" s="1">
        <v>42729</v>
      </c>
      <c r="F622" s="1">
        <v>42728</v>
      </c>
      <c r="G622">
        <v>2</v>
      </c>
      <c r="H622">
        <v>6</v>
      </c>
    </row>
    <row r="623" spans="1:8" x14ac:dyDescent="0.3">
      <c r="A623">
        <v>622</v>
      </c>
      <c r="B623">
        <v>1398</v>
      </c>
      <c r="C623">
        <v>4</v>
      </c>
      <c r="D623" s="1">
        <v>42727</v>
      </c>
      <c r="E623" s="1">
        <v>42730</v>
      </c>
      <c r="F623" s="1">
        <v>42729</v>
      </c>
      <c r="G623">
        <v>2</v>
      </c>
      <c r="H623">
        <v>7</v>
      </c>
    </row>
    <row r="624" spans="1:8" x14ac:dyDescent="0.3">
      <c r="A624">
        <v>623</v>
      </c>
      <c r="B624">
        <v>678</v>
      </c>
      <c r="C624">
        <v>4</v>
      </c>
      <c r="D624" s="1">
        <v>42728</v>
      </c>
      <c r="E624" s="1">
        <v>42730</v>
      </c>
      <c r="F624" s="1">
        <v>42731</v>
      </c>
      <c r="G624">
        <v>2</v>
      </c>
      <c r="H624">
        <v>6</v>
      </c>
    </row>
    <row r="625" spans="1:8" x14ac:dyDescent="0.3">
      <c r="A625">
        <v>624</v>
      </c>
      <c r="B625">
        <v>814</v>
      </c>
      <c r="C625">
        <v>4</v>
      </c>
      <c r="D625" s="1">
        <v>42728</v>
      </c>
      <c r="E625" s="1">
        <v>42729</v>
      </c>
      <c r="F625" s="1">
        <v>42731</v>
      </c>
      <c r="G625">
        <v>2</v>
      </c>
      <c r="H625">
        <v>6</v>
      </c>
    </row>
    <row r="626" spans="1:8" x14ac:dyDescent="0.3">
      <c r="A626">
        <v>625</v>
      </c>
      <c r="B626">
        <v>1163</v>
      </c>
      <c r="C626">
        <v>4</v>
      </c>
      <c r="D626" s="1">
        <v>42729</v>
      </c>
      <c r="E626" s="1">
        <v>42732</v>
      </c>
      <c r="F626" s="1">
        <v>42730</v>
      </c>
      <c r="G626">
        <v>1</v>
      </c>
      <c r="H626">
        <v>2</v>
      </c>
    </row>
    <row r="627" spans="1:8" x14ac:dyDescent="0.3">
      <c r="A627">
        <v>626</v>
      </c>
      <c r="B627">
        <v>130</v>
      </c>
      <c r="C627">
        <v>4</v>
      </c>
      <c r="D627" s="1">
        <v>42729</v>
      </c>
      <c r="E627" s="1">
        <v>42732</v>
      </c>
      <c r="F627" s="1">
        <v>42731</v>
      </c>
      <c r="G627">
        <v>2</v>
      </c>
      <c r="H627">
        <v>7</v>
      </c>
    </row>
    <row r="628" spans="1:8" x14ac:dyDescent="0.3">
      <c r="A628">
        <v>627</v>
      </c>
      <c r="B628">
        <v>1119</v>
      </c>
      <c r="C628">
        <v>4</v>
      </c>
      <c r="D628" s="1">
        <v>42729</v>
      </c>
      <c r="E628" s="1">
        <v>42730</v>
      </c>
      <c r="F628" s="1">
        <v>42732</v>
      </c>
      <c r="G628">
        <v>2</v>
      </c>
      <c r="H628">
        <v>6</v>
      </c>
    </row>
    <row r="629" spans="1:8" x14ac:dyDescent="0.3">
      <c r="A629">
        <v>628</v>
      </c>
      <c r="B629">
        <v>561</v>
      </c>
      <c r="C629">
        <v>4</v>
      </c>
      <c r="D629" s="1">
        <v>42730</v>
      </c>
      <c r="E629" s="1">
        <v>42733</v>
      </c>
      <c r="F629" s="1">
        <v>42731</v>
      </c>
      <c r="G629">
        <v>1</v>
      </c>
      <c r="H629">
        <v>3</v>
      </c>
    </row>
    <row r="630" spans="1:8" x14ac:dyDescent="0.3">
      <c r="A630">
        <v>629</v>
      </c>
      <c r="B630">
        <v>973</v>
      </c>
      <c r="C630">
        <v>4</v>
      </c>
      <c r="D630" s="1">
        <v>42730</v>
      </c>
      <c r="E630" s="1">
        <v>42731</v>
      </c>
      <c r="F630" s="1">
        <v>42733</v>
      </c>
      <c r="G630">
        <v>1</v>
      </c>
      <c r="H630">
        <v>2</v>
      </c>
    </row>
    <row r="631" spans="1:8" x14ac:dyDescent="0.3">
      <c r="A631">
        <v>630</v>
      </c>
      <c r="B631">
        <v>1404</v>
      </c>
      <c r="C631">
        <v>4</v>
      </c>
      <c r="D631" s="1">
        <v>42730</v>
      </c>
      <c r="E631" s="1">
        <v>42731</v>
      </c>
      <c r="F631" s="1">
        <v>42732</v>
      </c>
      <c r="G631">
        <v>2</v>
      </c>
      <c r="H631">
        <v>6</v>
      </c>
    </row>
    <row r="632" spans="1:8" x14ac:dyDescent="0.3">
      <c r="A632">
        <v>631</v>
      </c>
      <c r="B632">
        <v>855</v>
      </c>
      <c r="C632">
        <v>4</v>
      </c>
      <c r="D632" s="1">
        <v>42731</v>
      </c>
      <c r="E632" s="1">
        <v>42733</v>
      </c>
      <c r="F632" s="1">
        <v>42733</v>
      </c>
      <c r="G632">
        <v>1</v>
      </c>
      <c r="H632">
        <v>3</v>
      </c>
    </row>
    <row r="633" spans="1:8" x14ac:dyDescent="0.3">
      <c r="A633">
        <v>632</v>
      </c>
      <c r="B633">
        <v>163</v>
      </c>
      <c r="C633">
        <v>4</v>
      </c>
      <c r="D633" s="1">
        <v>42731</v>
      </c>
      <c r="E633" s="1">
        <v>42733</v>
      </c>
      <c r="F633" s="1">
        <v>42733</v>
      </c>
      <c r="G633">
        <v>2</v>
      </c>
      <c r="H633">
        <v>7</v>
      </c>
    </row>
    <row r="634" spans="1:8" x14ac:dyDescent="0.3">
      <c r="A634">
        <v>633</v>
      </c>
      <c r="B634">
        <v>1040</v>
      </c>
      <c r="C634">
        <v>4</v>
      </c>
      <c r="D634" s="1">
        <v>42732</v>
      </c>
      <c r="E634" s="1">
        <v>42735</v>
      </c>
      <c r="F634" s="1">
        <v>42734</v>
      </c>
      <c r="G634">
        <v>3</v>
      </c>
      <c r="H634">
        <v>8</v>
      </c>
    </row>
    <row r="635" spans="1:8" x14ac:dyDescent="0.3">
      <c r="A635">
        <v>634</v>
      </c>
      <c r="B635">
        <v>27</v>
      </c>
      <c r="C635">
        <v>4</v>
      </c>
      <c r="D635" s="1">
        <v>42733</v>
      </c>
      <c r="E635" s="1">
        <v>42736</v>
      </c>
      <c r="F635" s="1">
        <v>42734</v>
      </c>
      <c r="G635">
        <v>2</v>
      </c>
      <c r="H635">
        <v>6</v>
      </c>
    </row>
    <row r="636" spans="1:8" x14ac:dyDescent="0.3">
      <c r="A636">
        <v>635</v>
      </c>
      <c r="B636">
        <v>520</v>
      </c>
      <c r="C636">
        <v>4</v>
      </c>
      <c r="D636" s="1">
        <v>42734</v>
      </c>
      <c r="E636" s="1">
        <v>42737</v>
      </c>
      <c r="F636" s="1">
        <v>42735</v>
      </c>
      <c r="G636">
        <v>2</v>
      </c>
      <c r="H636">
        <v>6</v>
      </c>
    </row>
    <row r="637" spans="1:8" x14ac:dyDescent="0.3">
      <c r="A637">
        <v>636</v>
      </c>
      <c r="B637">
        <v>532</v>
      </c>
      <c r="C637">
        <v>4</v>
      </c>
      <c r="D637" s="1">
        <v>42738</v>
      </c>
      <c r="E637" s="1">
        <v>42739</v>
      </c>
      <c r="F637" s="1">
        <v>42740</v>
      </c>
      <c r="G637">
        <v>1</v>
      </c>
      <c r="H637">
        <v>2</v>
      </c>
    </row>
    <row r="638" spans="1:8" x14ac:dyDescent="0.3">
      <c r="A638">
        <v>637</v>
      </c>
      <c r="B638">
        <v>512</v>
      </c>
      <c r="C638">
        <v>4</v>
      </c>
      <c r="D638" s="1">
        <v>42738</v>
      </c>
      <c r="E638" s="1">
        <v>42740</v>
      </c>
      <c r="F638" s="1">
        <v>42740</v>
      </c>
      <c r="G638">
        <v>2</v>
      </c>
      <c r="H638">
        <v>6</v>
      </c>
    </row>
    <row r="639" spans="1:8" x14ac:dyDescent="0.3">
      <c r="A639">
        <v>638</v>
      </c>
      <c r="B639">
        <v>1302</v>
      </c>
      <c r="C639">
        <v>4</v>
      </c>
      <c r="D639" s="1">
        <v>42739</v>
      </c>
      <c r="E639" s="1">
        <v>42740</v>
      </c>
      <c r="F639" s="1">
        <v>42741</v>
      </c>
      <c r="G639">
        <v>2</v>
      </c>
      <c r="H639">
        <v>7</v>
      </c>
    </row>
    <row r="640" spans="1:8" x14ac:dyDescent="0.3">
      <c r="A640">
        <v>639</v>
      </c>
      <c r="B640">
        <v>550</v>
      </c>
      <c r="C640">
        <v>4</v>
      </c>
      <c r="D640" s="1">
        <v>42741</v>
      </c>
      <c r="E640" s="1">
        <v>42742</v>
      </c>
      <c r="F640" s="1">
        <v>42742</v>
      </c>
      <c r="G640">
        <v>2</v>
      </c>
      <c r="H640">
        <v>6</v>
      </c>
    </row>
    <row r="641" spans="1:8" x14ac:dyDescent="0.3">
      <c r="A641">
        <v>640</v>
      </c>
      <c r="B641">
        <v>1093</v>
      </c>
      <c r="C641">
        <v>4</v>
      </c>
      <c r="D641" s="1">
        <v>42741</v>
      </c>
      <c r="E641" s="1">
        <v>42743</v>
      </c>
      <c r="F641" s="1">
        <v>42742</v>
      </c>
      <c r="G641">
        <v>2</v>
      </c>
      <c r="H641">
        <v>6</v>
      </c>
    </row>
    <row r="642" spans="1:8" x14ac:dyDescent="0.3">
      <c r="A642">
        <v>641</v>
      </c>
      <c r="B642">
        <v>673</v>
      </c>
      <c r="C642">
        <v>4</v>
      </c>
      <c r="D642" s="1">
        <v>42742</v>
      </c>
      <c r="E642" s="1">
        <v>42745</v>
      </c>
      <c r="F642" s="1">
        <v>42743</v>
      </c>
      <c r="G642">
        <v>1</v>
      </c>
      <c r="H642">
        <v>3</v>
      </c>
    </row>
    <row r="643" spans="1:8" x14ac:dyDescent="0.3">
      <c r="A643">
        <v>642</v>
      </c>
      <c r="B643">
        <v>847</v>
      </c>
      <c r="C643">
        <v>4</v>
      </c>
      <c r="D643" s="1">
        <v>42742</v>
      </c>
      <c r="E643" s="1">
        <v>42744</v>
      </c>
      <c r="F643" s="1">
        <v>42745</v>
      </c>
      <c r="G643">
        <v>2</v>
      </c>
      <c r="H643">
        <v>7</v>
      </c>
    </row>
    <row r="644" spans="1:8" x14ac:dyDescent="0.3">
      <c r="A644">
        <v>643</v>
      </c>
      <c r="B644">
        <v>901</v>
      </c>
      <c r="C644">
        <v>4</v>
      </c>
      <c r="D644" s="1">
        <v>42743</v>
      </c>
      <c r="E644" s="1">
        <v>42744</v>
      </c>
      <c r="F644" s="1">
        <v>42746</v>
      </c>
      <c r="G644">
        <v>1</v>
      </c>
      <c r="H644">
        <v>3</v>
      </c>
    </row>
    <row r="645" spans="1:8" x14ac:dyDescent="0.3">
      <c r="A645">
        <v>644</v>
      </c>
      <c r="B645">
        <v>439</v>
      </c>
      <c r="C645">
        <v>4</v>
      </c>
      <c r="D645" s="1">
        <v>42743</v>
      </c>
      <c r="E645" s="1">
        <v>42746</v>
      </c>
      <c r="F645" s="1">
        <v>42745</v>
      </c>
      <c r="G645">
        <v>2</v>
      </c>
      <c r="H645">
        <v>6</v>
      </c>
    </row>
    <row r="646" spans="1:8" x14ac:dyDescent="0.3">
      <c r="A646">
        <v>645</v>
      </c>
      <c r="B646">
        <v>1199</v>
      </c>
      <c r="C646">
        <v>4</v>
      </c>
      <c r="D646" s="1">
        <v>42743</v>
      </c>
      <c r="E646" s="1">
        <v>42746</v>
      </c>
      <c r="F646" s="1">
        <v>42745</v>
      </c>
      <c r="G646">
        <v>2</v>
      </c>
      <c r="H646">
        <v>6</v>
      </c>
    </row>
    <row r="647" spans="1:8" x14ac:dyDescent="0.3">
      <c r="A647">
        <v>646</v>
      </c>
      <c r="B647">
        <v>975</v>
      </c>
      <c r="C647">
        <v>4</v>
      </c>
      <c r="D647" s="1">
        <v>42744</v>
      </c>
      <c r="E647" s="1">
        <v>42747</v>
      </c>
      <c r="F647" s="1">
        <v>42746</v>
      </c>
      <c r="G647">
        <v>1</v>
      </c>
      <c r="H647">
        <v>2</v>
      </c>
    </row>
    <row r="648" spans="1:8" x14ac:dyDescent="0.3">
      <c r="A648">
        <v>647</v>
      </c>
      <c r="B648">
        <v>283</v>
      </c>
      <c r="C648">
        <v>4</v>
      </c>
      <c r="D648" s="1">
        <v>42744</v>
      </c>
      <c r="E648" s="1">
        <v>42745</v>
      </c>
      <c r="F648" s="1">
        <v>42746</v>
      </c>
      <c r="G648">
        <v>2</v>
      </c>
      <c r="H648">
        <v>7</v>
      </c>
    </row>
    <row r="649" spans="1:8" x14ac:dyDescent="0.3">
      <c r="A649">
        <v>648</v>
      </c>
      <c r="B649">
        <v>684</v>
      </c>
      <c r="C649">
        <v>4</v>
      </c>
      <c r="D649" s="1">
        <v>42744</v>
      </c>
      <c r="E649" s="1">
        <v>42746</v>
      </c>
      <c r="F649" s="1">
        <v>42746</v>
      </c>
      <c r="G649">
        <v>2</v>
      </c>
      <c r="H649">
        <v>6</v>
      </c>
    </row>
    <row r="650" spans="1:8" x14ac:dyDescent="0.3">
      <c r="A650">
        <v>649</v>
      </c>
      <c r="B650">
        <v>1153</v>
      </c>
      <c r="C650">
        <v>4</v>
      </c>
      <c r="D650" s="1">
        <v>42745</v>
      </c>
      <c r="E650" s="1">
        <v>42746</v>
      </c>
      <c r="F650" s="1">
        <v>42748</v>
      </c>
      <c r="G650">
        <v>1</v>
      </c>
      <c r="H650">
        <v>3</v>
      </c>
    </row>
    <row r="651" spans="1:8" x14ac:dyDescent="0.3">
      <c r="A651">
        <v>650</v>
      </c>
      <c r="B651">
        <v>729</v>
      </c>
      <c r="C651">
        <v>4</v>
      </c>
      <c r="D651" s="1">
        <v>42746</v>
      </c>
      <c r="E651" s="1">
        <v>42749</v>
      </c>
      <c r="F651" s="1">
        <v>42747</v>
      </c>
      <c r="G651">
        <v>1</v>
      </c>
      <c r="H651">
        <v>2</v>
      </c>
    </row>
    <row r="652" spans="1:8" x14ac:dyDescent="0.3">
      <c r="A652">
        <v>651</v>
      </c>
      <c r="B652">
        <v>190</v>
      </c>
      <c r="C652">
        <v>4</v>
      </c>
      <c r="D652" s="1">
        <v>42746</v>
      </c>
      <c r="E652" s="1">
        <v>42748</v>
      </c>
      <c r="F652" s="1">
        <v>42748</v>
      </c>
      <c r="G652">
        <v>2</v>
      </c>
      <c r="H652">
        <v>7</v>
      </c>
    </row>
    <row r="653" spans="1:8" x14ac:dyDescent="0.3">
      <c r="A653">
        <v>652</v>
      </c>
      <c r="B653">
        <v>985</v>
      </c>
      <c r="C653">
        <v>4</v>
      </c>
      <c r="D653" s="1">
        <v>42747</v>
      </c>
      <c r="E653" s="1">
        <v>42750</v>
      </c>
      <c r="F653" s="1">
        <v>42748</v>
      </c>
      <c r="G653">
        <v>3</v>
      </c>
      <c r="H653">
        <v>9</v>
      </c>
    </row>
    <row r="654" spans="1:8" x14ac:dyDescent="0.3">
      <c r="A654">
        <v>653</v>
      </c>
      <c r="B654">
        <v>1249</v>
      </c>
      <c r="C654">
        <v>4</v>
      </c>
      <c r="D654" s="1">
        <v>42749</v>
      </c>
      <c r="E654" s="1">
        <v>42752</v>
      </c>
      <c r="F654" s="1">
        <v>42750</v>
      </c>
      <c r="G654">
        <v>1</v>
      </c>
      <c r="H654">
        <v>2</v>
      </c>
    </row>
    <row r="655" spans="1:8" x14ac:dyDescent="0.3">
      <c r="A655">
        <v>654</v>
      </c>
      <c r="B655">
        <v>1129</v>
      </c>
      <c r="C655">
        <v>4</v>
      </c>
      <c r="D655" s="1">
        <v>42749</v>
      </c>
      <c r="E655" s="1">
        <v>42750</v>
      </c>
      <c r="F655" s="1">
        <v>42752</v>
      </c>
      <c r="G655">
        <v>2</v>
      </c>
      <c r="H655">
        <v>7</v>
      </c>
    </row>
    <row r="656" spans="1:8" x14ac:dyDescent="0.3">
      <c r="A656">
        <v>655</v>
      </c>
      <c r="B656">
        <v>347</v>
      </c>
      <c r="C656">
        <v>4</v>
      </c>
      <c r="D656" s="1">
        <v>42751</v>
      </c>
      <c r="E656" s="1">
        <v>42752</v>
      </c>
      <c r="F656" s="1">
        <v>42753</v>
      </c>
      <c r="G656">
        <v>1</v>
      </c>
      <c r="H656">
        <v>3</v>
      </c>
    </row>
    <row r="657" spans="1:8" x14ac:dyDescent="0.3">
      <c r="A657">
        <v>656</v>
      </c>
      <c r="B657">
        <v>949</v>
      </c>
      <c r="C657">
        <v>4</v>
      </c>
      <c r="D657" s="1">
        <v>42751</v>
      </c>
      <c r="E657" s="1">
        <v>42752</v>
      </c>
      <c r="F657" s="1">
        <v>42753</v>
      </c>
      <c r="G657">
        <v>2</v>
      </c>
      <c r="H657">
        <v>7</v>
      </c>
    </row>
    <row r="658" spans="1:8" x14ac:dyDescent="0.3">
      <c r="A658">
        <v>657</v>
      </c>
      <c r="B658">
        <v>349</v>
      </c>
      <c r="C658">
        <v>4</v>
      </c>
      <c r="D658" s="1">
        <v>42752</v>
      </c>
      <c r="E658" s="1">
        <v>42754</v>
      </c>
      <c r="F658" s="1">
        <v>42755</v>
      </c>
      <c r="G658">
        <v>1</v>
      </c>
      <c r="H658">
        <v>2</v>
      </c>
    </row>
    <row r="659" spans="1:8" x14ac:dyDescent="0.3">
      <c r="A659">
        <v>658</v>
      </c>
      <c r="B659">
        <v>1051</v>
      </c>
      <c r="C659">
        <v>4</v>
      </c>
      <c r="D659" s="1">
        <v>42752</v>
      </c>
      <c r="E659" s="1">
        <v>42753</v>
      </c>
      <c r="F659" s="1">
        <v>42753</v>
      </c>
      <c r="G659">
        <v>2</v>
      </c>
      <c r="H659">
        <v>7</v>
      </c>
    </row>
    <row r="660" spans="1:8" x14ac:dyDescent="0.3">
      <c r="A660">
        <v>659</v>
      </c>
      <c r="B660">
        <v>1391</v>
      </c>
      <c r="C660">
        <v>4</v>
      </c>
      <c r="D660" s="1">
        <v>42752</v>
      </c>
      <c r="E660" s="1">
        <v>42754</v>
      </c>
      <c r="F660" s="1">
        <v>42753</v>
      </c>
      <c r="G660">
        <v>2</v>
      </c>
      <c r="H660">
        <v>7</v>
      </c>
    </row>
    <row r="661" spans="1:8" x14ac:dyDescent="0.3">
      <c r="A661">
        <v>660</v>
      </c>
      <c r="B661">
        <v>383</v>
      </c>
      <c r="C661">
        <v>4</v>
      </c>
      <c r="D661" s="1">
        <v>42753</v>
      </c>
      <c r="E661" s="1">
        <v>42754</v>
      </c>
      <c r="F661" s="1">
        <v>42754</v>
      </c>
      <c r="G661">
        <v>2</v>
      </c>
      <c r="H661">
        <v>7</v>
      </c>
    </row>
    <row r="662" spans="1:8" x14ac:dyDescent="0.3">
      <c r="A662">
        <v>661</v>
      </c>
      <c r="B662">
        <v>626</v>
      </c>
      <c r="C662">
        <v>4</v>
      </c>
      <c r="D662" s="1">
        <v>42753</v>
      </c>
      <c r="E662" s="1">
        <v>42754</v>
      </c>
      <c r="F662" s="1">
        <v>42755</v>
      </c>
      <c r="G662">
        <v>2</v>
      </c>
      <c r="H662">
        <v>6</v>
      </c>
    </row>
    <row r="663" spans="1:8" x14ac:dyDescent="0.3">
      <c r="A663">
        <v>662</v>
      </c>
      <c r="B663">
        <v>1125</v>
      </c>
      <c r="C663">
        <v>4</v>
      </c>
      <c r="D663" s="1">
        <v>42754</v>
      </c>
      <c r="E663" s="1">
        <v>42755</v>
      </c>
      <c r="F663" s="1">
        <v>42755</v>
      </c>
      <c r="G663">
        <v>1</v>
      </c>
      <c r="H663">
        <v>3</v>
      </c>
    </row>
    <row r="664" spans="1:8" x14ac:dyDescent="0.3">
      <c r="A664">
        <v>663</v>
      </c>
      <c r="B664">
        <v>344</v>
      </c>
      <c r="C664">
        <v>4</v>
      </c>
      <c r="D664" s="1">
        <v>42755</v>
      </c>
      <c r="E664" s="1">
        <v>42757</v>
      </c>
      <c r="F664" s="1">
        <v>42758</v>
      </c>
      <c r="G664">
        <v>1</v>
      </c>
      <c r="H664">
        <v>3</v>
      </c>
    </row>
    <row r="665" spans="1:8" x14ac:dyDescent="0.3">
      <c r="A665">
        <v>664</v>
      </c>
      <c r="B665">
        <v>681</v>
      </c>
      <c r="C665">
        <v>4</v>
      </c>
      <c r="D665" s="1">
        <v>42755</v>
      </c>
      <c r="E665" s="1">
        <v>42758</v>
      </c>
      <c r="F665" s="1">
        <v>42757</v>
      </c>
      <c r="G665">
        <v>2</v>
      </c>
      <c r="H665">
        <v>7</v>
      </c>
    </row>
    <row r="666" spans="1:8" x14ac:dyDescent="0.3">
      <c r="A666">
        <v>665</v>
      </c>
      <c r="B666">
        <v>29</v>
      </c>
      <c r="C666">
        <v>4</v>
      </c>
      <c r="D666" s="1">
        <v>42756</v>
      </c>
      <c r="E666" s="1">
        <v>42757</v>
      </c>
      <c r="F666" s="1">
        <v>42758</v>
      </c>
      <c r="G666">
        <v>2</v>
      </c>
      <c r="H666">
        <v>6</v>
      </c>
    </row>
    <row r="667" spans="1:8" x14ac:dyDescent="0.3">
      <c r="A667">
        <v>666</v>
      </c>
      <c r="B667">
        <v>770</v>
      </c>
      <c r="C667">
        <v>4</v>
      </c>
      <c r="D667" s="1">
        <v>42756</v>
      </c>
      <c r="E667" s="1">
        <v>42757</v>
      </c>
      <c r="F667" s="1">
        <v>42759</v>
      </c>
      <c r="G667">
        <v>2</v>
      </c>
      <c r="H667">
        <v>7</v>
      </c>
    </row>
    <row r="668" spans="1:8" x14ac:dyDescent="0.3">
      <c r="A668">
        <v>667</v>
      </c>
      <c r="B668">
        <v>858</v>
      </c>
      <c r="C668">
        <v>4</v>
      </c>
      <c r="D668" s="1">
        <v>42757</v>
      </c>
      <c r="E668" s="1">
        <v>42759</v>
      </c>
      <c r="F668" s="1">
        <v>42760</v>
      </c>
      <c r="G668">
        <v>2</v>
      </c>
      <c r="H668">
        <v>7</v>
      </c>
    </row>
    <row r="669" spans="1:8" x14ac:dyDescent="0.3">
      <c r="A669">
        <v>668</v>
      </c>
      <c r="B669">
        <v>297</v>
      </c>
      <c r="C669">
        <v>4</v>
      </c>
      <c r="D669" s="1">
        <v>42757</v>
      </c>
      <c r="E669" s="1">
        <v>42758</v>
      </c>
      <c r="F669" s="1">
        <v>42759</v>
      </c>
      <c r="G669">
        <v>3</v>
      </c>
      <c r="H669">
        <v>8</v>
      </c>
    </row>
    <row r="670" spans="1:8" x14ac:dyDescent="0.3">
      <c r="A670">
        <v>669</v>
      </c>
      <c r="B670">
        <v>745</v>
      </c>
      <c r="C670">
        <v>4</v>
      </c>
      <c r="D670" s="1">
        <v>42758</v>
      </c>
      <c r="E670" s="1">
        <v>42759</v>
      </c>
      <c r="F670" s="1">
        <v>42761</v>
      </c>
      <c r="G670">
        <v>2</v>
      </c>
      <c r="H670">
        <v>7</v>
      </c>
    </row>
    <row r="671" spans="1:8" x14ac:dyDescent="0.3">
      <c r="A671">
        <v>670</v>
      </c>
      <c r="B671">
        <v>361</v>
      </c>
      <c r="C671">
        <v>4</v>
      </c>
      <c r="D671" s="1">
        <v>42759</v>
      </c>
      <c r="E671" s="1">
        <v>42760</v>
      </c>
      <c r="F671" s="1">
        <v>42760</v>
      </c>
      <c r="G671">
        <v>2</v>
      </c>
      <c r="H671">
        <v>6</v>
      </c>
    </row>
    <row r="672" spans="1:8" x14ac:dyDescent="0.3">
      <c r="A672">
        <v>671</v>
      </c>
      <c r="B672">
        <v>922</v>
      </c>
      <c r="C672">
        <v>4</v>
      </c>
      <c r="D672" s="1">
        <v>42760</v>
      </c>
      <c r="E672" s="1">
        <v>42763</v>
      </c>
      <c r="F672" s="1">
        <v>42761</v>
      </c>
      <c r="G672">
        <v>2</v>
      </c>
      <c r="H672">
        <v>7</v>
      </c>
    </row>
    <row r="673" spans="1:8" x14ac:dyDescent="0.3">
      <c r="A673">
        <v>672</v>
      </c>
      <c r="B673">
        <v>908</v>
      </c>
      <c r="C673">
        <v>4</v>
      </c>
      <c r="D673" s="1">
        <v>42761</v>
      </c>
      <c r="E673" s="1">
        <v>42764</v>
      </c>
      <c r="F673" s="1">
        <v>42764</v>
      </c>
      <c r="G673">
        <v>2</v>
      </c>
      <c r="H673">
        <v>6</v>
      </c>
    </row>
    <row r="674" spans="1:8" x14ac:dyDescent="0.3">
      <c r="A674">
        <v>673</v>
      </c>
      <c r="B674">
        <v>64</v>
      </c>
      <c r="C674">
        <v>4</v>
      </c>
      <c r="D674" s="1">
        <v>42761</v>
      </c>
      <c r="E674" s="1">
        <v>42763</v>
      </c>
      <c r="F674" s="1">
        <v>42762</v>
      </c>
      <c r="G674">
        <v>3</v>
      </c>
      <c r="H674">
        <v>9</v>
      </c>
    </row>
    <row r="675" spans="1:8" x14ac:dyDescent="0.3">
      <c r="A675">
        <v>674</v>
      </c>
      <c r="B675">
        <v>733</v>
      </c>
      <c r="C675">
        <v>4</v>
      </c>
      <c r="D675" s="1">
        <v>42762</v>
      </c>
      <c r="E675" s="1">
        <v>42763</v>
      </c>
      <c r="F675" s="1">
        <v>42764</v>
      </c>
      <c r="G675">
        <v>2</v>
      </c>
      <c r="H675">
        <v>6</v>
      </c>
    </row>
    <row r="676" spans="1:8" x14ac:dyDescent="0.3">
      <c r="A676">
        <v>675</v>
      </c>
      <c r="B676">
        <v>291</v>
      </c>
      <c r="C676">
        <v>4</v>
      </c>
      <c r="D676" s="1">
        <v>42763</v>
      </c>
      <c r="E676" s="1">
        <v>42766</v>
      </c>
      <c r="F676" s="1">
        <v>42765</v>
      </c>
      <c r="G676">
        <v>2</v>
      </c>
      <c r="H676">
        <v>7</v>
      </c>
    </row>
    <row r="677" spans="1:8" x14ac:dyDescent="0.3">
      <c r="A677">
        <v>676</v>
      </c>
      <c r="B677">
        <v>790</v>
      </c>
      <c r="C677">
        <v>4</v>
      </c>
      <c r="D677" s="1">
        <v>42763</v>
      </c>
      <c r="E677" s="1">
        <v>42765</v>
      </c>
      <c r="F677" s="1">
        <v>42766</v>
      </c>
      <c r="G677">
        <v>2</v>
      </c>
      <c r="H677">
        <v>7</v>
      </c>
    </row>
    <row r="678" spans="1:8" x14ac:dyDescent="0.3">
      <c r="A678">
        <v>677</v>
      </c>
      <c r="B678">
        <v>809</v>
      </c>
      <c r="C678">
        <v>4</v>
      </c>
      <c r="D678" s="1">
        <v>42763</v>
      </c>
      <c r="E678" s="1">
        <v>42766</v>
      </c>
      <c r="F678" s="1">
        <v>42765</v>
      </c>
      <c r="G678">
        <v>2</v>
      </c>
      <c r="H678">
        <v>7</v>
      </c>
    </row>
    <row r="679" spans="1:8" x14ac:dyDescent="0.3">
      <c r="A679">
        <v>678</v>
      </c>
      <c r="B679">
        <v>250</v>
      </c>
      <c r="C679">
        <v>4</v>
      </c>
      <c r="D679" s="1">
        <v>42763</v>
      </c>
      <c r="E679" s="1">
        <v>42764</v>
      </c>
      <c r="F679" s="1">
        <v>42766</v>
      </c>
      <c r="G679">
        <v>3</v>
      </c>
      <c r="H679">
        <v>9</v>
      </c>
    </row>
    <row r="680" spans="1:8" x14ac:dyDescent="0.3">
      <c r="A680">
        <v>679</v>
      </c>
      <c r="B680">
        <v>81</v>
      </c>
      <c r="C680">
        <v>4</v>
      </c>
      <c r="D680" s="1">
        <v>42764</v>
      </c>
      <c r="E680" s="1">
        <v>42765</v>
      </c>
      <c r="F680" s="1">
        <v>42765</v>
      </c>
      <c r="G680">
        <v>1</v>
      </c>
      <c r="H680">
        <v>3</v>
      </c>
    </row>
    <row r="681" spans="1:8" x14ac:dyDescent="0.3">
      <c r="A681">
        <v>680</v>
      </c>
      <c r="B681">
        <v>245</v>
      </c>
      <c r="C681">
        <v>4</v>
      </c>
      <c r="D681" s="1">
        <v>42764</v>
      </c>
      <c r="E681" s="1">
        <v>42767</v>
      </c>
      <c r="F681" s="1">
        <v>42765</v>
      </c>
      <c r="G681">
        <v>1</v>
      </c>
      <c r="H681">
        <v>3</v>
      </c>
    </row>
    <row r="682" spans="1:8" x14ac:dyDescent="0.3">
      <c r="A682">
        <v>681</v>
      </c>
      <c r="B682">
        <v>499</v>
      </c>
      <c r="C682">
        <v>4</v>
      </c>
      <c r="D682" s="1">
        <v>42764</v>
      </c>
      <c r="E682" s="1">
        <v>42767</v>
      </c>
      <c r="F682" s="1">
        <v>42766</v>
      </c>
      <c r="G682">
        <v>2</v>
      </c>
      <c r="H682">
        <v>7</v>
      </c>
    </row>
    <row r="683" spans="1:8" x14ac:dyDescent="0.3">
      <c r="A683">
        <v>682</v>
      </c>
      <c r="B683">
        <v>614</v>
      </c>
      <c r="C683">
        <v>4</v>
      </c>
      <c r="D683" s="1">
        <v>42764</v>
      </c>
      <c r="E683" s="1">
        <v>42765</v>
      </c>
      <c r="F683" s="1">
        <v>42765</v>
      </c>
      <c r="G683">
        <v>2</v>
      </c>
      <c r="H683">
        <v>6</v>
      </c>
    </row>
    <row r="684" spans="1:8" x14ac:dyDescent="0.3">
      <c r="A684">
        <v>683</v>
      </c>
      <c r="B684">
        <v>741</v>
      </c>
      <c r="C684">
        <v>4</v>
      </c>
      <c r="D684" s="1">
        <v>42764</v>
      </c>
      <c r="E684" s="1">
        <v>42766</v>
      </c>
      <c r="F684" s="1">
        <v>42767</v>
      </c>
      <c r="G684">
        <v>2</v>
      </c>
      <c r="H684">
        <v>6</v>
      </c>
    </row>
    <row r="685" spans="1:8" x14ac:dyDescent="0.3">
      <c r="A685">
        <v>684</v>
      </c>
      <c r="B685">
        <v>762</v>
      </c>
      <c r="C685">
        <v>4</v>
      </c>
      <c r="D685" s="1">
        <v>42766</v>
      </c>
      <c r="E685" s="1">
        <v>42767</v>
      </c>
      <c r="F685" s="1">
        <v>42768</v>
      </c>
      <c r="G685">
        <v>2</v>
      </c>
      <c r="H685">
        <v>6</v>
      </c>
    </row>
    <row r="686" spans="1:8" x14ac:dyDescent="0.3">
      <c r="A686">
        <v>685</v>
      </c>
      <c r="B686">
        <v>976</v>
      </c>
      <c r="C686">
        <v>4</v>
      </c>
      <c r="D686" s="1">
        <v>42766</v>
      </c>
      <c r="E686" s="1">
        <v>42769</v>
      </c>
      <c r="F686" s="1">
        <v>42768</v>
      </c>
      <c r="G686">
        <v>2</v>
      </c>
      <c r="H686">
        <v>7</v>
      </c>
    </row>
    <row r="687" spans="1:8" x14ac:dyDescent="0.3">
      <c r="A687">
        <v>686</v>
      </c>
      <c r="B687">
        <v>380</v>
      </c>
      <c r="C687">
        <v>4</v>
      </c>
      <c r="D687" s="1">
        <v>42767</v>
      </c>
      <c r="E687" s="1">
        <v>42769</v>
      </c>
      <c r="F687" s="1">
        <v>42770</v>
      </c>
      <c r="G687">
        <v>2</v>
      </c>
      <c r="H687">
        <v>7</v>
      </c>
    </row>
    <row r="688" spans="1:8" x14ac:dyDescent="0.3">
      <c r="A688">
        <v>687</v>
      </c>
      <c r="B688">
        <v>530</v>
      </c>
      <c r="C688">
        <v>4</v>
      </c>
      <c r="D688" s="1">
        <v>42768</v>
      </c>
      <c r="E688" s="1">
        <v>42771</v>
      </c>
      <c r="F688" s="1">
        <v>42770</v>
      </c>
      <c r="G688">
        <v>1</v>
      </c>
      <c r="H688">
        <v>3</v>
      </c>
    </row>
    <row r="689" spans="1:8" x14ac:dyDescent="0.3">
      <c r="A689">
        <v>688</v>
      </c>
      <c r="B689">
        <v>343</v>
      </c>
      <c r="C689">
        <v>4</v>
      </c>
      <c r="D689" s="1">
        <v>42768</v>
      </c>
      <c r="E689" s="1">
        <v>42769</v>
      </c>
      <c r="F689" s="1">
        <v>42771</v>
      </c>
      <c r="G689">
        <v>2</v>
      </c>
      <c r="H689">
        <v>7</v>
      </c>
    </row>
    <row r="690" spans="1:8" x14ac:dyDescent="0.3">
      <c r="A690">
        <v>689</v>
      </c>
      <c r="B690">
        <v>884</v>
      </c>
      <c r="C690">
        <v>4</v>
      </c>
      <c r="D690" s="1">
        <v>42768</v>
      </c>
      <c r="E690" s="1">
        <v>42769</v>
      </c>
      <c r="F690" s="1">
        <v>42771</v>
      </c>
      <c r="G690">
        <v>2</v>
      </c>
      <c r="H690">
        <v>7</v>
      </c>
    </row>
    <row r="691" spans="1:8" x14ac:dyDescent="0.3">
      <c r="A691">
        <v>690</v>
      </c>
      <c r="B691">
        <v>1097</v>
      </c>
      <c r="C691">
        <v>4</v>
      </c>
      <c r="D691" s="1">
        <v>42769</v>
      </c>
      <c r="E691" s="1">
        <v>42770</v>
      </c>
      <c r="F691" s="1">
        <v>42772</v>
      </c>
      <c r="G691">
        <v>1</v>
      </c>
      <c r="H691">
        <v>2</v>
      </c>
    </row>
    <row r="692" spans="1:8" x14ac:dyDescent="0.3">
      <c r="A692">
        <v>691</v>
      </c>
      <c r="B692">
        <v>1081</v>
      </c>
      <c r="C692">
        <v>4</v>
      </c>
      <c r="D692" s="1">
        <v>42770</v>
      </c>
      <c r="E692" s="1">
        <v>42772</v>
      </c>
      <c r="F692" s="1">
        <v>42772</v>
      </c>
      <c r="G692">
        <v>2</v>
      </c>
      <c r="H692">
        <v>7</v>
      </c>
    </row>
    <row r="693" spans="1:8" x14ac:dyDescent="0.3">
      <c r="A693">
        <v>692</v>
      </c>
      <c r="B693">
        <v>2</v>
      </c>
      <c r="C693">
        <v>3</v>
      </c>
      <c r="D693" s="1">
        <v>42771</v>
      </c>
      <c r="E693" s="1">
        <v>42771</v>
      </c>
      <c r="F693" s="1">
        <v>42411</v>
      </c>
      <c r="G693">
        <v>1</v>
      </c>
      <c r="H693">
        <v>3</v>
      </c>
    </row>
    <row r="694" spans="1:8" x14ac:dyDescent="0.3">
      <c r="A694">
        <v>693</v>
      </c>
      <c r="B694">
        <v>1233</v>
      </c>
      <c r="C694">
        <v>4</v>
      </c>
      <c r="D694" s="1">
        <v>42771</v>
      </c>
      <c r="E694" s="1">
        <v>42773</v>
      </c>
      <c r="F694" s="1">
        <v>42772</v>
      </c>
      <c r="G694">
        <v>1</v>
      </c>
      <c r="H694">
        <v>3</v>
      </c>
    </row>
    <row r="695" spans="1:8" x14ac:dyDescent="0.3">
      <c r="A695">
        <v>694</v>
      </c>
      <c r="B695">
        <v>58</v>
      </c>
      <c r="C695">
        <v>4</v>
      </c>
      <c r="D695" s="1">
        <v>42771</v>
      </c>
      <c r="E695" s="1">
        <v>42772</v>
      </c>
      <c r="F695" s="1">
        <v>42774</v>
      </c>
      <c r="G695">
        <v>2</v>
      </c>
      <c r="H695">
        <v>7</v>
      </c>
    </row>
    <row r="696" spans="1:8" x14ac:dyDescent="0.3">
      <c r="A696">
        <v>695</v>
      </c>
      <c r="B696">
        <v>606</v>
      </c>
      <c r="C696">
        <v>4</v>
      </c>
      <c r="D696" s="1">
        <v>42771</v>
      </c>
      <c r="E696" s="1">
        <v>42774</v>
      </c>
      <c r="F696" s="1">
        <v>42773</v>
      </c>
      <c r="G696">
        <v>2</v>
      </c>
      <c r="H696">
        <v>7</v>
      </c>
    </row>
    <row r="697" spans="1:8" x14ac:dyDescent="0.3">
      <c r="A697">
        <v>696</v>
      </c>
      <c r="B697">
        <v>1242</v>
      </c>
      <c r="C697">
        <v>4</v>
      </c>
      <c r="D697" s="1">
        <v>42771</v>
      </c>
      <c r="E697" s="1">
        <v>42774</v>
      </c>
      <c r="F697" s="1">
        <v>42774</v>
      </c>
      <c r="G697">
        <v>2</v>
      </c>
      <c r="H697">
        <v>7</v>
      </c>
    </row>
    <row r="698" spans="1:8" x14ac:dyDescent="0.3">
      <c r="A698">
        <v>697</v>
      </c>
      <c r="B698">
        <v>562</v>
      </c>
      <c r="C698">
        <v>4</v>
      </c>
      <c r="D698" s="1">
        <v>42772</v>
      </c>
      <c r="E698" s="1">
        <v>42774</v>
      </c>
      <c r="F698" s="1">
        <v>42775</v>
      </c>
      <c r="G698">
        <v>1</v>
      </c>
      <c r="H698">
        <v>2</v>
      </c>
    </row>
    <row r="699" spans="1:8" x14ac:dyDescent="0.3">
      <c r="A699">
        <v>698</v>
      </c>
      <c r="B699">
        <v>543</v>
      </c>
      <c r="C699">
        <v>4</v>
      </c>
      <c r="D699" s="1">
        <v>42772</v>
      </c>
      <c r="E699" s="1">
        <v>42774</v>
      </c>
      <c r="F699" s="1">
        <v>42775</v>
      </c>
      <c r="G699">
        <v>3</v>
      </c>
      <c r="H699">
        <v>8</v>
      </c>
    </row>
    <row r="700" spans="1:8" x14ac:dyDescent="0.3">
      <c r="A700">
        <v>699</v>
      </c>
      <c r="B700">
        <v>958</v>
      </c>
      <c r="C700">
        <v>4</v>
      </c>
      <c r="D700" s="1">
        <v>42772</v>
      </c>
      <c r="E700" s="1">
        <v>42774</v>
      </c>
      <c r="F700" s="1">
        <v>42775</v>
      </c>
      <c r="G700">
        <v>3</v>
      </c>
      <c r="H700">
        <v>9</v>
      </c>
    </row>
    <row r="701" spans="1:8" x14ac:dyDescent="0.3">
      <c r="A701">
        <v>700</v>
      </c>
      <c r="B701">
        <v>4</v>
      </c>
      <c r="C701">
        <v>4</v>
      </c>
      <c r="D701" s="1">
        <v>42773</v>
      </c>
      <c r="E701" s="1">
        <v>42776</v>
      </c>
      <c r="F701" s="1">
        <v>42774</v>
      </c>
      <c r="G701">
        <v>2</v>
      </c>
      <c r="H701">
        <v>6</v>
      </c>
    </row>
    <row r="702" spans="1:8" x14ac:dyDescent="0.3">
      <c r="A702">
        <v>701</v>
      </c>
      <c r="B702">
        <v>850</v>
      </c>
      <c r="C702">
        <v>4</v>
      </c>
      <c r="D702" s="1">
        <v>42773</v>
      </c>
      <c r="E702" s="1">
        <v>42774</v>
      </c>
      <c r="F702" s="1">
        <v>42775</v>
      </c>
      <c r="G702">
        <v>3</v>
      </c>
      <c r="H702">
        <v>9</v>
      </c>
    </row>
    <row r="703" spans="1:8" x14ac:dyDescent="0.3">
      <c r="A703">
        <v>702</v>
      </c>
      <c r="B703">
        <v>1352</v>
      </c>
      <c r="C703">
        <v>4</v>
      </c>
      <c r="D703" s="1">
        <v>42774</v>
      </c>
      <c r="E703" s="1">
        <v>42775</v>
      </c>
      <c r="F703" s="1">
        <v>42777</v>
      </c>
      <c r="G703">
        <v>1</v>
      </c>
      <c r="H703">
        <v>3</v>
      </c>
    </row>
    <row r="704" spans="1:8" x14ac:dyDescent="0.3">
      <c r="A704">
        <v>703</v>
      </c>
      <c r="B704">
        <v>417</v>
      </c>
      <c r="C704">
        <v>4</v>
      </c>
      <c r="D704" s="1">
        <v>42774</v>
      </c>
      <c r="E704" s="1">
        <v>42775</v>
      </c>
      <c r="F704" s="1">
        <v>42775</v>
      </c>
      <c r="G704">
        <v>2</v>
      </c>
      <c r="H704">
        <v>7</v>
      </c>
    </row>
    <row r="705" spans="1:8" x14ac:dyDescent="0.3">
      <c r="A705">
        <v>704</v>
      </c>
      <c r="B705">
        <v>1137</v>
      </c>
      <c r="C705">
        <v>4</v>
      </c>
      <c r="D705" s="1">
        <v>42774</v>
      </c>
      <c r="E705" s="1">
        <v>42775</v>
      </c>
      <c r="F705" s="1">
        <v>42777</v>
      </c>
      <c r="G705">
        <v>2</v>
      </c>
      <c r="H705">
        <v>6</v>
      </c>
    </row>
    <row r="706" spans="1:8" x14ac:dyDescent="0.3">
      <c r="A706">
        <v>705</v>
      </c>
      <c r="B706">
        <v>1196</v>
      </c>
      <c r="C706">
        <v>4</v>
      </c>
      <c r="D706" s="1">
        <v>42774</v>
      </c>
      <c r="E706" s="1">
        <v>42777</v>
      </c>
      <c r="F706" s="1">
        <v>42777</v>
      </c>
      <c r="G706">
        <v>2</v>
      </c>
      <c r="H706">
        <v>7</v>
      </c>
    </row>
    <row r="707" spans="1:8" x14ac:dyDescent="0.3">
      <c r="A707">
        <v>706</v>
      </c>
      <c r="B707">
        <v>1271</v>
      </c>
      <c r="C707">
        <v>4</v>
      </c>
      <c r="D707" s="1">
        <v>42775</v>
      </c>
      <c r="E707" s="1">
        <v>42778</v>
      </c>
      <c r="F707" s="1">
        <v>42776</v>
      </c>
      <c r="G707">
        <v>1</v>
      </c>
      <c r="H707">
        <v>2</v>
      </c>
    </row>
    <row r="708" spans="1:8" x14ac:dyDescent="0.3">
      <c r="A708">
        <v>707</v>
      </c>
      <c r="B708">
        <v>79</v>
      </c>
      <c r="C708">
        <v>4</v>
      </c>
      <c r="D708" s="1">
        <v>42775</v>
      </c>
      <c r="E708" s="1">
        <v>42777</v>
      </c>
      <c r="F708" s="1">
        <v>42777</v>
      </c>
      <c r="G708">
        <v>2</v>
      </c>
      <c r="H708">
        <v>7</v>
      </c>
    </row>
    <row r="709" spans="1:8" x14ac:dyDescent="0.3">
      <c r="A709">
        <v>708</v>
      </c>
      <c r="B709">
        <v>660</v>
      </c>
      <c r="C709">
        <v>4</v>
      </c>
      <c r="D709" s="1">
        <v>42776</v>
      </c>
      <c r="E709" s="1">
        <v>42778</v>
      </c>
      <c r="F709" s="1">
        <v>42777</v>
      </c>
      <c r="G709">
        <v>1</v>
      </c>
      <c r="H709">
        <v>2</v>
      </c>
    </row>
    <row r="710" spans="1:8" x14ac:dyDescent="0.3">
      <c r="A710">
        <v>709</v>
      </c>
      <c r="B710">
        <v>1162</v>
      </c>
      <c r="C710">
        <v>4</v>
      </c>
      <c r="D710" s="1">
        <v>42777</v>
      </c>
      <c r="E710" s="1">
        <v>42779</v>
      </c>
      <c r="F710" s="1">
        <v>42778</v>
      </c>
      <c r="G710">
        <v>2</v>
      </c>
      <c r="H710">
        <v>6</v>
      </c>
    </row>
    <row r="711" spans="1:8" x14ac:dyDescent="0.3">
      <c r="A711">
        <v>710</v>
      </c>
      <c r="B711">
        <v>295</v>
      </c>
      <c r="C711">
        <v>4</v>
      </c>
      <c r="D711" s="1">
        <v>42779</v>
      </c>
      <c r="E711" s="1">
        <v>42781</v>
      </c>
      <c r="F711" s="1">
        <v>42782</v>
      </c>
      <c r="G711">
        <v>2</v>
      </c>
      <c r="H711">
        <v>6</v>
      </c>
    </row>
    <row r="712" spans="1:8" x14ac:dyDescent="0.3">
      <c r="A712">
        <v>711</v>
      </c>
      <c r="B712">
        <v>1246</v>
      </c>
      <c r="C712">
        <v>4</v>
      </c>
      <c r="D712" s="1">
        <v>42779</v>
      </c>
      <c r="E712" s="1">
        <v>42782</v>
      </c>
      <c r="F712" s="1">
        <v>42780</v>
      </c>
      <c r="G712">
        <v>2</v>
      </c>
      <c r="H712">
        <v>6</v>
      </c>
    </row>
    <row r="713" spans="1:8" x14ac:dyDescent="0.3">
      <c r="A713">
        <v>712</v>
      </c>
      <c r="B713">
        <v>173</v>
      </c>
      <c r="C713">
        <v>4</v>
      </c>
      <c r="D713" s="1">
        <v>42779</v>
      </c>
      <c r="E713" s="1">
        <v>42780</v>
      </c>
      <c r="F713" s="1">
        <v>42782</v>
      </c>
      <c r="G713">
        <v>3</v>
      </c>
      <c r="H713">
        <v>9</v>
      </c>
    </row>
    <row r="714" spans="1:8" x14ac:dyDescent="0.3">
      <c r="A714">
        <v>713</v>
      </c>
      <c r="B714">
        <v>207</v>
      </c>
      <c r="C714">
        <v>4</v>
      </c>
      <c r="D714" s="1">
        <v>42779</v>
      </c>
      <c r="E714" s="1">
        <v>42780</v>
      </c>
      <c r="F714" s="1">
        <v>42781</v>
      </c>
      <c r="G714">
        <v>3</v>
      </c>
      <c r="H714">
        <v>8</v>
      </c>
    </row>
    <row r="715" spans="1:8" x14ac:dyDescent="0.3">
      <c r="A715">
        <v>714</v>
      </c>
      <c r="B715">
        <v>805</v>
      </c>
      <c r="C715">
        <v>4</v>
      </c>
      <c r="D715" s="1">
        <v>42780</v>
      </c>
      <c r="E715" s="1">
        <v>42783</v>
      </c>
      <c r="F715" s="1">
        <v>42781</v>
      </c>
      <c r="G715">
        <v>2</v>
      </c>
      <c r="H715">
        <v>7</v>
      </c>
    </row>
    <row r="716" spans="1:8" x14ac:dyDescent="0.3">
      <c r="A716">
        <v>715</v>
      </c>
      <c r="B716">
        <v>12</v>
      </c>
      <c r="C716">
        <v>3</v>
      </c>
      <c r="D716" s="1">
        <v>42781</v>
      </c>
      <c r="E716" s="1">
        <v>42781</v>
      </c>
      <c r="F716" s="1">
        <v>42411</v>
      </c>
      <c r="G716">
        <v>2</v>
      </c>
      <c r="H716">
        <v>6</v>
      </c>
    </row>
    <row r="717" spans="1:8" x14ac:dyDescent="0.3">
      <c r="A717">
        <v>716</v>
      </c>
      <c r="B717">
        <v>672</v>
      </c>
      <c r="C717">
        <v>4</v>
      </c>
      <c r="D717" s="1">
        <v>42781</v>
      </c>
      <c r="E717" s="1">
        <v>42783</v>
      </c>
      <c r="F717" s="1">
        <v>42784</v>
      </c>
      <c r="G717">
        <v>2</v>
      </c>
      <c r="H717">
        <v>6</v>
      </c>
    </row>
    <row r="718" spans="1:8" x14ac:dyDescent="0.3">
      <c r="A718">
        <v>717</v>
      </c>
      <c r="B718">
        <v>1312</v>
      </c>
      <c r="C718">
        <v>4</v>
      </c>
      <c r="D718" s="1">
        <v>42781</v>
      </c>
      <c r="E718" s="1">
        <v>42784</v>
      </c>
      <c r="F718" s="1">
        <v>42783</v>
      </c>
      <c r="G718">
        <v>2</v>
      </c>
      <c r="H718">
        <v>6</v>
      </c>
    </row>
    <row r="719" spans="1:8" x14ac:dyDescent="0.3">
      <c r="A719">
        <v>718</v>
      </c>
      <c r="B719">
        <v>38</v>
      </c>
      <c r="C719">
        <v>4</v>
      </c>
      <c r="D719" s="1">
        <v>42782</v>
      </c>
      <c r="E719" s="1">
        <v>42783</v>
      </c>
      <c r="F719" s="1">
        <v>42783</v>
      </c>
      <c r="G719">
        <v>2</v>
      </c>
      <c r="H719">
        <v>7</v>
      </c>
    </row>
    <row r="720" spans="1:8" x14ac:dyDescent="0.3">
      <c r="A720">
        <v>719</v>
      </c>
      <c r="B720">
        <v>200</v>
      </c>
      <c r="C720">
        <v>4</v>
      </c>
      <c r="D720" s="1">
        <v>42782</v>
      </c>
      <c r="E720" s="1">
        <v>42785</v>
      </c>
      <c r="F720" s="1">
        <v>42784</v>
      </c>
      <c r="G720">
        <v>2</v>
      </c>
      <c r="H720">
        <v>6</v>
      </c>
    </row>
    <row r="721" spans="1:8" x14ac:dyDescent="0.3">
      <c r="A721">
        <v>720</v>
      </c>
      <c r="B721">
        <v>382</v>
      </c>
      <c r="C721">
        <v>4</v>
      </c>
      <c r="D721" s="1">
        <v>42782</v>
      </c>
      <c r="E721" s="1">
        <v>42785</v>
      </c>
      <c r="F721" s="1">
        <v>42785</v>
      </c>
      <c r="G721">
        <v>2</v>
      </c>
      <c r="H721">
        <v>6</v>
      </c>
    </row>
    <row r="722" spans="1:8" x14ac:dyDescent="0.3">
      <c r="A722">
        <v>721</v>
      </c>
      <c r="B722">
        <v>625</v>
      </c>
      <c r="C722">
        <v>4</v>
      </c>
      <c r="D722" s="1">
        <v>42782</v>
      </c>
      <c r="E722" s="1">
        <v>42785</v>
      </c>
      <c r="F722" s="1">
        <v>42783</v>
      </c>
      <c r="G722">
        <v>2</v>
      </c>
      <c r="H722">
        <v>7</v>
      </c>
    </row>
    <row r="723" spans="1:8" x14ac:dyDescent="0.3">
      <c r="A723">
        <v>722</v>
      </c>
      <c r="B723">
        <v>1399</v>
      </c>
      <c r="C723">
        <v>4</v>
      </c>
      <c r="D723" s="1">
        <v>42784</v>
      </c>
      <c r="E723" s="1">
        <v>42786</v>
      </c>
      <c r="F723" s="1">
        <v>42787</v>
      </c>
      <c r="G723">
        <v>2</v>
      </c>
      <c r="H723">
        <v>7</v>
      </c>
    </row>
    <row r="724" spans="1:8" x14ac:dyDescent="0.3">
      <c r="A724">
        <v>723</v>
      </c>
      <c r="B724">
        <v>845</v>
      </c>
      <c r="C724">
        <v>4</v>
      </c>
      <c r="D724" s="1">
        <v>42785</v>
      </c>
      <c r="E724" s="1">
        <v>42787</v>
      </c>
      <c r="F724" s="1">
        <v>42788</v>
      </c>
      <c r="G724">
        <v>2</v>
      </c>
      <c r="H724">
        <v>6</v>
      </c>
    </row>
    <row r="725" spans="1:8" x14ac:dyDescent="0.3">
      <c r="A725">
        <v>724</v>
      </c>
      <c r="B725">
        <v>864</v>
      </c>
      <c r="C725">
        <v>4</v>
      </c>
      <c r="D725" s="1">
        <v>42785</v>
      </c>
      <c r="E725" s="1">
        <v>42788</v>
      </c>
      <c r="F725" s="1">
        <v>42787</v>
      </c>
      <c r="G725">
        <v>2</v>
      </c>
      <c r="H725">
        <v>6</v>
      </c>
    </row>
    <row r="726" spans="1:8" x14ac:dyDescent="0.3">
      <c r="A726">
        <v>725</v>
      </c>
      <c r="B726">
        <v>870</v>
      </c>
      <c r="C726">
        <v>4</v>
      </c>
      <c r="D726" s="1">
        <v>42785</v>
      </c>
      <c r="E726" s="1">
        <v>42788</v>
      </c>
      <c r="F726" s="1">
        <v>42788</v>
      </c>
      <c r="G726">
        <v>2</v>
      </c>
      <c r="H726">
        <v>7</v>
      </c>
    </row>
    <row r="727" spans="1:8" x14ac:dyDescent="0.3">
      <c r="A727">
        <v>726</v>
      </c>
      <c r="B727">
        <v>969</v>
      </c>
      <c r="C727">
        <v>4</v>
      </c>
      <c r="D727" s="1">
        <v>42785</v>
      </c>
      <c r="E727" s="1">
        <v>42788</v>
      </c>
      <c r="F727" s="1">
        <v>42786</v>
      </c>
      <c r="G727">
        <v>2</v>
      </c>
      <c r="H727">
        <v>6</v>
      </c>
    </row>
    <row r="728" spans="1:8" x14ac:dyDescent="0.3">
      <c r="A728">
        <v>727</v>
      </c>
      <c r="B728">
        <v>962</v>
      </c>
      <c r="C728">
        <v>4</v>
      </c>
      <c r="D728" s="1">
        <v>42785</v>
      </c>
      <c r="E728" s="1">
        <v>42788</v>
      </c>
      <c r="F728" s="1">
        <v>42787</v>
      </c>
      <c r="G728">
        <v>3</v>
      </c>
      <c r="H728">
        <v>9</v>
      </c>
    </row>
    <row r="729" spans="1:8" x14ac:dyDescent="0.3">
      <c r="A729">
        <v>728</v>
      </c>
      <c r="B729">
        <v>1138</v>
      </c>
      <c r="C729">
        <v>4</v>
      </c>
      <c r="D729" s="1">
        <v>42786</v>
      </c>
      <c r="E729" s="1">
        <v>42787</v>
      </c>
      <c r="F729" s="1">
        <v>42789</v>
      </c>
      <c r="G729">
        <v>1</v>
      </c>
      <c r="H729">
        <v>3</v>
      </c>
    </row>
    <row r="730" spans="1:8" x14ac:dyDescent="0.3">
      <c r="A730">
        <v>729</v>
      </c>
      <c r="B730">
        <v>897</v>
      </c>
      <c r="C730">
        <v>4</v>
      </c>
      <c r="D730" s="1">
        <v>42786</v>
      </c>
      <c r="E730" s="1">
        <v>42788</v>
      </c>
      <c r="F730" s="1">
        <v>42787</v>
      </c>
      <c r="G730">
        <v>2</v>
      </c>
      <c r="H730">
        <v>7</v>
      </c>
    </row>
    <row r="731" spans="1:8" x14ac:dyDescent="0.3">
      <c r="A731">
        <v>730</v>
      </c>
      <c r="B731">
        <v>500</v>
      </c>
      <c r="C731">
        <v>4</v>
      </c>
      <c r="D731" s="1">
        <v>42787</v>
      </c>
      <c r="E731" s="1">
        <v>42790</v>
      </c>
      <c r="F731" s="1">
        <v>42788</v>
      </c>
      <c r="G731">
        <v>2</v>
      </c>
      <c r="H731">
        <v>6</v>
      </c>
    </row>
    <row r="732" spans="1:8" x14ac:dyDescent="0.3">
      <c r="A732">
        <v>731</v>
      </c>
      <c r="B732">
        <v>910</v>
      </c>
      <c r="C732">
        <v>4</v>
      </c>
      <c r="D732" s="1">
        <v>42791</v>
      </c>
      <c r="E732" s="1">
        <v>42793</v>
      </c>
      <c r="F732" s="1">
        <v>42793</v>
      </c>
      <c r="G732">
        <v>3</v>
      </c>
      <c r="H732">
        <v>9</v>
      </c>
    </row>
    <row r="733" spans="1:8" x14ac:dyDescent="0.3">
      <c r="A733">
        <v>732</v>
      </c>
      <c r="B733">
        <v>147</v>
      </c>
      <c r="C733">
        <v>4</v>
      </c>
      <c r="D733" s="1">
        <v>42792</v>
      </c>
      <c r="E733" s="1">
        <v>42793</v>
      </c>
      <c r="F733" s="1">
        <v>42795</v>
      </c>
      <c r="G733">
        <v>2</v>
      </c>
      <c r="H733">
        <v>7</v>
      </c>
    </row>
    <row r="734" spans="1:8" x14ac:dyDescent="0.3">
      <c r="A734">
        <v>733</v>
      </c>
      <c r="B734">
        <v>832</v>
      </c>
      <c r="C734">
        <v>4</v>
      </c>
      <c r="D734" s="1">
        <v>42792</v>
      </c>
      <c r="E734" s="1">
        <v>42795</v>
      </c>
      <c r="F734" s="1">
        <v>42793</v>
      </c>
      <c r="G734">
        <v>2</v>
      </c>
      <c r="H734">
        <v>7</v>
      </c>
    </row>
    <row r="735" spans="1:8" x14ac:dyDescent="0.3">
      <c r="A735">
        <v>734</v>
      </c>
      <c r="B735">
        <v>939</v>
      </c>
      <c r="C735">
        <v>4</v>
      </c>
      <c r="D735" s="1">
        <v>42792</v>
      </c>
      <c r="E735" s="1">
        <v>42794</v>
      </c>
      <c r="F735" s="1">
        <v>42795</v>
      </c>
      <c r="G735">
        <v>3</v>
      </c>
      <c r="H735">
        <v>9</v>
      </c>
    </row>
    <row r="736" spans="1:8" x14ac:dyDescent="0.3">
      <c r="A736">
        <v>735</v>
      </c>
      <c r="B736">
        <v>20</v>
      </c>
      <c r="C736">
        <v>3</v>
      </c>
      <c r="D736" s="1">
        <v>42793</v>
      </c>
      <c r="E736" s="1">
        <v>42793</v>
      </c>
      <c r="F736" s="1">
        <v>42411</v>
      </c>
      <c r="G736">
        <v>3</v>
      </c>
      <c r="H736">
        <v>9</v>
      </c>
    </row>
    <row r="737" spans="1:8" x14ac:dyDescent="0.3">
      <c r="A737">
        <v>736</v>
      </c>
      <c r="B737">
        <v>184</v>
      </c>
      <c r="C737">
        <v>4</v>
      </c>
      <c r="D737" s="1">
        <v>42793</v>
      </c>
      <c r="E737" s="1">
        <v>42794</v>
      </c>
      <c r="F737" s="1">
        <v>42794</v>
      </c>
      <c r="G737">
        <v>2</v>
      </c>
      <c r="H737">
        <v>7</v>
      </c>
    </row>
    <row r="738" spans="1:8" x14ac:dyDescent="0.3">
      <c r="A738">
        <v>737</v>
      </c>
      <c r="B738">
        <v>694</v>
      </c>
      <c r="C738">
        <v>4</v>
      </c>
      <c r="D738" s="1">
        <v>42793</v>
      </c>
      <c r="E738" s="1">
        <v>42795</v>
      </c>
      <c r="F738" s="1">
        <v>42794</v>
      </c>
      <c r="G738">
        <v>2</v>
      </c>
      <c r="H738">
        <v>6</v>
      </c>
    </row>
    <row r="739" spans="1:8" x14ac:dyDescent="0.3">
      <c r="A739">
        <v>738</v>
      </c>
      <c r="B739">
        <v>124</v>
      </c>
      <c r="C739">
        <v>4</v>
      </c>
      <c r="D739" s="1">
        <v>42794</v>
      </c>
      <c r="E739" s="1">
        <v>42795</v>
      </c>
      <c r="F739" s="1">
        <v>42797</v>
      </c>
      <c r="G739">
        <v>1</v>
      </c>
      <c r="H739">
        <v>2</v>
      </c>
    </row>
    <row r="740" spans="1:8" x14ac:dyDescent="0.3">
      <c r="A740">
        <v>739</v>
      </c>
      <c r="B740">
        <v>49</v>
      </c>
      <c r="C740">
        <v>4</v>
      </c>
      <c r="D740" s="1">
        <v>42794</v>
      </c>
      <c r="E740" s="1">
        <v>42795</v>
      </c>
      <c r="F740" s="1">
        <v>42796</v>
      </c>
      <c r="G740">
        <v>2</v>
      </c>
      <c r="H740">
        <v>6</v>
      </c>
    </row>
    <row r="741" spans="1:8" x14ac:dyDescent="0.3">
      <c r="A741">
        <v>740</v>
      </c>
      <c r="B741">
        <v>1113</v>
      </c>
      <c r="C741">
        <v>4</v>
      </c>
      <c r="D741" s="1">
        <v>42794</v>
      </c>
      <c r="E741" s="1">
        <v>42795</v>
      </c>
      <c r="F741" s="1">
        <v>42796</v>
      </c>
      <c r="G741">
        <v>2</v>
      </c>
      <c r="H741">
        <v>6</v>
      </c>
    </row>
    <row r="742" spans="1:8" x14ac:dyDescent="0.3">
      <c r="A742">
        <v>741</v>
      </c>
      <c r="B742">
        <v>119</v>
      </c>
      <c r="C742">
        <v>4</v>
      </c>
      <c r="D742" s="1">
        <v>42794</v>
      </c>
      <c r="E742" s="1">
        <v>42795</v>
      </c>
      <c r="F742" s="1">
        <v>42795</v>
      </c>
      <c r="G742">
        <v>3</v>
      </c>
      <c r="H742">
        <v>8</v>
      </c>
    </row>
    <row r="743" spans="1:8" x14ac:dyDescent="0.3">
      <c r="A743">
        <v>742</v>
      </c>
      <c r="B743">
        <v>433</v>
      </c>
      <c r="C743">
        <v>4</v>
      </c>
      <c r="D743" s="1">
        <v>42794</v>
      </c>
      <c r="E743" s="1">
        <v>42795</v>
      </c>
      <c r="F743" s="1">
        <v>42795</v>
      </c>
      <c r="G743">
        <v>3</v>
      </c>
      <c r="H743">
        <v>9</v>
      </c>
    </row>
    <row r="744" spans="1:8" x14ac:dyDescent="0.3">
      <c r="A744">
        <v>743</v>
      </c>
      <c r="B744">
        <v>137</v>
      </c>
      <c r="C744">
        <v>4</v>
      </c>
      <c r="D744" s="1">
        <v>42795</v>
      </c>
      <c r="E744" s="1">
        <v>42798</v>
      </c>
      <c r="F744" s="1">
        <v>42798</v>
      </c>
      <c r="G744">
        <v>2</v>
      </c>
      <c r="H744">
        <v>6</v>
      </c>
    </row>
    <row r="745" spans="1:8" x14ac:dyDescent="0.3">
      <c r="A745">
        <v>744</v>
      </c>
      <c r="B745">
        <v>166</v>
      </c>
      <c r="C745">
        <v>4</v>
      </c>
      <c r="D745" s="1">
        <v>42795</v>
      </c>
      <c r="E745" s="1">
        <v>42796</v>
      </c>
      <c r="F745" s="1">
        <v>42796</v>
      </c>
      <c r="G745">
        <v>2</v>
      </c>
      <c r="H745">
        <v>7</v>
      </c>
    </row>
    <row r="746" spans="1:8" x14ac:dyDescent="0.3">
      <c r="A746">
        <v>745</v>
      </c>
      <c r="B746">
        <v>698</v>
      </c>
      <c r="C746">
        <v>4</v>
      </c>
      <c r="D746" s="1">
        <v>42795</v>
      </c>
      <c r="E746" s="1">
        <v>42797</v>
      </c>
      <c r="F746" s="1">
        <v>42797</v>
      </c>
      <c r="G746">
        <v>2</v>
      </c>
      <c r="H746">
        <v>7</v>
      </c>
    </row>
    <row r="747" spans="1:8" x14ac:dyDescent="0.3">
      <c r="A747">
        <v>746</v>
      </c>
      <c r="B747">
        <v>391</v>
      </c>
      <c r="C747">
        <v>4</v>
      </c>
      <c r="D747" s="1">
        <v>42796</v>
      </c>
      <c r="E747" s="1">
        <v>42798</v>
      </c>
      <c r="F747" s="1">
        <v>42799</v>
      </c>
      <c r="G747">
        <v>1</v>
      </c>
      <c r="H747">
        <v>3</v>
      </c>
    </row>
    <row r="748" spans="1:8" x14ac:dyDescent="0.3">
      <c r="A748">
        <v>747</v>
      </c>
      <c r="B748">
        <v>87</v>
      </c>
      <c r="C748">
        <v>4</v>
      </c>
      <c r="D748" s="1">
        <v>42797</v>
      </c>
      <c r="E748" s="1">
        <v>42798</v>
      </c>
      <c r="F748" s="1">
        <v>42799</v>
      </c>
      <c r="G748">
        <v>1</v>
      </c>
      <c r="H748">
        <v>3</v>
      </c>
    </row>
    <row r="749" spans="1:8" x14ac:dyDescent="0.3">
      <c r="A749">
        <v>748</v>
      </c>
      <c r="B749">
        <v>1072</v>
      </c>
      <c r="C749">
        <v>4</v>
      </c>
      <c r="D749" s="1">
        <v>42797</v>
      </c>
      <c r="E749" s="1">
        <v>42799</v>
      </c>
      <c r="F749" s="1">
        <v>42798</v>
      </c>
      <c r="G749">
        <v>3</v>
      </c>
      <c r="H749">
        <v>8</v>
      </c>
    </row>
    <row r="750" spans="1:8" x14ac:dyDescent="0.3">
      <c r="A750">
        <v>749</v>
      </c>
      <c r="B750">
        <v>255</v>
      </c>
      <c r="C750">
        <v>4</v>
      </c>
      <c r="D750" s="1">
        <v>42798</v>
      </c>
      <c r="E750" s="1">
        <v>42801</v>
      </c>
      <c r="F750" s="1">
        <v>42799</v>
      </c>
      <c r="G750">
        <v>2</v>
      </c>
      <c r="H750">
        <v>7</v>
      </c>
    </row>
    <row r="751" spans="1:8" x14ac:dyDescent="0.3">
      <c r="A751">
        <v>750</v>
      </c>
      <c r="B751">
        <v>232</v>
      </c>
      <c r="C751">
        <v>4</v>
      </c>
      <c r="D751" s="1">
        <v>42798</v>
      </c>
      <c r="E751" s="1">
        <v>42801</v>
      </c>
      <c r="F751" s="1">
        <v>42799</v>
      </c>
      <c r="G751">
        <v>3</v>
      </c>
      <c r="H751">
        <v>8</v>
      </c>
    </row>
    <row r="752" spans="1:8" x14ac:dyDescent="0.3">
      <c r="A752">
        <v>751</v>
      </c>
      <c r="B752">
        <v>731</v>
      </c>
      <c r="C752">
        <v>4</v>
      </c>
      <c r="D752" s="1">
        <v>42799</v>
      </c>
      <c r="E752" s="1">
        <v>42802</v>
      </c>
      <c r="F752" s="1">
        <v>42801</v>
      </c>
      <c r="G752">
        <v>1</v>
      </c>
      <c r="H752">
        <v>3</v>
      </c>
    </row>
    <row r="753" spans="1:8" x14ac:dyDescent="0.3">
      <c r="A753">
        <v>752</v>
      </c>
      <c r="B753">
        <v>335</v>
      </c>
      <c r="C753">
        <v>4</v>
      </c>
      <c r="D753" s="1">
        <v>42799</v>
      </c>
      <c r="E753" s="1">
        <v>42800</v>
      </c>
      <c r="F753" s="1">
        <v>42801</v>
      </c>
      <c r="G753">
        <v>2</v>
      </c>
      <c r="H753">
        <v>6</v>
      </c>
    </row>
    <row r="754" spans="1:8" x14ac:dyDescent="0.3">
      <c r="A754">
        <v>753</v>
      </c>
      <c r="B754">
        <v>1201</v>
      </c>
      <c r="C754">
        <v>4</v>
      </c>
      <c r="D754" s="1">
        <v>42799</v>
      </c>
      <c r="E754" s="1">
        <v>42802</v>
      </c>
      <c r="F754" s="1">
        <v>42802</v>
      </c>
      <c r="G754">
        <v>2</v>
      </c>
      <c r="H754">
        <v>7</v>
      </c>
    </row>
    <row r="755" spans="1:8" x14ac:dyDescent="0.3">
      <c r="A755">
        <v>754</v>
      </c>
      <c r="B755">
        <v>646</v>
      </c>
      <c r="C755">
        <v>4</v>
      </c>
      <c r="D755" s="1">
        <v>42800</v>
      </c>
      <c r="E755" s="1">
        <v>42801</v>
      </c>
      <c r="F755" s="1">
        <v>42802</v>
      </c>
      <c r="G755">
        <v>1</v>
      </c>
      <c r="H755">
        <v>2</v>
      </c>
    </row>
    <row r="756" spans="1:8" x14ac:dyDescent="0.3">
      <c r="A756">
        <v>755</v>
      </c>
      <c r="B756">
        <v>531</v>
      </c>
      <c r="C756">
        <v>4</v>
      </c>
      <c r="D756" s="1">
        <v>42800</v>
      </c>
      <c r="E756" s="1">
        <v>42801</v>
      </c>
      <c r="F756" s="1">
        <v>42801</v>
      </c>
      <c r="G756">
        <v>2</v>
      </c>
      <c r="H756">
        <v>6</v>
      </c>
    </row>
    <row r="757" spans="1:8" x14ac:dyDescent="0.3">
      <c r="A757">
        <v>756</v>
      </c>
      <c r="B757">
        <v>1143</v>
      </c>
      <c r="C757">
        <v>4</v>
      </c>
      <c r="D757" s="1">
        <v>42800</v>
      </c>
      <c r="E757" s="1">
        <v>42801</v>
      </c>
      <c r="F757" s="1">
        <v>42803</v>
      </c>
      <c r="G757">
        <v>2</v>
      </c>
      <c r="H757">
        <v>6</v>
      </c>
    </row>
    <row r="758" spans="1:8" x14ac:dyDescent="0.3">
      <c r="A758">
        <v>757</v>
      </c>
      <c r="B758">
        <v>1336</v>
      </c>
      <c r="C758">
        <v>4</v>
      </c>
      <c r="D758" s="1">
        <v>42800</v>
      </c>
      <c r="E758" s="1">
        <v>42802</v>
      </c>
      <c r="F758" s="1">
        <v>42803</v>
      </c>
      <c r="G758">
        <v>2</v>
      </c>
      <c r="H758">
        <v>7</v>
      </c>
    </row>
    <row r="759" spans="1:8" x14ac:dyDescent="0.3">
      <c r="A759">
        <v>758</v>
      </c>
      <c r="B759">
        <v>953</v>
      </c>
      <c r="C759">
        <v>4</v>
      </c>
      <c r="D759" s="1">
        <v>42800</v>
      </c>
      <c r="E759" s="1">
        <v>42802</v>
      </c>
      <c r="F759" s="1">
        <v>42801</v>
      </c>
      <c r="G759">
        <v>3</v>
      </c>
      <c r="H759">
        <v>9</v>
      </c>
    </row>
    <row r="760" spans="1:8" x14ac:dyDescent="0.3">
      <c r="A760">
        <v>759</v>
      </c>
      <c r="B760">
        <v>284</v>
      </c>
      <c r="C760">
        <v>4</v>
      </c>
      <c r="D760" s="1">
        <v>42801</v>
      </c>
      <c r="E760" s="1">
        <v>42803</v>
      </c>
      <c r="F760" s="1">
        <v>42802</v>
      </c>
      <c r="G760">
        <v>2</v>
      </c>
      <c r="H760">
        <v>7</v>
      </c>
    </row>
    <row r="761" spans="1:8" x14ac:dyDescent="0.3">
      <c r="A761">
        <v>760</v>
      </c>
      <c r="B761">
        <v>1104</v>
      </c>
      <c r="C761">
        <v>4</v>
      </c>
      <c r="D761" s="1">
        <v>42801</v>
      </c>
      <c r="E761" s="1">
        <v>42804</v>
      </c>
      <c r="F761" s="1">
        <v>42804</v>
      </c>
      <c r="G761">
        <v>2</v>
      </c>
      <c r="H761">
        <v>6</v>
      </c>
    </row>
    <row r="762" spans="1:8" x14ac:dyDescent="0.3">
      <c r="A762">
        <v>761</v>
      </c>
      <c r="B762">
        <v>1291</v>
      </c>
      <c r="C762">
        <v>4</v>
      </c>
      <c r="D762" s="1">
        <v>42801</v>
      </c>
      <c r="E762" s="1">
        <v>42802</v>
      </c>
      <c r="F762" s="1">
        <v>42804</v>
      </c>
      <c r="G762">
        <v>2</v>
      </c>
      <c r="H762">
        <v>7</v>
      </c>
    </row>
    <row r="763" spans="1:8" x14ac:dyDescent="0.3">
      <c r="A763">
        <v>762</v>
      </c>
      <c r="B763">
        <v>572</v>
      </c>
      <c r="C763">
        <v>4</v>
      </c>
      <c r="D763" s="1">
        <v>42802</v>
      </c>
      <c r="E763" s="1">
        <v>42803</v>
      </c>
      <c r="F763" s="1">
        <v>42803</v>
      </c>
      <c r="G763">
        <v>2</v>
      </c>
      <c r="H763">
        <v>6</v>
      </c>
    </row>
    <row r="764" spans="1:8" x14ac:dyDescent="0.3">
      <c r="A764">
        <v>763</v>
      </c>
      <c r="B764">
        <v>842</v>
      </c>
      <c r="C764">
        <v>4</v>
      </c>
      <c r="D764" s="1">
        <v>42802</v>
      </c>
      <c r="E764" s="1">
        <v>42804</v>
      </c>
      <c r="F764" s="1">
        <v>42803</v>
      </c>
      <c r="G764">
        <v>3</v>
      </c>
      <c r="H764">
        <v>9</v>
      </c>
    </row>
    <row r="765" spans="1:8" x14ac:dyDescent="0.3">
      <c r="A765">
        <v>764</v>
      </c>
      <c r="B765">
        <v>701</v>
      </c>
      <c r="C765">
        <v>4</v>
      </c>
      <c r="D765" s="1">
        <v>42803</v>
      </c>
      <c r="E765" s="1">
        <v>42804</v>
      </c>
      <c r="F765" s="1">
        <v>42806</v>
      </c>
      <c r="G765">
        <v>1</v>
      </c>
      <c r="H765">
        <v>2</v>
      </c>
    </row>
    <row r="766" spans="1:8" x14ac:dyDescent="0.3">
      <c r="A766">
        <v>765</v>
      </c>
      <c r="B766">
        <v>1152</v>
      </c>
      <c r="C766">
        <v>4</v>
      </c>
      <c r="D766" s="1">
        <v>42803</v>
      </c>
      <c r="E766" s="1">
        <v>42805</v>
      </c>
      <c r="F766" s="1">
        <v>42806</v>
      </c>
      <c r="G766">
        <v>1</v>
      </c>
      <c r="H766">
        <v>2</v>
      </c>
    </row>
    <row r="767" spans="1:8" x14ac:dyDescent="0.3">
      <c r="A767">
        <v>766</v>
      </c>
      <c r="B767">
        <v>141</v>
      </c>
      <c r="C767">
        <v>4</v>
      </c>
      <c r="D767" s="1">
        <v>42803</v>
      </c>
      <c r="E767" s="1">
        <v>42805</v>
      </c>
      <c r="F767" s="1">
        <v>42806</v>
      </c>
      <c r="G767">
        <v>2</v>
      </c>
      <c r="H767">
        <v>6</v>
      </c>
    </row>
    <row r="768" spans="1:8" x14ac:dyDescent="0.3">
      <c r="A768">
        <v>767</v>
      </c>
      <c r="B768">
        <v>564</v>
      </c>
      <c r="C768">
        <v>4</v>
      </c>
      <c r="D768" s="1">
        <v>42803</v>
      </c>
      <c r="E768" s="1">
        <v>42804</v>
      </c>
      <c r="F768" s="1">
        <v>42805</v>
      </c>
      <c r="G768">
        <v>2</v>
      </c>
      <c r="H768">
        <v>7</v>
      </c>
    </row>
    <row r="769" spans="1:8" x14ac:dyDescent="0.3">
      <c r="A769">
        <v>768</v>
      </c>
      <c r="B769">
        <v>841</v>
      </c>
      <c r="C769">
        <v>4</v>
      </c>
      <c r="D769" s="1">
        <v>42803</v>
      </c>
      <c r="E769" s="1">
        <v>42806</v>
      </c>
      <c r="F769" s="1">
        <v>42804</v>
      </c>
      <c r="G769">
        <v>2</v>
      </c>
      <c r="H769">
        <v>7</v>
      </c>
    </row>
    <row r="770" spans="1:8" x14ac:dyDescent="0.3">
      <c r="A770">
        <v>769</v>
      </c>
      <c r="B770">
        <v>946</v>
      </c>
      <c r="C770">
        <v>4</v>
      </c>
      <c r="D770" s="1">
        <v>42803</v>
      </c>
      <c r="E770" s="1">
        <v>42805</v>
      </c>
      <c r="F770" s="1">
        <v>42805</v>
      </c>
      <c r="G770">
        <v>2</v>
      </c>
      <c r="H770">
        <v>6</v>
      </c>
    </row>
    <row r="771" spans="1:8" x14ac:dyDescent="0.3">
      <c r="A771">
        <v>770</v>
      </c>
      <c r="B771">
        <v>135</v>
      </c>
      <c r="C771">
        <v>4</v>
      </c>
      <c r="D771" s="1">
        <v>42803</v>
      </c>
      <c r="E771" s="1">
        <v>42805</v>
      </c>
      <c r="F771" s="1">
        <v>42805</v>
      </c>
      <c r="G771">
        <v>3</v>
      </c>
      <c r="H771">
        <v>9</v>
      </c>
    </row>
    <row r="772" spans="1:8" x14ac:dyDescent="0.3">
      <c r="A772">
        <v>771</v>
      </c>
      <c r="B772">
        <v>671</v>
      </c>
      <c r="C772">
        <v>4</v>
      </c>
      <c r="D772" s="1">
        <v>42805</v>
      </c>
      <c r="E772" s="1">
        <v>42808</v>
      </c>
      <c r="F772" s="1">
        <v>42806</v>
      </c>
      <c r="G772">
        <v>1</v>
      </c>
      <c r="H772">
        <v>3</v>
      </c>
    </row>
    <row r="773" spans="1:8" x14ac:dyDescent="0.3">
      <c r="A773">
        <v>772</v>
      </c>
      <c r="B773">
        <v>448</v>
      </c>
      <c r="C773">
        <v>4</v>
      </c>
      <c r="D773" s="1">
        <v>42805</v>
      </c>
      <c r="E773" s="1">
        <v>42806</v>
      </c>
      <c r="F773" s="1">
        <v>42807</v>
      </c>
      <c r="G773">
        <v>2</v>
      </c>
      <c r="H773">
        <v>7</v>
      </c>
    </row>
    <row r="774" spans="1:8" x14ac:dyDescent="0.3">
      <c r="A774">
        <v>773</v>
      </c>
      <c r="B774">
        <v>1385</v>
      </c>
      <c r="C774">
        <v>4</v>
      </c>
      <c r="D774" s="1">
        <v>42805</v>
      </c>
      <c r="E774" s="1">
        <v>42806</v>
      </c>
      <c r="F774" s="1">
        <v>42806</v>
      </c>
      <c r="G774">
        <v>2</v>
      </c>
      <c r="H774">
        <v>6</v>
      </c>
    </row>
    <row r="775" spans="1:8" x14ac:dyDescent="0.3">
      <c r="A775">
        <v>774</v>
      </c>
      <c r="B775">
        <v>690</v>
      </c>
      <c r="C775">
        <v>4</v>
      </c>
      <c r="D775" s="1">
        <v>42806</v>
      </c>
      <c r="E775" s="1">
        <v>42808</v>
      </c>
      <c r="F775" s="1">
        <v>42808</v>
      </c>
      <c r="G775">
        <v>2</v>
      </c>
      <c r="H775">
        <v>6</v>
      </c>
    </row>
    <row r="776" spans="1:8" x14ac:dyDescent="0.3">
      <c r="A776">
        <v>775</v>
      </c>
      <c r="B776">
        <v>968</v>
      </c>
      <c r="C776">
        <v>4</v>
      </c>
      <c r="D776" s="1">
        <v>42806</v>
      </c>
      <c r="E776" s="1">
        <v>42807</v>
      </c>
      <c r="F776" s="1">
        <v>42807</v>
      </c>
      <c r="G776">
        <v>2</v>
      </c>
      <c r="H776">
        <v>6</v>
      </c>
    </row>
    <row r="777" spans="1:8" x14ac:dyDescent="0.3">
      <c r="A777">
        <v>776</v>
      </c>
      <c r="B777">
        <v>490</v>
      </c>
      <c r="C777">
        <v>4</v>
      </c>
      <c r="D777" s="1">
        <v>42807</v>
      </c>
      <c r="E777" s="1">
        <v>42809</v>
      </c>
      <c r="F777" s="1">
        <v>42810</v>
      </c>
      <c r="G777">
        <v>2</v>
      </c>
      <c r="H777">
        <v>6</v>
      </c>
    </row>
    <row r="778" spans="1:8" x14ac:dyDescent="0.3">
      <c r="A778">
        <v>777</v>
      </c>
      <c r="B778">
        <v>496</v>
      </c>
      <c r="C778">
        <v>4</v>
      </c>
      <c r="D778" s="1">
        <v>42807</v>
      </c>
      <c r="E778" s="1">
        <v>42810</v>
      </c>
      <c r="F778" s="1">
        <v>42810</v>
      </c>
      <c r="G778">
        <v>2</v>
      </c>
      <c r="H778">
        <v>6</v>
      </c>
    </row>
    <row r="779" spans="1:8" x14ac:dyDescent="0.3">
      <c r="A779">
        <v>778</v>
      </c>
      <c r="B779">
        <v>56</v>
      </c>
      <c r="C779">
        <v>3</v>
      </c>
      <c r="D779" s="1">
        <v>42809</v>
      </c>
      <c r="E779" s="1">
        <v>42809</v>
      </c>
      <c r="F779" s="1">
        <v>42411</v>
      </c>
      <c r="G779">
        <v>3</v>
      </c>
      <c r="H779">
        <v>9</v>
      </c>
    </row>
    <row r="780" spans="1:8" x14ac:dyDescent="0.3">
      <c r="A780">
        <v>779</v>
      </c>
      <c r="B780">
        <v>367</v>
      </c>
      <c r="C780">
        <v>4</v>
      </c>
      <c r="D780" s="1">
        <v>42809</v>
      </c>
      <c r="E780" s="1">
        <v>42810</v>
      </c>
      <c r="F780" s="1">
        <v>42812</v>
      </c>
      <c r="G780">
        <v>2</v>
      </c>
      <c r="H780">
        <v>6</v>
      </c>
    </row>
    <row r="781" spans="1:8" x14ac:dyDescent="0.3">
      <c r="A781">
        <v>780</v>
      </c>
      <c r="B781">
        <v>592</v>
      </c>
      <c r="C781">
        <v>4</v>
      </c>
      <c r="D781" s="1">
        <v>42809</v>
      </c>
      <c r="E781" s="1">
        <v>42811</v>
      </c>
      <c r="F781" s="1">
        <v>42811</v>
      </c>
      <c r="G781">
        <v>2</v>
      </c>
      <c r="H781">
        <v>6</v>
      </c>
    </row>
    <row r="782" spans="1:8" x14ac:dyDescent="0.3">
      <c r="A782">
        <v>781</v>
      </c>
      <c r="B782">
        <v>1018</v>
      </c>
      <c r="C782">
        <v>4</v>
      </c>
      <c r="D782" s="1">
        <v>42809</v>
      </c>
      <c r="E782" s="1">
        <v>42810</v>
      </c>
      <c r="F782" s="1">
        <v>42811</v>
      </c>
      <c r="G782">
        <v>2</v>
      </c>
      <c r="H782">
        <v>6</v>
      </c>
    </row>
    <row r="783" spans="1:8" x14ac:dyDescent="0.3">
      <c r="A783">
        <v>782</v>
      </c>
      <c r="B783">
        <v>1298</v>
      </c>
      <c r="C783">
        <v>4</v>
      </c>
      <c r="D783" s="1">
        <v>42809</v>
      </c>
      <c r="E783" s="1">
        <v>42810</v>
      </c>
      <c r="F783" s="1">
        <v>42812</v>
      </c>
      <c r="G783">
        <v>2</v>
      </c>
      <c r="H783">
        <v>7</v>
      </c>
    </row>
    <row r="784" spans="1:8" x14ac:dyDescent="0.3">
      <c r="A784">
        <v>783</v>
      </c>
      <c r="B784">
        <v>1343</v>
      </c>
      <c r="C784">
        <v>4</v>
      </c>
      <c r="D784" s="1">
        <v>42810</v>
      </c>
      <c r="E784" s="1">
        <v>42813</v>
      </c>
      <c r="F784" s="1">
        <v>42811</v>
      </c>
      <c r="G784">
        <v>1</v>
      </c>
      <c r="H784">
        <v>2</v>
      </c>
    </row>
    <row r="785" spans="1:8" x14ac:dyDescent="0.3">
      <c r="A785">
        <v>784</v>
      </c>
      <c r="B785">
        <v>430</v>
      </c>
      <c r="C785">
        <v>4</v>
      </c>
      <c r="D785" s="1">
        <v>42810</v>
      </c>
      <c r="E785" s="1">
        <v>42813</v>
      </c>
      <c r="F785" s="1">
        <v>42813</v>
      </c>
      <c r="G785">
        <v>2</v>
      </c>
      <c r="H785">
        <v>7</v>
      </c>
    </row>
    <row r="786" spans="1:8" x14ac:dyDescent="0.3">
      <c r="A786">
        <v>785</v>
      </c>
      <c r="B786">
        <v>794</v>
      </c>
      <c r="C786">
        <v>4</v>
      </c>
      <c r="D786" s="1">
        <v>42812</v>
      </c>
      <c r="E786" s="1">
        <v>42813</v>
      </c>
      <c r="F786" s="1">
        <v>42814</v>
      </c>
      <c r="G786">
        <v>1</v>
      </c>
      <c r="H786">
        <v>2</v>
      </c>
    </row>
    <row r="787" spans="1:8" x14ac:dyDescent="0.3">
      <c r="A787">
        <v>786</v>
      </c>
      <c r="B787">
        <v>249</v>
      </c>
      <c r="C787">
        <v>4</v>
      </c>
      <c r="D787" s="1">
        <v>42812</v>
      </c>
      <c r="E787" s="1">
        <v>42814</v>
      </c>
      <c r="F787" s="1">
        <v>42813</v>
      </c>
      <c r="G787">
        <v>2</v>
      </c>
      <c r="H787">
        <v>6</v>
      </c>
    </row>
    <row r="788" spans="1:8" x14ac:dyDescent="0.3">
      <c r="A788">
        <v>787</v>
      </c>
      <c r="B788">
        <v>700</v>
      </c>
      <c r="C788">
        <v>4</v>
      </c>
      <c r="D788" s="1">
        <v>42812</v>
      </c>
      <c r="E788" s="1">
        <v>42814</v>
      </c>
      <c r="F788" s="1">
        <v>42813</v>
      </c>
      <c r="G788">
        <v>3</v>
      </c>
      <c r="H788">
        <v>9</v>
      </c>
    </row>
    <row r="789" spans="1:8" x14ac:dyDescent="0.3">
      <c r="A789">
        <v>788</v>
      </c>
      <c r="B789">
        <v>1363</v>
      </c>
      <c r="C789">
        <v>4</v>
      </c>
      <c r="D789" s="1">
        <v>42812</v>
      </c>
      <c r="E789" s="1">
        <v>42814</v>
      </c>
      <c r="F789" s="1">
        <v>42814</v>
      </c>
      <c r="G789">
        <v>3</v>
      </c>
      <c r="H789">
        <v>9</v>
      </c>
    </row>
    <row r="790" spans="1:8" x14ac:dyDescent="0.3">
      <c r="A790">
        <v>789</v>
      </c>
      <c r="B790">
        <v>772</v>
      </c>
      <c r="C790">
        <v>4</v>
      </c>
      <c r="D790" s="1">
        <v>42813</v>
      </c>
      <c r="E790" s="1">
        <v>42814</v>
      </c>
      <c r="F790" s="1">
        <v>42814</v>
      </c>
      <c r="G790">
        <v>2</v>
      </c>
      <c r="H790">
        <v>6</v>
      </c>
    </row>
    <row r="791" spans="1:8" x14ac:dyDescent="0.3">
      <c r="A791">
        <v>790</v>
      </c>
      <c r="B791">
        <v>1015</v>
      </c>
      <c r="C791">
        <v>4</v>
      </c>
      <c r="D791" s="1">
        <v>42813</v>
      </c>
      <c r="E791" s="1">
        <v>42815</v>
      </c>
      <c r="F791" s="1">
        <v>42816</v>
      </c>
      <c r="G791">
        <v>2</v>
      </c>
      <c r="H791">
        <v>7</v>
      </c>
    </row>
    <row r="792" spans="1:8" x14ac:dyDescent="0.3">
      <c r="A792">
        <v>791</v>
      </c>
      <c r="B792">
        <v>432</v>
      </c>
      <c r="C792">
        <v>4</v>
      </c>
      <c r="D792" s="1">
        <v>42814</v>
      </c>
      <c r="E792" s="1">
        <v>42816</v>
      </c>
      <c r="F792" s="1">
        <v>42817</v>
      </c>
      <c r="G792">
        <v>2</v>
      </c>
      <c r="H792">
        <v>6</v>
      </c>
    </row>
    <row r="793" spans="1:8" x14ac:dyDescent="0.3">
      <c r="A793">
        <v>792</v>
      </c>
      <c r="B793">
        <v>479</v>
      </c>
      <c r="C793">
        <v>4</v>
      </c>
      <c r="D793" s="1">
        <v>42816</v>
      </c>
      <c r="E793" s="1">
        <v>42817</v>
      </c>
      <c r="F793" s="1">
        <v>42818</v>
      </c>
      <c r="G793">
        <v>2</v>
      </c>
      <c r="H793">
        <v>6</v>
      </c>
    </row>
    <row r="794" spans="1:8" x14ac:dyDescent="0.3">
      <c r="A794">
        <v>793</v>
      </c>
      <c r="B794">
        <v>653</v>
      </c>
      <c r="C794">
        <v>4</v>
      </c>
      <c r="D794" s="1">
        <v>42817</v>
      </c>
      <c r="E794" s="1">
        <v>42818</v>
      </c>
      <c r="F794" s="1">
        <v>42818</v>
      </c>
      <c r="G794">
        <v>2</v>
      </c>
      <c r="H794">
        <v>6</v>
      </c>
    </row>
    <row r="795" spans="1:8" x14ac:dyDescent="0.3">
      <c r="A795">
        <v>794</v>
      </c>
      <c r="B795">
        <v>863</v>
      </c>
      <c r="C795">
        <v>4</v>
      </c>
      <c r="D795" s="1">
        <v>42817</v>
      </c>
      <c r="E795" s="1">
        <v>42819</v>
      </c>
      <c r="F795" s="1">
        <v>42818</v>
      </c>
      <c r="G795">
        <v>2</v>
      </c>
      <c r="H795">
        <v>7</v>
      </c>
    </row>
    <row r="796" spans="1:8" x14ac:dyDescent="0.3">
      <c r="A796">
        <v>795</v>
      </c>
      <c r="B796">
        <v>992</v>
      </c>
      <c r="C796">
        <v>4</v>
      </c>
      <c r="D796" s="1">
        <v>42817</v>
      </c>
      <c r="E796" s="1">
        <v>42819</v>
      </c>
      <c r="F796" s="1">
        <v>42820</v>
      </c>
      <c r="G796">
        <v>2</v>
      </c>
      <c r="H796">
        <v>7</v>
      </c>
    </row>
    <row r="797" spans="1:8" x14ac:dyDescent="0.3">
      <c r="A797">
        <v>796</v>
      </c>
      <c r="B797">
        <v>154</v>
      </c>
      <c r="C797">
        <v>4</v>
      </c>
      <c r="D797" s="1">
        <v>42817</v>
      </c>
      <c r="E797" s="1">
        <v>42820</v>
      </c>
      <c r="F797" s="1">
        <v>42819</v>
      </c>
      <c r="G797">
        <v>3</v>
      </c>
      <c r="H797">
        <v>9</v>
      </c>
    </row>
    <row r="798" spans="1:8" x14ac:dyDescent="0.3">
      <c r="A798">
        <v>797</v>
      </c>
      <c r="B798">
        <v>374</v>
      </c>
      <c r="C798">
        <v>4</v>
      </c>
      <c r="D798" s="1">
        <v>42818</v>
      </c>
      <c r="E798" s="1">
        <v>42820</v>
      </c>
      <c r="F798" s="1">
        <v>42820</v>
      </c>
      <c r="G798">
        <v>2</v>
      </c>
      <c r="H798">
        <v>7</v>
      </c>
    </row>
    <row r="799" spans="1:8" x14ac:dyDescent="0.3">
      <c r="A799">
        <v>798</v>
      </c>
      <c r="B799">
        <v>619</v>
      </c>
      <c r="C799">
        <v>4</v>
      </c>
      <c r="D799" s="1">
        <v>42820</v>
      </c>
      <c r="E799" s="1">
        <v>42822</v>
      </c>
      <c r="F799" s="1">
        <v>42823</v>
      </c>
      <c r="G799">
        <v>1</v>
      </c>
      <c r="H799">
        <v>3</v>
      </c>
    </row>
    <row r="800" spans="1:8" x14ac:dyDescent="0.3">
      <c r="A800">
        <v>799</v>
      </c>
      <c r="B800">
        <v>607</v>
      </c>
      <c r="C800">
        <v>4</v>
      </c>
      <c r="D800" s="1">
        <v>42821</v>
      </c>
      <c r="E800" s="1">
        <v>42822</v>
      </c>
      <c r="F800" s="1">
        <v>42823</v>
      </c>
      <c r="G800">
        <v>1</v>
      </c>
      <c r="H800">
        <v>3</v>
      </c>
    </row>
    <row r="801" spans="1:8" x14ac:dyDescent="0.3">
      <c r="A801">
        <v>800</v>
      </c>
      <c r="B801">
        <v>1057</v>
      </c>
      <c r="C801">
        <v>4</v>
      </c>
      <c r="D801" s="1">
        <v>42821</v>
      </c>
      <c r="E801" s="1">
        <v>42823</v>
      </c>
      <c r="F801" s="1">
        <v>42822</v>
      </c>
      <c r="G801">
        <v>2</v>
      </c>
      <c r="H801">
        <v>6</v>
      </c>
    </row>
    <row r="802" spans="1:8" x14ac:dyDescent="0.3">
      <c r="A802">
        <v>801</v>
      </c>
      <c r="B802">
        <v>78</v>
      </c>
      <c r="C802">
        <v>4</v>
      </c>
      <c r="D802" s="1">
        <v>42822</v>
      </c>
      <c r="E802" s="1">
        <v>42823</v>
      </c>
      <c r="F802" s="1">
        <v>42824</v>
      </c>
      <c r="G802">
        <v>1</v>
      </c>
      <c r="H802">
        <v>2</v>
      </c>
    </row>
    <row r="803" spans="1:8" x14ac:dyDescent="0.3">
      <c r="A803">
        <v>802</v>
      </c>
      <c r="B803">
        <v>340</v>
      </c>
      <c r="C803">
        <v>4</v>
      </c>
      <c r="D803" s="1">
        <v>42822</v>
      </c>
      <c r="E803" s="1">
        <v>42823</v>
      </c>
      <c r="F803" s="1">
        <v>42824</v>
      </c>
      <c r="G803">
        <v>2</v>
      </c>
      <c r="H803">
        <v>6</v>
      </c>
    </row>
    <row r="804" spans="1:8" x14ac:dyDescent="0.3">
      <c r="A804">
        <v>803</v>
      </c>
      <c r="B804">
        <v>1105</v>
      </c>
      <c r="C804">
        <v>4</v>
      </c>
      <c r="D804" s="1">
        <v>42822</v>
      </c>
      <c r="E804" s="1">
        <v>42825</v>
      </c>
      <c r="F804" s="1">
        <v>42824</v>
      </c>
      <c r="G804">
        <v>3</v>
      </c>
      <c r="H804">
        <v>8</v>
      </c>
    </row>
    <row r="805" spans="1:8" x14ac:dyDescent="0.3">
      <c r="A805">
        <v>804</v>
      </c>
      <c r="B805">
        <v>95</v>
      </c>
      <c r="C805">
        <v>4</v>
      </c>
      <c r="D805" s="1">
        <v>42823</v>
      </c>
      <c r="E805" s="1">
        <v>42825</v>
      </c>
      <c r="F805" s="1">
        <v>42824</v>
      </c>
      <c r="G805">
        <v>2</v>
      </c>
      <c r="H805">
        <v>6</v>
      </c>
    </row>
    <row r="806" spans="1:8" x14ac:dyDescent="0.3">
      <c r="A806">
        <v>805</v>
      </c>
      <c r="B806">
        <v>420</v>
      </c>
      <c r="C806">
        <v>4</v>
      </c>
      <c r="D806" s="1">
        <v>42823</v>
      </c>
      <c r="E806" s="1">
        <v>42824</v>
      </c>
      <c r="F806" s="1">
        <v>42826</v>
      </c>
      <c r="G806">
        <v>2</v>
      </c>
      <c r="H806">
        <v>6</v>
      </c>
    </row>
    <row r="807" spans="1:8" x14ac:dyDescent="0.3">
      <c r="A807">
        <v>806</v>
      </c>
      <c r="B807">
        <v>234</v>
      </c>
      <c r="C807">
        <v>4</v>
      </c>
      <c r="D807" s="1">
        <v>42824</v>
      </c>
      <c r="E807" s="1">
        <v>42825</v>
      </c>
      <c r="F807" s="1">
        <v>42825</v>
      </c>
      <c r="G807">
        <v>2</v>
      </c>
      <c r="H807">
        <v>7</v>
      </c>
    </row>
    <row r="808" spans="1:8" x14ac:dyDescent="0.3">
      <c r="A808">
        <v>807</v>
      </c>
      <c r="B808">
        <v>1148</v>
      </c>
      <c r="C808">
        <v>4</v>
      </c>
      <c r="D808" s="1">
        <v>42824</v>
      </c>
      <c r="E808" s="1">
        <v>42826</v>
      </c>
      <c r="F808" s="1">
        <v>42827</v>
      </c>
      <c r="G808">
        <v>2</v>
      </c>
      <c r="H808">
        <v>6</v>
      </c>
    </row>
    <row r="809" spans="1:8" x14ac:dyDescent="0.3">
      <c r="A809">
        <v>808</v>
      </c>
      <c r="B809">
        <v>315</v>
      </c>
      <c r="C809">
        <v>4</v>
      </c>
      <c r="D809" s="1">
        <v>42825</v>
      </c>
      <c r="E809" s="1">
        <v>42827</v>
      </c>
      <c r="F809" s="1">
        <v>42827</v>
      </c>
      <c r="G809">
        <v>2</v>
      </c>
      <c r="H809">
        <v>6</v>
      </c>
    </row>
    <row r="810" spans="1:8" x14ac:dyDescent="0.3">
      <c r="A810">
        <v>809</v>
      </c>
      <c r="B810">
        <v>1222</v>
      </c>
      <c r="C810">
        <v>4</v>
      </c>
      <c r="D810" s="1">
        <v>42825</v>
      </c>
      <c r="E810" s="1">
        <v>42828</v>
      </c>
      <c r="F810" s="1">
        <v>42828</v>
      </c>
      <c r="G810">
        <v>2</v>
      </c>
      <c r="H810">
        <v>7</v>
      </c>
    </row>
    <row r="811" spans="1:8" x14ac:dyDescent="0.3">
      <c r="A811">
        <v>810</v>
      </c>
      <c r="B811">
        <v>153</v>
      </c>
      <c r="C811">
        <v>3</v>
      </c>
      <c r="D811" s="1">
        <v>42826</v>
      </c>
      <c r="E811" s="1">
        <v>42826</v>
      </c>
      <c r="F811" s="1">
        <v>42411</v>
      </c>
      <c r="G811">
        <v>3</v>
      </c>
      <c r="H811">
        <v>8</v>
      </c>
    </row>
    <row r="812" spans="1:8" x14ac:dyDescent="0.3">
      <c r="A812">
        <v>811</v>
      </c>
      <c r="B812">
        <v>524</v>
      </c>
      <c r="C812">
        <v>4</v>
      </c>
      <c r="D812" s="1">
        <v>42826</v>
      </c>
      <c r="E812" s="1">
        <v>42829</v>
      </c>
      <c r="F812" s="1">
        <v>42829</v>
      </c>
      <c r="G812">
        <v>2</v>
      </c>
      <c r="H812">
        <v>7</v>
      </c>
    </row>
    <row r="813" spans="1:8" x14ac:dyDescent="0.3">
      <c r="A813">
        <v>812</v>
      </c>
      <c r="B813">
        <v>1164</v>
      </c>
      <c r="C813">
        <v>4</v>
      </c>
      <c r="D813" s="1">
        <v>42826</v>
      </c>
      <c r="E813" s="1">
        <v>42827</v>
      </c>
      <c r="F813" s="1">
        <v>42828</v>
      </c>
      <c r="G813">
        <v>2</v>
      </c>
      <c r="H813">
        <v>7</v>
      </c>
    </row>
    <row r="814" spans="1:8" x14ac:dyDescent="0.3">
      <c r="A814">
        <v>813</v>
      </c>
      <c r="B814">
        <v>1203</v>
      </c>
      <c r="C814">
        <v>4</v>
      </c>
      <c r="D814" s="1">
        <v>42826</v>
      </c>
      <c r="E814" s="1">
        <v>42828</v>
      </c>
      <c r="F814" s="1">
        <v>42827</v>
      </c>
      <c r="G814">
        <v>3</v>
      </c>
      <c r="H814">
        <v>9</v>
      </c>
    </row>
    <row r="815" spans="1:8" x14ac:dyDescent="0.3">
      <c r="A815">
        <v>814</v>
      </c>
      <c r="B815">
        <v>629</v>
      </c>
      <c r="C815">
        <v>4</v>
      </c>
      <c r="D815" s="1">
        <v>42827</v>
      </c>
      <c r="E815" s="1">
        <v>42830</v>
      </c>
      <c r="F815" s="1">
        <v>42828</v>
      </c>
      <c r="G815">
        <v>2</v>
      </c>
      <c r="H815">
        <v>7</v>
      </c>
    </row>
    <row r="816" spans="1:8" x14ac:dyDescent="0.3">
      <c r="A816">
        <v>815</v>
      </c>
      <c r="B816">
        <v>1251</v>
      </c>
      <c r="C816">
        <v>4</v>
      </c>
      <c r="D816" s="1">
        <v>42828</v>
      </c>
      <c r="E816" s="1">
        <v>42830</v>
      </c>
      <c r="F816" s="1">
        <v>42829</v>
      </c>
      <c r="G816">
        <v>1</v>
      </c>
      <c r="H816">
        <v>3</v>
      </c>
    </row>
    <row r="817" spans="1:8" x14ac:dyDescent="0.3">
      <c r="A817">
        <v>816</v>
      </c>
      <c r="B817">
        <v>811</v>
      </c>
      <c r="C817">
        <v>4</v>
      </c>
      <c r="D817" s="1">
        <v>42828</v>
      </c>
      <c r="E817" s="1">
        <v>42830</v>
      </c>
      <c r="F817" s="1">
        <v>42830</v>
      </c>
      <c r="G817">
        <v>2</v>
      </c>
      <c r="H817">
        <v>6</v>
      </c>
    </row>
    <row r="818" spans="1:8" x14ac:dyDescent="0.3">
      <c r="A818">
        <v>817</v>
      </c>
      <c r="B818">
        <v>301</v>
      </c>
      <c r="C818">
        <v>4</v>
      </c>
      <c r="D818" s="1">
        <v>42829</v>
      </c>
      <c r="E818" s="1">
        <v>42830</v>
      </c>
      <c r="F818" s="1">
        <v>42832</v>
      </c>
      <c r="G818">
        <v>2</v>
      </c>
      <c r="H818">
        <v>7</v>
      </c>
    </row>
    <row r="819" spans="1:8" x14ac:dyDescent="0.3">
      <c r="A819">
        <v>818</v>
      </c>
      <c r="B819">
        <v>1319</v>
      </c>
      <c r="C819">
        <v>4</v>
      </c>
      <c r="D819" s="1">
        <v>42829</v>
      </c>
      <c r="E819" s="1">
        <v>42832</v>
      </c>
      <c r="F819" s="1">
        <v>42832</v>
      </c>
      <c r="G819">
        <v>2</v>
      </c>
      <c r="H819">
        <v>6</v>
      </c>
    </row>
    <row r="820" spans="1:8" x14ac:dyDescent="0.3">
      <c r="A820">
        <v>819</v>
      </c>
      <c r="B820">
        <v>221</v>
      </c>
      <c r="C820">
        <v>4</v>
      </c>
      <c r="D820" s="1">
        <v>42829</v>
      </c>
      <c r="E820" s="1">
        <v>42832</v>
      </c>
      <c r="F820" s="1">
        <v>42830</v>
      </c>
      <c r="G820">
        <v>3</v>
      </c>
      <c r="H820">
        <v>9</v>
      </c>
    </row>
    <row r="821" spans="1:8" x14ac:dyDescent="0.3">
      <c r="A821">
        <v>820</v>
      </c>
      <c r="B821">
        <v>725</v>
      </c>
      <c r="C821">
        <v>4</v>
      </c>
      <c r="D821" s="1">
        <v>42830</v>
      </c>
      <c r="E821" s="1">
        <v>42833</v>
      </c>
      <c r="F821" s="1">
        <v>42832</v>
      </c>
      <c r="G821">
        <v>2</v>
      </c>
      <c r="H821">
        <v>7</v>
      </c>
    </row>
    <row r="822" spans="1:8" x14ac:dyDescent="0.3">
      <c r="A822">
        <v>821</v>
      </c>
      <c r="B822">
        <v>1181</v>
      </c>
      <c r="C822">
        <v>4</v>
      </c>
      <c r="D822" s="1">
        <v>42830</v>
      </c>
      <c r="E822" s="1">
        <v>42832</v>
      </c>
      <c r="F822" s="1">
        <v>42833</v>
      </c>
      <c r="G822">
        <v>2</v>
      </c>
      <c r="H822">
        <v>7</v>
      </c>
    </row>
    <row r="823" spans="1:8" x14ac:dyDescent="0.3">
      <c r="A823">
        <v>822</v>
      </c>
      <c r="B823">
        <v>294</v>
      </c>
      <c r="C823">
        <v>4</v>
      </c>
      <c r="D823" s="1">
        <v>42831</v>
      </c>
      <c r="E823" s="1">
        <v>42833</v>
      </c>
      <c r="F823" s="1">
        <v>42834</v>
      </c>
      <c r="G823">
        <v>2</v>
      </c>
      <c r="H823">
        <v>7</v>
      </c>
    </row>
    <row r="824" spans="1:8" x14ac:dyDescent="0.3">
      <c r="A824">
        <v>823</v>
      </c>
      <c r="B824">
        <v>415</v>
      </c>
      <c r="C824">
        <v>4</v>
      </c>
      <c r="D824" s="1">
        <v>42831</v>
      </c>
      <c r="E824" s="1">
        <v>42832</v>
      </c>
      <c r="F824" s="1">
        <v>42833</v>
      </c>
      <c r="G824">
        <v>3</v>
      </c>
      <c r="H824">
        <v>8</v>
      </c>
    </row>
    <row r="825" spans="1:8" x14ac:dyDescent="0.3">
      <c r="A825">
        <v>824</v>
      </c>
      <c r="B825">
        <v>993</v>
      </c>
      <c r="C825">
        <v>4</v>
      </c>
      <c r="D825" s="1">
        <v>42832</v>
      </c>
      <c r="E825" s="1">
        <v>42834</v>
      </c>
      <c r="F825" s="1">
        <v>42835</v>
      </c>
      <c r="G825">
        <v>1</v>
      </c>
      <c r="H825">
        <v>2</v>
      </c>
    </row>
    <row r="826" spans="1:8" x14ac:dyDescent="0.3">
      <c r="A826">
        <v>825</v>
      </c>
      <c r="B826">
        <v>10</v>
      </c>
      <c r="C826">
        <v>4</v>
      </c>
      <c r="D826" s="1">
        <v>42832</v>
      </c>
      <c r="E826" s="1">
        <v>42833</v>
      </c>
      <c r="F826" s="1">
        <v>42834</v>
      </c>
      <c r="G826">
        <v>2</v>
      </c>
      <c r="H826">
        <v>7</v>
      </c>
    </row>
    <row r="827" spans="1:8" x14ac:dyDescent="0.3">
      <c r="A827">
        <v>826</v>
      </c>
      <c r="B827">
        <v>45</v>
      </c>
      <c r="C827">
        <v>4</v>
      </c>
      <c r="D827" s="1">
        <v>42832</v>
      </c>
      <c r="E827" s="1">
        <v>42835</v>
      </c>
      <c r="F827" s="1">
        <v>42835</v>
      </c>
      <c r="G827">
        <v>2</v>
      </c>
      <c r="H827">
        <v>6</v>
      </c>
    </row>
    <row r="828" spans="1:8" x14ac:dyDescent="0.3">
      <c r="A828">
        <v>827</v>
      </c>
      <c r="B828">
        <v>666</v>
      </c>
      <c r="C828">
        <v>4</v>
      </c>
      <c r="D828" s="1">
        <v>42832</v>
      </c>
      <c r="E828" s="1">
        <v>42835</v>
      </c>
      <c r="F828" s="1">
        <v>42835</v>
      </c>
      <c r="G828">
        <v>2</v>
      </c>
      <c r="H828">
        <v>7</v>
      </c>
    </row>
    <row r="829" spans="1:8" x14ac:dyDescent="0.3">
      <c r="A829">
        <v>828</v>
      </c>
      <c r="B829">
        <v>246</v>
      </c>
      <c r="C829">
        <v>4</v>
      </c>
      <c r="D829" s="1">
        <v>42834</v>
      </c>
      <c r="E829" s="1">
        <v>42835</v>
      </c>
      <c r="F829" s="1">
        <v>42837</v>
      </c>
      <c r="G829">
        <v>2</v>
      </c>
      <c r="H829">
        <v>6</v>
      </c>
    </row>
    <row r="830" spans="1:8" x14ac:dyDescent="0.3">
      <c r="A830">
        <v>829</v>
      </c>
      <c r="B830">
        <v>674</v>
      </c>
      <c r="C830">
        <v>4</v>
      </c>
      <c r="D830" s="1">
        <v>42834</v>
      </c>
      <c r="E830" s="1">
        <v>42835</v>
      </c>
      <c r="F830" s="1">
        <v>42835</v>
      </c>
      <c r="G830">
        <v>2</v>
      </c>
      <c r="H830">
        <v>7</v>
      </c>
    </row>
    <row r="831" spans="1:8" x14ac:dyDescent="0.3">
      <c r="A831">
        <v>830</v>
      </c>
      <c r="B831">
        <v>431</v>
      </c>
      <c r="C831">
        <v>4</v>
      </c>
      <c r="D831" s="1">
        <v>42836</v>
      </c>
      <c r="E831" s="1">
        <v>42839</v>
      </c>
      <c r="F831" s="1">
        <v>42837</v>
      </c>
      <c r="G831">
        <v>2</v>
      </c>
      <c r="H831">
        <v>6</v>
      </c>
    </row>
    <row r="832" spans="1:8" x14ac:dyDescent="0.3">
      <c r="A832">
        <v>831</v>
      </c>
      <c r="B832">
        <v>1000</v>
      </c>
      <c r="C832">
        <v>4</v>
      </c>
      <c r="D832" s="1">
        <v>42836</v>
      </c>
      <c r="E832" s="1">
        <v>42837</v>
      </c>
      <c r="F832" s="1">
        <v>42837</v>
      </c>
      <c r="G832">
        <v>2</v>
      </c>
      <c r="H832">
        <v>7</v>
      </c>
    </row>
    <row r="833" spans="1:8" x14ac:dyDescent="0.3">
      <c r="A833">
        <v>832</v>
      </c>
      <c r="B833">
        <v>1215</v>
      </c>
      <c r="C833">
        <v>4</v>
      </c>
      <c r="D833" s="1">
        <v>42836</v>
      </c>
      <c r="E833" s="1">
        <v>42837</v>
      </c>
      <c r="F833" s="1">
        <v>42837</v>
      </c>
      <c r="G833">
        <v>2</v>
      </c>
      <c r="H833">
        <v>7</v>
      </c>
    </row>
    <row r="834" spans="1:8" x14ac:dyDescent="0.3">
      <c r="A834">
        <v>833</v>
      </c>
      <c r="B834">
        <v>406</v>
      </c>
      <c r="C834">
        <v>4</v>
      </c>
      <c r="D834" s="1">
        <v>42837</v>
      </c>
      <c r="E834" s="1">
        <v>42839</v>
      </c>
      <c r="F834" s="1">
        <v>42840</v>
      </c>
      <c r="G834">
        <v>2</v>
      </c>
      <c r="H834">
        <v>7</v>
      </c>
    </row>
    <row r="835" spans="1:8" x14ac:dyDescent="0.3">
      <c r="A835">
        <v>834</v>
      </c>
      <c r="B835">
        <v>890</v>
      </c>
      <c r="C835">
        <v>4</v>
      </c>
      <c r="D835" s="1">
        <v>42837</v>
      </c>
      <c r="E835" s="1">
        <v>42838</v>
      </c>
      <c r="F835" s="1">
        <v>42840</v>
      </c>
      <c r="G835">
        <v>2</v>
      </c>
      <c r="H835">
        <v>6</v>
      </c>
    </row>
    <row r="836" spans="1:8" x14ac:dyDescent="0.3">
      <c r="A836">
        <v>835</v>
      </c>
      <c r="B836">
        <v>940</v>
      </c>
      <c r="C836">
        <v>4</v>
      </c>
      <c r="D836" s="1">
        <v>42838</v>
      </c>
      <c r="E836" s="1">
        <v>42840</v>
      </c>
      <c r="F836" s="1">
        <v>42839</v>
      </c>
      <c r="G836">
        <v>1</v>
      </c>
      <c r="H836">
        <v>2</v>
      </c>
    </row>
    <row r="837" spans="1:8" x14ac:dyDescent="0.3">
      <c r="A837">
        <v>836</v>
      </c>
      <c r="B837">
        <v>455</v>
      </c>
      <c r="C837">
        <v>4</v>
      </c>
      <c r="D837" s="1">
        <v>42838</v>
      </c>
      <c r="E837" s="1">
        <v>42841</v>
      </c>
      <c r="F837" s="1">
        <v>42839</v>
      </c>
      <c r="G837">
        <v>2</v>
      </c>
      <c r="H837">
        <v>6</v>
      </c>
    </row>
    <row r="838" spans="1:8" x14ac:dyDescent="0.3">
      <c r="A838">
        <v>837</v>
      </c>
      <c r="B838">
        <v>948</v>
      </c>
      <c r="C838">
        <v>4</v>
      </c>
      <c r="D838" s="1">
        <v>42838</v>
      </c>
      <c r="E838" s="1">
        <v>42841</v>
      </c>
      <c r="F838" s="1">
        <v>42839</v>
      </c>
      <c r="G838">
        <v>2</v>
      </c>
      <c r="H838">
        <v>7</v>
      </c>
    </row>
    <row r="839" spans="1:8" x14ac:dyDescent="0.3">
      <c r="A839">
        <v>838</v>
      </c>
      <c r="B839">
        <v>1395</v>
      </c>
      <c r="C839">
        <v>4</v>
      </c>
      <c r="D839" s="1">
        <v>42839</v>
      </c>
      <c r="E839" s="1">
        <v>42842</v>
      </c>
      <c r="F839" s="1">
        <v>42840</v>
      </c>
      <c r="G839">
        <v>2</v>
      </c>
      <c r="H839">
        <v>7</v>
      </c>
    </row>
    <row r="840" spans="1:8" x14ac:dyDescent="0.3">
      <c r="A840">
        <v>839</v>
      </c>
      <c r="B840">
        <v>1332</v>
      </c>
      <c r="C840">
        <v>4</v>
      </c>
      <c r="D840" s="1">
        <v>42840</v>
      </c>
      <c r="E840" s="1">
        <v>42843</v>
      </c>
      <c r="F840" s="1">
        <v>42841</v>
      </c>
      <c r="G840">
        <v>1</v>
      </c>
      <c r="H840">
        <v>3</v>
      </c>
    </row>
    <row r="841" spans="1:8" x14ac:dyDescent="0.3">
      <c r="A841">
        <v>840</v>
      </c>
      <c r="B841">
        <v>372</v>
      </c>
      <c r="C841">
        <v>4</v>
      </c>
      <c r="D841" s="1">
        <v>42840</v>
      </c>
      <c r="E841" s="1">
        <v>42841</v>
      </c>
      <c r="F841" s="1">
        <v>42841</v>
      </c>
      <c r="G841">
        <v>2</v>
      </c>
      <c r="H841">
        <v>6</v>
      </c>
    </row>
    <row r="842" spans="1:8" x14ac:dyDescent="0.3">
      <c r="A842">
        <v>841</v>
      </c>
      <c r="B842">
        <v>428</v>
      </c>
      <c r="C842">
        <v>4</v>
      </c>
      <c r="D842" s="1">
        <v>42840</v>
      </c>
      <c r="E842" s="1">
        <v>42843</v>
      </c>
      <c r="F842" s="1">
        <v>42842</v>
      </c>
      <c r="G842">
        <v>2</v>
      </c>
      <c r="H842">
        <v>7</v>
      </c>
    </row>
    <row r="843" spans="1:8" x14ac:dyDescent="0.3">
      <c r="A843">
        <v>842</v>
      </c>
      <c r="B843">
        <v>1133</v>
      </c>
      <c r="C843">
        <v>4</v>
      </c>
      <c r="D843" s="1">
        <v>42840</v>
      </c>
      <c r="E843" s="1">
        <v>42843</v>
      </c>
      <c r="F843" s="1">
        <v>42841</v>
      </c>
      <c r="G843">
        <v>2</v>
      </c>
      <c r="H843">
        <v>6</v>
      </c>
    </row>
    <row r="844" spans="1:8" x14ac:dyDescent="0.3">
      <c r="A844">
        <v>843</v>
      </c>
      <c r="B844">
        <v>1059</v>
      </c>
      <c r="C844">
        <v>4</v>
      </c>
      <c r="D844" s="1">
        <v>42841</v>
      </c>
      <c r="E844" s="1">
        <v>42842</v>
      </c>
      <c r="F844" s="1">
        <v>42844</v>
      </c>
      <c r="G844">
        <v>2</v>
      </c>
      <c r="H844">
        <v>7</v>
      </c>
    </row>
    <row r="845" spans="1:8" x14ac:dyDescent="0.3">
      <c r="A845">
        <v>844</v>
      </c>
      <c r="B845">
        <v>1436</v>
      </c>
      <c r="C845">
        <v>4</v>
      </c>
      <c r="D845" s="1">
        <v>42841</v>
      </c>
      <c r="E845" s="1">
        <v>42842</v>
      </c>
      <c r="F845" s="1">
        <v>42843</v>
      </c>
      <c r="G845">
        <v>2</v>
      </c>
      <c r="H845">
        <v>6</v>
      </c>
    </row>
    <row r="846" spans="1:8" x14ac:dyDescent="0.3">
      <c r="A846">
        <v>845</v>
      </c>
      <c r="B846">
        <v>662</v>
      </c>
      <c r="C846">
        <v>4</v>
      </c>
      <c r="D846" s="1">
        <v>42842</v>
      </c>
      <c r="E846" s="1">
        <v>42843</v>
      </c>
      <c r="F846" s="1">
        <v>42843</v>
      </c>
      <c r="G846">
        <v>2</v>
      </c>
      <c r="H846">
        <v>7</v>
      </c>
    </row>
    <row r="847" spans="1:8" x14ac:dyDescent="0.3">
      <c r="A847">
        <v>846</v>
      </c>
      <c r="B847">
        <v>715</v>
      </c>
      <c r="C847">
        <v>4</v>
      </c>
      <c r="D847" s="1">
        <v>42842</v>
      </c>
      <c r="E847" s="1">
        <v>42844</v>
      </c>
      <c r="F847" s="1">
        <v>42844</v>
      </c>
      <c r="G847">
        <v>2</v>
      </c>
      <c r="H847">
        <v>6</v>
      </c>
    </row>
    <row r="848" spans="1:8" x14ac:dyDescent="0.3">
      <c r="A848">
        <v>847</v>
      </c>
      <c r="B848">
        <v>329</v>
      </c>
      <c r="C848">
        <v>4</v>
      </c>
      <c r="D848" s="1">
        <v>42843</v>
      </c>
      <c r="E848" s="1">
        <v>42844</v>
      </c>
      <c r="F848" s="1">
        <v>42844</v>
      </c>
      <c r="G848">
        <v>2</v>
      </c>
      <c r="H848">
        <v>7</v>
      </c>
    </row>
    <row r="849" spans="1:8" x14ac:dyDescent="0.3">
      <c r="A849">
        <v>848</v>
      </c>
      <c r="B849">
        <v>597</v>
      </c>
      <c r="C849">
        <v>4</v>
      </c>
      <c r="D849" s="1">
        <v>42843</v>
      </c>
      <c r="E849" s="1">
        <v>42845</v>
      </c>
      <c r="F849" s="1">
        <v>42845</v>
      </c>
      <c r="G849">
        <v>2</v>
      </c>
      <c r="H849">
        <v>7</v>
      </c>
    </row>
    <row r="850" spans="1:8" x14ac:dyDescent="0.3">
      <c r="A850">
        <v>849</v>
      </c>
      <c r="B850">
        <v>776</v>
      </c>
      <c r="C850">
        <v>4</v>
      </c>
      <c r="D850" s="1">
        <v>42844</v>
      </c>
      <c r="E850" s="1">
        <v>42845</v>
      </c>
      <c r="F850" s="1">
        <v>42846</v>
      </c>
      <c r="G850">
        <v>1</v>
      </c>
      <c r="H850">
        <v>2</v>
      </c>
    </row>
    <row r="851" spans="1:8" x14ac:dyDescent="0.3">
      <c r="A851">
        <v>850</v>
      </c>
      <c r="B851">
        <v>1346</v>
      </c>
      <c r="C851">
        <v>4</v>
      </c>
      <c r="D851" s="1">
        <v>42844</v>
      </c>
      <c r="E851" s="1">
        <v>42847</v>
      </c>
      <c r="F851" s="1">
        <v>42847</v>
      </c>
      <c r="G851">
        <v>1</v>
      </c>
      <c r="H851">
        <v>3</v>
      </c>
    </row>
    <row r="852" spans="1:8" x14ac:dyDescent="0.3">
      <c r="A852">
        <v>851</v>
      </c>
      <c r="B852">
        <v>1139</v>
      </c>
      <c r="C852">
        <v>4</v>
      </c>
      <c r="D852" s="1">
        <v>42845</v>
      </c>
      <c r="E852" s="1">
        <v>42846</v>
      </c>
      <c r="F852" s="1">
        <v>42847</v>
      </c>
      <c r="G852">
        <v>2</v>
      </c>
      <c r="H852">
        <v>6</v>
      </c>
    </row>
    <row r="853" spans="1:8" x14ac:dyDescent="0.3">
      <c r="A853">
        <v>852</v>
      </c>
      <c r="B853">
        <v>13</v>
      </c>
      <c r="C853">
        <v>4</v>
      </c>
      <c r="D853" s="1">
        <v>42846</v>
      </c>
      <c r="E853" s="1">
        <v>42848</v>
      </c>
      <c r="F853" s="1">
        <v>42847</v>
      </c>
      <c r="G853">
        <v>3</v>
      </c>
      <c r="H853">
        <v>9</v>
      </c>
    </row>
    <row r="854" spans="1:8" x14ac:dyDescent="0.3">
      <c r="A854">
        <v>853</v>
      </c>
      <c r="B854">
        <v>883</v>
      </c>
      <c r="C854">
        <v>4</v>
      </c>
      <c r="D854" s="1">
        <v>42846</v>
      </c>
      <c r="E854" s="1">
        <v>42849</v>
      </c>
      <c r="F854" s="1">
        <v>42849</v>
      </c>
      <c r="G854">
        <v>3</v>
      </c>
      <c r="H854">
        <v>8</v>
      </c>
    </row>
    <row r="855" spans="1:8" x14ac:dyDescent="0.3">
      <c r="A855">
        <v>854</v>
      </c>
      <c r="B855">
        <v>177</v>
      </c>
      <c r="C855">
        <v>4</v>
      </c>
      <c r="D855" s="1">
        <v>42847</v>
      </c>
      <c r="E855" s="1">
        <v>42850</v>
      </c>
      <c r="F855" s="1">
        <v>42848</v>
      </c>
      <c r="G855">
        <v>2</v>
      </c>
      <c r="H855">
        <v>6</v>
      </c>
    </row>
    <row r="856" spans="1:8" x14ac:dyDescent="0.3">
      <c r="A856">
        <v>855</v>
      </c>
      <c r="B856">
        <v>775</v>
      </c>
      <c r="C856">
        <v>4</v>
      </c>
      <c r="D856" s="1">
        <v>42847</v>
      </c>
      <c r="E856" s="1">
        <v>42848</v>
      </c>
      <c r="F856" s="1">
        <v>42850</v>
      </c>
      <c r="G856">
        <v>2</v>
      </c>
      <c r="H856">
        <v>6</v>
      </c>
    </row>
    <row r="857" spans="1:8" x14ac:dyDescent="0.3">
      <c r="A857">
        <v>856</v>
      </c>
      <c r="B857">
        <v>477</v>
      </c>
      <c r="C857">
        <v>4</v>
      </c>
      <c r="D857" s="1">
        <v>42848</v>
      </c>
      <c r="E857" s="1">
        <v>42850</v>
      </c>
      <c r="F857" s="1">
        <v>42851</v>
      </c>
      <c r="G857">
        <v>2</v>
      </c>
      <c r="H857">
        <v>6</v>
      </c>
    </row>
    <row r="858" spans="1:8" x14ac:dyDescent="0.3">
      <c r="A858">
        <v>857</v>
      </c>
      <c r="B858">
        <v>1402</v>
      </c>
      <c r="C858">
        <v>4</v>
      </c>
      <c r="D858" s="1">
        <v>42849</v>
      </c>
      <c r="E858" s="1">
        <v>42850</v>
      </c>
      <c r="F858" s="1">
        <v>42851</v>
      </c>
      <c r="G858">
        <v>2</v>
      </c>
      <c r="H858">
        <v>7</v>
      </c>
    </row>
    <row r="859" spans="1:8" x14ac:dyDescent="0.3">
      <c r="A859">
        <v>858</v>
      </c>
      <c r="B859">
        <v>162</v>
      </c>
      <c r="C859">
        <v>4</v>
      </c>
      <c r="D859" s="1">
        <v>42850</v>
      </c>
      <c r="E859" s="1">
        <v>42852</v>
      </c>
      <c r="F859" s="1">
        <v>42853</v>
      </c>
      <c r="G859">
        <v>2</v>
      </c>
      <c r="H859">
        <v>6</v>
      </c>
    </row>
    <row r="860" spans="1:8" x14ac:dyDescent="0.3">
      <c r="A860">
        <v>859</v>
      </c>
      <c r="B860">
        <v>644</v>
      </c>
      <c r="C860">
        <v>4</v>
      </c>
      <c r="D860" s="1">
        <v>42850</v>
      </c>
      <c r="E860" s="1">
        <v>42851</v>
      </c>
      <c r="F860" s="1">
        <v>42851</v>
      </c>
      <c r="G860">
        <v>2</v>
      </c>
      <c r="H860">
        <v>6</v>
      </c>
    </row>
    <row r="861" spans="1:8" x14ac:dyDescent="0.3">
      <c r="A861">
        <v>860</v>
      </c>
      <c r="B861">
        <v>473</v>
      </c>
      <c r="C861">
        <v>4</v>
      </c>
      <c r="D861" s="1">
        <v>42852</v>
      </c>
      <c r="E861" s="1">
        <v>42854</v>
      </c>
      <c r="F861" s="1">
        <v>42853</v>
      </c>
      <c r="G861">
        <v>2</v>
      </c>
      <c r="H861">
        <v>7</v>
      </c>
    </row>
    <row r="862" spans="1:8" x14ac:dyDescent="0.3">
      <c r="A862">
        <v>861</v>
      </c>
      <c r="B862">
        <v>1177</v>
      </c>
      <c r="C862">
        <v>4</v>
      </c>
      <c r="D862" s="1">
        <v>42852</v>
      </c>
      <c r="E862" s="1">
        <v>42854</v>
      </c>
      <c r="F862" s="1">
        <v>42855</v>
      </c>
      <c r="G862">
        <v>2</v>
      </c>
      <c r="H862">
        <v>7</v>
      </c>
    </row>
    <row r="863" spans="1:8" x14ac:dyDescent="0.3">
      <c r="A863">
        <v>862</v>
      </c>
      <c r="B863">
        <v>1230</v>
      </c>
      <c r="C863">
        <v>4</v>
      </c>
      <c r="D863" s="1">
        <v>42852</v>
      </c>
      <c r="E863" s="1">
        <v>42855</v>
      </c>
      <c r="F863" s="1">
        <v>42854</v>
      </c>
      <c r="G863">
        <v>3</v>
      </c>
      <c r="H863">
        <v>8</v>
      </c>
    </row>
    <row r="864" spans="1:8" x14ac:dyDescent="0.3">
      <c r="A864">
        <v>863</v>
      </c>
      <c r="B864">
        <v>446</v>
      </c>
      <c r="C864">
        <v>4</v>
      </c>
      <c r="D864" s="1">
        <v>42853</v>
      </c>
      <c r="E864" s="1">
        <v>42855</v>
      </c>
      <c r="F864" s="1">
        <v>42856</v>
      </c>
      <c r="G864">
        <v>2</v>
      </c>
      <c r="H864">
        <v>7</v>
      </c>
    </row>
    <row r="865" spans="1:8" x14ac:dyDescent="0.3">
      <c r="A865">
        <v>864</v>
      </c>
      <c r="B865">
        <v>902</v>
      </c>
      <c r="C865">
        <v>4</v>
      </c>
      <c r="D865" s="1">
        <v>42853</v>
      </c>
      <c r="E865" s="1">
        <v>42855</v>
      </c>
      <c r="F865" s="1">
        <v>42854</v>
      </c>
      <c r="G865">
        <v>2</v>
      </c>
      <c r="H865">
        <v>6</v>
      </c>
    </row>
    <row r="866" spans="1:8" x14ac:dyDescent="0.3">
      <c r="A866">
        <v>865</v>
      </c>
      <c r="B866">
        <v>974</v>
      </c>
      <c r="C866">
        <v>4</v>
      </c>
      <c r="D866" s="1">
        <v>42854</v>
      </c>
      <c r="E866" s="1">
        <v>42857</v>
      </c>
      <c r="F866" s="1">
        <v>42856</v>
      </c>
      <c r="G866">
        <v>2</v>
      </c>
      <c r="H866">
        <v>6</v>
      </c>
    </row>
    <row r="867" spans="1:8" x14ac:dyDescent="0.3">
      <c r="A867">
        <v>866</v>
      </c>
      <c r="B867">
        <v>1410</v>
      </c>
      <c r="C867">
        <v>4</v>
      </c>
      <c r="D867" s="1">
        <v>42854</v>
      </c>
      <c r="E867" s="1">
        <v>42855</v>
      </c>
      <c r="F867" s="1">
        <v>42856</v>
      </c>
      <c r="G867">
        <v>2</v>
      </c>
      <c r="H867">
        <v>6</v>
      </c>
    </row>
    <row r="868" spans="1:8" x14ac:dyDescent="0.3">
      <c r="A868">
        <v>867</v>
      </c>
      <c r="B868">
        <v>97</v>
      </c>
      <c r="C868">
        <v>4</v>
      </c>
      <c r="D868" s="1">
        <v>42856</v>
      </c>
      <c r="E868" s="1">
        <v>42858</v>
      </c>
      <c r="F868" s="1">
        <v>42857</v>
      </c>
      <c r="G868">
        <v>1</v>
      </c>
      <c r="H868">
        <v>3</v>
      </c>
    </row>
    <row r="869" spans="1:8" x14ac:dyDescent="0.3">
      <c r="A869">
        <v>868</v>
      </c>
      <c r="B869">
        <v>868</v>
      </c>
      <c r="C869">
        <v>4</v>
      </c>
      <c r="D869" s="1">
        <v>42856</v>
      </c>
      <c r="E869" s="1">
        <v>42859</v>
      </c>
      <c r="F869" s="1">
        <v>42857</v>
      </c>
      <c r="G869">
        <v>1</v>
      </c>
      <c r="H869">
        <v>3</v>
      </c>
    </row>
    <row r="870" spans="1:8" x14ac:dyDescent="0.3">
      <c r="A870">
        <v>869</v>
      </c>
      <c r="B870">
        <v>844</v>
      </c>
      <c r="C870">
        <v>4</v>
      </c>
      <c r="D870" s="1">
        <v>42856</v>
      </c>
      <c r="E870" s="1">
        <v>42859</v>
      </c>
      <c r="F870" s="1">
        <v>42857</v>
      </c>
      <c r="G870">
        <v>2</v>
      </c>
      <c r="H870">
        <v>7</v>
      </c>
    </row>
    <row r="871" spans="1:8" x14ac:dyDescent="0.3">
      <c r="A871">
        <v>870</v>
      </c>
      <c r="B871">
        <v>1416</v>
      </c>
      <c r="C871">
        <v>4</v>
      </c>
      <c r="D871" s="1">
        <v>42856</v>
      </c>
      <c r="E871" s="1">
        <v>42859</v>
      </c>
      <c r="F871" s="1">
        <v>42857</v>
      </c>
      <c r="G871">
        <v>2</v>
      </c>
      <c r="H871">
        <v>6</v>
      </c>
    </row>
    <row r="872" spans="1:8" x14ac:dyDescent="0.3">
      <c r="A872">
        <v>871</v>
      </c>
      <c r="B872">
        <v>358</v>
      </c>
      <c r="C872">
        <v>4</v>
      </c>
      <c r="D872" s="1">
        <v>42857</v>
      </c>
      <c r="E872" s="1">
        <v>42859</v>
      </c>
      <c r="F872" s="1">
        <v>42858</v>
      </c>
      <c r="G872">
        <v>2</v>
      </c>
      <c r="H872">
        <v>7</v>
      </c>
    </row>
    <row r="873" spans="1:8" x14ac:dyDescent="0.3">
      <c r="A873">
        <v>872</v>
      </c>
      <c r="B873">
        <v>394</v>
      </c>
      <c r="C873">
        <v>4</v>
      </c>
      <c r="D873" s="1">
        <v>42858</v>
      </c>
      <c r="E873" s="1">
        <v>42861</v>
      </c>
      <c r="F873" s="1">
        <v>42861</v>
      </c>
      <c r="G873">
        <v>1</v>
      </c>
      <c r="H873">
        <v>3</v>
      </c>
    </row>
    <row r="874" spans="1:8" x14ac:dyDescent="0.3">
      <c r="A874">
        <v>873</v>
      </c>
      <c r="B874">
        <v>829</v>
      </c>
      <c r="C874">
        <v>4</v>
      </c>
      <c r="D874" s="1">
        <v>42858</v>
      </c>
      <c r="E874" s="1">
        <v>42860</v>
      </c>
      <c r="F874" s="1">
        <v>42860</v>
      </c>
      <c r="G874">
        <v>2</v>
      </c>
      <c r="H874">
        <v>7</v>
      </c>
    </row>
    <row r="875" spans="1:8" x14ac:dyDescent="0.3">
      <c r="A875">
        <v>874</v>
      </c>
      <c r="B875">
        <v>661</v>
      </c>
      <c r="C875">
        <v>4</v>
      </c>
      <c r="D875" s="1">
        <v>42859</v>
      </c>
      <c r="E875" s="1">
        <v>42860</v>
      </c>
      <c r="F875" s="1">
        <v>42861</v>
      </c>
      <c r="G875">
        <v>2</v>
      </c>
      <c r="H875">
        <v>7</v>
      </c>
    </row>
    <row r="876" spans="1:8" x14ac:dyDescent="0.3">
      <c r="A876">
        <v>875</v>
      </c>
      <c r="B876">
        <v>386</v>
      </c>
      <c r="C876">
        <v>4</v>
      </c>
      <c r="D876" s="1">
        <v>42860</v>
      </c>
      <c r="E876" s="1">
        <v>42861</v>
      </c>
      <c r="F876" s="1">
        <v>42863</v>
      </c>
      <c r="G876">
        <v>1</v>
      </c>
      <c r="H876">
        <v>3</v>
      </c>
    </row>
    <row r="877" spans="1:8" x14ac:dyDescent="0.3">
      <c r="A877">
        <v>876</v>
      </c>
      <c r="B877">
        <v>1046</v>
      </c>
      <c r="C877">
        <v>4</v>
      </c>
      <c r="D877" s="1">
        <v>42860</v>
      </c>
      <c r="E877" s="1">
        <v>42863</v>
      </c>
      <c r="F877" s="1">
        <v>42861</v>
      </c>
      <c r="G877">
        <v>2</v>
      </c>
      <c r="H877">
        <v>7</v>
      </c>
    </row>
    <row r="878" spans="1:8" x14ac:dyDescent="0.3">
      <c r="A878">
        <v>877</v>
      </c>
      <c r="B878">
        <v>784</v>
      </c>
      <c r="C878">
        <v>4</v>
      </c>
      <c r="D878" s="1">
        <v>42861</v>
      </c>
      <c r="E878" s="1">
        <v>42862</v>
      </c>
      <c r="F878" s="1">
        <v>42863</v>
      </c>
      <c r="G878">
        <v>2</v>
      </c>
      <c r="H878">
        <v>6</v>
      </c>
    </row>
    <row r="879" spans="1:8" x14ac:dyDescent="0.3">
      <c r="A879">
        <v>878</v>
      </c>
      <c r="B879">
        <v>224</v>
      </c>
      <c r="C879">
        <v>4</v>
      </c>
      <c r="D879" s="1">
        <v>42862</v>
      </c>
      <c r="E879" s="1">
        <v>42865</v>
      </c>
      <c r="F879" s="1">
        <v>42864</v>
      </c>
      <c r="G879">
        <v>1</v>
      </c>
      <c r="H879">
        <v>3</v>
      </c>
    </row>
    <row r="880" spans="1:8" x14ac:dyDescent="0.3">
      <c r="A880">
        <v>879</v>
      </c>
      <c r="B880">
        <v>214</v>
      </c>
      <c r="C880">
        <v>4</v>
      </c>
      <c r="D880" s="1">
        <v>42863</v>
      </c>
      <c r="E880" s="1">
        <v>42864</v>
      </c>
      <c r="F880" s="1">
        <v>42864</v>
      </c>
      <c r="G880">
        <v>2</v>
      </c>
      <c r="H880">
        <v>7</v>
      </c>
    </row>
    <row r="881" spans="1:8" x14ac:dyDescent="0.3">
      <c r="A881">
        <v>880</v>
      </c>
      <c r="B881">
        <v>1206</v>
      </c>
      <c r="C881">
        <v>4</v>
      </c>
      <c r="D881" s="1">
        <v>42863</v>
      </c>
      <c r="E881" s="1">
        <v>42866</v>
      </c>
      <c r="F881" s="1">
        <v>42865</v>
      </c>
      <c r="G881">
        <v>2</v>
      </c>
      <c r="H881">
        <v>6</v>
      </c>
    </row>
    <row r="882" spans="1:8" x14ac:dyDescent="0.3">
      <c r="A882">
        <v>881</v>
      </c>
      <c r="B882">
        <v>1024</v>
      </c>
      <c r="C882">
        <v>4</v>
      </c>
      <c r="D882" s="1">
        <v>42863</v>
      </c>
      <c r="E882" s="1">
        <v>42866</v>
      </c>
      <c r="F882" s="1">
        <v>42866</v>
      </c>
      <c r="G882">
        <v>3</v>
      </c>
      <c r="H882">
        <v>9</v>
      </c>
    </row>
    <row r="883" spans="1:8" x14ac:dyDescent="0.3">
      <c r="A883">
        <v>882</v>
      </c>
      <c r="B883">
        <v>196</v>
      </c>
      <c r="C883">
        <v>4</v>
      </c>
      <c r="D883" s="1">
        <v>42864</v>
      </c>
      <c r="E883" s="1">
        <v>42867</v>
      </c>
      <c r="F883" s="1">
        <v>42865</v>
      </c>
      <c r="G883">
        <v>2</v>
      </c>
      <c r="H883">
        <v>6</v>
      </c>
    </row>
    <row r="884" spans="1:8" x14ac:dyDescent="0.3">
      <c r="A884">
        <v>883</v>
      </c>
      <c r="B884">
        <v>507</v>
      </c>
      <c r="C884">
        <v>4</v>
      </c>
      <c r="D884" s="1">
        <v>42866</v>
      </c>
      <c r="E884" s="1">
        <v>42868</v>
      </c>
      <c r="F884" s="1">
        <v>42869</v>
      </c>
      <c r="G884">
        <v>2</v>
      </c>
      <c r="H884">
        <v>6</v>
      </c>
    </row>
    <row r="885" spans="1:8" x14ac:dyDescent="0.3">
      <c r="A885">
        <v>884</v>
      </c>
      <c r="B885">
        <v>871</v>
      </c>
      <c r="C885">
        <v>4</v>
      </c>
      <c r="D885" s="1">
        <v>42866</v>
      </c>
      <c r="E885" s="1">
        <v>42868</v>
      </c>
      <c r="F885" s="1">
        <v>42867</v>
      </c>
      <c r="G885">
        <v>2</v>
      </c>
      <c r="H885">
        <v>7</v>
      </c>
    </row>
    <row r="886" spans="1:8" x14ac:dyDescent="0.3">
      <c r="A886">
        <v>885</v>
      </c>
      <c r="B886">
        <v>66</v>
      </c>
      <c r="C886">
        <v>3</v>
      </c>
      <c r="D886" s="1">
        <v>42868</v>
      </c>
      <c r="E886" s="1">
        <v>42868</v>
      </c>
      <c r="F886" s="1">
        <v>42411</v>
      </c>
      <c r="G886">
        <v>3</v>
      </c>
      <c r="H886">
        <v>8</v>
      </c>
    </row>
    <row r="887" spans="1:8" x14ac:dyDescent="0.3">
      <c r="A887">
        <v>886</v>
      </c>
      <c r="B887">
        <v>1396</v>
      </c>
      <c r="C887">
        <v>4</v>
      </c>
      <c r="D887" s="1">
        <v>42868</v>
      </c>
      <c r="E887" s="1">
        <v>42869</v>
      </c>
      <c r="F887" s="1">
        <v>42870</v>
      </c>
      <c r="G887">
        <v>1</v>
      </c>
      <c r="H887">
        <v>2</v>
      </c>
    </row>
    <row r="888" spans="1:8" x14ac:dyDescent="0.3">
      <c r="A888">
        <v>887</v>
      </c>
      <c r="B888">
        <v>1195</v>
      </c>
      <c r="C888">
        <v>4</v>
      </c>
      <c r="D888" s="1">
        <v>42868</v>
      </c>
      <c r="E888" s="1">
        <v>42870</v>
      </c>
      <c r="F888" s="1">
        <v>42870</v>
      </c>
      <c r="G888">
        <v>2</v>
      </c>
      <c r="H888">
        <v>6</v>
      </c>
    </row>
    <row r="889" spans="1:8" x14ac:dyDescent="0.3">
      <c r="A889">
        <v>888</v>
      </c>
      <c r="B889">
        <v>1038</v>
      </c>
      <c r="C889">
        <v>4</v>
      </c>
      <c r="D889" s="1">
        <v>42869</v>
      </c>
      <c r="E889" s="1">
        <v>42871</v>
      </c>
      <c r="F889" s="1">
        <v>42871</v>
      </c>
      <c r="G889">
        <v>2</v>
      </c>
      <c r="H889">
        <v>7</v>
      </c>
    </row>
    <row r="890" spans="1:8" x14ac:dyDescent="0.3">
      <c r="A890">
        <v>889</v>
      </c>
      <c r="B890">
        <v>830</v>
      </c>
      <c r="C890">
        <v>4</v>
      </c>
      <c r="D890" s="1">
        <v>42869</v>
      </c>
      <c r="E890" s="1">
        <v>42872</v>
      </c>
      <c r="F890" s="1">
        <v>42870</v>
      </c>
      <c r="G890">
        <v>3</v>
      </c>
      <c r="H890">
        <v>8</v>
      </c>
    </row>
    <row r="891" spans="1:8" x14ac:dyDescent="0.3">
      <c r="A891">
        <v>890</v>
      </c>
      <c r="B891">
        <v>171</v>
      </c>
      <c r="C891">
        <v>4</v>
      </c>
      <c r="D891" s="1">
        <v>42870</v>
      </c>
      <c r="E891" s="1">
        <v>42873</v>
      </c>
      <c r="F891" s="1">
        <v>42873</v>
      </c>
      <c r="G891">
        <v>2</v>
      </c>
      <c r="H891">
        <v>6</v>
      </c>
    </row>
    <row r="892" spans="1:8" x14ac:dyDescent="0.3">
      <c r="A892">
        <v>891</v>
      </c>
      <c r="B892">
        <v>384</v>
      </c>
      <c r="C892">
        <v>4</v>
      </c>
      <c r="D892" s="1">
        <v>42870</v>
      </c>
      <c r="E892" s="1">
        <v>42873</v>
      </c>
      <c r="F892" s="1">
        <v>42871</v>
      </c>
      <c r="G892">
        <v>2</v>
      </c>
      <c r="H892">
        <v>6</v>
      </c>
    </row>
    <row r="893" spans="1:8" x14ac:dyDescent="0.3">
      <c r="A893">
        <v>892</v>
      </c>
      <c r="B893">
        <v>651</v>
      </c>
      <c r="C893">
        <v>4</v>
      </c>
      <c r="D893" s="1">
        <v>42870</v>
      </c>
      <c r="E893" s="1">
        <v>42873</v>
      </c>
      <c r="F893" s="1">
        <v>42872</v>
      </c>
      <c r="G893">
        <v>2</v>
      </c>
      <c r="H893">
        <v>7</v>
      </c>
    </row>
    <row r="894" spans="1:8" x14ac:dyDescent="0.3">
      <c r="A894">
        <v>893</v>
      </c>
      <c r="B894">
        <v>1293</v>
      </c>
      <c r="C894">
        <v>4</v>
      </c>
      <c r="D894" s="1">
        <v>42871</v>
      </c>
      <c r="E894" s="1">
        <v>42874</v>
      </c>
      <c r="F894" s="1">
        <v>42874</v>
      </c>
      <c r="G894">
        <v>2</v>
      </c>
      <c r="H894">
        <v>7</v>
      </c>
    </row>
    <row r="895" spans="1:8" x14ac:dyDescent="0.3">
      <c r="A895">
        <v>894</v>
      </c>
      <c r="B895">
        <v>1320</v>
      </c>
      <c r="C895">
        <v>4</v>
      </c>
      <c r="D895" s="1">
        <v>42871</v>
      </c>
      <c r="E895" s="1">
        <v>42874</v>
      </c>
      <c r="F895" s="1">
        <v>42874</v>
      </c>
      <c r="G895">
        <v>2</v>
      </c>
      <c r="H895">
        <v>6</v>
      </c>
    </row>
    <row r="896" spans="1:8" x14ac:dyDescent="0.3">
      <c r="A896">
        <v>895</v>
      </c>
      <c r="B896">
        <v>857</v>
      </c>
      <c r="C896">
        <v>4</v>
      </c>
      <c r="D896" s="1">
        <v>42873</v>
      </c>
      <c r="E896" s="1">
        <v>42876</v>
      </c>
      <c r="F896" s="1">
        <v>42874</v>
      </c>
      <c r="G896">
        <v>2</v>
      </c>
      <c r="H896">
        <v>6</v>
      </c>
    </row>
    <row r="897" spans="1:8" x14ac:dyDescent="0.3">
      <c r="A897">
        <v>896</v>
      </c>
      <c r="B897">
        <v>376</v>
      </c>
      <c r="C897">
        <v>4</v>
      </c>
      <c r="D897" s="1">
        <v>42874</v>
      </c>
      <c r="E897" s="1">
        <v>42877</v>
      </c>
      <c r="F897" s="1">
        <v>42876</v>
      </c>
      <c r="G897">
        <v>3</v>
      </c>
      <c r="H897">
        <v>9</v>
      </c>
    </row>
    <row r="898" spans="1:8" x14ac:dyDescent="0.3">
      <c r="A898">
        <v>897</v>
      </c>
      <c r="B898">
        <v>47</v>
      </c>
      <c r="C898">
        <v>4</v>
      </c>
      <c r="D898" s="1">
        <v>42875</v>
      </c>
      <c r="E898" s="1">
        <v>42876</v>
      </c>
      <c r="F898" s="1">
        <v>42876</v>
      </c>
      <c r="G898">
        <v>1</v>
      </c>
      <c r="H898">
        <v>2</v>
      </c>
    </row>
    <row r="899" spans="1:8" x14ac:dyDescent="0.3">
      <c r="A899">
        <v>898</v>
      </c>
      <c r="B899">
        <v>352</v>
      </c>
      <c r="C899">
        <v>4</v>
      </c>
      <c r="D899" s="1">
        <v>42875</v>
      </c>
      <c r="E899" s="1">
        <v>42876</v>
      </c>
      <c r="F899" s="1">
        <v>42877</v>
      </c>
      <c r="G899">
        <v>2</v>
      </c>
      <c r="H899">
        <v>6</v>
      </c>
    </row>
    <row r="900" spans="1:8" x14ac:dyDescent="0.3">
      <c r="A900">
        <v>899</v>
      </c>
      <c r="B900">
        <v>605</v>
      </c>
      <c r="C900">
        <v>4</v>
      </c>
      <c r="D900" s="1">
        <v>42875</v>
      </c>
      <c r="E900" s="1">
        <v>42876</v>
      </c>
      <c r="F900" s="1">
        <v>42876</v>
      </c>
      <c r="G900">
        <v>2</v>
      </c>
      <c r="H900">
        <v>7</v>
      </c>
    </row>
    <row r="901" spans="1:8" x14ac:dyDescent="0.3">
      <c r="A901">
        <v>900</v>
      </c>
      <c r="B901">
        <v>971</v>
      </c>
      <c r="C901">
        <v>4</v>
      </c>
      <c r="D901" s="1">
        <v>42875</v>
      </c>
      <c r="E901" s="1">
        <v>42876</v>
      </c>
      <c r="F901" s="1">
        <v>42877</v>
      </c>
      <c r="G901">
        <v>2</v>
      </c>
      <c r="H901">
        <v>6</v>
      </c>
    </row>
    <row r="902" spans="1:8" x14ac:dyDescent="0.3">
      <c r="A902">
        <v>901</v>
      </c>
      <c r="B902">
        <v>345</v>
      </c>
      <c r="C902">
        <v>4</v>
      </c>
      <c r="D902" s="1">
        <v>42876</v>
      </c>
      <c r="E902" s="1">
        <v>42877</v>
      </c>
      <c r="F902" s="1">
        <v>42879</v>
      </c>
      <c r="G902">
        <v>2</v>
      </c>
      <c r="H902">
        <v>7</v>
      </c>
    </row>
    <row r="903" spans="1:8" x14ac:dyDescent="0.3">
      <c r="A903">
        <v>902</v>
      </c>
      <c r="B903">
        <v>1278</v>
      </c>
      <c r="C903">
        <v>4</v>
      </c>
      <c r="D903" s="1">
        <v>42876</v>
      </c>
      <c r="E903" s="1">
        <v>42879</v>
      </c>
      <c r="F903" s="1">
        <v>42877</v>
      </c>
      <c r="G903">
        <v>2</v>
      </c>
      <c r="H903">
        <v>6</v>
      </c>
    </row>
    <row r="904" spans="1:8" x14ac:dyDescent="0.3">
      <c r="A904">
        <v>903</v>
      </c>
      <c r="B904">
        <v>179</v>
      </c>
      <c r="C904">
        <v>4</v>
      </c>
      <c r="D904" s="1">
        <v>42877</v>
      </c>
      <c r="E904" s="1">
        <v>42878</v>
      </c>
      <c r="F904" s="1">
        <v>42879</v>
      </c>
      <c r="G904">
        <v>2</v>
      </c>
      <c r="H904">
        <v>7</v>
      </c>
    </row>
    <row r="905" spans="1:8" x14ac:dyDescent="0.3">
      <c r="A905">
        <v>904</v>
      </c>
      <c r="B905">
        <v>1020</v>
      </c>
      <c r="C905">
        <v>4</v>
      </c>
      <c r="D905" s="1">
        <v>42878</v>
      </c>
      <c r="E905" s="1">
        <v>42881</v>
      </c>
      <c r="F905" s="1">
        <v>42879</v>
      </c>
      <c r="G905">
        <v>1</v>
      </c>
      <c r="H905">
        <v>2</v>
      </c>
    </row>
    <row r="906" spans="1:8" x14ac:dyDescent="0.3">
      <c r="A906">
        <v>905</v>
      </c>
      <c r="B906">
        <v>609</v>
      </c>
      <c r="C906">
        <v>4</v>
      </c>
      <c r="D906" s="1">
        <v>42878</v>
      </c>
      <c r="E906" s="1">
        <v>42881</v>
      </c>
      <c r="F906" s="1">
        <v>42879</v>
      </c>
      <c r="G906">
        <v>2</v>
      </c>
      <c r="H906">
        <v>6</v>
      </c>
    </row>
    <row r="907" spans="1:8" x14ac:dyDescent="0.3">
      <c r="A907">
        <v>906</v>
      </c>
      <c r="B907">
        <v>877</v>
      </c>
      <c r="C907">
        <v>4</v>
      </c>
      <c r="D907" s="1">
        <v>42878</v>
      </c>
      <c r="E907" s="1">
        <v>42881</v>
      </c>
      <c r="F907" s="1">
        <v>42881</v>
      </c>
      <c r="G907">
        <v>2</v>
      </c>
      <c r="H907">
        <v>7</v>
      </c>
    </row>
    <row r="908" spans="1:8" x14ac:dyDescent="0.3">
      <c r="A908">
        <v>907</v>
      </c>
      <c r="B908">
        <v>120</v>
      </c>
      <c r="C908">
        <v>4</v>
      </c>
      <c r="D908" s="1">
        <v>42879</v>
      </c>
      <c r="E908" s="1">
        <v>42881</v>
      </c>
      <c r="F908" s="1">
        <v>42882</v>
      </c>
      <c r="G908">
        <v>1</v>
      </c>
      <c r="H908">
        <v>2</v>
      </c>
    </row>
    <row r="909" spans="1:8" x14ac:dyDescent="0.3">
      <c r="A909">
        <v>908</v>
      </c>
      <c r="B909">
        <v>402</v>
      </c>
      <c r="C909">
        <v>4</v>
      </c>
      <c r="D909" s="1">
        <v>42880</v>
      </c>
      <c r="E909" s="1">
        <v>42883</v>
      </c>
      <c r="F909" s="1">
        <v>42882</v>
      </c>
      <c r="G909">
        <v>2</v>
      </c>
      <c r="H909">
        <v>7</v>
      </c>
    </row>
    <row r="910" spans="1:8" x14ac:dyDescent="0.3">
      <c r="A910">
        <v>909</v>
      </c>
      <c r="B910">
        <v>188</v>
      </c>
      <c r="C910">
        <v>4</v>
      </c>
      <c r="D910" s="1">
        <v>42881</v>
      </c>
      <c r="E910" s="1">
        <v>42882</v>
      </c>
      <c r="F910" s="1">
        <v>42883</v>
      </c>
      <c r="G910">
        <v>1</v>
      </c>
      <c r="H910">
        <v>2</v>
      </c>
    </row>
    <row r="911" spans="1:8" x14ac:dyDescent="0.3">
      <c r="A911">
        <v>910</v>
      </c>
      <c r="B911">
        <v>342</v>
      </c>
      <c r="C911">
        <v>4</v>
      </c>
      <c r="D911" s="1">
        <v>42881</v>
      </c>
      <c r="E911" s="1">
        <v>42883</v>
      </c>
      <c r="F911" s="1">
        <v>42883</v>
      </c>
      <c r="G911">
        <v>2</v>
      </c>
      <c r="H911">
        <v>7</v>
      </c>
    </row>
    <row r="912" spans="1:8" x14ac:dyDescent="0.3">
      <c r="A912">
        <v>911</v>
      </c>
      <c r="B912">
        <v>887</v>
      </c>
      <c r="C912">
        <v>4</v>
      </c>
      <c r="D912" s="1">
        <v>42881</v>
      </c>
      <c r="E912" s="1">
        <v>42884</v>
      </c>
      <c r="F912" s="1">
        <v>42884</v>
      </c>
      <c r="G912">
        <v>2</v>
      </c>
      <c r="H912">
        <v>6</v>
      </c>
    </row>
    <row r="913" spans="1:8" x14ac:dyDescent="0.3">
      <c r="A913">
        <v>912</v>
      </c>
      <c r="B913">
        <v>519</v>
      </c>
      <c r="C913">
        <v>4</v>
      </c>
      <c r="D913" s="1">
        <v>42882</v>
      </c>
      <c r="E913" s="1">
        <v>42884</v>
      </c>
      <c r="F913" s="1">
        <v>42884</v>
      </c>
      <c r="G913">
        <v>1</v>
      </c>
      <c r="H913">
        <v>2</v>
      </c>
    </row>
    <row r="914" spans="1:8" x14ac:dyDescent="0.3">
      <c r="A914">
        <v>913</v>
      </c>
      <c r="B914">
        <v>699</v>
      </c>
      <c r="C914">
        <v>4</v>
      </c>
      <c r="D914" s="1">
        <v>42882</v>
      </c>
      <c r="E914" s="1">
        <v>42884</v>
      </c>
      <c r="F914" s="1">
        <v>42884</v>
      </c>
      <c r="G914">
        <v>2</v>
      </c>
      <c r="H914">
        <v>6</v>
      </c>
    </row>
    <row r="915" spans="1:8" x14ac:dyDescent="0.3">
      <c r="A915">
        <v>914</v>
      </c>
      <c r="B915">
        <v>1068</v>
      </c>
      <c r="C915">
        <v>4</v>
      </c>
      <c r="D915" s="1">
        <v>42883</v>
      </c>
      <c r="E915" s="1">
        <v>42886</v>
      </c>
      <c r="F915" s="1">
        <v>42886</v>
      </c>
      <c r="G915">
        <v>1</v>
      </c>
      <c r="H915">
        <v>2</v>
      </c>
    </row>
    <row r="916" spans="1:8" x14ac:dyDescent="0.3">
      <c r="A916">
        <v>915</v>
      </c>
      <c r="B916">
        <v>215</v>
      </c>
      <c r="C916">
        <v>4</v>
      </c>
      <c r="D916" s="1">
        <v>42883</v>
      </c>
      <c r="E916" s="1">
        <v>42885</v>
      </c>
      <c r="F916" s="1">
        <v>42885</v>
      </c>
      <c r="G916">
        <v>2</v>
      </c>
      <c r="H916">
        <v>6</v>
      </c>
    </row>
    <row r="917" spans="1:8" x14ac:dyDescent="0.3">
      <c r="A917">
        <v>916</v>
      </c>
      <c r="B917">
        <v>718</v>
      </c>
      <c r="C917">
        <v>4</v>
      </c>
      <c r="D917" s="1">
        <v>42883</v>
      </c>
      <c r="E917" s="1">
        <v>42884</v>
      </c>
      <c r="F917" s="1">
        <v>42884</v>
      </c>
      <c r="G917">
        <v>2</v>
      </c>
      <c r="H917">
        <v>6</v>
      </c>
    </row>
    <row r="918" spans="1:8" x14ac:dyDescent="0.3">
      <c r="A918">
        <v>917</v>
      </c>
      <c r="B918">
        <v>881</v>
      </c>
      <c r="C918">
        <v>4</v>
      </c>
      <c r="D918" s="1">
        <v>42884</v>
      </c>
      <c r="E918" s="1">
        <v>42886</v>
      </c>
      <c r="F918" s="1">
        <v>42887</v>
      </c>
      <c r="G918">
        <v>1</v>
      </c>
      <c r="H918">
        <v>2</v>
      </c>
    </row>
    <row r="919" spans="1:8" x14ac:dyDescent="0.3">
      <c r="A919">
        <v>918</v>
      </c>
      <c r="B919">
        <v>242</v>
      </c>
      <c r="C919">
        <v>4</v>
      </c>
      <c r="D919" s="1">
        <v>42885</v>
      </c>
      <c r="E919" s="1">
        <v>42886</v>
      </c>
      <c r="F919" s="1">
        <v>42886</v>
      </c>
      <c r="G919">
        <v>1</v>
      </c>
      <c r="H919">
        <v>3</v>
      </c>
    </row>
    <row r="920" spans="1:8" x14ac:dyDescent="0.3">
      <c r="A920">
        <v>919</v>
      </c>
      <c r="B920">
        <v>781</v>
      </c>
      <c r="C920">
        <v>4</v>
      </c>
      <c r="D920" s="1">
        <v>42885</v>
      </c>
      <c r="E920" s="1">
        <v>42886</v>
      </c>
      <c r="F920" s="1">
        <v>42886</v>
      </c>
      <c r="G920">
        <v>2</v>
      </c>
      <c r="H920">
        <v>7</v>
      </c>
    </row>
    <row r="921" spans="1:8" x14ac:dyDescent="0.3">
      <c r="A921">
        <v>920</v>
      </c>
      <c r="B921">
        <v>966</v>
      </c>
      <c r="C921">
        <v>4</v>
      </c>
      <c r="D921" s="1">
        <v>42885</v>
      </c>
      <c r="E921" s="1">
        <v>42887</v>
      </c>
      <c r="F921" s="1">
        <v>42888</v>
      </c>
      <c r="G921">
        <v>2</v>
      </c>
      <c r="H921">
        <v>7</v>
      </c>
    </row>
    <row r="922" spans="1:8" x14ac:dyDescent="0.3">
      <c r="A922">
        <v>921</v>
      </c>
      <c r="B922">
        <v>628</v>
      </c>
      <c r="C922">
        <v>4</v>
      </c>
      <c r="D922" s="1">
        <v>42886</v>
      </c>
      <c r="E922" s="1">
        <v>42888</v>
      </c>
      <c r="F922" s="1">
        <v>42888</v>
      </c>
      <c r="G922">
        <v>2</v>
      </c>
      <c r="H922">
        <v>6</v>
      </c>
    </row>
    <row r="923" spans="1:8" x14ac:dyDescent="0.3">
      <c r="A923">
        <v>922</v>
      </c>
      <c r="B923">
        <v>656</v>
      </c>
      <c r="C923">
        <v>4</v>
      </c>
      <c r="D923" s="1">
        <v>42886</v>
      </c>
      <c r="E923" s="1">
        <v>42887</v>
      </c>
      <c r="F923" s="1">
        <v>42889</v>
      </c>
      <c r="G923">
        <v>2</v>
      </c>
      <c r="H923">
        <v>6</v>
      </c>
    </row>
    <row r="924" spans="1:8" x14ac:dyDescent="0.3">
      <c r="A924">
        <v>923</v>
      </c>
      <c r="B924">
        <v>769</v>
      </c>
      <c r="C924">
        <v>4</v>
      </c>
      <c r="D924" s="1">
        <v>42886</v>
      </c>
      <c r="E924" s="1">
        <v>42889</v>
      </c>
      <c r="F924" s="1">
        <v>42888</v>
      </c>
      <c r="G924">
        <v>2</v>
      </c>
      <c r="H924">
        <v>7</v>
      </c>
    </row>
    <row r="925" spans="1:8" x14ac:dyDescent="0.3">
      <c r="A925">
        <v>924</v>
      </c>
      <c r="B925">
        <v>68</v>
      </c>
      <c r="C925">
        <v>3</v>
      </c>
      <c r="D925" s="1">
        <v>42888</v>
      </c>
      <c r="E925" s="1">
        <v>42888</v>
      </c>
      <c r="F925" s="1">
        <v>42411</v>
      </c>
      <c r="G925">
        <v>3</v>
      </c>
      <c r="H925">
        <v>8</v>
      </c>
    </row>
    <row r="926" spans="1:8" x14ac:dyDescent="0.3">
      <c r="A926">
        <v>925</v>
      </c>
      <c r="B926">
        <v>1316</v>
      </c>
      <c r="C926">
        <v>4</v>
      </c>
      <c r="D926" s="1">
        <v>42888</v>
      </c>
      <c r="E926" s="1">
        <v>42891</v>
      </c>
      <c r="F926" s="1">
        <v>42889</v>
      </c>
      <c r="G926">
        <v>2</v>
      </c>
      <c r="H926">
        <v>7</v>
      </c>
    </row>
    <row r="927" spans="1:8" x14ac:dyDescent="0.3">
      <c r="A927">
        <v>926</v>
      </c>
      <c r="B927">
        <v>233</v>
      </c>
      <c r="C927">
        <v>4</v>
      </c>
      <c r="D927" s="1">
        <v>42889</v>
      </c>
      <c r="E927" s="1">
        <v>42891</v>
      </c>
      <c r="F927" s="1">
        <v>42892</v>
      </c>
      <c r="G927">
        <v>1</v>
      </c>
      <c r="H927">
        <v>2</v>
      </c>
    </row>
    <row r="928" spans="1:8" x14ac:dyDescent="0.3">
      <c r="A928">
        <v>927</v>
      </c>
      <c r="B928">
        <v>1438</v>
      </c>
      <c r="C928">
        <v>4</v>
      </c>
      <c r="D928" s="1">
        <v>42889</v>
      </c>
      <c r="E928" s="1">
        <v>42891</v>
      </c>
      <c r="F928" s="1">
        <v>42892</v>
      </c>
      <c r="G928">
        <v>1</v>
      </c>
      <c r="H928">
        <v>2</v>
      </c>
    </row>
    <row r="929" spans="1:8" x14ac:dyDescent="0.3">
      <c r="A929">
        <v>928</v>
      </c>
      <c r="B929">
        <v>957</v>
      </c>
      <c r="C929">
        <v>4</v>
      </c>
      <c r="D929" s="1">
        <v>42891</v>
      </c>
      <c r="E929" s="1">
        <v>42892</v>
      </c>
      <c r="F929" s="1">
        <v>42892</v>
      </c>
      <c r="G929">
        <v>1</v>
      </c>
      <c r="H929">
        <v>3</v>
      </c>
    </row>
    <row r="930" spans="1:8" x14ac:dyDescent="0.3">
      <c r="A930">
        <v>929</v>
      </c>
      <c r="B930">
        <v>472</v>
      </c>
      <c r="C930">
        <v>4</v>
      </c>
      <c r="D930" s="1">
        <v>42891</v>
      </c>
      <c r="E930" s="1">
        <v>42892</v>
      </c>
      <c r="F930" s="1">
        <v>42894</v>
      </c>
      <c r="G930">
        <v>2</v>
      </c>
      <c r="H930">
        <v>6</v>
      </c>
    </row>
    <row r="931" spans="1:8" x14ac:dyDescent="0.3">
      <c r="A931">
        <v>930</v>
      </c>
      <c r="B931">
        <v>1224</v>
      </c>
      <c r="C931">
        <v>4</v>
      </c>
      <c r="D931" s="1">
        <v>42891</v>
      </c>
      <c r="E931" s="1">
        <v>42892</v>
      </c>
      <c r="F931" s="1">
        <v>42892</v>
      </c>
      <c r="G931">
        <v>3</v>
      </c>
      <c r="H931">
        <v>9</v>
      </c>
    </row>
    <row r="932" spans="1:8" x14ac:dyDescent="0.3">
      <c r="A932">
        <v>931</v>
      </c>
      <c r="B932">
        <v>631</v>
      </c>
      <c r="C932">
        <v>4</v>
      </c>
      <c r="D932" s="1">
        <v>42893</v>
      </c>
      <c r="E932" s="1">
        <v>42894</v>
      </c>
      <c r="F932" s="1">
        <v>42894</v>
      </c>
      <c r="G932">
        <v>2</v>
      </c>
      <c r="H932">
        <v>6</v>
      </c>
    </row>
    <row r="933" spans="1:8" x14ac:dyDescent="0.3">
      <c r="A933">
        <v>932</v>
      </c>
      <c r="B933">
        <v>804</v>
      </c>
      <c r="C933">
        <v>4</v>
      </c>
      <c r="D933" s="1">
        <v>42893</v>
      </c>
      <c r="E933" s="1">
        <v>42894</v>
      </c>
      <c r="F933" s="1">
        <v>42895</v>
      </c>
      <c r="G933">
        <v>2</v>
      </c>
      <c r="H933">
        <v>6</v>
      </c>
    </row>
    <row r="934" spans="1:8" x14ac:dyDescent="0.3">
      <c r="A934">
        <v>933</v>
      </c>
      <c r="B934">
        <v>909</v>
      </c>
      <c r="C934">
        <v>4</v>
      </c>
      <c r="D934" s="1">
        <v>42893</v>
      </c>
      <c r="E934" s="1">
        <v>42896</v>
      </c>
      <c r="F934" s="1">
        <v>42894</v>
      </c>
      <c r="G934">
        <v>2</v>
      </c>
      <c r="H934">
        <v>6</v>
      </c>
    </row>
    <row r="935" spans="1:8" x14ac:dyDescent="0.3">
      <c r="A935">
        <v>934</v>
      </c>
      <c r="B935">
        <v>93</v>
      </c>
      <c r="C935">
        <v>4</v>
      </c>
      <c r="D935" s="1">
        <v>42895</v>
      </c>
      <c r="E935" s="1">
        <v>42896</v>
      </c>
      <c r="F935" s="1">
        <v>42898</v>
      </c>
      <c r="G935">
        <v>2</v>
      </c>
      <c r="H935">
        <v>7</v>
      </c>
    </row>
    <row r="936" spans="1:8" x14ac:dyDescent="0.3">
      <c r="A936">
        <v>935</v>
      </c>
      <c r="B936">
        <v>43</v>
      </c>
      <c r="C936">
        <v>3</v>
      </c>
      <c r="D936" s="1">
        <v>42896</v>
      </c>
      <c r="E936" s="1">
        <v>42896</v>
      </c>
      <c r="F936" s="1">
        <v>42411</v>
      </c>
      <c r="G936">
        <v>3</v>
      </c>
      <c r="H936">
        <v>8</v>
      </c>
    </row>
    <row r="937" spans="1:8" x14ac:dyDescent="0.3">
      <c r="A937">
        <v>936</v>
      </c>
      <c r="B937">
        <v>265</v>
      </c>
      <c r="C937">
        <v>4</v>
      </c>
      <c r="D937" s="1">
        <v>42896</v>
      </c>
      <c r="E937" s="1">
        <v>42899</v>
      </c>
      <c r="F937" s="1">
        <v>42898</v>
      </c>
      <c r="G937">
        <v>2</v>
      </c>
      <c r="H937">
        <v>6</v>
      </c>
    </row>
    <row r="938" spans="1:8" x14ac:dyDescent="0.3">
      <c r="A938">
        <v>937</v>
      </c>
      <c r="B938">
        <v>73</v>
      </c>
      <c r="C938">
        <v>4</v>
      </c>
      <c r="D938" s="1">
        <v>42897</v>
      </c>
      <c r="E938" s="1">
        <v>42900</v>
      </c>
      <c r="F938" s="1">
        <v>42899</v>
      </c>
      <c r="G938">
        <v>2</v>
      </c>
      <c r="H938">
        <v>7</v>
      </c>
    </row>
    <row r="939" spans="1:8" x14ac:dyDescent="0.3">
      <c r="A939">
        <v>938</v>
      </c>
      <c r="B939">
        <v>129</v>
      </c>
      <c r="C939">
        <v>4</v>
      </c>
      <c r="D939" s="1">
        <v>42897</v>
      </c>
      <c r="E939" s="1">
        <v>42898</v>
      </c>
      <c r="F939" s="1">
        <v>42898</v>
      </c>
      <c r="G939">
        <v>2</v>
      </c>
      <c r="H939">
        <v>6</v>
      </c>
    </row>
    <row r="940" spans="1:8" x14ac:dyDescent="0.3">
      <c r="A940">
        <v>939</v>
      </c>
      <c r="B940">
        <v>1407</v>
      </c>
      <c r="C940">
        <v>4</v>
      </c>
      <c r="D940" s="1">
        <v>42897</v>
      </c>
      <c r="E940" s="1">
        <v>42898</v>
      </c>
      <c r="F940" s="1">
        <v>42900</v>
      </c>
      <c r="G940">
        <v>2</v>
      </c>
      <c r="H940">
        <v>6</v>
      </c>
    </row>
    <row r="941" spans="1:8" x14ac:dyDescent="0.3">
      <c r="A941">
        <v>940</v>
      </c>
      <c r="B941">
        <v>585</v>
      </c>
      <c r="C941">
        <v>4</v>
      </c>
      <c r="D941" s="1">
        <v>42898</v>
      </c>
      <c r="E941" s="1">
        <v>42900</v>
      </c>
      <c r="F941" s="1">
        <v>42899</v>
      </c>
      <c r="G941">
        <v>1</v>
      </c>
      <c r="H941">
        <v>2</v>
      </c>
    </row>
    <row r="942" spans="1:8" x14ac:dyDescent="0.3">
      <c r="A942">
        <v>941</v>
      </c>
      <c r="B942">
        <v>736</v>
      </c>
      <c r="C942">
        <v>4</v>
      </c>
      <c r="D942" s="1">
        <v>42898</v>
      </c>
      <c r="E942" s="1">
        <v>42900</v>
      </c>
      <c r="F942" s="1">
        <v>42900</v>
      </c>
      <c r="G942">
        <v>1</v>
      </c>
      <c r="H942">
        <v>2</v>
      </c>
    </row>
    <row r="943" spans="1:8" x14ac:dyDescent="0.3">
      <c r="A943">
        <v>942</v>
      </c>
      <c r="B943">
        <v>537</v>
      </c>
      <c r="C943">
        <v>4</v>
      </c>
      <c r="D943" s="1">
        <v>42899</v>
      </c>
      <c r="E943" s="1">
        <v>42902</v>
      </c>
      <c r="F943" s="1">
        <v>42901</v>
      </c>
      <c r="G943">
        <v>2</v>
      </c>
      <c r="H943">
        <v>6</v>
      </c>
    </row>
    <row r="944" spans="1:8" x14ac:dyDescent="0.3">
      <c r="A944">
        <v>943</v>
      </c>
      <c r="B944">
        <v>1025</v>
      </c>
      <c r="C944">
        <v>4</v>
      </c>
      <c r="D944" s="1">
        <v>42899</v>
      </c>
      <c r="E944" s="1">
        <v>42901</v>
      </c>
      <c r="F944" s="1">
        <v>42901</v>
      </c>
      <c r="G944">
        <v>2</v>
      </c>
      <c r="H944">
        <v>6</v>
      </c>
    </row>
    <row r="945" spans="1:8" x14ac:dyDescent="0.3">
      <c r="A945">
        <v>944</v>
      </c>
      <c r="B945">
        <v>138</v>
      </c>
      <c r="C945">
        <v>4</v>
      </c>
      <c r="D945" s="1">
        <v>42900</v>
      </c>
      <c r="E945" s="1">
        <v>42901</v>
      </c>
      <c r="F945" s="1">
        <v>42903</v>
      </c>
      <c r="G945">
        <v>1</v>
      </c>
      <c r="H945">
        <v>3</v>
      </c>
    </row>
    <row r="946" spans="1:8" x14ac:dyDescent="0.3">
      <c r="A946">
        <v>945</v>
      </c>
      <c r="B946">
        <v>167</v>
      </c>
      <c r="C946">
        <v>4</v>
      </c>
      <c r="D946" s="1">
        <v>42900</v>
      </c>
      <c r="E946" s="1">
        <v>42901</v>
      </c>
      <c r="F946" s="1">
        <v>42902</v>
      </c>
      <c r="G946">
        <v>2</v>
      </c>
      <c r="H946">
        <v>7</v>
      </c>
    </row>
    <row r="947" spans="1:8" x14ac:dyDescent="0.3">
      <c r="A947">
        <v>946</v>
      </c>
      <c r="B947">
        <v>525</v>
      </c>
      <c r="C947">
        <v>4</v>
      </c>
      <c r="D947" s="1">
        <v>42900</v>
      </c>
      <c r="E947" s="1">
        <v>42902</v>
      </c>
      <c r="F947" s="1">
        <v>42901</v>
      </c>
      <c r="G947">
        <v>2</v>
      </c>
      <c r="H947">
        <v>6</v>
      </c>
    </row>
    <row r="948" spans="1:8" x14ac:dyDescent="0.3">
      <c r="A948">
        <v>947</v>
      </c>
      <c r="B948">
        <v>278</v>
      </c>
      <c r="C948">
        <v>4</v>
      </c>
      <c r="D948" s="1">
        <v>42901</v>
      </c>
      <c r="E948" s="1">
        <v>42904</v>
      </c>
      <c r="F948" s="1">
        <v>42903</v>
      </c>
      <c r="G948">
        <v>1</v>
      </c>
      <c r="H948">
        <v>3</v>
      </c>
    </row>
    <row r="949" spans="1:8" x14ac:dyDescent="0.3">
      <c r="A949">
        <v>948</v>
      </c>
      <c r="B949">
        <v>618</v>
      </c>
      <c r="C949">
        <v>4</v>
      </c>
      <c r="D949" s="1">
        <v>42901</v>
      </c>
      <c r="E949" s="1">
        <v>42903</v>
      </c>
      <c r="F949" s="1">
        <v>42903</v>
      </c>
      <c r="G949">
        <v>2</v>
      </c>
      <c r="H949">
        <v>6</v>
      </c>
    </row>
    <row r="950" spans="1:8" x14ac:dyDescent="0.3">
      <c r="A950">
        <v>949</v>
      </c>
      <c r="B950">
        <v>867</v>
      </c>
      <c r="C950">
        <v>4</v>
      </c>
      <c r="D950" s="1">
        <v>42902</v>
      </c>
      <c r="E950" s="1">
        <v>42904</v>
      </c>
      <c r="F950" s="1">
        <v>42903</v>
      </c>
      <c r="G950">
        <v>1</v>
      </c>
      <c r="H950">
        <v>3</v>
      </c>
    </row>
    <row r="951" spans="1:8" x14ac:dyDescent="0.3">
      <c r="A951">
        <v>950</v>
      </c>
      <c r="B951">
        <v>142</v>
      </c>
      <c r="C951">
        <v>4</v>
      </c>
      <c r="D951" s="1">
        <v>42902</v>
      </c>
      <c r="E951" s="1">
        <v>42905</v>
      </c>
      <c r="F951" s="1">
        <v>42904</v>
      </c>
      <c r="G951">
        <v>2</v>
      </c>
      <c r="H951">
        <v>6</v>
      </c>
    </row>
    <row r="952" spans="1:8" x14ac:dyDescent="0.3">
      <c r="A952">
        <v>951</v>
      </c>
      <c r="B952">
        <v>339</v>
      </c>
      <c r="C952">
        <v>4</v>
      </c>
      <c r="D952" s="1">
        <v>42902</v>
      </c>
      <c r="E952" s="1">
        <v>42905</v>
      </c>
      <c r="F952" s="1">
        <v>42905</v>
      </c>
      <c r="G952">
        <v>2</v>
      </c>
      <c r="H952">
        <v>7</v>
      </c>
    </row>
    <row r="953" spans="1:8" x14ac:dyDescent="0.3">
      <c r="A953">
        <v>952</v>
      </c>
      <c r="B953">
        <v>355</v>
      </c>
      <c r="C953">
        <v>4</v>
      </c>
      <c r="D953" s="1">
        <v>42902</v>
      </c>
      <c r="E953" s="1">
        <v>42904</v>
      </c>
      <c r="F953" s="1">
        <v>42904</v>
      </c>
      <c r="G953">
        <v>2</v>
      </c>
      <c r="H953">
        <v>7</v>
      </c>
    </row>
    <row r="954" spans="1:8" x14ac:dyDescent="0.3">
      <c r="A954">
        <v>953</v>
      </c>
      <c r="B954">
        <v>658</v>
      </c>
      <c r="C954">
        <v>4</v>
      </c>
      <c r="D954" s="1">
        <v>42902</v>
      </c>
      <c r="E954" s="1">
        <v>42904</v>
      </c>
      <c r="F954" s="1">
        <v>42903</v>
      </c>
      <c r="G954">
        <v>2</v>
      </c>
      <c r="H954">
        <v>7</v>
      </c>
    </row>
    <row r="955" spans="1:8" x14ac:dyDescent="0.3">
      <c r="A955">
        <v>954</v>
      </c>
      <c r="B955">
        <v>611</v>
      </c>
      <c r="C955">
        <v>4</v>
      </c>
      <c r="D955" s="1">
        <v>42903</v>
      </c>
      <c r="E955" s="1">
        <v>42906</v>
      </c>
      <c r="F955" s="1">
        <v>42906</v>
      </c>
      <c r="G955">
        <v>2</v>
      </c>
      <c r="H955">
        <v>6</v>
      </c>
    </row>
    <row r="956" spans="1:8" x14ac:dyDescent="0.3">
      <c r="A956">
        <v>955</v>
      </c>
      <c r="B956">
        <v>880</v>
      </c>
      <c r="C956">
        <v>4</v>
      </c>
      <c r="D956" s="1">
        <v>42903</v>
      </c>
      <c r="E956" s="1">
        <v>42905</v>
      </c>
      <c r="F956" s="1">
        <v>42904</v>
      </c>
      <c r="G956">
        <v>2</v>
      </c>
      <c r="H956">
        <v>6</v>
      </c>
    </row>
    <row r="957" spans="1:8" x14ac:dyDescent="0.3">
      <c r="A957">
        <v>956</v>
      </c>
      <c r="B957">
        <v>1184</v>
      </c>
      <c r="C957">
        <v>4</v>
      </c>
      <c r="D957" s="1">
        <v>42903</v>
      </c>
      <c r="E957" s="1">
        <v>42905</v>
      </c>
      <c r="F957" s="1">
        <v>42906</v>
      </c>
      <c r="G957">
        <v>2</v>
      </c>
      <c r="H957">
        <v>6</v>
      </c>
    </row>
    <row r="958" spans="1:8" x14ac:dyDescent="0.3">
      <c r="A958">
        <v>957</v>
      </c>
      <c r="B958">
        <v>722</v>
      </c>
      <c r="C958">
        <v>4</v>
      </c>
      <c r="D958" s="1">
        <v>42903</v>
      </c>
      <c r="E958" s="1">
        <v>42906</v>
      </c>
      <c r="F958" s="1">
        <v>42906</v>
      </c>
      <c r="G958">
        <v>3</v>
      </c>
      <c r="H958">
        <v>9</v>
      </c>
    </row>
    <row r="959" spans="1:8" x14ac:dyDescent="0.3">
      <c r="A959">
        <v>958</v>
      </c>
      <c r="B959">
        <v>1276</v>
      </c>
      <c r="C959">
        <v>4</v>
      </c>
      <c r="D959" s="1">
        <v>42904</v>
      </c>
      <c r="E959" s="1">
        <v>42906</v>
      </c>
      <c r="F959" s="1">
        <v>42905</v>
      </c>
      <c r="G959">
        <v>1</v>
      </c>
      <c r="H959">
        <v>2</v>
      </c>
    </row>
    <row r="960" spans="1:8" x14ac:dyDescent="0.3">
      <c r="A960">
        <v>959</v>
      </c>
      <c r="B960">
        <v>650</v>
      </c>
      <c r="C960">
        <v>4</v>
      </c>
      <c r="D960" s="1">
        <v>42904</v>
      </c>
      <c r="E960" s="1">
        <v>42907</v>
      </c>
      <c r="F960" s="1">
        <v>42907</v>
      </c>
      <c r="G960">
        <v>2</v>
      </c>
      <c r="H960">
        <v>7</v>
      </c>
    </row>
    <row r="961" spans="1:8" x14ac:dyDescent="0.3">
      <c r="A961">
        <v>960</v>
      </c>
      <c r="B961">
        <v>1390</v>
      </c>
      <c r="C961">
        <v>4</v>
      </c>
      <c r="D961" s="1">
        <v>42904</v>
      </c>
      <c r="E961" s="1">
        <v>42905</v>
      </c>
      <c r="F961" s="1">
        <v>42905</v>
      </c>
      <c r="G961">
        <v>2</v>
      </c>
      <c r="H961">
        <v>7</v>
      </c>
    </row>
    <row r="962" spans="1:8" x14ac:dyDescent="0.3">
      <c r="A962">
        <v>961</v>
      </c>
      <c r="B962">
        <v>82</v>
      </c>
      <c r="C962">
        <v>4</v>
      </c>
      <c r="D962" s="1">
        <v>42905</v>
      </c>
      <c r="E962" s="1">
        <v>42907</v>
      </c>
      <c r="F962" s="1">
        <v>42908</v>
      </c>
      <c r="G962">
        <v>1</v>
      </c>
      <c r="H962">
        <v>2</v>
      </c>
    </row>
    <row r="963" spans="1:8" x14ac:dyDescent="0.3">
      <c r="A963">
        <v>962</v>
      </c>
      <c r="B963">
        <v>570</v>
      </c>
      <c r="C963">
        <v>4</v>
      </c>
      <c r="D963" s="1">
        <v>42905</v>
      </c>
      <c r="E963" s="1">
        <v>42908</v>
      </c>
      <c r="F963" s="1">
        <v>42906</v>
      </c>
      <c r="G963">
        <v>2</v>
      </c>
      <c r="H963">
        <v>7</v>
      </c>
    </row>
    <row r="964" spans="1:8" x14ac:dyDescent="0.3">
      <c r="A964">
        <v>963</v>
      </c>
      <c r="B964">
        <v>1432</v>
      </c>
      <c r="C964">
        <v>4</v>
      </c>
      <c r="D964" s="1">
        <v>42905</v>
      </c>
      <c r="E964" s="1">
        <v>42907</v>
      </c>
      <c r="F964" s="1">
        <v>42907</v>
      </c>
      <c r="G964">
        <v>2</v>
      </c>
      <c r="H964">
        <v>6</v>
      </c>
    </row>
    <row r="965" spans="1:8" x14ac:dyDescent="0.3">
      <c r="A965">
        <v>964</v>
      </c>
      <c r="B965">
        <v>404</v>
      </c>
      <c r="C965">
        <v>4</v>
      </c>
      <c r="D965" s="1">
        <v>42906</v>
      </c>
      <c r="E965" s="1">
        <v>42908</v>
      </c>
      <c r="F965" s="1">
        <v>42908</v>
      </c>
      <c r="G965">
        <v>2</v>
      </c>
      <c r="H965">
        <v>7</v>
      </c>
    </row>
    <row r="966" spans="1:8" x14ac:dyDescent="0.3">
      <c r="A966">
        <v>965</v>
      </c>
      <c r="B966">
        <v>457</v>
      </c>
      <c r="C966">
        <v>4</v>
      </c>
      <c r="D966" s="1">
        <v>42906</v>
      </c>
      <c r="E966" s="1">
        <v>42908</v>
      </c>
      <c r="F966" s="1">
        <v>42909</v>
      </c>
      <c r="G966">
        <v>2</v>
      </c>
      <c r="H966">
        <v>6</v>
      </c>
    </row>
    <row r="967" spans="1:8" x14ac:dyDescent="0.3">
      <c r="A967">
        <v>966</v>
      </c>
      <c r="B967">
        <v>389</v>
      </c>
      <c r="C967">
        <v>4</v>
      </c>
      <c r="D967" s="1">
        <v>42906</v>
      </c>
      <c r="E967" s="1">
        <v>42908</v>
      </c>
      <c r="F967" s="1">
        <v>42908</v>
      </c>
      <c r="G967">
        <v>3</v>
      </c>
      <c r="H967">
        <v>8</v>
      </c>
    </row>
    <row r="968" spans="1:8" x14ac:dyDescent="0.3">
      <c r="A968">
        <v>967</v>
      </c>
      <c r="B968">
        <v>1323</v>
      </c>
      <c r="C968">
        <v>4</v>
      </c>
      <c r="D968" s="1">
        <v>42907</v>
      </c>
      <c r="E968" s="1">
        <v>42910</v>
      </c>
      <c r="F968" s="1">
        <v>42910</v>
      </c>
      <c r="G968">
        <v>2</v>
      </c>
      <c r="H968">
        <v>6</v>
      </c>
    </row>
    <row r="969" spans="1:8" x14ac:dyDescent="0.3">
      <c r="A969">
        <v>968</v>
      </c>
      <c r="B969">
        <v>1403</v>
      </c>
      <c r="C969">
        <v>4</v>
      </c>
      <c r="D969" s="1">
        <v>42907</v>
      </c>
      <c r="E969" s="1">
        <v>42909</v>
      </c>
      <c r="F969" s="1">
        <v>42909</v>
      </c>
      <c r="G969">
        <v>2</v>
      </c>
      <c r="H969">
        <v>6</v>
      </c>
    </row>
    <row r="970" spans="1:8" x14ac:dyDescent="0.3">
      <c r="A970">
        <v>969</v>
      </c>
      <c r="B970">
        <v>248</v>
      </c>
      <c r="C970">
        <v>4</v>
      </c>
      <c r="D970" s="1">
        <v>42907</v>
      </c>
      <c r="E970" s="1">
        <v>42910</v>
      </c>
      <c r="F970" s="1">
        <v>42908</v>
      </c>
      <c r="G970">
        <v>3</v>
      </c>
      <c r="H970">
        <v>9</v>
      </c>
    </row>
    <row r="971" spans="1:8" x14ac:dyDescent="0.3">
      <c r="A971">
        <v>970</v>
      </c>
      <c r="B971">
        <v>836</v>
      </c>
      <c r="C971">
        <v>4</v>
      </c>
      <c r="D971" s="1">
        <v>42908</v>
      </c>
      <c r="E971" s="1">
        <v>42911</v>
      </c>
      <c r="F971" s="1">
        <v>42909</v>
      </c>
      <c r="G971">
        <v>2</v>
      </c>
      <c r="H971">
        <v>7</v>
      </c>
    </row>
    <row r="972" spans="1:8" x14ac:dyDescent="0.3">
      <c r="A972">
        <v>971</v>
      </c>
      <c r="B972">
        <v>1426</v>
      </c>
      <c r="C972">
        <v>4</v>
      </c>
      <c r="D972" s="1">
        <v>42908</v>
      </c>
      <c r="E972" s="1">
        <v>42909</v>
      </c>
      <c r="F972" s="1">
        <v>42910</v>
      </c>
      <c r="G972">
        <v>3</v>
      </c>
      <c r="H972">
        <v>8</v>
      </c>
    </row>
    <row r="973" spans="1:8" x14ac:dyDescent="0.3">
      <c r="A973">
        <v>972</v>
      </c>
      <c r="B973">
        <v>270</v>
      </c>
      <c r="C973">
        <v>4</v>
      </c>
      <c r="D973" s="1">
        <v>42909</v>
      </c>
      <c r="E973" s="1">
        <v>42910</v>
      </c>
      <c r="F973" s="1">
        <v>42911</v>
      </c>
      <c r="G973">
        <v>2</v>
      </c>
      <c r="H973">
        <v>7</v>
      </c>
    </row>
    <row r="974" spans="1:8" x14ac:dyDescent="0.3">
      <c r="A974">
        <v>973</v>
      </c>
      <c r="B974">
        <v>238</v>
      </c>
      <c r="C974">
        <v>4</v>
      </c>
      <c r="D974" s="1">
        <v>42910</v>
      </c>
      <c r="E974" s="1">
        <v>42913</v>
      </c>
      <c r="F974" s="1">
        <v>42913</v>
      </c>
      <c r="G974">
        <v>2</v>
      </c>
      <c r="H974">
        <v>6</v>
      </c>
    </row>
    <row r="975" spans="1:8" x14ac:dyDescent="0.3">
      <c r="A975">
        <v>974</v>
      </c>
      <c r="B975">
        <v>511</v>
      </c>
      <c r="C975">
        <v>4</v>
      </c>
      <c r="D975" s="1">
        <v>42910</v>
      </c>
      <c r="E975" s="1">
        <v>42913</v>
      </c>
      <c r="F975" s="1">
        <v>42913</v>
      </c>
      <c r="G975">
        <v>3</v>
      </c>
      <c r="H975">
        <v>8</v>
      </c>
    </row>
    <row r="976" spans="1:8" x14ac:dyDescent="0.3">
      <c r="A976">
        <v>975</v>
      </c>
      <c r="B976">
        <v>1092</v>
      </c>
      <c r="C976">
        <v>4</v>
      </c>
      <c r="D976" s="1">
        <v>42911</v>
      </c>
      <c r="E976" s="1">
        <v>42913</v>
      </c>
      <c r="F976" s="1">
        <v>42914</v>
      </c>
      <c r="G976">
        <v>2</v>
      </c>
      <c r="H976">
        <v>6</v>
      </c>
    </row>
    <row r="977" spans="1:8" x14ac:dyDescent="0.3">
      <c r="A977">
        <v>976</v>
      </c>
      <c r="B977">
        <v>1266</v>
      </c>
      <c r="C977">
        <v>4</v>
      </c>
      <c r="D977" s="1">
        <v>42911</v>
      </c>
      <c r="E977" s="1">
        <v>42914</v>
      </c>
      <c r="F977" s="1">
        <v>42913</v>
      </c>
      <c r="G977">
        <v>3</v>
      </c>
      <c r="H977">
        <v>9</v>
      </c>
    </row>
    <row r="978" spans="1:8" x14ac:dyDescent="0.3">
      <c r="A978">
        <v>977</v>
      </c>
      <c r="B978">
        <v>400</v>
      </c>
      <c r="C978">
        <v>4</v>
      </c>
      <c r="D978" s="1">
        <v>42912</v>
      </c>
      <c r="E978" s="1">
        <v>42914</v>
      </c>
      <c r="F978" s="1">
        <v>42913</v>
      </c>
      <c r="G978">
        <v>2</v>
      </c>
      <c r="H978">
        <v>7</v>
      </c>
    </row>
    <row r="979" spans="1:8" x14ac:dyDescent="0.3">
      <c r="A979">
        <v>978</v>
      </c>
      <c r="B979">
        <v>1123</v>
      </c>
      <c r="C979">
        <v>4</v>
      </c>
      <c r="D979" s="1">
        <v>42912</v>
      </c>
      <c r="E979" s="1">
        <v>42914</v>
      </c>
      <c r="F979" s="1">
        <v>42913</v>
      </c>
      <c r="G979">
        <v>2</v>
      </c>
      <c r="H979">
        <v>6</v>
      </c>
    </row>
    <row r="980" spans="1:8" x14ac:dyDescent="0.3">
      <c r="A980">
        <v>979</v>
      </c>
      <c r="B980">
        <v>1190</v>
      </c>
      <c r="C980">
        <v>4</v>
      </c>
      <c r="D980" s="1">
        <v>42912</v>
      </c>
      <c r="E980" s="1">
        <v>42915</v>
      </c>
      <c r="F980" s="1">
        <v>42913</v>
      </c>
      <c r="G980">
        <v>2</v>
      </c>
      <c r="H980">
        <v>6</v>
      </c>
    </row>
    <row r="981" spans="1:8" x14ac:dyDescent="0.3">
      <c r="A981">
        <v>980</v>
      </c>
      <c r="B981">
        <v>328</v>
      </c>
      <c r="C981">
        <v>4</v>
      </c>
      <c r="D981" s="1">
        <v>42912</v>
      </c>
      <c r="E981" s="1">
        <v>42914</v>
      </c>
      <c r="F981" s="1">
        <v>42913</v>
      </c>
      <c r="G981">
        <v>3</v>
      </c>
      <c r="H981">
        <v>9</v>
      </c>
    </row>
    <row r="982" spans="1:8" x14ac:dyDescent="0.3">
      <c r="A982">
        <v>981</v>
      </c>
      <c r="B982">
        <v>687</v>
      </c>
      <c r="C982">
        <v>4</v>
      </c>
      <c r="D982" s="1">
        <v>42912</v>
      </c>
      <c r="E982" s="1">
        <v>42915</v>
      </c>
      <c r="F982" s="1">
        <v>42914</v>
      </c>
      <c r="G982">
        <v>3</v>
      </c>
      <c r="H982">
        <v>8</v>
      </c>
    </row>
    <row r="983" spans="1:8" x14ac:dyDescent="0.3">
      <c r="A983">
        <v>982</v>
      </c>
      <c r="B983">
        <v>1423</v>
      </c>
      <c r="C983">
        <v>4</v>
      </c>
      <c r="D983" s="1">
        <v>42912</v>
      </c>
      <c r="E983" s="1">
        <v>42915</v>
      </c>
      <c r="F983" s="1">
        <v>42914</v>
      </c>
      <c r="G983">
        <v>3</v>
      </c>
      <c r="H983">
        <v>9</v>
      </c>
    </row>
    <row r="984" spans="1:8" x14ac:dyDescent="0.3">
      <c r="A984">
        <v>983</v>
      </c>
      <c r="B984">
        <v>1158</v>
      </c>
      <c r="C984">
        <v>4</v>
      </c>
      <c r="D984" s="1">
        <v>42913</v>
      </c>
      <c r="E984" s="1">
        <v>42914</v>
      </c>
      <c r="F984" s="1">
        <v>42915</v>
      </c>
      <c r="G984">
        <v>2</v>
      </c>
      <c r="H984">
        <v>6</v>
      </c>
    </row>
    <row r="985" spans="1:8" x14ac:dyDescent="0.3">
      <c r="A985">
        <v>984</v>
      </c>
      <c r="B985">
        <v>1287</v>
      </c>
      <c r="C985">
        <v>4</v>
      </c>
      <c r="D985" s="1">
        <v>42913</v>
      </c>
      <c r="E985" s="1">
        <v>42914</v>
      </c>
      <c r="F985" s="1">
        <v>42915</v>
      </c>
      <c r="G985">
        <v>2</v>
      </c>
      <c r="H985">
        <v>7</v>
      </c>
    </row>
    <row r="986" spans="1:8" x14ac:dyDescent="0.3">
      <c r="A986">
        <v>985</v>
      </c>
      <c r="B986">
        <v>461</v>
      </c>
      <c r="C986">
        <v>4</v>
      </c>
      <c r="D986" s="1">
        <v>42916</v>
      </c>
      <c r="E986" s="1">
        <v>42918</v>
      </c>
      <c r="F986" s="1">
        <v>42917</v>
      </c>
      <c r="G986">
        <v>2</v>
      </c>
      <c r="H986">
        <v>6</v>
      </c>
    </row>
    <row r="987" spans="1:8" x14ac:dyDescent="0.3">
      <c r="A987">
        <v>986</v>
      </c>
      <c r="B987">
        <v>556</v>
      </c>
      <c r="C987">
        <v>4</v>
      </c>
      <c r="D987" s="1">
        <v>42916</v>
      </c>
      <c r="E987" s="1">
        <v>42919</v>
      </c>
      <c r="F987" s="1">
        <v>42917</v>
      </c>
      <c r="G987">
        <v>2</v>
      </c>
      <c r="H987">
        <v>7</v>
      </c>
    </row>
    <row r="988" spans="1:8" x14ac:dyDescent="0.3">
      <c r="A988">
        <v>987</v>
      </c>
      <c r="B988">
        <v>172</v>
      </c>
      <c r="C988">
        <v>4</v>
      </c>
      <c r="D988" s="1">
        <v>42918</v>
      </c>
      <c r="E988" s="1">
        <v>42920</v>
      </c>
      <c r="F988" s="1">
        <v>42920</v>
      </c>
      <c r="G988">
        <v>1</v>
      </c>
      <c r="H988">
        <v>2</v>
      </c>
    </row>
    <row r="989" spans="1:8" x14ac:dyDescent="0.3">
      <c r="A989">
        <v>988</v>
      </c>
      <c r="B989">
        <v>436</v>
      </c>
      <c r="C989">
        <v>4</v>
      </c>
      <c r="D989" s="1">
        <v>42918</v>
      </c>
      <c r="E989" s="1">
        <v>42920</v>
      </c>
      <c r="F989" s="1">
        <v>42921</v>
      </c>
      <c r="G989">
        <v>2</v>
      </c>
      <c r="H989">
        <v>6</v>
      </c>
    </row>
    <row r="990" spans="1:8" x14ac:dyDescent="0.3">
      <c r="A990">
        <v>989</v>
      </c>
      <c r="B990">
        <v>1145</v>
      </c>
      <c r="C990">
        <v>4</v>
      </c>
      <c r="D990" s="1">
        <v>42918</v>
      </c>
      <c r="E990" s="1">
        <v>42920</v>
      </c>
      <c r="F990" s="1">
        <v>42919</v>
      </c>
      <c r="G990">
        <v>2</v>
      </c>
      <c r="H990">
        <v>6</v>
      </c>
    </row>
    <row r="991" spans="1:8" x14ac:dyDescent="0.3">
      <c r="A991">
        <v>990</v>
      </c>
      <c r="B991">
        <v>706</v>
      </c>
      <c r="C991">
        <v>4</v>
      </c>
      <c r="D991" s="1">
        <v>42920</v>
      </c>
      <c r="E991" s="1">
        <v>42923</v>
      </c>
      <c r="F991" s="1">
        <v>42923</v>
      </c>
      <c r="G991">
        <v>2</v>
      </c>
      <c r="H991">
        <v>7</v>
      </c>
    </row>
    <row r="992" spans="1:8" x14ac:dyDescent="0.3">
      <c r="A992">
        <v>991</v>
      </c>
      <c r="B992">
        <v>751</v>
      </c>
      <c r="C992">
        <v>4</v>
      </c>
      <c r="D992" s="1">
        <v>42922</v>
      </c>
      <c r="E992" s="1">
        <v>42923</v>
      </c>
      <c r="F992" s="1">
        <v>42925</v>
      </c>
      <c r="G992">
        <v>1</v>
      </c>
      <c r="H992">
        <v>2</v>
      </c>
    </row>
    <row r="993" spans="1:8" x14ac:dyDescent="0.3">
      <c r="A993">
        <v>992</v>
      </c>
      <c r="B993">
        <v>723</v>
      </c>
      <c r="C993">
        <v>4</v>
      </c>
      <c r="D993" s="1">
        <v>42923</v>
      </c>
      <c r="E993" s="1">
        <v>42926</v>
      </c>
      <c r="F993" s="1">
        <v>42925</v>
      </c>
      <c r="G993">
        <v>2</v>
      </c>
      <c r="H993">
        <v>7</v>
      </c>
    </row>
    <row r="994" spans="1:8" x14ac:dyDescent="0.3">
      <c r="A994">
        <v>993</v>
      </c>
      <c r="B994">
        <v>1415</v>
      </c>
      <c r="C994">
        <v>4</v>
      </c>
      <c r="D994" s="1">
        <v>42925</v>
      </c>
      <c r="E994" s="1">
        <v>42927</v>
      </c>
      <c r="F994" s="1">
        <v>42927</v>
      </c>
      <c r="G994">
        <v>1</v>
      </c>
      <c r="H994">
        <v>3</v>
      </c>
    </row>
    <row r="995" spans="1:8" x14ac:dyDescent="0.3">
      <c r="A995">
        <v>994</v>
      </c>
      <c r="B995">
        <v>419</v>
      </c>
      <c r="C995">
        <v>4</v>
      </c>
      <c r="D995" s="1">
        <v>42925</v>
      </c>
      <c r="E995" s="1">
        <v>42927</v>
      </c>
      <c r="F995" s="1">
        <v>42927</v>
      </c>
      <c r="G995">
        <v>2</v>
      </c>
      <c r="H995">
        <v>7</v>
      </c>
    </row>
    <row r="996" spans="1:8" x14ac:dyDescent="0.3">
      <c r="A996">
        <v>995</v>
      </c>
      <c r="B996">
        <v>621</v>
      </c>
      <c r="C996">
        <v>4</v>
      </c>
      <c r="D996" s="1">
        <v>42927</v>
      </c>
      <c r="E996" s="1">
        <v>42929</v>
      </c>
      <c r="F996" s="1">
        <v>42930</v>
      </c>
      <c r="G996">
        <v>1</v>
      </c>
      <c r="H996">
        <v>2</v>
      </c>
    </row>
    <row r="997" spans="1:8" x14ac:dyDescent="0.3">
      <c r="A997">
        <v>996</v>
      </c>
      <c r="B997">
        <v>915</v>
      </c>
      <c r="C997">
        <v>4</v>
      </c>
      <c r="D997" s="1">
        <v>42927</v>
      </c>
      <c r="E997" s="1">
        <v>42928</v>
      </c>
      <c r="F997" s="1">
        <v>42928</v>
      </c>
      <c r="G997">
        <v>1</v>
      </c>
      <c r="H997">
        <v>2</v>
      </c>
    </row>
    <row r="998" spans="1:8" x14ac:dyDescent="0.3">
      <c r="A998">
        <v>997</v>
      </c>
      <c r="B998">
        <v>485</v>
      </c>
      <c r="C998">
        <v>4</v>
      </c>
      <c r="D998" s="1">
        <v>42927</v>
      </c>
      <c r="E998" s="1">
        <v>42929</v>
      </c>
      <c r="F998" s="1">
        <v>42930</v>
      </c>
      <c r="G998">
        <v>2</v>
      </c>
      <c r="H998">
        <v>7</v>
      </c>
    </row>
    <row r="999" spans="1:8" x14ac:dyDescent="0.3">
      <c r="A999">
        <v>998</v>
      </c>
      <c r="B999">
        <v>219</v>
      </c>
      <c r="C999">
        <v>4</v>
      </c>
      <c r="D999" s="1">
        <v>42928</v>
      </c>
      <c r="E999" s="1">
        <v>42929</v>
      </c>
      <c r="F999" s="1">
        <v>42930</v>
      </c>
      <c r="G999">
        <v>2</v>
      </c>
      <c r="H999">
        <v>7</v>
      </c>
    </row>
    <row r="1000" spans="1:8" x14ac:dyDescent="0.3">
      <c r="A1000">
        <v>999</v>
      </c>
      <c r="B1000">
        <v>590</v>
      </c>
      <c r="C1000">
        <v>4</v>
      </c>
      <c r="D1000" s="1">
        <v>42928</v>
      </c>
      <c r="E1000" s="1">
        <v>42929</v>
      </c>
      <c r="F1000" s="1">
        <v>42930</v>
      </c>
      <c r="G1000">
        <v>2</v>
      </c>
      <c r="H1000">
        <v>6</v>
      </c>
    </row>
    <row r="1001" spans="1:8" x14ac:dyDescent="0.3">
      <c r="A1001">
        <v>1000</v>
      </c>
      <c r="B1001">
        <v>645</v>
      </c>
      <c r="C1001">
        <v>4</v>
      </c>
      <c r="D1001" s="1">
        <v>42928</v>
      </c>
      <c r="E1001" s="1">
        <v>42930</v>
      </c>
      <c r="F1001" s="1">
        <v>42931</v>
      </c>
      <c r="G1001">
        <v>2</v>
      </c>
      <c r="H1001">
        <v>7</v>
      </c>
    </row>
    <row r="1002" spans="1:8" x14ac:dyDescent="0.3">
      <c r="A1002">
        <v>1001</v>
      </c>
      <c r="B1002">
        <v>354</v>
      </c>
      <c r="C1002">
        <v>4</v>
      </c>
      <c r="D1002" s="1">
        <v>42929</v>
      </c>
      <c r="E1002" s="1">
        <v>42932</v>
      </c>
      <c r="F1002" s="1">
        <v>42931</v>
      </c>
      <c r="G1002">
        <v>2</v>
      </c>
      <c r="H1002">
        <v>6</v>
      </c>
    </row>
    <row r="1003" spans="1:8" x14ac:dyDescent="0.3">
      <c r="A1003">
        <v>1002</v>
      </c>
      <c r="B1003">
        <v>1418</v>
      </c>
      <c r="C1003">
        <v>4</v>
      </c>
      <c r="D1003" s="1">
        <v>42930</v>
      </c>
      <c r="E1003" s="1">
        <v>42932</v>
      </c>
      <c r="F1003" s="1">
        <v>42932</v>
      </c>
      <c r="G1003">
        <v>1</v>
      </c>
      <c r="H1003">
        <v>3</v>
      </c>
    </row>
    <row r="1004" spans="1:8" x14ac:dyDescent="0.3">
      <c r="A1004">
        <v>1003</v>
      </c>
      <c r="B1004">
        <v>503</v>
      </c>
      <c r="C1004">
        <v>4</v>
      </c>
      <c r="D1004" s="1">
        <v>42930</v>
      </c>
      <c r="E1004" s="1">
        <v>42932</v>
      </c>
      <c r="F1004" s="1">
        <v>42932</v>
      </c>
      <c r="G1004">
        <v>2</v>
      </c>
      <c r="H1004">
        <v>7</v>
      </c>
    </row>
    <row r="1005" spans="1:8" x14ac:dyDescent="0.3">
      <c r="A1005">
        <v>1004</v>
      </c>
      <c r="B1005">
        <v>1389</v>
      </c>
      <c r="C1005">
        <v>4</v>
      </c>
      <c r="D1005" s="1">
        <v>42930</v>
      </c>
      <c r="E1005" s="1">
        <v>42933</v>
      </c>
      <c r="F1005" s="1">
        <v>42932</v>
      </c>
      <c r="G1005">
        <v>2</v>
      </c>
      <c r="H1005">
        <v>6</v>
      </c>
    </row>
    <row r="1006" spans="1:8" x14ac:dyDescent="0.3">
      <c r="A1006">
        <v>1005</v>
      </c>
      <c r="B1006">
        <v>266</v>
      </c>
      <c r="C1006">
        <v>4</v>
      </c>
      <c r="D1006" s="1">
        <v>42931</v>
      </c>
      <c r="E1006" s="1">
        <v>42933</v>
      </c>
      <c r="F1006" s="1">
        <v>42932</v>
      </c>
      <c r="G1006">
        <v>2</v>
      </c>
      <c r="H1006">
        <v>7</v>
      </c>
    </row>
    <row r="1007" spans="1:8" x14ac:dyDescent="0.3">
      <c r="A1007">
        <v>1006</v>
      </c>
      <c r="B1007">
        <v>1070</v>
      </c>
      <c r="C1007">
        <v>4</v>
      </c>
      <c r="D1007" s="1">
        <v>42931</v>
      </c>
      <c r="E1007" s="1">
        <v>42934</v>
      </c>
      <c r="F1007" s="1">
        <v>42933</v>
      </c>
      <c r="G1007">
        <v>2</v>
      </c>
      <c r="H1007">
        <v>7</v>
      </c>
    </row>
    <row r="1008" spans="1:8" x14ac:dyDescent="0.3">
      <c r="A1008">
        <v>1007</v>
      </c>
      <c r="B1008">
        <v>1115</v>
      </c>
      <c r="C1008">
        <v>4</v>
      </c>
      <c r="D1008" s="1">
        <v>42932</v>
      </c>
      <c r="E1008" s="1">
        <v>42933</v>
      </c>
      <c r="F1008" s="1">
        <v>42933</v>
      </c>
      <c r="G1008">
        <v>2</v>
      </c>
      <c r="H1008">
        <v>6</v>
      </c>
    </row>
    <row r="1009" spans="1:8" x14ac:dyDescent="0.3">
      <c r="A1009">
        <v>1008</v>
      </c>
      <c r="B1009">
        <v>1345</v>
      </c>
      <c r="C1009">
        <v>4</v>
      </c>
      <c r="D1009" s="1">
        <v>42932</v>
      </c>
      <c r="E1009" s="1">
        <v>42934</v>
      </c>
      <c r="F1009" s="1">
        <v>42934</v>
      </c>
      <c r="G1009">
        <v>2</v>
      </c>
      <c r="H1009">
        <v>6</v>
      </c>
    </row>
    <row r="1010" spans="1:8" x14ac:dyDescent="0.3">
      <c r="A1010">
        <v>1009</v>
      </c>
      <c r="B1010">
        <v>1064</v>
      </c>
      <c r="C1010">
        <v>4</v>
      </c>
      <c r="D1010" s="1">
        <v>42932</v>
      </c>
      <c r="E1010" s="1">
        <v>42935</v>
      </c>
      <c r="F1010" s="1">
        <v>42935</v>
      </c>
      <c r="G1010">
        <v>3</v>
      </c>
      <c r="H1010">
        <v>8</v>
      </c>
    </row>
    <row r="1011" spans="1:8" x14ac:dyDescent="0.3">
      <c r="A1011">
        <v>1010</v>
      </c>
      <c r="B1011">
        <v>8</v>
      </c>
      <c r="C1011">
        <v>3</v>
      </c>
      <c r="D1011" s="1">
        <v>42934</v>
      </c>
      <c r="E1011" s="1">
        <v>42934</v>
      </c>
      <c r="F1011" s="1">
        <v>42411</v>
      </c>
      <c r="G1011">
        <v>2</v>
      </c>
      <c r="H1011">
        <v>7</v>
      </c>
    </row>
    <row r="1012" spans="1:8" x14ac:dyDescent="0.3">
      <c r="A1012">
        <v>1011</v>
      </c>
      <c r="B1012">
        <v>495</v>
      </c>
      <c r="C1012">
        <v>4</v>
      </c>
      <c r="D1012" s="1">
        <v>42934</v>
      </c>
      <c r="E1012" s="1">
        <v>42937</v>
      </c>
      <c r="F1012" s="1">
        <v>42937</v>
      </c>
      <c r="G1012">
        <v>1</v>
      </c>
      <c r="H1012">
        <v>3</v>
      </c>
    </row>
    <row r="1013" spans="1:8" x14ac:dyDescent="0.3">
      <c r="A1013">
        <v>1012</v>
      </c>
      <c r="B1013">
        <v>620</v>
      </c>
      <c r="C1013">
        <v>4</v>
      </c>
      <c r="D1013" s="1">
        <v>42934</v>
      </c>
      <c r="E1013" s="1">
        <v>42936</v>
      </c>
      <c r="F1013" s="1">
        <v>42936</v>
      </c>
      <c r="G1013">
        <v>2</v>
      </c>
      <c r="H1013">
        <v>7</v>
      </c>
    </row>
    <row r="1014" spans="1:8" x14ac:dyDescent="0.3">
      <c r="A1014">
        <v>1013</v>
      </c>
      <c r="B1014">
        <v>174</v>
      </c>
      <c r="C1014">
        <v>4</v>
      </c>
      <c r="D1014" s="1">
        <v>42935</v>
      </c>
      <c r="E1014" s="1">
        <v>42938</v>
      </c>
      <c r="F1014" s="1">
        <v>42937</v>
      </c>
      <c r="G1014">
        <v>2</v>
      </c>
      <c r="H1014">
        <v>6</v>
      </c>
    </row>
    <row r="1015" spans="1:8" x14ac:dyDescent="0.3">
      <c r="A1015">
        <v>1014</v>
      </c>
      <c r="B1015">
        <v>748</v>
      </c>
      <c r="C1015">
        <v>4</v>
      </c>
      <c r="D1015" s="1">
        <v>42935</v>
      </c>
      <c r="E1015" s="1">
        <v>42937</v>
      </c>
      <c r="F1015" s="1">
        <v>42937</v>
      </c>
      <c r="G1015">
        <v>2</v>
      </c>
      <c r="H1015">
        <v>6</v>
      </c>
    </row>
    <row r="1016" spans="1:8" x14ac:dyDescent="0.3">
      <c r="A1016">
        <v>1015</v>
      </c>
      <c r="B1016">
        <v>799</v>
      </c>
      <c r="C1016">
        <v>4</v>
      </c>
      <c r="D1016" s="1">
        <v>42935</v>
      </c>
      <c r="E1016" s="1">
        <v>42938</v>
      </c>
      <c r="F1016" s="1">
        <v>42937</v>
      </c>
      <c r="G1016">
        <v>2</v>
      </c>
      <c r="H1016">
        <v>7</v>
      </c>
    </row>
    <row r="1017" spans="1:8" x14ac:dyDescent="0.3">
      <c r="A1017">
        <v>1016</v>
      </c>
      <c r="B1017">
        <v>1417</v>
      </c>
      <c r="C1017">
        <v>4</v>
      </c>
      <c r="D1017" s="1">
        <v>42935</v>
      </c>
      <c r="E1017" s="1">
        <v>42936</v>
      </c>
      <c r="F1017" s="1">
        <v>42937</v>
      </c>
      <c r="G1017">
        <v>3</v>
      </c>
      <c r="H1017">
        <v>9</v>
      </c>
    </row>
    <row r="1018" spans="1:8" x14ac:dyDescent="0.3">
      <c r="A1018">
        <v>1017</v>
      </c>
      <c r="B1018">
        <v>168</v>
      </c>
      <c r="C1018">
        <v>4</v>
      </c>
      <c r="D1018" s="1">
        <v>42936</v>
      </c>
      <c r="E1018" s="1">
        <v>42937</v>
      </c>
      <c r="F1018" s="1">
        <v>42939</v>
      </c>
      <c r="G1018">
        <v>2</v>
      </c>
      <c r="H1018">
        <v>6</v>
      </c>
    </row>
    <row r="1019" spans="1:8" x14ac:dyDescent="0.3">
      <c r="A1019">
        <v>1018</v>
      </c>
      <c r="B1019">
        <v>290</v>
      </c>
      <c r="C1019">
        <v>4</v>
      </c>
      <c r="D1019" s="1">
        <v>42938</v>
      </c>
      <c r="E1019" s="1">
        <v>42939</v>
      </c>
      <c r="F1019" s="1">
        <v>42939</v>
      </c>
      <c r="G1019">
        <v>2</v>
      </c>
      <c r="H1019">
        <v>6</v>
      </c>
    </row>
    <row r="1020" spans="1:8" x14ac:dyDescent="0.3">
      <c r="A1020">
        <v>1019</v>
      </c>
      <c r="B1020">
        <v>408</v>
      </c>
      <c r="C1020">
        <v>4</v>
      </c>
      <c r="D1020" s="1">
        <v>42938</v>
      </c>
      <c r="E1020" s="1">
        <v>42939</v>
      </c>
      <c r="F1020" s="1">
        <v>42940</v>
      </c>
      <c r="G1020">
        <v>2</v>
      </c>
      <c r="H1020">
        <v>7</v>
      </c>
    </row>
    <row r="1021" spans="1:8" x14ac:dyDescent="0.3">
      <c r="A1021">
        <v>1020</v>
      </c>
      <c r="B1021">
        <v>16</v>
      </c>
      <c r="C1021">
        <v>3</v>
      </c>
      <c r="D1021" s="1">
        <v>42939</v>
      </c>
      <c r="E1021" s="1">
        <v>42939</v>
      </c>
      <c r="F1021" s="1">
        <v>42411</v>
      </c>
      <c r="G1021">
        <v>2</v>
      </c>
      <c r="H1021">
        <v>6</v>
      </c>
    </row>
    <row r="1022" spans="1:8" x14ac:dyDescent="0.3">
      <c r="A1022">
        <v>1021</v>
      </c>
      <c r="B1022">
        <v>125</v>
      </c>
      <c r="C1022">
        <v>4</v>
      </c>
      <c r="D1022" s="1">
        <v>42939</v>
      </c>
      <c r="E1022" s="1">
        <v>42940</v>
      </c>
      <c r="F1022" s="1">
        <v>42942</v>
      </c>
      <c r="G1022">
        <v>2</v>
      </c>
      <c r="H1022">
        <v>6</v>
      </c>
    </row>
    <row r="1023" spans="1:8" x14ac:dyDescent="0.3">
      <c r="A1023">
        <v>1022</v>
      </c>
      <c r="B1023">
        <v>353</v>
      </c>
      <c r="C1023">
        <v>4</v>
      </c>
      <c r="D1023" s="1">
        <v>42939</v>
      </c>
      <c r="E1023" s="1">
        <v>42942</v>
      </c>
      <c r="F1023" s="1">
        <v>42940</v>
      </c>
      <c r="G1023">
        <v>2</v>
      </c>
      <c r="H1023">
        <v>7</v>
      </c>
    </row>
    <row r="1024" spans="1:8" x14ac:dyDescent="0.3">
      <c r="A1024">
        <v>1023</v>
      </c>
      <c r="B1024">
        <v>356</v>
      </c>
      <c r="C1024">
        <v>4</v>
      </c>
      <c r="D1024" s="1">
        <v>42939</v>
      </c>
      <c r="E1024" s="1">
        <v>42942</v>
      </c>
      <c r="F1024" s="1">
        <v>42941</v>
      </c>
      <c r="G1024">
        <v>2</v>
      </c>
      <c r="H1024">
        <v>6</v>
      </c>
    </row>
    <row r="1025" spans="1:8" x14ac:dyDescent="0.3">
      <c r="A1025">
        <v>1024</v>
      </c>
      <c r="B1025">
        <v>837</v>
      </c>
      <c r="C1025">
        <v>4</v>
      </c>
      <c r="D1025" s="1">
        <v>42939</v>
      </c>
      <c r="E1025" s="1">
        <v>42941</v>
      </c>
      <c r="F1025" s="1">
        <v>42942</v>
      </c>
      <c r="G1025">
        <v>2</v>
      </c>
      <c r="H1025">
        <v>7</v>
      </c>
    </row>
    <row r="1026" spans="1:8" x14ac:dyDescent="0.3">
      <c r="A1026">
        <v>1025</v>
      </c>
      <c r="B1026">
        <v>1304</v>
      </c>
      <c r="C1026">
        <v>4</v>
      </c>
      <c r="D1026" s="1">
        <v>42939</v>
      </c>
      <c r="E1026" s="1">
        <v>42942</v>
      </c>
      <c r="F1026" s="1">
        <v>42942</v>
      </c>
      <c r="G1026">
        <v>2</v>
      </c>
      <c r="H1026">
        <v>6</v>
      </c>
    </row>
    <row r="1027" spans="1:8" x14ac:dyDescent="0.3">
      <c r="A1027">
        <v>1026</v>
      </c>
      <c r="B1027">
        <v>1370</v>
      </c>
      <c r="C1027">
        <v>4</v>
      </c>
      <c r="D1027" s="1">
        <v>42942</v>
      </c>
      <c r="E1027" s="1">
        <v>42944</v>
      </c>
      <c r="F1027" s="1">
        <v>42945</v>
      </c>
      <c r="G1027">
        <v>1</v>
      </c>
      <c r="H1027">
        <v>2</v>
      </c>
    </row>
    <row r="1028" spans="1:8" x14ac:dyDescent="0.3">
      <c r="A1028">
        <v>1027</v>
      </c>
      <c r="B1028">
        <v>588</v>
      </c>
      <c r="C1028">
        <v>4</v>
      </c>
      <c r="D1028" s="1">
        <v>42942</v>
      </c>
      <c r="E1028" s="1">
        <v>42944</v>
      </c>
      <c r="F1028" s="1">
        <v>42944</v>
      </c>
      <c r="G1028">
        <v>2</v>
      </c>
      <c r="H1028">
        <v>6</v>
      </c>
    </row>
    <row r="1029" spans="1:8" x14ac:dyDescent="0.3">
      <c r="A1029">
        <v>1028</v>
      </c>
      <c r="B1029">
        <v>1273</v>
      </c>
      <c r="C1029">
        <v>4</v>
      </c>
      <c r="D1029" s="1">
        <v>42943</v>
      </c>
      <c r="E1029" s="1">
        <v>42944</v>
      </c>
      <c r="F1029" s="1">
        <v>42946</v>
      </c>
      <c r="G1029">
        <v>2</v>
      </c>
      <c r="H1029">
        <v>7</v>
      </c>
    </row>
    <row r="1030" spans="1:8" x14ac:dyDescent="0.3">
      <c r="A1030">
        <v>1029</v>
      </c>
      <c r="B1030">
        <v>407</v>
      </c>
      <c r="C1030">
        <v>4</v>
      </c>
      <c r="D1030" s="1">
        <v>42945</v>
      </c>
      <c r="E1030" s="1">
        <v>42946</v>
      </c>
      <c r="F1030" s="1">
        <v>42948</v>
      </c>
      <c r="G1030">
        <v>1</v>
      </c>
      <c r="H1030">
        <v>3</v>
      </c>
    </row>
    <row r="1031" spans="1:8" x14ac:dyDescent="0.3">
      <c r="A1031">
        <v>1030</v>
      </c>
      <c r="B1031">
        <v>161</v>
      </c>
      <c r="C1031">
        <v>4</v>
      </c>
      <c r="D1031" s="1">
        <v>42945</v>
      </c>
      <c r="E1031" s="1">
        <v>42946</v>
      </c>
      <c r="F1031" s="1">
        <v>42947</v>
      </c>
      <c r="G1031">
        <v>2</v>
      </c>
      <c r="H1031">
        <v>6</v>
      </c>
    </row>
    <row r="1032" spans="1:8" x14ac:dyDescent="0.3">
      <c r="A1032">
        <v>1031</v>
      </c>
      <c r="B1032">
        <v>1308</v>
      </c>
      <c r="C1032">
        <v>4</v>
      </c>
      <c r="D1032" s="1">
        <v>42946</v>
      </c>
      <c r="E1032" s="1">
        <v>42948</v>
      </c>
      <c r="F1032" s="1">
        <v>42949</v>
      </c>
      <c r="G1032">
        <v>1</v>
      </c>
      <c r="H1032">
        <v>2</v>
      </c>
    </row>
    <row r="1033" spans="1:8" x14ac:dyDescent="0.3">
      <c r="A1033">
        <v>1032</v>
      </c>
      <c r="B1033">
        <v>429</v>
      </c>
      <c r="C1033">
        <v>4</v>
      </c>
      <c r="D1033" s="1">
        <v>42946</v>
      </c>
      <c r="E1033" s="1">
        <v>42949</v>
      </c>
      <c r="F1033" s="1">
        <v>42948</v>
      </c>
      <c r="G1033">
        <v>2</v>
      </c>
      <c r="H1033">
        <v>6</v>
      </c>
    </row>
    <row r="1034" spans="1:8" x14ac:dyDescent="0.3">
      <c r="A1034">
        <v>1033</v>
      </c>
      <c r="B1034">
        <v>582</v>
      </c>
      <c r="C1034">
        <v>4</v>
      </c>
      <c r="D1034" s="1">
        <v>42946</v>
      </c>
      <c r="E1034" s="1">
        <v>42947</v>
      </c>
      <c r="F1034" s="1">
        <v>42949</v>
      </c>
      <c r="G1034">
        <v>2</v>
      </c>
      <c r="H1034">
        <v>7</v>
      </c>
    </row>
    <row r="1035" spans="1:8" x14ac:dyDescent="0.3">
      <c r="A1035">
        <v>1034</v>
      </c>
      <c r="B1035">
        <v>895</v>
      </c>
      <c r="C1035">
        <v>4</v>
      </c>
      <c r="D1035" s="1">
        <v>42946</v>
      </c>
      <c r="E1035" s="1">
        <v>42947</v>
      </c>
      <c r="F1035" s="1">
        <v>42947</v>
      </c>
      <c r="G1035">
        <v>2</v>
      </c>
      <c r="H1035">
        <v>7</v>
      </c>
    </row>
    <row r="1036" spans="1:8" x14ac:dyDescent="0.3">
      <c r="A1036">
        <v>1035</v>
      </c>
      <c r="B1036">
        <v>1283</v>
      </c>
      <c r="C1036">
        <v>4</v>
      </c>
      <c r="D1036" s="1">
        <v>42946</v>
      </c>
      <c r="E1036" s="1">
        <v>42949</v>
      </c>
      <c r="F1036" s="1">
        <v>42949</v>
      </c>
      <c r="G1036">
        <v>2</v>
      </c>
      <c r="H1036">
        <v>6</v>
      </c>
    </row>
    <row r="1037" spans="1:8" x14ac:dyDescent="0.3">
      <c r="A1037">
        <v>1036</v>
      </c>
      <c r="B1037">
        <v>1442</v>
      </c>
      <c r="C1037">
        <v>4</v>
      </c>
      <c r="D1037" s="1">
        <v>42946</v>
      </c>
      <c r="E1037" s="1">
        <v>42948</v>
      </c>
      <c r="F1037" s="1">
        <v>42947</v>
      </c>
      <c r="G1037">
        <v>2</v>
      </c>
      <c r="H1037">
        <v>6</v>
      </c>
    </row>
    <row r="1038" spans="1:8" x14ac:dyDescent="0.3">
      <c r="A1038">
        <v>1037</v>
      </c>
      <c r="B1038">
        <v>1229</v>
      </c>
      <c r="C1038">
        <v>4</v>
      </c>
      <c r="D1038" s="1">
        <v>42947</v>
      </c>
      <c r="E1038" s="1">
        <v>42949</v>
      </c>
      <c r="F1038" s="1">
        <v>42950</v>
      </c>
      <c r="G1038">
        <v>2</v>
      </c>
      <c r="H1038">
        <v>6</v>
      </c>
    </row>
    <row r="1039" spans="1:8" x14ac:dyDescent="0.3">
      <c r="A1039">
        <v>1038</v>
      </c>
      <c r="B1039">
        <v>1281</v>
      </c>
      <c r="C1039">
        <v>4</v>
      </c>
      <c r="D1039" s="1">
        <v>42947</v>
      </c>
      <c r="E1039" s="1">
        <v>42948</v>
      </c>
      <c r="F1039" s="1">
        <v>42950</v>
      </c>
      <c r="G1039">
        <v>2</v>
      </c>
      <c r="H1039">
        <v>7</v>
      </c>
    </row>
    <row r="1040" spans="1:8" x14ac:dyDescent="0.3">
      <c r="A1040">
        <v>1039</v>
      </c>
      <c r="B1040">
        <v>1077</v>
      </c>
      <c r="C1040">
        <v>4</v>
      </c>
      <c r="D1040" s="1">
        <v>42949</v>
      </c>
      <c r="E1040" s="1">
        <v>42951</v>
      </c>
      <c r="F1040" s="1">
        <v>42950</v>
      </c>
      <c r="G1040">
        <v>2</v>
      </c>
      <c r="H1040">
        <v>7</v>
      </c>
    </row>
    <row r="1041" spans="1:8" x14ac:dyDescent="0.3">
      <c r="A1041">
        <v>1040</v>
      </c>
      <c r="B1041">
        <v>1225</v>
      </c>
      <c r="C1041">
        <v>4</v>
      </c>
      <c r="D1041" s="1">
        <v>42951</v>
      </c>
      <c r="E1041" s="1">
        <v>42954</v>
      </c>
      <c r="F1041" s="1">
        <v>42952</v>
      </c>
      <c r="G1041">
        <v>1</v>
      </c>
      <c r="H1041">
        <v>2</v>
      </c>
    </row>
    <row r="1042" spans="1:8" x14ac:dyDescent="0.3">
      <c r="A1042">
        <v>1041</v>
      </c>
      <c r="B1042">
        <v>70</v>
      </c>
      <c r="C1042">
        <v>4</v>
      </c>
      <c r="D1042" s="1">
        <v>42951</v>
      </c>
      <c r="E1042" s="1">
        <v>42953</v>
      </c>
      <c r="F1042" s="1">
        <v>42952</v>
      </c>
      <c r="G1042">
        <v>2</v>
      </c>
      <c r="H1042">
        <v>7</v>
      </c>
    </row>
    <row r="1043" spans="1:8" x14ac:dyDescent="0.3">
      <c r="A1043">
        <v>1042</v>
      </c>
      <c r="B1043">
        <v>539</v>
      </c>
      <c r="C1043">
        <v>4</v>
      </c>
      <c r="D1043" s="1">
        <v>42953</v>
      </c>
      <c r="E1043" s="1">
        <v>42954</v>
      </c>
      <c r="F1043" s="1">
        <v>42954</v>
      </c>
      <c r="G1043">
        <v>2</v>
      </c>
      <c r="H1043">
        <v>7</v>
      </c>
    </row>
    <row r="1044" spans="1:8" x14ac:dyDescent="0.3">
      <c r="A1044">
        <v>1043</v>
      </c>
      <c r="B1044">
        <v>1235</v>
      </c>
      <c r="C1044">
        <v>4</v>
      </c>
      <c r="D1044" s="1">
        <v>42953</v>
      </c>
      <c r="E1044" s="1">
        <v>42956</v>
      </c>
      <c r="F1044" s="1">
        <v>42955</v>
      </c>
      <c r="G1044">
        <v>2</v>
      </c>
      <c r="H1044">
        <v>6</v>
      </c>
    </row>
    <row r="1045" spans="1:8" x14ac:dyDescent="0.3">
      <c r="A1045">
        <v>1044</v>
      </c>
      <c r="B1045">
        <v>1270</v>
      </c>
      <c r="C1045">
        <v>4</v>
      </c>
      <c r="D1045" s="1">
        <v>42954</v>
      </c>
      <c r="E1045" s="1">
        <v>42957</v>
      </c>
      <c r="F1045" s="1">
        <v>42955</v>
      </c>
      <c r="G1045">
        <v>2</v>
      </c>
      <c r="H1045">
        <v>7</v>
      </c>
    </row>
    <row r="1046" spans="1:8" x14ac:dyDescent="0.3">
      <c r="A1046">
        <v>1045</v>
      </c>
      <c r="B1046">
        <v>185</v>
      </c>
      <c r="C1046">
        <v>4</v>
      </c>
      <c r="D1046" s="1">
        <v>42954</v>
      </c>
      <c r="E1046" s="1">
        <v>42956</v>
      </c>
      <c r="F1046" s="1">
        <v>42957</v>
      </c>
      <c r="G1046">
        <v>3</v>
      </c>
      <c r="H1046">
        <v>9</v>
      </c>
    </row>
    <row r="1047" spans="1:8" x14ac:dyDescent="0.3">
      <c r="A1047">
        <v>1046</v>
      </c>
      <c r="B1047">
        <v>1134</v>
      </c>
      <c r="C1047">
        <v>4</v>
      </c>
      <c r="D1047" s="1">
        <v>42954</v>
      </c>
      <c r="E1047" s="1">
        <v>42956</v>
      </c>
      <c r="F1047" s="1">
        <v>42955</v>
      </c>
      <c r="G1047">
        <v>3</v>
      </c>
      <c r="H1047">
        <v>8</v>
      </c>
    </row>
    <row r="1048" spans="1:8" x14ac:dyDescent="0.3">
      <c r="A1048">
        <v>1047</v>
      </c>
      <c r="B1048">
        <v>116</v>
      </c>
      <c r="C1048">
        <v>3</v>
      </c>
      <c r="D1048" s="1">
        <v>42955</v>
      </c>
      <c r="E1048" s="1">
        <v>42955</v>
      </c>
      <c r="F1048" s="1">
        <v>42411</v>
      </c>
      <c r="G1048">
        <v>3</v>
      </c>
      <c r="H1048">
        <v>8</v>
      </c>
    </row>
    <row r="1049" spans="1:8" x14ac:dyDescent="0.3">
      <c r="A1049">
        <v>1048</v>
      </c>
      <c r="B1049">
        <v>777</v>
      </c>
      <c r="C1049">
        <v>4</v>
      </c>
      <c r="D1049" s="1">
        <v>42955</v>
      </c>
      <c r="E1049" s="1">
        <v>42957</v>
      </c>
      <c r="F1049" s="1">
        <v>42956</v>
      </c>
      <c r="G1049">
        <v>2</v>
      </c>
      <c r="H1049">
        <v>7</v>
      </c>
    </row>
    <row r="1050" spans="1:8" x14ac:dyDescent="0.3">
      <c r="A1050">
        <v>1049</v>
      </c>
      <c r="B1050">
        <v>194</v>
      </c>
      <c r="C1050">
        <v>4</v>
      </c>
      <c r="D1050" s="1">
        <v>42956</v>
      </c>
      <c r="E1050" s="1">
        <v>42958</v>
      </c>
      <c r="F1050" s="1">
        <v>42957</v>
      </c>
      <c r="G1050">
        <v>1</v>
      </c>
      <c r="H1050">
        <v>2</v>
      </c>
    </row>
    <row r="1051" spans="1:8" x14ac:dyDescent="0.3">
      <c r="A1051">
        <v>1050</v>
      </c>
      <c r="B1051">
        <v>239</v>
      </c>
      <c r="C1051">
        <v>4</v>
      </c>
      <c r="D1051" s="1">
        <v>42956</v>
      </c>
      <c r="E1051" s="1">
        <v>42959</v>
      </c>
      <c r="F1051" s="1">
        <v>42959</v>
      </c>
      <c r="G1051">
        <v>1</v>
      </c>
      <c r="H1051">
        <v>3</v>
      </c>
    </row>
    <row r="1052" spans="1:8" x14ac:dyDescent="0.3">
      <c r="A1052">
        <v>1051</v>
      </c>
      <c r="B1052">
        <v>209</v>
      </c>
      <c r="C1052">
        <v>4</v>
      </c>
      <c r="D1052" s="1">
        <v>42957</v>
      </c>
      <c r="E1052" s="1">
        <v>42958</v>
      </c>
      <c r="F1052" s="1">
        <v>42958</v>
      </c>
      <c r="G1052">
        <v>2</v>
      </c>
      <c r="H1052">
        <v>7</v>
      </c>
    </row>
    <row r="1053" spans="1:8" x14ac:dyDescent="0.3">
      <c r="A1053">
        <v>1052</v>
      </c>
      <c r="B1053">
        <v>460</v>
      </c>
      <c r="C1053">
        <v>4</v>
      </c>
      <c r="D1053" s="1">
        <v>42957</v>
      </c>
      <c r="E1053" s="1">
        <v>42959</v>
      </c>
      <c r="F1053" s="1">
        <v>42960</v>
      </c>
      <c r="G1053">
        <v>2</v>
      </c>
      <c r="H1053">
        <v>6</v>
      </c>
    </row>
    <row r="1054" spans="1:8" x14ac:dyDescent="0.3">
      <c r="A1054">
        <v>1053</v>
      </c>
      <c r="B1054">
        <v>1439</v>
      </c>
      <c r="C1054">
        <v>4</v>
      </c>
      <c r="D1054" s="1">
        <v>42957</v>
      </c>
      <c r="E1054" s="1">
        <v>42958</v>
      </c>
      <c r="F1054" s="1">
        <v>42959</v>
      </c>
      <c r="G1054">
        <v>2</v>
      </c>
      <c r="H1054">
        <v>6</v>
      </c>
    </row>
    <row r="1055" spans="1:8" x14ac:dyDescent="0.3">
      <c r="A1055">
        <v>1054</v>
      </c>
      <c r="B1055">
        <v>189</v>
      </c>
      <c r="C1055">
        <v>4</v>
      </c>
      <c r="D1055" s="1">
        <v>42958</v>
      </c>
      <c r="E1055" s="1">
        <v>42959</v>
      </c>
      <c r="F1055" s="1">
        <v>42959</v>
      </c>
      <c r="G1055">
        <v>2</v>
      </c>
      <c r="H1055">
        <v>7</v>
      </c>
    </row>
    <row r="1056" spans="1:8" x14ac:dyDescent="0.3">
      <c r="A1056">
        <v>1055</v>
      </c>
      <c r="B1056">
        <v>140</v>
      </c>
      <c r="C1056">
        <v>4</v>
      </c>
      <c r="D1056" s="1">
        <v>42959</v>
      </c>
      <c r="E1056" s="1">
        <v>42962</v>
      </c>
      <c r="F1056" s="1">
        <v>42962</v>
      </c>
      <c r="G1056">
        <v>2</v>
      </c>
      <c r="H1056">
        <v>6</v>
      </c>
    </row>
    <row r="1057" spans="1:8" x14ac:dyDescent="0.3">
      <c r="A1057">
        <v>1056</v>
      </c>
      <c r="B1057">
        <v>325</v>
      </c>
      <c r="C1057">
        <v>4</v>
      </c>
      <c r="D1057" s="1">
        <v>42959</v>
      </c>
      <c r="E1057" s="1">
        <v>42962</v>
      </c>
      <c r="F1057" s="1">
        <v>42960</v>
      </c>
      <c r="G1057">
        <v>2</v>
      </c>
      <c r="H1057">
        <v>7</v>
      </c>
    </row>
    <row r="1058" spans="1:8" x14ac:dyDescent="0.3">
      <c r="A1058">
        <v>1057</v>
      </c>
      <c r="B1058">
        <v>456</v>
      </c>
      <c r="C1058">
        <v>4</v>
      </c>
      <c r="D1058" s="1">
        <v>42959</v>
      </c>
      <c r="E1058" s="1">
        <v>42962</v>
      </c>
      <c r="F1058" s="1">
        <v>42960</v>
      </c>
      <c r="G1058">
        <v>2</v>
      </c>
      <c r="H1058">
        <v>7</v>
      </c>
    </row>
    <row r="1059" spans="1:8" x14ac:dyDescent="0.3">
      <c r="A1059">
        <v>1058</v>
      </c>
      <c r="B1059">
        <v>782</v>
      </c>
      <c r="C1059">
        <v>4</v>
      </c>
      <c r="D1059" s="1">
        <v>42960</v>
      </c>
      <c r="E1059" s="1">
        <v>42963</v>
      </c>
      <c r="F1059" s="1">
        <v>42961</v>
      </c>
      <c r="G1059">
        <v>2</v>
      </c>
      <c r="H1059">
        <v>6</v>
      </c>
    </row>
    <row r="1060" spans="1:8" x14ac:dyDescent="0.3">
      <c r="A1060">
        <v>1059</v>
      </c>
      <c r="B1060">
        <v>6</v>
      </c>
      <c r="C1060">
        <v>4</v>
      </c>
      <c r="D1060" s="1">
        <v>42961</v>
      </c>
      <c r="E1060" s="1">
        <v>42964</v>
      </c>
      <c r="F1060" s="1">
        <v>42964</v>
      </c>
      <c r="G1060">
        <v>2</v>
      </c>
      <c r="H1060">
        <v>7</v>
      </c>
    </row>
    <row r="1061" spans="1:8" x14ac:dyDescent="0.3">
      <c r="A1061">
        <v>1060</v>
      </c>
      <c r="B1061">
        <v>182</v>
      </c>
      <c r="C1061">
        <v>4</v>
      </c>
      <c r="D1061" s="1">
        <v>42962</v>
      </c>
      <c r="E1061" s="1">
        <v>42965</v>
      </c>
      <c r="F1061" s="1">
        <v>42964</v>
      </c>
      <c r="G1061">
        <v>2</v>
      </c>
      <c r="H1061">
        <v>6</v>
      </c>
    </row>
    <row r="1062" spans="1:8" x14ac:dyDescent="0.3">
      <c r="A1062">
        <v>1061</v>
      </c>
      <c r="B1062">
        <v>655</v>
      </c>
      <c r="C1062">
        <v>4</v>
      </c>
      <c r="D1062" s="1">
        <v>42962</v>
      </c>
      <c r="E1062" s="1">
        <v>42965</v>
      </c>
      <c r="F1062" s="1">
        <v>42965</v>
      </c>
      <c r="G1062">
        <v>2</v>
      </c>
      <c r="H1062">
        <v>7</v>
      </c>
    </row>
    <row r="1063" spans="1:8" x14ac:dyDescent="0.3">
      <c r="A1063">
        <v>1062</v>
      </c>
      <c r="B1063">
        <v>1210</v>
      </c>
      <c r="C1063">
        <v>4</v>
      </c>
      <c r="D1063" s="1">
        <v>42962</v>
      </c>
      <c r="E1063" s="1">
        <v>42964</v>
      </c>
      <c r="F1063" s="1">
        <v>42965</v>
      </c>
      <c r="G1063">
        <v>2</v>
      </c>
      <c r="H1063">
        <v>6</v>
      </c>
    </row>
    <row r="1064" spans="1:8" x14ac:dyDescent="0.3">
      <c r="A1064">
        <v>1063</v>
      </c>
      <c r="B1064">
        <v>198</v>
      </c>
      <c r="C1064">
        <v>4</v>
      </c>
      <c r="D1064" s="1">
        <v>42963</v>
      </c>
      <c r="E1064" s="1">
        <v>42966</v>
      </c>
      <c r="F1064" s="1">
        <v>42966</v>
      </c>
      <c r="G1064">
        <v>3</v>
      </c>
      <c r="H1064">
        <v>8</v>
      </c>
    </row>
    <row r="1065" spans="1:8" x14ac:dyDescent="0.3">
      <c r="A1065">
        <v>1064</v>
      </c>
      <c r="B1065">
        <v>898</v>
      </c>
      <c r="C1065">
        <v>4</v>
      </c>
      <c r="D1065" s="1">
        <v>42963</v>
      </c>
      <c r="E1065" s="1">
        <v>42965</v>
      </c>
      <c r="F1065" s="1">
        <v>42966</v>
      </c>
      <c r="G1065">
        <v>3</v>
      </c>
      <c r="H1065">
        <v>9</v>
      </c>
    </row>
    <row r="1066" spans="1:8" x14ac:dyDescent="0.3">
      <c r="A1066">
        <v>1065</v>
      </c>
      <c r="B1066">
        <v>25</v>
      </c>
      <c r="C1066">
        <v>4</v>
      </c>
      <c r="D1066" s="1">
        <v>42964</v>
      </c>
      <c r="E1066" s="1">
        <v>42966</v>
      </c>
      <c r="F1066" s="1">
        <v>42966</v>
      </c>
      <c r="G1066">
        <v>2</v>
      </c>
      <c r="H1066">
        <v>7</v>
      </c>
    </row>
    <row r="1067" spans="1:8" x14ac:dyDescent="0.3">
      <c r="A1067">
        <v>1066</v>
      </c>
      <c r="B1067">
        <v>106</v>
      </c>
      <c r="C1067">
        <v>4</v>
      </c>
      <c r="D1067" s="1">
        <v>42964</v>
      </c>
      <c r="E1067" s="1">
        <v>42967</v>
      </c>
      <c r="F1067" s="1">
        <v>42966</v>
      </c>
      <c r="G1067">
        <v>2</v>
      </c>
      <c r="H1067">
        <v>7</v>
      </c>
    </row>
    <row r="1068" spans="1:8" x14ac:dyDescent="0.3">
      <c r="A1068">
        <v>1067</v>
      </c>
      <c r="B1068">
        <v>225</v>
      </c>
      <c r="C1068">
        <v>4</v>
      </c>
      <c r="D1068" s="1">
        <v>42964</v>
      </c>
      <c r="E1068" s="1">
        <v>42966</v>
      </c>
      <c r="F1068" s="1">
        <v>42966</v>
      </c>
      <c r="G1068">
        <v>2</v>
      </c>
      <c r="H1068">
        <v>7</v>
      </c>
    </row>
    <row r="1069" spans="1:8" x14ac:dyDescent="0.3">
      <c r="A1069">
        <v>1068</v>
      </c>
      <c r="B1069">
        <v>453</v>
      </c>
      <c r="C1069">
        <v>4</v>
      </c>
      <c r="D1069" s="1">
        <v>42964</v>
      </c>
      <c r="E1069" s="1">
        <v>42967</v>
      </c>
      <c r="F1069" s="1">
        <v>42966</v>
      </c>
      <c r="G1069">
        <v>2</v>
      </c>
      <c r="H1069">
        <v>7</v>
      </c>
    </row>
    <row r="1070" spans="1:8" x14ac:dyDescent="0.3">
      <c r="A1070">
        <v>1069</v>
      </c>
      <c r="B1070">
        <v>493</v>
      </c>
      <c r="C1070">
        <v>4</v>
      </c>
      <c r="D1070" s="1">
        <v>42964</v>
      </c>
      <c r="E1070" s="1">
        <v>42966</v>
      </c>
      <c r="F1070" s="1">
        <v>42965</v>
      </c>
      <c r="G1070">
        <v>2</v>
      </c>
      <c r="H1070">
        <v>6</v>
      </c>
    </row>
    <row r="1071" spans="1:8" x14ac:dyDescent="0.3">
      <c r="A1071">
        <v>1070</v>
      </c>
      <c r="B1071">
        <v>596</v>
      </c>
      <c r="C1071">
        <v>4</v>
      </c>
      <c r="D1071" s="1">
        <v>42964</v>
      </c>
      <c r="E1071" s="1">
        <v>42967</v>
      </c>
      <c r="F1071" s="1">
        <v>42965</v>
      </c>
      <c r="G1071">
        <v>2</v>
      </c>
      <c r="H1071">
        <v>7</v>
      </c>
    </row>
    <row r="1072" spans="1:8" x14ac:dyDescent="0.3">
      <c r="A1072">
        <v>1071</v>
      </c>
      <c r="B1072">
        <v>602</v>
      </c>
      <c r="C1072">
        <v>4</v>
      </c>
      <c r="D1072" s="1">
        <v>42964</v>
      </c>
      <c r="E1072" s="1">
        <v>42967</v>
      </c>
      <c r="F1072" s="1">
        <v>42965</v>
      </c>
      <c r="G1072">
        <v>3</v>
      </c>
      <c r="H1072">
        <v>8</v>
      </c>
    </row>
    <row r="1073" spans="1:8" x14ac:dyDescent="0.3">
      <c r="A1073">
        <v>1072</v>
      </c>
      <c r="B1073">
        <v>47</v>
      </c>
      <c r="C1073">
        <v>3</v>
      </c>
      <c r="D1073" s="1">
        <v>42965</v>
      </c>
      <c r="E1073" s="1">
        <v>42965</v>
      </c>
      <c r="F1073" s="1">
        <v>42411</v>
      </c>
      <c r="G1073">
        <v>1</v>
      </c>
      <c r="H1073">
        <v>3</v>
      </c>
    </row>
    <row r="1074" spans="1:8" x14ac:dyDescent="0.3">
      <c r="A1074">
        <v>1073</v>
      </c>
      <c r="B1074">
        <v>911</v>
      </c>
      <c r="C1074">
        <v>4</v>
      </c>
      <c r="D1074" s="1">
        <v>42965</v>
      </c>
      <c r="E1074" s="1">
        <v>42966</v>
      </c>
      <c r="F1074" s="1">
        <v>42968</v>
      </c>
      <c r="G1074">
        <v>2</v>
      </c>
      <c r="H1074">
        <v>7</v>
      </c>
    </row>
    <row r="1075" spans="1:8" x14ac:dyDescent="0.3">
      <c r="A1075">
        <v>1074</v>
      </c>
      <c r="B1075">
        <v>11</v>
      </c>
      <c r="C1075">
        <v>3</v>
      </c>
      <c r="D1075" s="1">
        <v>42966</v>
      </c>
      <c r="E1075" s="1">
        <v>42966</v>
      </c>
      <c r="F1075" s="1">
        <v>42411</v>
      </c>
      <c r="G1075">
        <v>2</v>
      </c>
      <c r="H1075">
        <v>6</v>
      </c>
    </row>
    <row r="1076" spans="1:8" x14ac:dyDescent="0.3">
      <c r="A1076">
        <v>1075</v>
      </c>
      <c r="B1076">
        <v>1003</v>
      </c>
      <c r="C1076">
        <v>4</v>
      </c>
      <c r="D1076" s="1">
        <v>42966</v>
      </c>
      <c r="E1076" s="1">
        <v>42968</v>
      </c>
      <c r="F1076" s="1">
        <v>42969</v>
      </c>
      <c r="G1076">
        <v>1</v>
      </c>
      <c r="H1076">
        <v>3</v>
      </c>
    </row>
    <row r="1077" spans="1:8" x14ac:dyDescent="0.3">
      <c r="A1077">
        <v>1076</v>
      </c>
      <c r="B1077">
        <v>42</v>
      </c>
      <c r="C1077">
        <v>4</v>
      </c>
      <c r="D1077" s="1">
        <v>42966</v>
      </c>
      <c r="E1077" s="1">
        <v>42969</v>
      </c>
      <c r="F1077" s="1">
        <v>42969</v>
      </c>
      <c r="G1077">
        <v>2</v>
      </c>
      <c r="H1077">
        <v>6</v>
      </c>
    </row>
    <row r="1078" spans="1:8" x14ac:dyDescent="0.3">
      <c r="A1078">
        <v>1077</v>
      </c>
      <c r="B1078">
        <v>412</v>
      </c>
      <c r="C1078">
        <v>4</v>
      </c>
      <c r="D1078" s="1">
        <v>42966</v>
      </c>
      <c r="E1078" s="1">
        <v>42967</v>
      </c>
      <c r="F1078" s="1">
        <v>42968</v>
      </c>
      <c r="G1078">
        <v>2</v>
      </c>
      <c r="H1078">
        <v>6</v>
      </c>
    </row>
    <row r="1079" spans="1:8" x14ac:dyDescent="0.3">
      <c r="A1079">
        <v>1078</v>
      </c>
      <c r="B1079">
        <v>793</v>
      </c>
      <c r="C1079">
        <v>4</v>
      </c>
      <c r="D1079" s="1">
        <v>42966</v>
      </c>
      <c r="E1079" s="1">
        <v>42968</v>
      </c>
      <c r="F1079" s="1">
        <v>42967</v>
      </c>
      <c r="G1079">
        <v>2</v>
      </c>
      <c r="H1079">
        <v>6</v>
      </c>
    </row>
    <row r="1080" spans="1:8" x14ac:dyDescent="0.3">
      <c r="A1080">
        <v>1079</v>
      </c>
      <c r="B1080">
        <v>812</v>
      </c>
      <c r="C1080">
        <v>4</v>
      </c>
      <c r="D1080" s="1">
        <v>42966</v>
      </c>
      <c r="E1080" s="1">
        <v>42967</v>
      </c>
      <c r="F1080" s="1">
        <v>42967</v>
      </c>
      <c r="G1080">
        <v>2</v>
      </c>
      <c r="H1080">
        <v>7</v>
      </c>
    </row>
    <row r="1081" spans="1:8" x14ac:dyDescent="0.3">
      <c r="A1081">
        <v>1080</v>
      </c>
      <c r="B1081">
        <v>1086</v>
      </c>
      <c r="C1081">
        <v>4</v>
      </c>
      <c r="D1081" s="1">
        <v>42966</v>
      </c>
      <c r="E1081" s="1">
        <v>42967</v>
      </c>
      <c r="F1081" s="1">
        <v>42967</v>
      </c>
      <c r="G1081">
        <v>2</v>
      </c>
      <c r="H1081">
        <v>7</v>
      </c>
    </row>
    <row r="1082" spans="1:8" x14ac:dyDescent="0.3">
      <c r="A1082">
        <v>1081</v>
      </c>
      <c r="B1082">
        <v>1106</v>
      </c>
      <c r="C1082">
        <v>4</v>
      </c>
      <c r="D1082" s="1">
        <v>42966</v>
      </c>
      <c r="E1082" s="1">
        <v>42969</v>
      </c>
      <c r="F1082" s="1">
        <v>42969</v>
      </c>
      <c r="G1082">
        <v>2</v>
      </c>
      <c r="H1082">
        <v>6</v>
      </c>
    </row>
    <row r="1083" spans="1:8" x14ac:dyDescent="0.3">
      <c r="A1083">
        <v>1082</v>
      </c>
      <c r="B1083">
        <v>1327</v>
      </c>
      <c r="C1083">
        <v>4</v>
      </c>
      <c r="D1083" s="1">
        <v>42967</v>
      </c>
      <c r="E1083" s="1">
        <v>42969</v>
      </c>
      <c r="F1083" s="1">
        <v>42968</v>
      </c>
      <c r="G1083">
        <v>2</v>
      </c>
      <c r="H1083">
        <v>6</v>
      </c>
    </row>
    <row r="1084" spans="1:8" x14ac:dyDescent="0.3">
      <c r="A1084">
        <v>1083</v>
      </c>
      <c r="B1084">
        <v>1372</v>
      </c>
      <c r="C1084">
        <v>4</v>
      </c>
      <c r="D1084" s="1">
        <v>42967</v>
      </c>
      <c r="E1084" s="1">
        <v>42970</v>
      </c>
      <c r="F1084" s="1">
        <v>42970</v>
      </c>
      <c r="G1084">
        <v>2</v>
      </c>
      <c r="H1084">
        <v>6</v>
      </c>
    </row>
    <row r="1085" spans="1:8" x14ac:dyDescent="0.3">
      <c r="A1085">
        <v>1084</v>
      </c>
      <c r="B1085">
        <v>2</v>
      </c>
      <c r="C1085">
        <v>4</v>
      </c>
      <c r="D1085" s="1">
        <v>42968</v>
      </c>
      <c r="E1085" s="1">
        <v>42971</v>
      </c>
      <c r="F1085" s="1">
        <v>42970</v>
      </c>
      <c r="G1085">
        <v>1</v>
      </c>
      <c r="H1085">
        <v>2</v>
      </c>
    </row>
    <row r="1086" spans="1:8" x14ac:dyDescent="0.3">
      <c r="A1086">
        <v>1085</v>
      </c>
      <c r="B1086">
        <v>305</v>
      </c>
      <c r="C1086">
        <v>4</v>
      </c>
      <c r="D1086" s="1">
        <v>42968</v>
      </c>
      <c r="E1086" s="1">
        <v>42970</v>
      </c>
      <c r="F1086" s="1">
        <v>42970</v>
      </c>
      <c r="G1086">
        <v>1</v>
      </c>
      <c r="H1086">
        <v>3</v>
      </c>
    </row>
    <row r="1087" spans="1:8" x14ac:dyDescent="0.3">
      <c r="A1087">
        <v>1086</v>
      </c>
      <c r="B1087">
        <v>220</v>
      </c>
      <c r="C1087">
        <v>4</v>
      </c>
      <c r="D1087" s="1">
        <v>42968</v>
      </c>
      <c r="E1087" s="1">
        <v>42970</v>
      </c>
      <c r="F1087" s="1">
        <v>42971</v>
      </c>
      <c r="G1087">
        <v>2</v>
      </c>
      <c r="H1087">
        <v>7</v>
      </c>
    </row>
    <row r="1088" spans="1:8" x14ac:dyDescent="0.3">
      <c r="A1088">
        <v>1087</v>
      </c>
      <c r="B1088">
        <v>675</v>
      </c>
      <c r="C1088">
        <v>4</v>
      </c>
      <c r="D1088" s="1">
        <v>42969</v>
      </c>
      <c r="E1088" s="1">
        <v>42970</v>
      </c>
      <c r="F1088" s="1">
        <v>42972</v>
      </c>
      <c r="G1088">
        <v>3</v>
      </c>
      <c r="H1088">
        <v>8</v>
      </c>
    </row>
    <row r="1089" spans="1:8" x14ac:dyDescent="0.3">
      <c r="A1089">
        <v>1088</v>
      </c>
      <c r="B1089">
        <v>1160</v>
      </c>
      <c r="C1089">
        <v>4</v>
      </c>
      <c r="D1089" s="1">
        <v>42969</v>
      </c>
      <c r="E1089" s="1">
        <v>42970</v>
      </c>
      <c r="F1089" s="1">
        <v>42970</v>
      </c>
      <c r="G1089">
        <v>3</v>
      </c>
      <c r="H1089">
        <v>8</v>
      </c>
    </row>
    <row r="1090" spans="1:8" x14ac:dyDescent="0.3">
      <c r="A1090">
        <v>1089</v>
      </c>
      <c r="B1090">
        <v>46</v>
      </c>
      <c r="C1090">
        <v>3</v>
      </c>
      <c r="D1090" s="1">
        <v>42970</v>
      </c>
      <c r="E1090" s="1">
        <v>42970</v>
      </c>
      <c r="F1090" s="1">
        <v>42411</v>
      </c>
      <c r="G1090">
        <v>1</v>
      </c>
      <c r="H1090">
        <v>2</v>
      </c>
    </row>
    <row r="1091" spans="1:8" x14ac:dyDescent="0.3">
      <c r="A1091">
        <v>1090</v>
      </c>
      <c r="B1091">
        <v>1427</v>
      </c>
      <c r="C1091">
        <v>4</v>
      </c>
      <c r="D1091" s="1">
        <v>42971</v>
      </c>
      <c r="E1091" s="1">
        <v>42973</v>
      </c>
      <c r="F1091" s="1">
        <v>42973</v>
      </c>
      <c r="G1091">
        <v>1</v>
      </c>
      <c r="H1091">
        <v>2</v>
      </c>
    </row>
    <row r="1092" spans="1:8" x14ac:dyDescent="0.3">
      <c r="A1092">
        <v>1091</v>
      </c>
      <c r="B1092">
        <v>1260</v>
      </c>
      <c r="C1092">
        <v>4</v>
      </c>
      <c r="D1092" s="1">
        <v>42971</v>
      </c>
      <c r="E1092" s="1">
        <v>42972</v>
      </c>
      <c r="F1092" s="1">
        <v>42972</v>
      </c>
      <c r="G1092">
        <v>2</v>
      </c>
      <c r="H1092">
        <v>7</v>
      </c>
    </row>
    <row r="1093" spans="1:8" x14ac:dyDescent="0.3">
      <c r="A1093">
        <v>1092</v>
      </c>
      <c r="B1093">
        <v>40</v>
      </c>
      <c r="C1093">
        <v>4</v>
      </c>
      <c r="D1093" s="1">
        <v>42972</v>
      </c>
      <c r="E1093" s="1">
        <v>42975</v>
      </c>
      <c r="F1093" s="1">
        <v>42974</v>
      </c>
      <c r="G1093">
        <v>1</v>
      </c>
      <c r="H1093">
        <v>2</v>
      </c>
    </row>
    <row r="1094" spans="1:8" x14ac:dyDescent="0.3">
      <c r="A1094">
        <v>1093</v>
      </c>
      <c r="B1094">
        <v>326</v>
      </c>
      <c r="C1094">
        <v>4</v>
      </c>
      <c r="D1094" s="1">
        <v>42972</v>
      </c>
      <c r="E1094" s="1">
        <v>42975</v>
      </c>
      <c r="F1094" s="1">
        <v>42973</v>
      </c>
      <c r="G1094">
        <v>1</v>
      </c>
      <c r="H1094">
        <v>3</v>
      </c>
    </row>
    <row r="1095" spans="1:8" x14ac:dyDescent="0.3">
      <c r="A1095">
        <v>1094</v>
      </c>
      <c r="B1095">
        <v>828</v>
      </c>
      <c r="C1095">
        <v>4</v>
      </c>
      <c r="D1095" s="1">
        <v>42972</v>
      </c>
      <c r="E1095" s="1">
        <v>42974</v>
      </c>
      <c r="F1095" s="1">
        <v>42975</v>
      </c>
      <c r="G1095">
        <v>2</v>
      </c>
      <c r="H1095">
        <v>6</v>
      </c>
    </row>
    <row r="1096" spans="1:8" x14ac:dyDescent="0.3">
      <c r="A1096">
        <v>1095</v>
      </c>
      <c r="B1096">
        <v>1382</v>
      </c>
      <c r="C1096">
        <v>4</v>
      </c>
      <c r="D1096" s="1">
        <v>42973</v>
      </c>
      <c r="E1096" s="1">
        <v>42975</v>
      </c>
      <c r="F1096" s="1">
        <v>42974</v>
      </c>
      <c r="G1096">
        <v>3</v>
      </c>
      <c r="H1096">
        <v>9</v>
      </c>
    </row>
    <row r="1097" spans="1:8" x14ac:dyDescent="0.3">
      <c r="A1097">
        <v>1096</v>
      </c>
      <c r="B1097">
        <v>589</v>
      </c>
      <c r="C1097">
        <v>4</v>
      </c>
      <c r="D1097" s="1">
        <v>42974</v>
      </c>
      <c r="E1097" s="1">
        <v>42976</v>
      </c>
      <c r="F1097" s="1">
        <v>42976</v>
      </c>
      <c r="G1097">
        <v>1</v>
      </c>
      <c r="H1097">
        <v>2</v>
      </c>
    </row>
    <row r="1098" spans="1:8" x14ac:dyDescent="0.3">
      <c r="A1098">
        <v>1097</v>
      </c>
      <c r="B1098">
        <v>1311</v>
      </c>
      <c r="C1098">
        <v>4</v>
      </c>
      <c r="D1098" s="1">
        <v>42974</v>
      </c>
      <c r="E1098" s="1">
        <v>42977</v>
      </c>
      <c r="F1098" s="1">
        <v>42975</v>
      </c>
      <c r="G1098">
        <v>2</v>
      </c>
      <c r="H1098">
        <v>6</v>
      </c>
    </row>
    <row r="1099" spans="1:8" x14ac:dyDescent="0.3">
      <c r="A1099">
        <v>1098</v>
      </c>
      <c r="B1099">
        <v>752</v>
      </c>
      <c r="C1099">
        <v>4</v>
      </c>
      <c r="D1099" s="1">
        <v>42975</v>
      </c>
      <c r="E1099" s="1">
        <v>42977</v>
      </c>
      <c r="F1099" s="1">
        <v>42977</v>
      </c>
      <c r="G1099">
        <v>1</v>
      </c>
      <c r="H1099">
        <v>2</v>
      </c>
    </row>
    <row r="1100" spans="1:8" x14ac:dyDescent="0.3">
      <c r="A1100">
        <v>1099</v>
      </c>
      <c r="B1100">
        <v>1128</v>
      </c>
      <c r="C1100">
        <v>4</v>
      </c>
      <c r="D1100" s="1">
        <v>42975</v>
      </c>
      <c r="E1100" s="1">
        <v>42976</v>
      </c>
      <c r="F1100" s="1">
        <v>42977</v>
      </c>
      <c r="G1100">
        <v>2</v>
      </c>
      <c r="H1100">
        <v>6</v>
      </c>
    </row>
    <row r="1101" spans="1:8" x14ac:dyDescent="0.3">
      <c r="A1101">
        <v>1100</v>
      </c>
      <c r="B1101">
        <v>1392</v>
      </c>
      <c r="C1101">
        <v>4</v>
      </c>
      <c r="D1101" s="1">
        <v>42975</v>
      </c>
      <c r="E1101" s="1">
        <v>42976</v>
      </c>
      <c r="F1101" s="1">
        <v>42976</v>
      </c>
      <c r="G1101">
        <v>2</v>
      </c>
      <c r="H1101">
        <v>7</v>
      </c>
    </row>
    <row r="1102" spans="1:8" x14ac:dyDescent="0.3">
      <c r="A1102">
        <v>1101</v>
      </c>
      <c r="B1102">
        <v>379</v>
      </c>
      <c r="C1102">
        <v>4</v>
      </c>
      <c r="D1102" s="1">
        <v>42976</v>
      </c>
      <c r="E1102" s="1">
        <v>42977</v>
      </c>
      <c r="F1102" s="1">
        <v>42977</v>
      </c>
      <c r="G1102">
        <v>2</v>
      </c>
      <c r="H1102">
        <v>7</v>
      </c>
    </row>
    <row r="1103" spans="1:8" x14ac:dyDescent="0.3">
      <c r="A1103">
        <v>1102</v>
      </c>
      <c r="B1103">
        <v>1317</v>
      </c>
      <c r="C1103">
        <v>4</v>
      </c>
      <c r="D1103" s="1">
        <v>42976</v>
      </c>
      <c r="E1103" s="1">
        <v>42978</v>
      </c>
      <c r="F1103" s="1">
        <v>42978</v>
      </c>
      <c r="G1103">
        <v>2</v>
      </c>
      <c r="H1103">
        <v>6</v>
      </c>
    </row>
    <row r="1104" spans="1:8" x14ac:dyDescent="0.3">
      <c r="A1104">
        <v>1103</v>
      </c>
      <c r="B1104">
        <v>1394</v>
      </c>
      <c r="C1104">
        <v>4</v>
      </c>
      <c r="D1104" s="1">
        <v>42978</v>
      </c>
      <c r="E1104" s="1">
        <v>42980</v>
      </c>
      <c r="F1104" s="1">
        <v>42980</v>
      </c>
      <c r="G1104">
        <v>2</v>
      </c>
      <c r="H1104">
        <v>7</v>
      </c>
    </row>
    <row r="1105" spans="1:8" x14ac:dyDescent="0.3">
      <c r="A1105">
        <v>1104</v>
      </c>
      <c r="B1105">
        <v>268</v>
      </c>
      <c r="C1105">
        <v>4</v>
      </c>
      <c r="D1105" s="1">
        <v>42979</v>
      </c>
      <c r="E1105" s="1">
        <v>42982</v>
      </c>
      <c r="F1105" s="1">
        <v>42981</v>
      </c>
      <c r="G1105">
        <v>2</v>
      </c>
      <c r="H1105">
        <v>6</v>
      </c>
    </row>
    <row r="1106" spans="1:8" x14ac:dyDescent="0.3">
      <c r="A1106">
        <v>1105</v>
      </c>
      <c r="B1106">
        <v>747</v>
      </c>
      <c r="C1106">
        <v>4</v>
      </c>
      <c r="D1106" s="1">
        <v>42979</v>
      </c>
      <c r="E1106" s="1">
        <v>42982</v>
      </c>
      <c r="F1106" s="1">
        <v>42981</v>
      </c>
      <c r="G1106">
        <v>3</v>
      </c>
      <c r="H1106">
        <v>8</v>
      </c>
    </row>
    <row r="1107" spans="1:8" x14ac:dyDescent="0.3">
      <c r="A1107">
        <v>1106</v>
      </c>
      <c r="B1107">
        <v>1009</v>
      </c>
      <c r="C1107">
        <v>4</v>
      </c>
      <c r="D1107" s="1">
        <v>42980</v>
      </c>
      <c r="E1107" s="1">
        <v>42982</v>
      </c>
      <c r="F1107" s="1">
        <v>42982</v>
      </c>
      <c r="G1107">
        <v>2</v>
      </c>
      <c r="H1107">
        <v>6</v>
      </c>
    </row>
    <row r="1108" spans="1:8" x14ac:dyDescent="0.3">
      <c r="A1108">
        <v>1107</v>
      </c>
      <c r="B1108">
        <v>1424</v>
      </c>
      <c r="C1108">
        <v>4</v>
      </c>
      <c r="D1108" s="1">
        <v>42980</v>
      </c>
      <c r="E1108" s="1">
        <v>42983</v>
      </c>
      <c r="F1108" s="1">
        <v>42983</v>
      </c>
      <c r="G1108">
        <v>2</v>
      </c>
      <c r="H1108">
        <v>7</v>
      </c>
    </row>
    <row r="1109" spans="1:8" x14ac:dyDescent="0.3">
      <c r="A1109">
        <v>1108</v>
      </c>
      <c r="B1109">
        <v>735</v>
      </c>
      <c r="C1109">
        <v>4</v>
      </c>
      <c r="D1109" s="1">
        <v>42981</v>
      </c>
      <c r="E1109" s="1">
        <v>42983</v>
      </c>
      <c r="F1109" s="1">
        <v>42982</v>
      </c>
      <c r="G1109">
        <v>1</v>
      </c>
      <c r="H1109">
        <v>3</v>
      </c>
    </row>
    <row r="1110" spans="1:8" x14ac:dyDescent="0.3">
      <c r="A1110">
        <v>1109</v>
      </c>
      <c r="B1110">
        <v>23</v>
      </c>
      <c r="C1110">
        <v>4</v>
      </c>
      <c r="D1110" s="1">
        <v>42981</v>
      </c>
      <c r="E1110" s="1">
        <v>42982</v>
      </c>
      <c r="F1110" s="1">
        <v>42982</v>
      </c>
      <c r="G1110">
        <v>2</v>
      </c>
      <c r="H1110">
        <v>6</v>
      </c>
    </row>
    <row r="1111" spans="1:8" x14ac:dyDescent="0.3">
      <c r="A1111">
        <v>1110</v>
      </c>
      <c r="B1111">
        <v>912</v>
      </c>
      <c r="C1111">
        <v>4</v>
      </c>
      <c r="D1111" s="1">
        <v>42982</v>
      </c>
      <c r="E1111" s="1">
        <v>42985</v>
      </c>
      <c r="F1111" s="1">
        <v>42985</v>
      </c>
      <c r="G1111">
        <v>2</v>
      </c>
      <c r="H1111">
        <v>6</v>
      </c>
    </row>
    <row r="1112" spans="1:8" x14ac:dyDescent="0.3">
      <c r="A1112">
        <v>1111</v>
      </c>
      <c r="B1112">
        <v>930</v>
      </c>
      <c r="C1112">
        <v>4</v>
      </c>
      <c r="D1112" s="1">
        <v>42982</v>
      </c>
      <c r="E1112" s="1">
        <v>42984</v>
      </c>
      <c r="F1112" s="1">
        <v>42983</v>
      </c>
      <c r="G1112">
        <v>2</v>
      </c>
      <c r="H1112">
        <v>6</v>
      </c>
    </row>
    <row r="1113" spans="1:8" x14ac:dyDescent="0.3">
      <c r="A1113">
        <v>1112</v>
      </c>
      <c r="B1113">
        <v>798</v>
      </c>
      <c r="C1113">
        <v>4</v>
      </c>
      <c r="D1113" s="1">
        <v>42983</v>
      </c>
      <c r="E1113" s="1">
        <v>42986</v>
      </c>
      <c r="F1113" s="1">
        <v>42985</v>
      </c>
      <c r="G1113">
        <v>2</v>
      </c>
      <c r="H1113">
        <v>7</v>
      </c>
    </row>
    <row r="1114" spans="1:8" x14ac:dyDescent="0.3">
      <c r="A1114">
        <v>1113</v>
      </c>
      <c r="B1114">
        <v>388</v>
      </c>
      <c r="C1114">
        <v>4</v>
      </c>
      <c r="D1114" s="1">
        <v>42984</v>
      </c>
      <c r="E1114" s="1">
        <v>42986</v>
      </c>
      <c r="F1114" s="1">
        <v>42985</v>
      </c>
      <c r="G1114">
        <v>2</v>
      </c>
      <c r="H1114">
        <v>7</v>
      </c>
    </row>
    <row r="1115" spans="1:8" x14ac:dyDescent="0.3">
      <c r="A1115">
        <v>1114</v>
      </c>
      <c r="B1115">
        <v>1036</v>
      </c>
      <c r="C1115">
        <v>4</v>
      </c>
      <c r="D1115" s="1">
        <v>42984</v>
      </c>
      <c r="E1115" s="1">
        <v>42986</v>
      </c>
      <c r="F1115" s="1">
        <v>42986</v>
      </c>
      <c r="G1115">
        <v>2</v>
      </c>
      <c r="H1115">
        <v>6</v>
      </c>
    </row>
    <row r="1116" spans="1:8" x14ac:dyDescent="0.3">
      <c r="A1116">
        <v>1115</v>
      </c>
      <c r="B1116">
        <v>1100</v>
      </c>
      <c r="C1116">
        <v>4</v>
      </c>
      <c r="D1116" s="1">
        <v>42985</v>
      </c>
      <c r="E1116" s="1">
        <v>42987</v>
      </c>
      <c r="F1116" s="1">
        <v>42987</v>
      </c>
      <c r="G1116">
        <v>2</v>
      </c>
      <c r="H1116">
        <v>6</v>
      </c>
    </row>
    <row r="1117" spans="1:8" x14ac:dyDescent="0.3">
      <c r="A1117">
        <v>1116</v>
      </c>
      <c r="B1117">
        <v>52</v>
      </c>
      <c r="C1117">
        <v>4</v>
      </c>
      <c r="D1117" s="1">
        <v>42986</v>
      </c>
      <c r="E1117" s="1">
        <v>42988</v>
      </c>
      <c r="F1117" s="1">
        <v>42988</v>
      </c>
      <c r="G1117">
        <v>2</v>
      </c>
      <c r="H1117">
        <v>7</v>
      </c>
    </row>
    <row r="1118" spans="1:8" x14ac:dyDescent="0.3">
      <c r="A1118">
        <v>1117</v>
      </c>
      <c r="B1118">
        <v>334</v>
      </c>
      <c r="C1118">
        <v>4</v>
      </c>
      <c r="D1118" s="1">
        <v>42986</v>
      </c>
      <c r="E1118" s="1">
        <v>42988</v>
      </c>
      <c r="F1118" s="1">
        <v>42988</v>
      </c>
      <c r="G1118">
        <v>2</v>
      </c>
      <c r="H1118">
        <v>6</v>
      </c>
    </row>
    <row r="1119" spans="1:8" x14ac:dyDescent="0.3">
      <c r="A1119">
        <v>1118</v>
      </c>
      <c r="B1119">
        <v>1023</v>
      </c>
      <c r="C1119">
        <v>4</v>
      </c>
      <c r="D1119" s="1">
        <v>42986</v>
      </c>
      <c r="E1119" s="1">
        <v>42989</v>
      </c>
      <c r="F1119" s="1">
        <v>42989</v>
      </c>
      <c r="G1119">
        <v>2</v>
      </c>
      <c r="H1119">
        <v>6</v>
      </c>
    </row>
    <row r="1120" spans="1:8" x14ac:dyDescent="0.3">
      <c r="A1120">
        <v>1119</v>
      </c>
      <c r="B1120">
        <v>749</v>
      </c>
      <c r="C1120">
        <v>4</v>
      </c>
      <c r="D1120" s="1">
        <v>42988</v>
      </c>
      <c r="E1120" s="1">
        <v>42990</v>
      </c>
      <c r="F1120" s="1">
        <v>42991</v>
      </c>
      <c r="G1120">
        <v>1</v>
      </c>
      <c r="H1120">
        <v>2</v>
      </c>
    </row>
    <row r="1121" spans="1:8" x14ac:dyDescent="0.3">
      <c r="A1121">
        <v>1120</v>
      </c>
      <c r="B1121">
        <v>1269</v>
      </c>
      <c r="C1121">
        <v>4</v>
      </c>
      <c r="D1121" s="1">
        <v>42988</v>
      </c>
      <c r="E1121" s="1">
        <v>42990</v>
      </c>
      <c r="F1121" s="1">
        <v>42991</v>
      </c>
      <c r="G1121">
        <v>2</v>
      </c>
      <c r="H1121">
        <v>7</v>
      </c>
    </row>
    <row r="1122" spans="1:8" x14ac:dyDescent="0.3">
      <c r="A1122">
        <v>1121</v>
      </c>
      <c r="B1122">
        <v>143</v>
      </c>
      <c r="C1122">
        <v>4</v>
      </c>
      <c r="D1122" s="1">
        <v>42989</v>
      </c>
      <c r="E1122" s="1">
        <v>42991</v>
      </c>
      <c r="F1122" s="1">
        <v>42990</v>
      </c>
      <c r="G1122">
        <v>2</v>
      </c>
      <c r="H1122">
        <v>7</v>
      </c>
    </row>
    <row r="1123" spans="1:8" x14ac:dyDescent="0.3">
      <c r="A1123">
        <v>1122</v>
      </c>
      <c r="B1123">
        <v>1132</v>
      </c>
      <c r="C1123">
        <v>4</v>
      </c>
      <c r="D1123" s="1">
        <v>42990</v>
      </c>
      <c r="E1123" s="1">
        <v>42992</v>
      </c>
      <c r="F1123" s="1">
        <v>42992</v>
      </c>
      <c r="G1123">
        <v>2</v>
      </c>
      <c r="H1123">
        <v>6</v>
      </c>
    </row>
    <row r="1124" spans="1:8" x14ac:dyDescent="0.3">
      <c r="A1124">
        <v>1123</v>
      </c>
      <c r="B1124">
        <v>598</v>
      </c>
      <c r="C1124">
        <v>4</v>
      </c>
      <c r="D1124" s="1">
        <v>42991</v>
      </c>
      <c r="E1124" s="1">
        <v>42992</v>
      </c>
      <c r="F1124" s="1">
        <v>42992</v>
      </c>
      <c r="G1124">
        <v>2</v>
      </c>
      <c r="H1124">
        <v>7</v>
      </c>
    </row>
    <row r="1125" spans="1:8" x14ac:dyDescent="0.3">
      <c r="A1125">
        <v>1124</v>
      </c>
      <c r="B1125">
        <v>275</v>
      </c>
      <c r="C1125">
        <v>4</v>
      </c>
      <c r="D1125" s="1">
        <v>42991</v>
      </c>
      <c r="E1125" s="1">
        <v>42992</v>
      </c>
      <c r="F1125" s="1">
        <v>42994</v>
      </c>
      <c r="G1125">
        <v>3</v>
      </c>
      <c r="H1125">
        <v>9</v>
      </c>
    </row>
    <row r="1126" spans="1:8" x14ac:dyDescent="0.3">
      <c r="A1126">
        <v>1125</v>
      </c>
      <c r="B1126">
        <v>945</v>
      </c>
      <c r="C1126">
        <v>4</v>
      </c>
      <c r="D1126" s="1">
        <v>42992</v>
      </c>
      <c r="E1126" s="1">
        <v>42993</v>
      </c>
      <c r="F1126" s="1">
        <v>42993</v>
      </c>
      <c r="G1126">
        <v>2</v>
      </c>
      <c r="H1126">
        <v>7</v>
      </c>
    </row>
    <row r="1127" spans="1:8" x14ac:dyDescent="0.3">
      <c r="A1127">
        <v>1126</v>
      </c>
      <c r="B1127">
        <v>1213</v>
      </c>
      <c r="C1127">
        <v>4</v>
      </c>
      <c r="D1127" s="1">
        <v>42992</v>
      </c>
      <c r="E1127" s="1">
        <v>42994</v>
      </c>
      <c r="F1127" s="1">
        <v>42993</v>
      </c>
      <c r="G1127">
        <v>3</v>
      </c>
      <c r="H1127">
        <v>8</v>
      </c>
    </row>
    <row r="1128" spans="1:8" x14ac:dyDescent="0.3">
      <c r="A1128">
        <v>1127</v>
      </c>
      <c r="B1128">
        <v>494</v>
      </c>
      <c r="C1128">
        <v>4</v>
      </c>
      <c r="D1128" s="1">
        <v>42993</v>
      </c>
      <c r="E1128" s="1">
        <v>42994</v>
      </c>
      <c r="F1128" s="1">
        <v>42994</v>
      </c>
      <c r="G1128">
        <v>2</v>
      </c>
      <c r="H1128">
        <v>7</v>
      </c>
    </row>
    <row r="1129" spans="1:8" x14ac:dyDescent="0.3">
      <c r="A1129">
        <v>1128</v>
      </c>
      <c r="B1129">
        <v>936</v>
      </c>
      <c r="C1129">
        <v>4</v>
      </c>
      <c r="D1129" s="1">
        <v>42993</v>
      </c>
      <c r="E1129" s="1">
        <v>42995</v>
      </c>
      <c r="F1129" s="1">
        <v>42994</v>
      </c>
      <c r="G1129">
        <v>2</v>
      </c>
      <c r="H1129">
        <v>6</v>
      </c>
    </row>
    <row r="1130" spans="1:8" x14ac:dyDescent="0.3">
      <c r="A1130">
        <v>1129</v>
      </c>
      <c r="B1130">
        <v>663</v>
      </c>
      <c r="C1130">
        <v>4</v>
      </c>
      <c r="D1130" s="1">
        <v>42995</v>
      </c>
      <c r="E1130" s="1">
        <v>42996</v>
      </c>
      <c r="F1130" s="1">
        <v>42998</v>
      </c>
      <c r="G1130">
        <v>2</v>
      </c>
      <c r="H1130">
        <v>6</v>
      </c>
    </row>
    <row r="1131" spans="1:8" x14ac:dyDescent="0.3">
      <c r="A1131">
        <v>1130</v>
      </c>
      <c r="B1131">
        <v>69</v>
      </c>
      <c r="C1131">
        <v>4</v>
      </c>
      <c r="D1131" s="1">
        <v>42996</v>
      </c>
      <c r="E1131" s="1">
        <v>42998</v>
      </c>
      <c r="F1131" s="1">
        <v>42998</v>
      </c>
      <c r="G1131">
        <v>1</v>
      </c>
      <c r="H1131">
        <v>3</v>
      </c>
    </row>
    <row r="1132" spans="1:8" x14ac:dyDescent="0.3">
      <c r="A1132">
        <v>1131</v>
      </c>
      <c r="B1132">
        <v>1178</v>
      </c>
      <c r="C1132">
        <v>4</v>
      </c>
      <c r="D1132" s="1">
        <v>42996</v>
      </c>
      <c r="E1132" s="1">
        <v>42998</v>
      </c>
      <c r="F1132" s="1">
        <v>42997</v>
      </c>
      <c r="G1132">
        <v>1</v>
      </c>
      <c r="H1132">
        <v>3</v>
      </c>
    </row>
    <row r="1133" spans="1:8" x14ac:dyDescent="0.3">
      <c r="A1133">
        <v>1132</v>
      </c>
      <c r="B1133">
        <v>351</v>
      </c>
      <c r="C1133">
        <v>4</v>
      </c>
      <c r="D1133" s="1">
        <v>42997</v>
      </c>
      <c r="E1133" s="1">
        <v>42998</v>
      </c>
      <c r="F1133" s="1">
        <v>42998</v>
      </c>
      <c r="G1133">
        <v>2</v>
      </c>
      <c r="H1133">
        <v>6</v>
      </c>
    </row>
    <row r="1134" spans="1:8" x14ac:dyDescent="0.3">
      <c r="A1134">
        <v>1133</v>
      </c>
      <c r="B1134">
        <v>517</v>
      </c>
      <c r="C1134">
        <v>4</v>
      </c>
      <c r="D1134" s="1">
        <v>42997</v>
      </c>
      <c r="E1134" s="1">
        <v>42999</v>
      </c>
      <c r="F1134" s="1">
        <v>42999</v>
      </c>
      <c r="G1134">
        <v>2</v>
      </c>
      <c r="H1134">
        <v>7</v>
      </c>
    </row>
    <row r="1135" spans="1:8" x14ac:dyDescent="0.3">
      <c r="A1135">
        <v>1134</v>
      </c>
      <c r="B1135">
        <v>978</v>
      </c>
      <c r="C1135">
        <v>4</v>
      </c>
      <c r="D1135" s="1">
        <v>42997</v>
      </c>
      <c r="E1135" s="1">
        <v>43000</v>
      </c>
      <c r="F1135" s="1">
        <v>42998</v>
      </c>
      <c r="G1135">
        <v>2</v>
      </c>
      <c r="H1135">
        <v>6</v>
      </c>
    </row>
    <row r="1136" spans="1:8" x14ac:dyDescent="0.3">
      <c r="A1136">
        <v>1135</v>
      </c>
      <c r="B1136">
        <v>1347</v>
      </c>
      <c r="C1136">
        <v>4</v>
      </c>
      <c r="D1136" s="1">
        <v>42997</v>
      </c>
      <c r="E1136" s="1">
        <v>42999</v>
      </c>
      <c r="F1136" s="1">
        <v>42998</v>
      </c>
      <c r="G1136">
        <v>2</v>
      </c>
      <c r="H1136">
        <v>6</v>
      </c>
    </row>
    <row r="1137" spans="1:8" x14ac:dyDescent="0.3">
      <c r="A1137">
        <v>1136</v>
      </c>
      <c r="B1137">
        <v>1050</v>
      </c>
      <c r="C1137">
        <v>4</v>
      </c>
      <c r="D1137" s="1">
        <v>42998</v>
      </c>
      <c r="E1137" s="1">
        <v>42999</v>
      </c>
      <c r="F1137" s="1">
        <v>42999</v>
      </c>
      <c r="G1137">
        <v>2</v>
      </c>
      <c r="H1137">
        <v>6</v>
      </c>
    </row>
    <row r="1138" spans="1:8" x14ac:dyDescent="0.3">
      <c r="A1138">
        <v>1137</v>
      </c>
      <c r="B1138">
        <v>810</v>
      </c>
      <c r="C1138">
        <v>4</v>
      </c>
      <c r="D1138" s="1">
        <v>42998</v>
      </c>
      <c r="E1138" s="1">
        <v>43001</v>
      </c>
      <c r="F1138" s="1">
        <v>43001</v>
      </c>
      <c r="G1138">
        <v>3</v>
      </c>
      <c r="H1138">
        <v>8</v>
      </c>
    </row>
    <row r="1139" spans="1:8" x14ac:dyDescent="0.3">
      <c r="A1139">
        <v>1138</v>
      </c>
      <c r="B1139">
        <v>254</v>
      </c>
      <c r="C1139">
        <v>4</v>
      </c>
      <c r="D1139" s="1">
        <v>42999</v>
      </c>
      <c r="E1139" s="1">
        <v>43001</v>
      </c>
      <c r="F1139" s="1">
        <v>43000</v>
      </c>
      <c r="G1139">
        <v>1</v>
      </c>
      <c r="H1139">
        <v>2</v>
      </c>
    </row>
    <row r="1140" spans="1:8" x14ac:dyDescent="0.3">
      <c r="A1140">
        <v>1139</v>
      </c>
      <c r="B1140">
        <v>1006</v>
      </c>
      <c r="C1140">
        <v>4</v>
      </c>
      <c r="D1140" s="1">
        <v>42999</v>
      </c>
      <c r="E1140" s="1">
        <v>43000</v>
      </c>
      <c r="F1140" s="1">
        <v>43001</v>
      </c>
      <c r="G1140">
        <v>1</v>
      </c>
      <c r="H1140">
        <v>2</v>
      </c>
    </row>
    <row r="1141" spans="1:8" x14ac:dyDescent="0.3">
      <c r="A1141">
        <v>1140</v>
      </c>
      <c r="B1141">
        <v>1063</v>
      </c>
      <c r="C1141">
        <v>4</v>
      </c>
      <c r="D1141" s="1">
        <v>42999</v>
      </c>
      <c r="E1141" s="1">
        <v>43000</v>
      </c>
      <c r="F1141" s="1">
        <v>43000</v>
      </c>
      <c r="G1141">
        <v>3</v>
      </c>
      <c r="H1141">
        <v>8</v>
      </c>
    </row>
    <row r="1142" spans="1:8" x14ac:dyDescent="0.3">
      <c r="A1142">
        <v>1141</v>
      </c>
      <c r="B1142">
        <v>1076</v>
      </c>
      <c r="C1142">
        <v>4</v>
      </c>
      <c r="D1142" s="1">
        <v>43000</v>
      </c>
      <c r="E1142" s="1">
        <v>43001</v>
      </c>
      <c r="F1142" s="1">
        <v>43002</v>
      </c>
      <c r="G1142">
        <v>1</v>
      </c>
      <c r="H1142">
        <v>2</v>
      </c>
    </row>
    <row r="1143" spans="1:8" x14ac:dyDescent="0.3">
      <c r="A1143">
        <v>1142</v>
      </c>
      <c r="B1143">
        <v>554</v>
      </c>
      <c r="C1143">
        <v>4</v>
      </c>
      <c r="D1143" s="1">
        <v>43001</v>
      </c>
      <c r="E1143" s="1">
        <v>43004</v>
      </c>
      <c r="F1143" s="1">
        <v>43004</v>
      </c>
      <c r="G1143">
        <v>1</v>
      </c>
      <c r="H1143">
        <v>3</v>
      </c>
    </row>
    <row r="1144" spans="1:8" x14ac:dyDescent="0.3">
      <c r="A1144">
        <v>1143</v>
      </c>
      <c r="B1144">
        <v>1087</v>
      </c>
      <c r="C1144">
        <v>4</v>
      </c>
      <c r="D1144" s="1">
        <v>43002</v>
      </c>
      <c r="E1144" s="1">
        <v>43004</v>
      </c>
      <c r="F1144" s="1">
        <v>43005</v>
      </c>
      <c r="G1144">
        <v>1</v>
      </c>
      <c r="H1144">
        <v>2</v>
      </c>
    </row>
    <row r="1145" spans="1:8" x14ac:dyDescent="0.3">
      <c r="A1145">
        <v>1144</v>
      </c>
      <c r="B1145">
        <v>1414</v>
      </c>
      <c r="C1145">
        <v>4</v>
      </c>
      <c r="D1145" s="1">
        <v>43002</v>
      </c>
      <c r="E1145" s="1">
        <v>43005</v>
      </c>
      <c r="F1145" s="1">
        <v>43005</v>
      </c>
      <c r="G1145">
        <v>2</v>
      </c>
      <c r="H1145">
        <v>7</v>
      </c>
    </row>
    <row r="1146" spans="1:8" x14ac:dyDescent="0.3">
      <c r="A1146">
        <v>1145</v>
      </c>
      <c r="B1146">
        <v>617</v>
      </c>
      <c r="C1146">
        <v>4</v>
      </c>
      <c r="D1146" s="1">
        <v>43003</v>
      </c>
      <c r="E1146" s="1">
        <v>43005</v>
      </c>
      <c r="F1146" s="1">
        <v>43004</v>
      </c>
      <c r="G1146">
        <v>2</v>
      </c>
      <c r="H1146">
        <v>6</v>
      </c>
    </row>
    <row r="1147" spans="1:8" x14ac:dyDescent="0.3">
      <c r="A1147">
        <v>1146</v>
      </c>
      <c r="B1147">
        <v>757</v>
      </c>
      <c r="C1147">
        <v>4</v>
      </c>
      <c r="D1147" s="1">
        <v>43003</v>
      </c>
      <c r="E1147" s="1">
        <v>43004</v>
      </c>
      <c r="F1147" s="1">
        <v>43006</v>
      </c>
      <c r="G1147">
        <v>2</v>
      </c>
      <c r="H1147">
        <v>7</v>
      </c>
    </row>
    <row r="1148" spans="1:8" x14ac:dyDescent="0.3">
      <c r="A1148">
        <v>1147</v>
      </c>
      <c r="B1148">
        <v>1344</v>
      </c>
      <c r="C1148">
        <v>4</v>
      </c>
      <c r="D1148" s="1">
        <v>43003</v>
      </c>
      <c r="E1148" s="1">
        <v>43004</v>
      </c>
      <c r="F1148" s="1">
        <v>43005</v>
      </c>
      <c r="G1148">
        <v>2</v>
      </c>
      <c r="H1148">
        <v>6</v>
      </c>
    </row>
    <row r="1149" spans="1:8" x14ac:dyDescent="0.3">
      <c r="A1149">
        <v>1148</v>
      </c>
      <c r="B1149">
        <v>1379</v>
      </c>
      <c r="C1149">
        <v>4</v>
      </c>
      <c r="D1149" s="1">
        <v>43003</v>
      </c>
      <c r="E1149" s="1">
        <v>43004</v>
      </c>
      <c r="F1149" s="1">
        <v>43005</v>
      </c>
      <c r="G1149">
        <v>2</v>
      </c>
      <c r="H1149">
        <v>7</v>
      </c>
    </row>
    <row r="1150" spans="1:8" x14ac:dyDescent="0.3">
      <c r="A1150">
        <v>1149</v>
      </c>
      <c r="B1150">
        <v>787</v>
      </c>
      <c r="C1150">
        <v>4</v>
      </c>
      <c r="D1150" s="1">
        <v>43005</v>
      </c>
      <c r="E1150" s="1">
        <v>43008</v>
      </c>
      <c r="F1150" s="1">
        <v>43008</v>
      </c>
      <c r="G1150">
        <v>2</v>
      </c>
      <c r="H1150">
        <v>7</v>
      </c>
    </row>
    <row r="1151" spans="1:8" x14ac:dyDescent="0.3">
      <c r="A1151">
        <v>1150</v>
      </c>
      <c r="B1151">
        <v>1183</v>
      </c>
      <c r="C1151">
        <v>4</v>
      </c>
      <c r="D1151" s="1">
        <v>43006</v>
      </c>
      <c r="E1151" s="1">
        <v>43009</v>
      </c>
      <c r="F1151" s="1">
        <v>43008</v>
      </c>
      <c r="G1151">
        <v>2</v>
      </c>
      <c r="H1151">
        <v>7</v>
      </c>
    </row>
    <row r="1152" spans="1:8" x14ac:dyDescent="0.3">
      <c r="A1152">
        <v>1151</v>
      </c>
      <c r="B1152">
        <v>708</v>
      </c>
      <c r="C1152">
        <v>4</v>
      </c>
      <c r="D1152" s="1">
        <v>43007</v>
      </c>
      <c r="E1152" s="1">
        <v>43008</v>
      </c>
      <c r="F1152" s="1">
        <v>43008</v>
      </c>
      <c r="G1152">
        <v>1</v>
      </c>
      <c r="H1152">
        <v>3</v>
      </c>
    </row>
    <row r="1153" spans="1:8" x14ac:dyDescent="0.3">
      <c r="A1153">
        <v>1152</v>
      </c>
      <c r="B1153">
        <v>1244</v>
      </c>
      <c r="C1153">
        <v>4</v>
      </c>
      <c r="D1153" s="1">
        <v>43007</v>
      </c>
      <c r="E1153" s="1">
        <v>43010</v>
      </c>
      <c r="F1153" s="1">
        <v>43009</v>
      </c>
      <c r="G1153">
        <v>2</v>
      </c>
      <c r="H1153">
        <v>6</v>
      </c>
    </row>
    <row r="1154" spans="1:8" x14ac:dyDescent="0.3">
      <c r="A1154">
        <v>1153</v>
      </c>
      <c r="B1154">
        <v>720</v>
      </c>
      <c r="C1154">
        <v>4</v>
      </c>
      <c r="D1154" s="1">
        <v>43008</v>
      </c>
      <c r="E1154" s="1">
        <v>43011</v>
      </c>
      <c r="F1154" s="1">
        <v>43011</v>
      </c>
      <c r="G1154">
        <v>2</v>
      </c>
      <c r="H1154">
        <v>7</v>
      </c>
    </row>
    <row r="1155" spans="1:8" x14ac:dyDescent="0.3">
      <c r="A1155">
        <v>1154</v>
      </c>
      <c r="B1155">
        <v>789</v>
      </c>
      <c r="C1155">
        <v>4</v>
      </c>
      <c r="D1155" s="1">
        <v>43008</v>
      </c>
      <c r="E1155" s="1">
        <v>43011</v>
      </c>
      <c r="F1155" s="1">
        <v>43011</v>
      </c>
      <c r="G1155">
        <v>2</v>
      </c>
      <c r="H1155">
        <v>7</v>
      </c>
    </row>
    <row r="1156" spans="1:8" x14ac:dyDescent="0.3">
      <c r="A1156">
        <v>1155</v>
      </c>
      <c r="B1156">
        <v>865</v>
      </c>
      <c r="C1156">
        <v>4</v>
      </c>
      <c r="D1156" s="1">
        <v>43008</v>
      </c>
      <c r="E1156" s="1">
        <v>43009</v>
      </c>
      <c r="F1156" s="1">
        <v>43009</v>
      </c>
      <c r="G1156">
        <v>2</v>
      </c>
      <c r="H1156">
        <v>7</v>
      </c>
    </row>
    <row r="1157" spans="1:8" x14ac:dyDescent="0.3">
      <c r="A1157">
        <v>1156</v>
      </c>
      <c r="B1157">
        <v>869</v>
      </c>
      <c r="C1157">
        <v>4</v>
      </c>
      <c r="D1157" s="1">
        <v>43008</v>
      </c>
      <c r="E1157" s="1">
        <v>43011</v>
      </c>
      <c r="F1157" s="1">
        <v>43011</v>
      </c>
      <c r="G1157">
        <v>2</v>
      </c>
      <c r="H1157">
        <v>7</v>
      </c>
    </row>
    <row r="1158" spans="1:8" x14ac:dyDescent="0.3">
      <c r="A1158">
        <v>1157</v>
      </c>
      <c r="B1158">
        <v>24</v>
      </c>
      <c r="C1158">
        <v>4</v>
      </c>
      <c r="D1158" s="1">
        <v>43009</v>
      </c>
      <c r="E1158" s="1">
        <v>43011</v>
      </c>
      <c r="F1158" s="1">
        <v>43012</v>
      </c>
      <c r="G1158">
        <v>1</v>
      </c>
      <c r="H1158">
        <v>3</v>
      </c>
    </row>
    <row r="1159" spans="1:8" x14ac:dyDescent="0.3">
      <c r="A1159">
        <v>1158</v>
      </c>
      <c r="B1159">
        <v>889</v>
      </c>
      <c r="C1159">
        <v>4</v>
      </c>
      <c r="D1159" s="1">
        <v>43009</v>
      </c>
      <c r="E1159" s="1">
        <v>43011</v>
      </c>
      <c r="F1159" s="1">
        <v>43010</v>
      </c>
      <c r="G1159">
        <v>1</v>
      </c>
      <c r="H1159">
        <v>2</v>
      </c>
    </row>
    <row r="1160" spans="1:8" x14ac:dyDescent="0.3">
      <c r="A1160">
        <v>1159</v>
      </c>
      <c r="B1160">
        <v>1221</v>
      </c>
      <c r="C1160">
        <v>4</v>
      </c>
      <c r="D1160" s="1">
        <v>43009</v>
      </c>
      <c r="E1160" s="1">
        <v>43010</v>
      </c>
      <c r="F1160" s="1">
        <v>43011</v>
      </c>
      <c r="G1160">
        <v>1</v>
      </c>
      <c r="H1160">
        <v>3</v>
      </c>
    </row>
    <row r="1161" spans="1:8" x14ac:dyDescent="0.3">
      <c r="A1161">
        <v>1160</v>
      </c>
      <c r="B1161">
        <v>1262</v>
      </c>
      <c r="C1161">
        <v>4</v>
      </c>
      <c r="D1161" s="1">
        <v>43009</v>
      </c>
      <c r="E1161" s="1">
        <v>43010</v>
      </c>
      <c r="F1161" s="1">
        <v>43012</v>
      </c>
      <c r="G1161">
        <v>1</v>
      </c>
      <c r="H1161">
        <v>2</v>
      </c>
    </row>
    <row r="1162" spans="1:8" x14ac:dyDescent="0.3">
      <c r="A1162">
        <v>1161</v>
      </c>
      <c r="B1162">
        <v>41</v>
      </c>
      <c r="C1162">
        <v>4</v>
      </c>
      <c r="D1162" s="1">
        <v>43009</v>
      </c>
      <c r="E1162" s="1">
        <v>43012</v>
      </c>
      <c r="F1162" s="1">
        <v>43010</v>
      </c>
      <c r="G1162">
        <v>2</v>
      </c>
      <c r="H1162">
        <v>7</v>
      </c>
    </row>
    <row r="1163" spans="1:8" x14ac:dyDescent="0.3">
      <c r="A1163">
        <v>1162</v>
      </c>
      <c r="B1163">
        <v>888</v>
      </c>
      <c r="C1163">
        <v>4</v>
      </c>
      <c r="D1163" s="1">
        <v>43009</v>
      </c>
      <c r="E1163" s="1">
        <v>43011</v>
      </c>
      <c r="F1163" s="1">
        <v>43011</v>
      </c>
      <c r="G1163">
        <v>2</v>
      </c>
      <c r="H1163">
        <v>6</v>
      </c>
    </row>
    <row r="1164" spans="1:8" x14ac:dyDescent="0.3">
      <c r="A1164">
        <v>1163</v>
      </c>
      <c r="B1164">
        <v>934</v>
      </c>
      <c r="C1164">
        <v>4</v>
      </c>
      <c r="D1164" s="1">
        <v>43009</v>
      </c>
      <c r="E1164" s="1">
        <v>43010</v>
      </c>
      <c r="F1164" s="1">
        <v>43010</v>
      </c>
      <c r="G1164">
        <v>2</v>
      </c>
      <c r="H1164">
        <v>6</v>
      </c>
    </row>
    <row r="1165" spans="1:8" x14ac:dyDescent="0.3">
      <c r="A1165">
        <v>1164</v>
      </c>
      <c r="B1165">
        <v>1067</v>
      </c>
      <c r="C1165">
        <v>4</v>
      </c>
      <c r="D1165" s="1">
        <v>43009</v>
      </c>
      <c r="E1165" s="1">
        <v>43010</v>
      </c>
      <c r="F1165" s="1">
        <v>43011</v>
      </c>
      <c r="G1165">
        <v>2</v>
      </c>
      <c r="H1165">
        <v>6</v>
      </c>
    </row>
    <row r="1166" spans="1:8" x14ac:dyDescent="0.3">
      <c r="A1166">
        <v>1165</v>
      </c>
      <c r="B1166">
        <v>652</v>
      </c>
      <c r="C1166">
        <v>4</v>
      </c>
      <c r="D1166" s="1">
        <v>43010</v>
      </c>
      <c r="E1166" s="1">
        <v>43011</v>
      </c>
      <c r="F1166" s="1">
        <v>43013</v>
      </c>
      <c r="G1166">
        <v>2</v>
      </c>
      <c r="H1166">
        <v>7</v>
      </c>
    </row>
    <row r="1167" spans="1:8" x14ac:dyDescent="0.3">
      <c r="A1167">
        <v>1166</v>
      </c>
      <c r="B1167">
        <v>286</v>
      </c>
      <c r="C1167">
        <v>4</v>
      </c>
      <c r="D1167" s="1">
        <v>43011</v>
      </c>
      <c r="E1167" s="1">
        <v>43012</v>
      </c>
      <c r="F1167" s="1">
        <v>43012</v>
      </c>
      <c r="G1167">
        <v>2</v>
      </c>
      <c r="H1167">
        <v>7</v>
      </c>
    </row>
    <row r="1168" spans="1:8" x14ac:dyDescent="0.3">
      <c r="A1168">
        <v>1167</v>
      </c>
      <c r="B1168">
        <v>900</v>
      </c>
      <c r="C1168">
        <v>4</v>
      </c>
      <c r="D1168" s="1">
        <v>43012</v>
      </c>
      <c r="E1168" s="1">
        <v>43015</v>
      </c>
      <c r="F1168" s="1">
        <v>43014</v>
      </c>
      <c r="G1168">
        <v>1</v>
      </c>
      <c r="H1168">
        <v>2</v>
      </c>
    </row>
    <row r="1169" spans="1:8" x14ac:dyDescent="0.3">
      <c r="A1169">
        <v>1168</v>
      </c>
      <c r="B1169">
        <v>1031</v>
      </c>
      <c r="C1169">
        <v>4</v>
      </c>
      <c r="D1169" s="1">
        <v>43012</v>
      </c>
      <c r="E1169" s="1">
        <v>43013</v>
      </c>
      <c r="F1169" s="1">
        <v>43014</v>
      </c>
      <c r="G1169">
        <v>2</v>
      </c>
      <c r="H1169">
        <v>6</v>
      </c>
    </row>
    <row r="1170" spans="1:8" x14ac:dyDescent="0.3">
      <c r="A1170">
        <v>1169</v>
      </c>
      <c r="B1170">
        <v>1421</v>
      </c>
      <c r="C1170">
        <v>4</v>
      </c>
      <c r="D1170" s="1">
        <v>43012</v>
      </c>
      <c r="E1170" s="1">
        <v>43014</v>
      </c>
      <c r="F1170" s="1">
        <v>43015</v>
      </c>
      <c r="G1170">
        <v>2</v>
      </c>
      <c r="H1170">
        <v>7</v>
      </c>
    </row>
    <row r="1171" spans="1:8" x14ac:dyDescent="0.3">
      <c r="A1171">
        <v>1170</v>
      </c>
      <c r="B1171">
        <v>534</v>
      </c>
      <c r="C1171">
        <v>4</v>
      </c>
      <c r="D1171" s="1">
        <v>43013</v>
      </c>
      <c r="E1171" s="1">
        <v>43015</v>
      </c>
      <c r="F1171" s="1">
        <v>43014</v>
      </c>
      <c r="G1171">
        <v>2</v>
      </c>
      <c r="H1171">
        <v>6</v>
      </c>
    </row>
    <row r="1172" spans="1:8" x14ac:dyDescent="0.3">
      <c r="A1172">
        <v>1171</v>
      </c>
      <c r="B1172">
        <v>826</v>
      </c>
      <c r="C1172">
        <v>4</v>
      </c>
      <c r="D1172" s="1">
        <v>43013</v>
      </c>
      <c r="E1172" s="1">
        <v>43014</v>
      </c>
      <c r="F1172" s="1">
        <v>43016</v>
      </c>
      <c r="G1172">
        <v>2</v>
      </c>
      <c r="H1172">
        <v>6</v>
      </c>
    </row>
    <row r="1173" spans="1:8" x14ac:dyDescent="0.3">
      <c r="A1173">
        <v>1172</v>
      </c>
      <c r="B1173">
        <v>1339</v>
      </c>
      <c r="C1173">
        <v>4</v>
      </c>
      <c r="D1173" s="1">
        <v>43015</v>
      </c>
      <c r="E1173" s="1">
        <v>43018</v>
      </c>
      <c r="F1173" s="1">
        <v>43017</v>
      </c>
      <c r="G1173">
        <v>2</v>
      </c>
      <c r="H1173">
        <v>7</v>
      </c>
    </row>
    <row r="1174" spans="1:8" x14ac:dyDescent="0.3">
      <c r="A1174">
        <v>1173</v>
      </c>
      <c r="B1174">
        <v>548</v>
      </c>
      <c r="C1174">
        <v>4</v>
      </c>
      <c r="D1174" s="1">
        <v>43016</v>
      </c>
      <c r="E1174" s="1">
        <v>43018</v>
      </c>
      <c r="F1174" s="1">
        <v>43017</v>
      </c>
      <c r="G1174">
        <v>2</v>
      </c>
      <c r="H1174">
        <v>7</v>
      </c>
    </row>
    <row r="1175" spans="1:8" x14ac:dyDescent="0.3">
      <c r="A1175">
        <v>1174</v>
      </c>
      <c r="B1175">
        <v>1109</v>
      </c>
      <c r="C1175">
        <v>4</v>
      </c>
      <c r="D1175" s="1">
        <v>43016</v>
      </c>
      <c r="E1175" s="1">
        <v>43018</v>
      </c>
      <c r="F1175" s="1">
        <v>43019</v>
      </c>
      <c r="G1175">
        <v>2</v>
      </c>
      <c r="H1175">
        <v>6</v>
      </c>
    </row>
    <row r="1176" spans="1:8" x14ac:dyDescent="0.3">
      <c r="A1176">
        <v>1175</v>
      </c>
      <c r="B1176">
        <v>292</v>
      </c>
      <c r="C1176">
        <v>4</v>
      </c>
      <c r="D1176" s="1">
        <v>43017</v>
      </c>
      <c r="E1176" s="1">
        <v>43019</v>
      </c>
      <c r="F1176" s="1">
        <v>43020</v>
      </c>
      <c r="G1176">
        <v>2</v>
      </c>
      <c r="H1176">
        <v>6</v>
      </c>
    </row>
    <row r="1177" spans="1:8" x14ac:dyDescent="0.3">
      <c r="A1177">
        <v>1176</v>
      </c>
      <c r="B1177">
        <v>1111</v>
      </c>
      <c r="C1177">
        <v>4</v>
      </c>
      <c r="D1177" s="1">
        <v>43018</v>
      </c>
      <c r="E1177" s="1">
        <v>43021</v>
      </c>
      <c r="F1177" s="1">
        <v>43019</v>
      </c>
      <c r="G1177">
        <v>3</v>
      </c>
      <c r="H1177">
        <v>9</v>
      </c>
    </row>
    <row r="1178" spans="1:8" x14ac:dyDescent="0.3">
      <c r="A1178">
        <v>1177</v>
      </c>
      <c r="B1178">
        <v>21</v>
      </c>
      <c r="C1178">
        <v>3</v>
      </c>
      <c r="D1178" s="1">
        <v>43020</v>
      </c>
      <c r="E1178" s="1">
        <v>43020</v>
      </c>
      <c r="F1178" s="1">
        <v>42411</v>
      </c>
      <c r="G1178">
        <v>3</v>
      </c>
      <c r="H1178">
        <v>9</v>
      </c>
    </row>
    <row r="1179" spans="1:8" x14ac:dyDescent="0.3">
      <c r="A1179">
        <v>1178</v>
      </c>
      <c r="B1179">
        <v>771</v>
      </c>
      <c r="C1179">
        <v>4</v>
      </c>
      <c r="D1179" s="1">
        <v>43020</v>
      </c>
      <c r="E1179" s="1">
        <v>43023</v>
      </c>
      <c r="F1179" s="1">
        <v>43021</v>
      </c>
      <c r="G1179">
        <v>2</v>
      </c>
      <c r="H1179">
        <v>6</v>
      </c>
    </row>
    <row r="1180" spans="1:8" x14ac:dyDescent="0.3">
      <c r="A1180">
        <v>1179</v>
      </c>
      <c r="B1180">
        <v>1150</v>
      </c>
      <c r="C1180">
        <v>4</v>
      </c>
      <c r="D1180" s="1">
        <v>43020</v>
      </c>
      <c r="E1180" s="1">
        <v>43023</v>
      </c>
      <c r="F1180" s="1">
        <v>43023</v>
      </c>
      <c r="G1180">
        <v>3</v>
      </c>
      <c r="H1180">
        <v>9</v>
      </c>
    </row>
    <row r="1181" spans="1:8" x14ac:dyDescent="0.3">
      <c r="A1181">
        <v>1180</v>
      </c>
      <c r="B1181">
        <v>1065</v>
      </c>
      <c r="C1181">
        <v>4</v>
      </c>
      <c r="D1181" s="1">
        <v>43021</v>
      </c>
      <c r="E1181" s="1">
        <v>43024</v>
      </c>
      <c r="F1181" s="1">
        <v>43024</v>
      </c>
      <c r="G1181">
        <v>1</v>
      </c>
      <c r="H1181">
        <v>3</v>
      </c>
    </row>
    <row r="1182" spans="1:8" x14ac:dyDescent="0.3">
      <c r="A1182">
        <v>1181</v>
      </c>
      <c r="B1182">
        <v>1022</v>
      </c>
      <c r="C1182">
        <v>4</v>
      </c>
      <c r="D1182" s="1">
        <v>43021</v>
      </c>
      <c r="E1182" s="1">
        <v>43024</v>
      </c>
      <c r="F1182" s="1">
        <v>43023</v>
      </c>
      <c r="G1182">
        <v>2</v>
      </c>
      <c r="H1182">
        <v>7</v>
      </c>
    </row>
    <row r="1183" spans="1:8" x14ac:dyDescent="0.3">
      <c r="A1183">
        <v>1182</v>
      </c>
      <c r="B1183">
        <v>1422</v>
      </c>
      <c r="C1183">
        <v>4</v>
      </c>
      <c r="D1183" s="1">
        <v>43021</v>
      </c>
      <c r="E1183" s="1">
        <v>43022</v>
      </c>
      <c r="F1183" s="1">
        <v>43024</v>
      </c>
      <c r="G1183">
        <v>2</v>
      </c>
      <c r="H1183">
        <v>7</v>
      </c>
    </row>
    <row r="1184" spans="1:8" x14ac:dyDescent="0.3">
      <c r="A1184">
        <v>1183</v>
      </c>
      <c r="B1184">
        <v>216</v>
      </c>
      <c r="C1184">
        <v>4</v>
      </c>
      <c r="D1184" s="1">
        <v>43022</v>
      </c>
      <c r="E1184" s="1">
        <v>43025</v>
      </c>
      <c r="F1184" s="1">
        <v>43025</v>
      </c>
      <c r="G1184">
        <v>2</v>
      </c>
      <c r="H1184">
        <v>6</v>
      </c>
    </row>
    <row r="1185" spans="1:8" x14ac:dyDescent="0.3">
      <c r="A1185">
        <v>1184</v>
      </c>
      <c r="B1185">
        <v>369</v>
      </c>
      <c r="C1185">
        <v>4</v>
      </c>
      <c r="D1185" s="1">
        <v>43022</v>
      </c>
      <c r="E1185" s="1">
        <v>43023</v>
      </c>
      <c r="F1185" s="1">
        <v>43024</v>
      </c>
      <c r="G1185">
        <v>2</v>
      </c>
      <c r="H1185">
        <v>6</v>
      </c>
    </row>
    <row r="1186" spans="1:8" x14ac:dyDescent="0.3">
      <c r="A1186">
        <v>1185</v>
      </c>
      <c r="B1186">
        <v>960</v>
      </c>
      <c r="C1186">
        <v>4</v>
      </c>
      <c r="D1186" s="1">
        <v>43022</v>
      </c>
      <c r="E1186" s="1">
        <v>43024</v>
      </c>
      <c r="F1186" s="1">
        <v>43025</v>
      </c>
      <c r="G1186">
        <v>2</v>
      </c>
      <c r="H1186">
        <v>6</v>
      </c>
    </row>
    <row r="1187" spans="1:8" x14ac:dyDescent="0.3">
      <c r="A1187">
        <v>1186</v>
      </c>
      <c r="B1187">
        <v>1120</v>
      </c>
      <c r="C1187">
        <v>4</v>
      </c>
      <c r="D1187" s="1">
        <v>43022</v>
      </c>
      <c r="E1187" s="1">
        <v>43024</v>
      </c>
      <c r="F1187" s="1">
        <v>43023</v>
      </c>
      <c r="G1187">
        <v>2</v>
      </c>
      <c r="H1187">
        <v>6</v>
      </c>
    </row>
    <row r="1188" spans="1:8" x14ac:dyDescent="0.3">
      <c r="A1188">
        <v>1187</v>
      </c>
      <c r="B1188">
        <v>486</v>
      </c>
      <c r="C1188">
        <v>4</v>
      </c>
      <c r="D1188" s="1">
        <v>43023</v>
      </c>
      <c r="E1188" s="1">
        <v>43026</v>
      </c>
      <c r="F1188" s="1">
        <v>43024</v>
      </c>
      <c r="G1188">
        <v>2</v>
      </c>
      <c r="H1188">
        <v>6</v>
      </c>
    </row>
    <row r="1189" spans="1:8" x14ac:dyDescent="0.3">
      <c r="A1189">
        <v>1188</v>
      </c>
      <c r="B1189">
        <v>647</v>
      </c>
      <c r="C1189">
        <v>4</v>
      </c>
      <c r="D1189" s="1">
        <v>43023</v>
      </c>
      <c r="E1189" s="1">
        <v>43026</v>
      </c>
      <c r="F1189" s="1">
        <v>43025</v>
      </c>
      <c r="G1189">
        <v>2</v>
      </c>
      <c r="H1189">
        <v>7</v>
      </c>
    </row>
    <row r="1190" spans="1:8" x14ac:dyDescent="0.3">
      <c r="A1190">
        <v>1189</v>
      </c>
      <c r="B1190">
        <v>1090</v>
      </c>
      <c r="C1190">
        <v>4</v>
      </c>
      <c r="D1190" s="1">
        <v>43023</v>
      </c>
      <c r="E1190" s="1">
        <v>43025</v>
      </c>
      <c r="F1190" s="1">
        <v>43026</v>
      </c>
      <c r="G1190">
        <v>2</v>
      </c>
      <c r="H1190">
        <v>6</v>
      </c>
    </row>
    <row r="1191" spans="1:8" x14ac:dyDescent="0.3">
      <c r="A1191">
        <v>1190</v>
      </c>
      <c r="B1191">
        <v>34</v>
      </c>
      <c r="C1191">
        <v>4</v>
      </c>
      <c r="D1191" s="1">
        <v>43024</v>
      </c>
      <c r="E1191" s="1">
        <v>43027</v>
      </c>
      <c r="F1191" s="1">
        <v>43025</v>
      </c>
      <c r="G1191">
        <v>2</v>
      </c>
      <c r="H1191">
        <v>6</v>
      </c>
    </row>
    <row r="1192" spans="1:8" x14ac:dyDescent="0.3">
      <c r="A1192">
        <v>1191</v>
      </c>
      <c r="B1192">
        <v>186</v>
      </c>
      <c r="C1192">
        <v>4</v>
      </c>
      <c r="D1192" s="1">
        <v>43025</v>
      </c>
      <c r="E1192" s="1">
        <v>43026</v>
      </c>
      <c r="F1192" s="1">
        <v>43026</v>
      </c>
      <c r="G1192">
        <v>2</v>
      </c>
      <c r="H1192">
        <v>6</v>
      </c>
    </row>
    <row r="1193" spans="1:8" x14ac:dyDescent="0.3">
      <c r="A1193">
        <v>1192</v>
      </c>
      <c r="B1193">
        <v>1114</v>
      </c>
      <c r="C1193">
        <v>4</v>
      </c>
      <c r="D1193" s="1">
        <v>43025</v>
      </c>
      <c r="E1193" s="1">
        <v>43027</v>
      </c>
      <c r="F1193" s="1">
        <v>43026</v>
      </c>
      <c r="G1193">
        <v>2</v>
      </c>
      <c r="H1193">
        <v>6</v>
      </c>
    </row>
    <row r="1194" spans="1:8" x14ac:dyDescent="0.3">
      <c r="A1194">
        <v>1193</v>
      </c>
      <c r="B1194">
        <v>1412</v>
      </c>
      <c r="C1194">
        <v>4</v>
      </c>
      <c r="D1194" s="1">
        <v>43025</v>
      </c>
      <c r="E1194" s="1">
        <v>43027</v>
      </c>
      <c r="F1194" s="1">
        <v>43027</v>
      </c>
      <c r="G1194">
        <v>2</v>
      </c>
      <c r="H1194">
        <v>7</v>
      </c>
    </row>
    <row r="1195" spans="1:8" x14ac:dyDescent="0.3">
      <c r="A1195">
        <v>1194</v>
      </c>
      <c r="B1195">
        <v>192</v>
      </c>
      <c r="C1195">
        <v>4</v>
      </c>
      <c r="D1195" s="1">
        <v>43027</v>
      </c>
      <c r="E1195" s="1">
        <v>43030</v>
      </c>
      <c r="F1195" s="1">
        <v>43030</v>
      </c>
      <c r="G1195">
        <v>1</v>
      </c>
      <c r="H1195">
        <v>2</v>
      </c>
    </row>
    <row r="1196" spans="1:8" x14ac:dyDescent="0.3">
      <c r="A1196">
        <v>1195</v>
      </c>
      <c r="B1196">
        <v>229</v>
      </c>
      <c r="C1196">
        <v>4</v>
      </c>
      <c r="D1196" s="1">
        <v>43027</v>
      </c>
      <c r="E1196" s="1">
        <v>43029</v>
      </c>
      <c r="F1196" s="1">
        <v>43029</v>
      </c>
      <c r="G1196">
        <v>2</v>
      </c>
      <c r="H1196">
        <v>7</v>
      </c>
    </row>
    <row r="1197" spans="1:8" x14ac:dyDescent="0.3">
      <c r="A1197">
        <v>1196</v>
      </c>
      <c r="B1197">
        <v>508</v>
      </c>
      <c r="C1197">
        <v>4</v>
      </c>
      <c r="D1197" s="1">
        <v>43027</v>
      </c>
      <c r="E1197" s="1">
        <v>43029</v>
      </c>
      <c r="F1197" s="1">
        <v>43028</v>
      </c>
      <c r="G1197">
        <v>2</v>
      </c>
      <c r="H1197">
        <v>6</v>
      </c>
    </row>
    <row r="1198" spans="1:8" x14ac:dyDescent="0.3">
      <c r="A1198">
        <v>1197</v>
      </c>
      <c r="B1198">
        <v>269</v>
      </c>
      <c r="C1198">
        <v>4</v>
      </c>
      <c r="D1198" s="1">
        <v>43029</v>
      </c>
      <c r="E1198" s="1">
        <v>43031</v>
      </c>
      <c r="F1198" s="1">
        <v>43031</v>
      </c>
      <c r="G1198">
        <v>2</v>
      </c>
      <c r="H1198">
        <v>6</v>
      </c>
    </row>
    <row r="1199" spans="1:8" x14ac:dyDescent="0.3">
      <c r="A1199">
        <v>1198</v>
      </c>
      <c r="B1199">
        <v>1289</v>
      </c>
      <c r="C1199">
        <v>4</v>
      </c>
      <c r="D1199" s="1">
        <v>43030</v>
      </c>
      <c r="E1199" s="1">
        <v>43032</v>
      </c>
      <c r="F1199" s="1">
        <v>43032</v>
      </c>
      <c r="G1199">
        <v>2</v>
      </c>
      <c r="H1199">
        <v>7</v>
      </c>
    </row>
    <row r="1200" spans="1:8" x14ac:dyDescent="0.3">
      <c r="A1200">
        <v>1199</v>
      </c>
      <c r="B1200">
        <v>318</v>
      </c>
      <c r="C1200">
        <v>4</v>
      </c>
      <c r="D1200" s="1">
        <v>43031</v>
      </c>
      <c r="E1200" s="1">
        <v>43032</v>
      </c>
      <c r="F1200" s="1">
        <v>43034</v>
      </c>
      <c r="G1200">
        <v>1</v>
      </c>
      <c r="H1200">
        <v>2</v>
      </c>
    </row>
    <row r="1201" spans="1:8" x14ac:dyDescent="0.3">
      <c r="A1201">
        <v>1200</v>
      </c>
      <c r="B1201">
        <v>48</v>
      </c>
      <c r="C1201">
        <v>4</v>
      </c>
      <c r="D1201" s="1">
        <v>43031</v>
      </c>
      <c r="E1201" s="1">
        <v>43033</v>
      </c>
      <c r="F1201" s="1">
        <v>43034</v>
      </c>
      <c r="G1201">
        <v>2</v>
      </c>
      <c r="H1201">
        <v>6</v>
      </c>
    </row>
    <row r="1202" spans="1:8" x14ac:dyDescent="0.3">
      <c r="A1202">
        <v>1201</v>
      </c>
      <c r="B1202">
        <v>201</v>
      </c>
      <c r="C1202">
        <v>4</v>
      </c>
      <c r="D1202" s="1">
        <v>43031</v>
      </c>
      <c r="E1202" s="1">
        <v>43032</v>
      </c>
      <c r="F1202" s="1">
        <v>43032</v>
      </c>
      <c r="G1202">
        <v>2</v>
      </c>
      <c r="H1202">
        <v>6</v>
      </c>
    </row>
    <row r="1203" spans="1:8" x14ac:dyDescent="0.3">
      <c r="A1203">
        <v>1202</v>
      </c>
      <c r="B1203">
        <v>593</v>
      </c>
      <c r="C1203">
        <v>4</v>
      </c>
      <c r="D1203" s="1">
        <v>43032</v>
      </c>
      <c r="E1203" s="1">
        <v>43033</v>
      </c>
      <c r="F1203" s="1">
        <v>43033</v>
      </c>
      <c r="G1203">
        <v>2</v>
      </c>
      <c r="H1203">
        <v>6</v>
      </c>
    </row>
    <row r="1204" spans="1:8" x14ac:dyDescent="0.3">
      <c r="A1204">
        <v>1203</v>
      </c>
      <c r="B1204">
        <v>1191</v>
      </c>
      <c r="C1204">
        <v>4</v>
      </c>
      <c r="D1204" s="1">
        <v>43033</v>
      </c>
      <c r="E1204" s="1">
        <v>43035</v>
      </c>
      <c r="F1204" s="1">
        <v>43034</v>
      </c>
      <c r="G1204">
        <v>2</v>
      </c>
      <c r="H1204">
        <v>7</v>
      </c>
    </row>
    <row r="1205" spans="1:8" x14ac:dyDescent="0.3">
      <c r="A1205">
        <v>1204</v>
      </c>
      <c r="B1205">
        <v>1277</v>
      </c>
      <c r="C1205">
        <v>4</v>
      </c>
      <c r="D1205" s="1">
        <v>43033</v>
      </c>
      <c r="E1205" s="1">
        <v>43036</v>
      </c>
      <c r="F1205" s="1">
        <v>43036</v>
      </c>
      <c r="G1205">
        <v>2</v>
      </c>
      <c r="H1205">
        <v>6</v>
      </c>
    </row>
    <row r="1206" spans="1:8" x14ac:dyDescent="0.3">
      <c r="A1206">
        <v>1205</v>
      </c>
      <c r="B1206">
        <v>1091</v>
      </c>
      <c r="C1206">
        <v>4</v>
      </c>
      <c r="D1206" s="1">
        <v>43034</v>
      </c>
      <c r="E1206" s="1">
        <v>43036</v>
      </c>
      <c r="F1206" s="1">
        <v>43036</v>
      </c>
      <c r="G1206">
        <v>1</v>
      </c>
      <c r="H1206">
        <v>2</v>
      </c>
    </row>
    <row r="1207" spans="1:8" x14ac:dyDescent="0.3">
      <c r="A1207">
        <v>1206</v>
      </c>
      <c r="B1207">
        <v>222</v>
      </c>
      <c r="C1207">
        <v>4</v>
      </c>
      <c r="D1207" s="1">
        <v>43034</v>
      </c>
      <c r="E1207" s="1">
        <v>43037</v>
      </c>
      <c r="F1207" s="1">
        <v>43037</v>
      </c>
      <c r="G1207">
        <v>2</v>
      </c>
      <c r="H1207">
        <v>6</v>
      </c>
    </row>
    <row r="1208" spans="1:8" x14ac:dyDescent="0.3">
      <c r="A1208">
        <v>1207</v>
      </c>
      <c r="B1208">
        <v>1002</v>
      </c>
      <c r="C1208">
        <v>4</v>
      </c>
      <c r="D1208" s="1">
        <v>43034</v>
      </c>
      <c r="E1208" s="1">
        <v>43036</v>
      </c>
      <c r="F1208" s="1">
        <v>43035</v>
      </c>
      <c r="G1208">
        <v>2</v>
      </c>
      <c r="H1208">
        <v>6</v>
      </c>
    </row>
    <row r="1209" spans="1:8" x14ac:dyDescent="0.3">
      <c r="A1209">
        <v>1208</v>
      </c>
      <c r="B1209">
        <v>1226</v>
      </c>
      <c r="C1209">
        <v>4</v>
      </c>
      <c r="D1209" s="1">
        <v>43034</v>
      </c>
      <c r="E1209" s="1">
        <v>43036</v>
      </c>
      <c r="F1209" s="1">
        <v>43035</v>
      </c>
      <c r="G1209">
        <v>2</v>
      </c>
      <c r="H1209">
        <v>7</v>
      </c>
    </row>
    <row r="1210" spans="1:8" x14ac:dyDescent="0.3">
      <c r="A1210">
        <v>1209</v>
      </c>
      <c r="B1210">
        <v>1342</v>
      </c>
      <c r="C1210">
        <v>4</v>
      </c>
      <c r="D1210" s="1">
        <v>43034</v>
      </c>
      <c r="E1210" s="1">
        <v>43035</v>
      </c>
      <c r="F1210" s="1">
        <v>43037</v>
      </c>
      <c r="G1210">
        <v>2</v>
      </c>
      <c r="H1210">
        <v>7</v>
      </c>
    </row>
    <row r="1211" spans="1:8" x14ac:dyDescent="0.3">
      <c r="A1211">
        <v>1210</v>
      </c>
      <c r="B1211">
        <v>730</v>
      </c>
      <c r="C1211">
        <v>4</v>
      </c>
      <c r="D1211" s="1">
        <v>43034</v>
      </c>
      <c r="E1211" s="1">
        <v>43035</v>
      </c>
      <c r="F1211" s="1">
        <v>43037</v>
      </c>
      <c r="G1211">
        <v>3</v>
      </c>
      <c r="H1211">
        <v>8</v>
      </c>
    </row>
    <row r="1212" spans="1:8" x14ac:dyDescent="0.3">
      <c r="A1212">
        <v>1211</v>
      </c>
      <c r="B1212">
        <v>19</v>
      </c>
      <c r="C1212">
        <v>4</v>
      </c>
      <c r="D1212" s="1">
        <v>43035</v>
      </c>
      <c r="E1212" s="1">
        <v>43036</v>
      </c>
      <c r="F1212" s="1">
        <v>43037</v>
      </c>
      <c r="G1212">
        <v>2</v>
      </c>
      <c r="H1212">
        <v>7</v>
      </c>
    </row>
    <row r="1213" spans="1:8" x14ac:dyDescent="0.3">
      <c r="A1213">
        <v>1212</v>
      </c>
      <c r="B1213">
        <v>213</v>
      </c>
      <c r="C1213">
        <v>4</v>
      </c>
      <c r="D1213" s="1">
        <v>43035</v>
      </c>
      <c r="E1213" s="1">
        <v>43038</v>
      </c>
      <c r="F1213" s="1">
        <v>43037</v>
      </c>
      <c r="G1213">
        <v>2</v>
      </c>
      <c r="H1213">
        <v>6</v>
      </c>
    </row>
    <row r="1214" spans="1:8" x14ac:dyDescent="0.3">
      <c r="A1214">
        <v>1213</v>
      </c>
      <c r="B1214">
        <v>669</v>
      </c>
      <c r="C1214">
        <v>4</v>
      </c>
      <c r="D1214" s="1">
        <v>43035</v>
      </c>
      <c r="E1214" s="1">
        <v>43037</v>
      </c>
      <c r="F1214" s="1">
        <v>43037</v>
      </c>
      <c r="G1214">
        <v>3</v>
      </c>
      <c r="H1214">
        <v>9</v>
      </c>
    </row>
    <row r="1215" spans="1:8" x14ac:dyDescent="0.3">
      <c r="A1215">
        <v>1214</v>
      </c>
      <c r="B1215">
        <v>783</v>
      </c>
      <c r="C1215">
        <v>4</v>
      </c>
      <c r="D1215" s="1">
        <v>43036</v>
      </c>
      <c r="E1215" s="1">
        <v>43037</v>
      </c>
      <c r="F1215" s="1">
        <v>43037</v>
      </c>
      <c r="G1215">
        <v>2</v>
      </c>
      <c r="H1215">
        <v>6</v>
      </c>
    </row>
    <row r="1216" spans="1:8" x14ac:dyDescent="0.3">
      <c r="A1216">
        <v>1215</v>
      </c>
      <c r="B1216">
        <v>807</v>
      </c>
      <c r="C1216">
        <v>4</v>
      </c>
      <c r="D1216" s="1">
        <v>43036</v>
      </c>
      <c r="E1216" s="1">
        <v>43039</v>
      </c>
      <c r="F1216" s="1">
        <v>43038</v>
      </c>
      <c r="G1216">
        <v>2</v>
      </c>
      <c r="H1216">
        <v>7</v>
      </c>
    </row>
    <row r="1217" spans="1:8" x14ac:dyDescent="0.3">
      <c r="A1217">
        <v>1216</v>
      </c>
      <c r="B1217">
        <v>886</v>
      </c>
      <c r="C1217">
        <v>4</v>
      </c>
      <c r="D1217" s="1">
        <v>43036</v>
      </c>
      <c r="E1217" s="1">
        <v>43038</v>
      </c>
      <c r="F1217" s="1">
        <v>43037</v>
      </c>
      <c r="G1217">
        <v>2</v>
      </c>
      <c r="H1217">
        <v>7</v>
      </c>
    </row>
    <row r="1218" spans="1:8" x14ac:dyDescent="0.3">
      <c r="A1218">
        <v>1217</v>
      </c>
      <c r="B1218">
        <v>1155</v>
      </c>
      <c r="C1218">
        <v>4</v>
      </c>
      <c r="D1218" s="1">
        <v>43036</v>
      </c>
      <c r="E1218" s="1">
        <v>43039</v>
      </c>
      <c r="F1218" s="1">
        <v>43038</v>
      </c>
      <c r="G1218">
        <v>2</v>
      </c>
      <c r="H1218">
        <v>7</v>
      </c>
    </row>
    <row r="1219" spans="1:8" x14ac:dyDescent="0.3">
      <c r="A1219">
        <v>1218</v>
      </c>
      <c r="B1219">
        <v>1017</v>
      </c>
      <c r="C1219">
        <v>4</v>
      </c>
      <c r="D1219" s="1">
        <v>43038</v>
      </c>
      <c r="E1219" s="1">
        <v>43040</v>
      </c>
      <c r="F1219" s="1">
        <v>43039</v>
      </c>
      <c r="G1219">
        <v>1</v>
      </c>
      <c r="H1219">
        <v>2</v>
      </c>
    </row>
    <row r="1220" spans="1:8" x14ac:dyDescent="0.3">
      <c r="A1220">
        <v>1219</v>
      </c>
      <c r="B1220">
        <v>840</v>
      </c>
      <c r="C1220">
        <v>4</v>
      </c>
      <c r="D1220" s="1">
        <v>43038</v>
      </c>
      <c r="E1220" s="1">
        <v>43041</v>
      </c>
      <c r="F1220" s="1">
        <v>43041</v>
      </c>
      <c r="G1220">
        <v>2</v>
      </c>
      <c r="H1220">
        <v>7</v>
      </c>
    </row>
    <row r="1221" spans="1:8" x14ac:dyDescent="0.3">
      <c r="A1221">
        <v>1220</v>
      </c>
      <c r="B1221">
        <v>803</v>
      </c>
      <c r="C1221">
        <v>4</v>
      </c>
      <c r="D1221" s="1">
        <v>43039</v>
      </c>
      <c r="E1221" s="1">
        <v>43042</v>
      </c>
      <c r="F1221" s="1">
        <v>43042</v>
      </c>
      <c r="G1221">
        <v>2</v>
      </c>
      <c r="H1221">
        <v>6</v>
      </c>
    </row>
    <row r="1222" spans="1:8" x14ac:dyDescent="0.3">
      <c r="A1222">
        <v>1221</v>
      </c>
      <c r="B1222">
        <v>1290</v>
      </c>
      <c r="C1222">
        <v>4</v>
      </c>
      <c r="D1222" s="1">
        <v>43039</v>
      </c>
      <c r="E1222" s="1">
        <v>43041</v>
      </c>
      <c r="F1222" s="1">
        <v>43040</v>
      </c>
      <c r="G1222">
        <v>2</v>
      </c>
      <c r="H1222">
        <v>7</v>
      </c>
    </row>
    <row r="1223" spans="1:8" x14ac:dyDescent="0.3">
      <c r="A1223">
        <v>1222</v>
      </c>
      <c r="B1223">
        <v>482</v>
      </c>
      <c r="C1223">
        <v>4</v>
      </c>
      <c r="D1223" s="1">
        <v>43040</v>
      </c>
      <c r="E1223" s="1">
        <v>43043</v>
      </c>
      <c r="F1223" s="1">
        <v>43042</v>
      </c>
      <c r="G1223">
        <v>3</v>
      </c>
      <c r="H1223">
        <v>9</v>
      </c>
    </row>
    <row r="1224" spans="1:8" x14ac:dyDescent="0.3">
      <c r="A1224">
        <v>1223</v>
      </c>
      <c r="B1224">
        <v>1207</v>
      </c>
      <c r="C1224">
        <v>4</v>
      </c>
      <c r="D1224" s="1">
        <v>43041</v>
      </c>
      <c r="E1224" s="1">
        <v>43042</v>
      </c>
      <c r="F1224" s="1">
        <v>43042</v>
      </c>
      <c r="G1224">
        <v>2</v>
      </c>
      <c r="H1224">
        <v>6</v>
      </c>
    </row>
    <row r="1225" spans="1:8" x14ac:dyDescent="0.3">
      <c r="A1225">
        <v>1224</v>
      </c>
      <c r="B1225">
        <v>544</v>
      </c>
      <c r="C1225">
        <v>4</v>
      </c>
      <c r="D1225" s="1">
        <v>43042</v>
      </c>
      <c r="E1225" s="1">
        <v>43043</v>
      </c>
      <c r="F1225" s="1">
        <v>43043</v>
      </c>
      <c r="G1225">
        <v>2</v>
      </c>
      <c r="H1225">
        <v>6</v>
      </c>
    </row>
    <row r="1226" spans="1:8" x14ac:dyDescent="0.3">
      <c r="A1226">
        <v>1225</v>
      </c>
      <c r="B1226">
        <v>768</v>
      </c>
      <c r="C1226">
        <v>4</v>
      </c>
      <c r="D1226" s="1">
        <v>43043</v>
      </c>
      <c r="E1226" s="1">
        <v>43044</v>
      </c>
      <c r="F1226" s="1">
        <v>43046</v>
      </c>
      <c r="G1226">
        <v>1</v>
      </c>
      <c r="H1226">
        <v>2</v>
      </c>
    </row>
    <row r="1227" spans="1:8" x14ac:dyDescent="0.3">
      <c r="A1227">
        <v>1226</v>
      </c>
      <c r="B1227">
        <v>226</v>
      </c>
      <c r="C1227">
        <v>4</v>
      </c>
      <c r="D1227" s="1">
        <v>43043</v>
      </c>
      <c r="E1227" s="1">
        <v>43046</v>
      </c>
      <c r="F1227" s="1">
        <v>43045</v>
      </c>
      <c r="G1227">
        <v>2</v>
      </c>
      <c r="H1227">
        <v>7</v>
      </c>
    </row>
    <row r="1228" spans="1:8" x14ac:dyDescent="0.3">
      <c r="A1228">
        <v>1227</v>
      </c>
      <c r="B1228">
        <v>702</v>
      </c>
      <c r="C1228">
        <v>4</v>
      </c>
      <c r="D1228" s="1">
        <v>43043</v>
      </c>
      <c r="E1228" s="1">
        <v>43046</v>
      </c>
      <c r="F1228" s="1">
        <v>43045</v>
      </c>
      <c r="G1228">
        <v>2</v>
      </c>
      <c r="H1228">
        <v>6</v>
      </c>
    </row>
    <row r="1229" spans="1:8" x14ac:dyDescent="0.3">
      <c r="A1229">
        <v>1228</v>
      </c>
      <c r="B1229">
        <v>1041</v>
      </c>
      <c r="C1229">
        <v>4</v>
      </c>
      <c r="D1229" s="1">
        <v>43043</v>
      </c>
      <c r="E1229" s="1">
        <v>43045</v>
      </c>
      <c r="F1229" s="1">
        <v>43045</v>
      </c>
      <c r="G1229">
        <v>2</v>
      </c>
      <c r="H1229">
        <v>6</v>
      </c>
    </row>
    <row r="1230" spans="1:8" x14ac:dyDescent="0.3">
      <c r="A1230">
        <v>1229</v>
      </c>
      <c r="B1230">
        <v>89</v>
      </c>
      <c r="C1230">
        <v>4</v>
      </c>
      <c r="D1230" s="1">
        <v>43044</v>
      </c>
      <c r="E1230" s="1">
        <v>43047</v>
      </c>
      <c r="F1230" s="1">
        <v>43045</v>
      </c>
      <c r="G1230">
        <v>1</v>
      </c>
      <c r="H1230">
        <v>3</v>
      </c>
    </row>
    <row r="1231" spans="1:8" x14ac:dyDescent="0.3">
      <c r="A1231">
        <v>1230</v>
      </c>
      <c r="B1231">
        <v>1107</v>
      </c>
      <c r="C1231">
        <v>4</v>
      </c>
      <c r="D1231" s="1">
        <v>43044</v>
      </c>
      <c r="E1231" s="1">
        <v>43045</v>
      </c>
      <c r="F1231" s="1">
        <v>43046</v>
      </c>
      <c r="G1231">
        <v>2</v>
      </c>
      <c r="H1231">
        <v>6</v>
      </c>
    </row>
    <row r="1232" spans="1:8" x14ac:dyDescent="0.3">
      <c r="A1232">
        <v>1231</v>
      </c>
      <c r="B1232">
        <v>1180</v>
      </c>
      <c r="C1232">
        <v>4</v>
      </c>
      <c r="D1232" s="1">
        <v>43044</v>
      </c>
      <c r="E1232" s="1">
        <v>43046</v>
      </c>
      <c r="F1232" s="1">
        <v>43045</v>
      </c>
      <c r="G1232">
        <v>2</v>
      </c>
      <c r="H1232">
        <v>6</v>
      </c>
    </row>
    <row r="1233" spans="1:8" x14ac:dyDescent="0.3">
      <c r="A1233">
        <v>1232</v>
      </c>
      <c r="B1233">
        <v>665</v>
      </c>
      <c r="C1233">
        <v>4</v>
      </c>
      <c r="D1233" s="1">
        <v>43045</v>
      </c>
      <c r="E1233" s="1">
        <v>43046</v>
      </c>
      <c r="F1233" s="1">
        <v>43048</v>
      </c>
      <c r="G1233">
        <v>1</v>
      </c>
      <c r="H1233">
        <v>3</v>
      </c>
    </row>
    <row r="1234" spans="1:8" x14ac:dyDescent="0.3">
      <c r="A1234">
        <v>1233</v>
      </c>
      <c r="B1234">
        <v>462</v>
      </c>
      <c r="C1234">
        <v>4</v>
      </c>
      <c r="D1234" s="1">
        <v>43045</v>
      </c>
      <c r="E1234" s="1">
        <v>43046</v>
      </c>
      <c r="F1234" s="1">
        <v>43047</v>
      </c>
      <c r="G1234">
        <v>2</v>
      </c>
      <c r="H1234">
        <v>6</v>
      </c>
    </row>
    <row r="1235" spans="1:8" x14ac:dyDescent="0.3">
      <c r="A1235">
        <v>1234</v>
      </c>
      <c r="B1235">
        <v>19</v>
      </c>
      <c r="C1235">
        <v>3</v>
      </c>
      <c r="D1235" s="1">
        <v>43046</v>
      </c>
      <c r="E1235" s="1">
        <v>43046</v>
      </c>
      <c r="F1235" s="1">
        <v>42411</v>
      </c>
      <c r="G1235">
        <v>2</v>
      </c>
      <c r="H1235">
        <v>6</v>
      </c>
    </row>
    <row r="1236" spans="1:8" x14ac:dyDescent="0.3">
      <c r="A1236">
        <v>1235</v>
      </c>
      <c r="B1236">
        <v>210</v>
      </c>
      <c r="C1236">
        <v>4</v>
      </c>
      <c r="D1236" s="1">
        <v>43046</v>
      </c>
      <c r="E1236" s="1">
        <v>43047</v>
      </c>
      <c r="F1236" s="1">
        <v>43048</v>
      </c>
      <c r="G1236">
        <v>2</v>
      </c>
      <c r="H1236">
        <v>6</v>
      </c>
    </row>
    <row r="1237" spans="1:8" x14ac:dyDescent="0.3">
      <c r="A1237">
        <v>1236</v>
      </c>
      <c r="B1237">
        <v>243</v>
      </c>
      <c r="C1237">
        <v>4</v>
      </c>
      <c r="D1237" s="1">
        <v>43047</v>
      </c>
      <c r="E1237" s="1">
        <v>43050</v>
      </c>
      <c r="F1237" s="1">
        <v>43048</v>
      </c>
      <c r="G1237">
        <v>2</v>
      </c>
      <c r="H1237">
        <v>7</v>
      </c>
    </row>
    <row r="1238" spans="1:8" x14ac:dyDescent="0.3">
      <c r="A1238">
        <v>1237</v>
      </c>
      <c r="B1238">
        <v>571</v>
      </c>
      <c r="C1238">
        <v>4</v>
      </c>
      <c r="D1238" s="1">
        <v>43048</v>
      </c>
      <c r="E1238" s="1">
        <v>43051</v>
      </c>
      <c r="F1238" s="1">
        <v>43050</v>
      </c>
      <c r="G1238">
        <v>1</v>
      </c>
      <c r="H1238">
        <v>2</v>
      </c>
    </row>
    <row r="1239" spans="1:8" x14ac:dyDescent="0.3">
      <c r="A1239">
        <v>1238</v>
      </c>
      <c r="B1239">
        <v>998</v>
      </c>
      <c r="C1239">
        <v>4</v>
      </c>
      <c r="D1239" s="1">
        <v>43048</v>
      </c>
      <c r="E1239" s="1">
        <v>43049</v>
      </c>
      <c r="F1239" s="1">
        <v>43050</v>
      </c>
      <c r="G1239">
        <v>2</v>
      </c>
      <c r="H1239">
        <v>6</v>
      </c>
    </row>
    <row r="1240" spans="1:8" x14ac:dyDescent="0.3">
      <c r="A1240">
        <v>1239</v>
      </c>
      <c r="B1240">
        <v>1197</v>
      </c>
      <c r="C1240">
        <v>4</v>
      </c>
      <c r="D1240" s="1">
        <v>43048</v>
      </c>
      <c r="E1240" s="1">
        <v>43049</v>
      </c>
      <c r="F1240" s="1">
        <v>43050</v>
      </c>
      <c r="G1240">
        <v>2</v>
      </c>
      <c r="H1240">
        <v>7</v>
      </c>
    </row>
    <row r="1241" spans="1:8" x14ac:dyDescent="0.3">
      <c r="A1241">
        <v>1240</v>
      </c>
      <c r="B1241">
        <v>903</v>
      </c>
      <c r="C1241">
        <v>4</v>
      </c>
      <c r="D1241" s="1">
        <v>43049</v>
      </c>
      <c r="E1241" s="1">
        <v>43050</v>
      </c>
      <c r="F1241" s="1">
        <v>43050</v>
      </c>
      <c r="G1241">
        <v>2</v>
      </c>
      <c r="H1241">
        <v>7</v>
      </c>
    </row>
    <row r="1242" spans="1:8" x14ac:dyDescent="0.3">
      <c r="A1242">
        <v>1241</v>
      </c>
      <c r="B1242">
        <v>1170</v>
      </c>
      <c r="C1242">
        <v>4</v>
      </c>
      <c r="D1242" s="1">
        <v>43049</v>
      </c>
      <c r="E1242" s="1">
        <v>43051</v>
      </c>
      <c r="F1242" s="1">
        <v>43050</v>
      </c>
      <c r="G1242">
        <v>2</v>
      </c>
      <c r="H1242">
        <v>7</v>
      </c>
    </row>
    <row r="1243" spans="1:8" x14ac:dyDescent="0.3">
      <c r="A1243">
        <v>1242</v>
      </c>
      <c r="B1243">
        <v>303</v>
      </c>
      <c r="C1243">
        <v>4</v>
      </c>
      <c r="D1243" s="1">
        <v>43050</v>
      </c>
      <c r="E1243" s="1">
        <v>43051</v>
      </c>
      <c r="F1243" s="1">
        <v>43051</v>
      </c>
      <c r="G1243">
        <v>2</v>
      </c>
      <c r="H1243">
        <v>6</v>
      </c>
    </row>
    <row r="1244" spans="1:8" x14ac:dyDescent="0.3">
      <c r="A1244">
        <v>1243</v>
      </c>
      <c r="B1244">
        <v>346</v>
      </c>
      <c r="C1244">
        <v>4</v>
      </c>
      <c r="D1244" s="1">
        <v>43050</v>
      </c>
      <c r="E1244" s="1">
        <v>43052</v>
      </c>
      <c r="F1244" s="1">
        <v>43053</v>
      </c>
      <c r="G1244">
        <v>2</v>
      </c>
      <c r="H1244">
        <v>6</v>
      </c>
    </row>
    <row r="1245" spans="1:8" x14ac:dyDescent="0.3">
      <c r="A1245">
        <v>1244</v>
      </c>
      <c r="B1245">
        <v>333</v>
      </c>
      <c r="C1245">
        <v>4</v>
      </c>
      <c r="D1245" s="1">
        <v>43051</v>
      </c>
      <c r="E1245" s="1">
        <v>43053</v>
      </c>
      <c r="F1245" s="1">
        <v>43052</v>
      </c>
      <c r="G1245">
        <v>2</v>
      </c>
      <c r="H1245">
        <v>6</v>
      </c>
    </row>
    <row r="1246" spans="1:8" x14ac:dyDescent="0.3">
      <c r="A1246">
        <v>1245</v>
      </c>
      <c r="B1246">
        <v>1166</v>
      </c>
      <c r="C1246">
        <v>4</v>
      </c>
      <c r="D1246" s="1">
        <v>43052</v>
      </c>
      <c r="E1246" s="1">
        <v>43055</v>
      </c>
      <c r="F1246" s="1">
        <v>43053</v>
      </c>
      <c r="G1246">
        <v>2</v>
      </c>
      <c r="H1246">
        <v>7</v>
      </c>
    </row>
    <row r="1247" spans="1:8" x14ac:dyDescent="0.3">
      <c r="A1247">
        <v>1246</v>
      </c>
      <c r="B1247">
        <v>1329</v>
      </c>
      <c r="C1247">
        <v>4</v>
      </c>
      <c r="D1247" s="1">
        <v>43052</v>
      </c>
      <c r="E1247" s="1">
        <v>43055</v>
      </c>
      <c r="F1247" s="1">
        <v>43055</v>
      </c>
      <c r="G1247">
        <v>2</v>
      </c>
      <c r="H1247">
        <v>7</v>
      </c>
    </row>
    <row r="1248" spans="1:8" x14ac:dyDescent="0.3">
      <c r="A1248">
        <v>1247</v>
      </c>
      <c r="B1248">
        <v>426</v>
      </c>
      <c r="C1248">
        <v>4</v>
      </c>
      <c r="D1248" s="1">
        <v>43055</v>
      </c>
      <c r="E1248" s="1">
        <v>43057</v>
      </c>
      <c r="F1248" s="1">
        <v>43056</v>
      </c>
      <c r="G1248">
        <v>1</v>
      </c>
      <c r="H1248">
        <v>2</v>
      </c>
    </row>
    <row r="1249" spans="1:8" x14ac:dyDescent="0.3">
      <c r="A1249">
        <v>1248</v>
      </c>
      <c r="B1249">
        <v>1367</v>
      </c>
      <c r="C1249">
        <v>4</v>
      </c>
      <c r="D1249" s="1">
        <v>43055</v>
      </c>
      <c r="E1249" s="1">
        <v>43056</v>
      </c>
      <c r="F1249" s="1">
        <v>43057</v>
      </c>
      <c r="G1249">
        <v>1</v>
      </c>
      <c r="H1249">
        <v>3</v>
      </c>
    </row>
    <row r="1250" spans="1:8" x14ac:dyDescent="0.3">
      <c r="A1250">
        <v>1249</v>
      </c>
      <c r="B1250">
        <v>545</v>
      </c>
      <c r="C1250">
        <v>4</v>
      </c>
      <c r="D1250" s="1">
        <v>43056</v>
      </c>
      <c r="E1250" s="1">
        <v>43057</v>
      </c>
      <c r="F1250" s="1">
        <v>43059</v>
      </c>
      <c r="G1250">
        <v>2</v>
      </c>
      <c r="H1250">
        <v>6</v>
      </c>
    </row>
    <row r="1251" spans="1:8" x14ac:dyDescent="0.3">
      <c r="A1251">
        <v>1250</v>
      </c>
      <c r="B1251">
        <v>1188</v>
      </c>
      <c r="C1251">
        <v>4</v>
      </c>
      <c r="D1251" s="1">
        <v>43056</v>
      </c>
      <c r="E1251" s="1">
        <v>43058</v>
      </c>
      <c r="F1251" s="1">
        <v>43057</v>
      </c>
      <c r="G1251">
        <v>2</v>
      </c>
      <c r="H1251">
        <v>6</v>
      </c>
    </row>
    <row r="1252" spans="1:8" x14ac:dyDescent="0.3">
      <c r="A1252">
        <v>1251</v>
      </c>
      <c r="B1252">
        <v>289</v>
      </c>
      <c r="C1252">
        <v>4</v>
      </c>
      <c r="D1252" s="1">
        <v>43056</v>
      </c>
      <c r="E1252" s="1">
        <v>43058</v>
      </c>
      <c r="F1252" s="1">
        <v>43058</v>
      </c>
      <c r="G1252">
        <v>3</v>
      </c>
      <c r="H1252">
        <v>9</v>
      </c>
    </row>
    <row r="1253" spans="1:8" x14ac:dyDescent="0.3">
      <c r="A1253">
        <v>1252</v>
      </c>
      <c r="B1253">
        <v>110</v>
      </c>
      <c r="C1253">
        <v>4</v>
      </c>
      <c r="D1253" s="1">
        <v>43057</v>
      </c>
      <c r="E1253" s="1">
        <v>43059</v>
      </c>
      <c r="F1253" s="1">
        <v>43060</v>
      </c>
      <c r="G1253">
        <v>1</v>
      </c>
      <c r="H1253">
        <v>3</v>
      </c>
    </row>
    <row r="1254" spans="1:8" x14ac:dyDescent="0.3">
      <c r="A1254">
        <v>1253</v>
      </c>
      <c r="B1254">
        <v>44</v>
      </c>
      <c r="C1254">
        <v>4</v>
      </c>
      <c r="D1254" s="1">
        <v>43057</v>
      </c>
      <c r="E1254" s="1">
        <v>43060</v>
      </c>
      <c r="F1254" s="1">
        <v>43060</v>
      </c>
      <c r="G1254">
        <v>2</v>
      </c>
      <c r="H1254">
        <v>6</v>
      </c>
    </row>
    <row r="1255" spans="1:8" x14ac:dyDescent="0.3">
      <c r="A1255">
        <v>1254</v>
      </c>
      <c r="B1255">
        <v>1098</v>
      </c>
      <c r="C1255">
        <v>4</v>
      </c>
      <c r="D1255" s="1">
        <v>43057</v>
      </c>
      <c r="E1255" s="1">
        <v>43058</v>
      </c>
      <c r="F1255" s="1">
        <v>43058</v>
      </c>
      <c r="G1255">
        <v>2</v>
      </c>
      <c r="H1255">
        <v>7</v>
      </c>
    </row>
    <row r="1256" spans="1:8" x14ac:dyDescent="0.3">
      <c r="A1256">
        <v>1255</v>
      </c>
      <c r="B1256">
        <v>375</v>
      </c>
      <c r="C1256">
        <v>4</v>
      </c>
      <c r="D1256" s="1">
        <v>43058</v>
      </c>
      <c r="E1256" s="1">
        <v>43059</v>
      </c>
      <c r="F1256" s="1">
        <v>43060</v>
      </c>
      <c r="G1256">
        <v>2</v>
      </c>
      <c r="H1256">
        <v>6</v>
      </c>
    </row>
    <row r="1257" spans="1:8" x14ac:dyDescent="0.3">
      <c r="A1257">
        <v>1256</v>
      </c>
      <c r="B1257">
        <v>458</v>
      </c>
      <c r="C1257">
        <v>4</v>
      </c>
      <c r="D1257" s="1">
        <v>43058</v>
      </c>
      <c r="E1257" s="1">
        <v>43059</v>
      </c>
      <c r="F1257" s="1">
        <v>43061</v>
      </c>
      <c r="G1257">
        <v>2</v>
      </c>
      <c r="H1257">
        <v>6</v>
      </c>
    </row>
    <row r="1258" spans="1:8" x14ac:dyDescent="0.3">
      <c r="A1258">
        <v>1257</v>
      </c>
      <c r="B1258">
        <v>1136</v>
      </c>
      <c r="C1258">
        <v>4</v>
      </c>
      <c r="D1258" s="1">
        <v>43058</v>
      </c>
      <c r="E1258" s="1">
        <v>43061</v>
      </c>
      <c r="F1258" s="1">
        <v>43059</v>
      </c>
      <c r="G1258">
        <v>2</v>
      </c>
      <c r="H1258">
        <v>7</v>
      </c>
    </row>
    <row r="1259" spans="1:8" x14ac:dyDescent="0.3">
      <c r="A1259">
        <v>1258</v>
      </c>
      <c r="B1259">
        <v>1099</v>
      </c>
      <c r="C1259">
        <v>4</v>
      </c>
      <c r="D1259" s="1">
        <v>43059</v>
      </c>
      <c r="E1259" s="1">
        <v>43060</v>
      </c>
      <c r="F1259" s="1">
        <v>43061</v>
      </c>
      <c r="G1259">
        <v>2</v>
      </c>
      <c r="H1259">
        <v>7</v>
      </c>
    </row>
    <row r="1260" spans="1:8" x14ac:dyDescent="0.3">
      <c r="A1260">
        <v>1259</v>
      </c>
      <c r="B1260">
        <v>4</v>
      </c>
      <c r="C1260">
        <v>3</v>
      </c>
      <c r="D1260" s="1">
        <v>43060</v>
      </c>
      <c r="E1260" s="1">
        <v>43060</v>
      </c>
      <c r="F1260" s="1">
        <v>42411</v>
      </c>
      <c r="G1260">
        <v>2</v>
      </c>
      <c r="H1260">
        <v>7</v>
      </c>
    </row>
    <row r="1261" spans="1:8" x14ac:dyDescent="0.3">
      <c r="A1261">
        <v>1260</v>
      </c>
      <c r="B1261">
        <v>1117</v>
      </c>
      <c r="C1261">
        <v>4</v>
      </c>
      <c r="D1261" s="1">
        <v>43061</v>
      </c>
      <c r="E1261" s="1">
        <v>43062</v>
      </c>
      <c r="F1261" s="1">
        <v>43063</v>
      </c>
      <c r="G1261">
        <v>2</v>
      </c>
      <c r="H1261">
        <v>6</v>
      </c>
    </row>
    <row r="1262" spans="1:8" x14ac:dyDescent="0.3">
      <c r="A1262">
        <v>1261</v>
      </c>
      <c r="B1262">
        <v>435</v>
      </c>
      <c r="C1262">
        <v>4</v>
      </c>
      <c r="D1262" s="1">
        <v>43062</v>
      </c>
      <c r="E1262" s="1">
        <v>43064</v>
      </c>
      <c r="F1262" s="1">
        <v>43063</v>
      </c>
      <c r="G1262">
        <v>2</v>
      </c>
      <c r="H1262">
        <v>7</v>
      </c>
    </row>
    <row r="1263" spans="1:8" x14ac:dyDescent="0.3">
      <c r="A1263">
        <v>1262</v>
      </c>
      <c r="B1263">
        <v>509</v>
      </c>
      <c r="C1263">
        <v>4</v>
      </c>
      <c r="D1263" s="1">
        <v>43062</v>
      </c>
      <c r="E1263" s="1">
        <v>43065</v>
      </c>
      <c r="F1263" s="1">
        <v>43065</v>
      </c>
      <c r="G1263">
        <v>2</v>
      </c>
      <c r="H1263">
        <v>6</v>
      </c>
    </row>
    <row r="1264" spans="1:8" x14ac:dyDescent="0.3">
      <c r="A1264">
        <v>1263</v>
      </c>
      <c r="B1264">
        <v>1408</v>
      </c>
      <c r="C1264">
        <v>4</v>
      </c>
      <c r="D1264" s="1">
        <v>43062</v>
      </c>
      <c r="E1264" s="1">
        <v>43065</v>
      </c>
      <c r="F1264" s="1">
        <v>43065</v>
      </c>
      <c r="G1264">
        <v>2</v>
      </c>
      <c r="H1264">
        <v>6</v>
      </c>
    </row>
    <row r="1265" spans="1:8" x14ac:dyDescent="0.3">
      <c r="A1265">
        <v>1264</v>
      </c>
      <c r="B1265">
        <v>113</v>
      </c>
      <c r="C1265">
        <v>4</v>
      </c>
      <c r="D1265" s="1">
        <v>43063</v>
      </c>
      <c r="E1265" s="1">
        <v>43066</v>
      </c>
      <c r="F1265" s="1">
        <v>43064</v>
      </c>
      <c r="G1265">
        <v>2</v>
      </c>
      <c r="H1265">
        <v>6</v>
      </c>
    </row>
    <row r="1266" spans="1:8" x14ac:dyDescent="0.3">
      <c r="A1266">
        <v>1265</v>
      </c>
      <c r="B1266">
        <v>950</v>
      </c>
      <c r="C1266">
        <v>4</v>
      </c>
      <c r="D1266" s="1">
        <v>43063</v>
      </c>
      <c r="E1266" s="1">
        <v>43066</v>
      </c>
      <c r="F1266" s="1">
        <v>43066</v>
      </c>
      <c r="G1266">
        <v>2</v>
      </c>
      <c r="H1266">
        <v>7</v>
      </c>
    </row>
    <row r="1267" spans="1:8" x14ac:dyDescent="0.3">
      <c r="A1267">
        <v>1266</v>
      </c>
      <c r="B1267">
        <v>387</v>
      </c>
      <c r="C1267">
        <v>4</v>
      </c>
      <c r="D1267" s="1">
        <v>43064</v>
      </c>
      <c r="E1267" s="1">
        <v>43067</v>
      </c>
      <c r="F1267" s="1">
        <v>43066</v>
      </c>
      <c r="G1267">
        <v>2</v>
      </c>
      <c r="H1267">
        <v>6</v>
      </c>
    </row>
    <row r="1268" spans="1:8" x14ac:dyDescent="0.3">
      <c r="A1268">
        <v>1267</v>
      </c>
      <c r="B1268">
        <v>467</v>
      </c>
      <c r="C1268">
        <v>4</v>
      </c>
      <c r="D1268" s="1">
        <v>43064</v>
      </c>
      <c r="E1268" s="1">
        <v>43065</v>
      </c>
      <c r="F1268" s="1">
        <v>43065</v>
      </c>
      <c r="G1268">
        <v>2</v>
      </c>
      <c r="H1268">
        <v>6</v>
      </c>
    </row>
    <row r="1269" spans="1:8" x14ac:dyDescent="0.3">
      <c r="A1269">
        <v>1268</v>
      </c>
      <c r="B1269">
        <v>774</v>
      </c>
      <c r="C1269">
        <v>4</v>
      </c>
      <c r="D1269" s="1">
        <v>43065</v>
      </c>
      <c r="E1269" s="1">
        <v>43067</v>
      </c>
      <c r="F1269" s="1">
        <v>43068</v>
      </c>
      <c r="G1269">
        <v>1</v>
      </c>
      <c r="H1269">
        <v>3</v>
      </c>
    </row>
    <row r="1270" spans="1:8" x14ac:dyDescent="0.3">
      <c r="A1270">
        <v>1269</v>
      </c>
      <c r="B1270">
        <v>1236</v>
      </c>
      <c r="C1270">
        <v>4</v>
      </c>
      <c r="D1270" s="1">
        <v>43065</v>
      </c>
      <c r="E1270" s="1">
        <v>43068</v>
      </c>
      <c r="F1270" s="1">
        <v>43068</v>
      </c>
      <c r="G1270">
        <v>2</v>
      </c>
      <c r="H1270">
        <v>6</v>
      </c>
    </row>
    <row r="1271" spans="1:8" x14ac:dyDescent="0.3">
      <c r="A1271">
        <v>1270</v>
      </c>
      <c r="B1271">
        <v>1388</v>
      </c>
      <c r="C1271">
        <v>4</v>
      </c>
      <c r="D1271" s="1">
        <v>43065</v>
      </c>
      <c r="E1271" s="1">
        <v>43068</v>
      </c>
      <c r="F1271" s="1">
        <v>43068</v>
      </c>
      <c r="G1271">
        <v>2</v>
      </c>
      <c r="H1271">
        <v>6</v>
      </c>
    </row>
    <row r="1272" spans="1:8" x14ac:dyDescent="0.3">
      <c r="A1272">
        <v>1271</v>
      </c>
      <c r="B1272">
        <v>734</v>
      </c>
      <c r="C1272">
        <v>4</v>
      </c>
      <c r="D1272" s="1">
        <v>43066</v>
      </c>
      <c r="E1272" s="1">
        <v>43069</v>
      </c>
      <c r="F1272" s="1">
        <v>43069</v>
      </c>
      <c r="G1272">
        <v>2</v>
      </c>
      <c r="H1272">
        <v>6</v>
      </c>
    </row>
    <row r="1273" spans="1:8" x14ac:dyDescent="0.3">
      <c r="A1273">
        <v>1272</v>
      </c>
      <c r="B1273">
        <v>935</v>
      </c>
      <c r="C1273">
        <v>4</v>
      </c>
      <c r="D1273" s="1">
        <v>43066</v>
      </c>
      <c r="E1273" s="1">
        <v>43068</v>
      </c>
      <c r="F1273" s="1">
        <v>43069</v>
      </c>
      <c r="G1273">
        <v>2</v>
      </c>
      <c r="H1273">
        <v>6</v>
      </c>
    </row>
    <row r="1274" spans="1:8" x14ac:dyDescent="0.3">
      <c r="A1274">
        <v>1273</v>
      </c>
      <c r="B1274">
        <v>1268</v>
      </c>
      <c r="C1274">
        <v>4</v>
      </c>
      <c r="D1274" s="1">
        <v>43066</v>
      </c>
      <c r="E1274" s="1">
        <v>43068</v>
      </c>
      <c r="F1274" s="1">
        <v>43068</v>
      </c>
      <c r="G1274">
        <v>2</v>
      </c>
      <c r="H1274">
        <v>6</v>
      </c>
    </row>
    <row r="1275" spans="1:8" x14ac:dyDescent="0.3">
      <c r="A1275">
        <v>1274</v>
      </c>
      <c r="B1275">
        <v>1364</v>
      </c>
      <c r="C1275">
        <v>4</v>
      </c>
      <c r="D1275" s="1">
        <v>43067</v>
      </c>
      <c r="E1275" s="1">
        <v>43068</v>
      </c>
      <c r="F1275" s="1">
        <v>43070</v>
      </c>
      <c r="G1275">
        <v>2</v>
      </c>
      <c r="H1275">
        <v>7</v>
      </c>
    </row>
    <row r="1276" spans="1:8" x14ac:dyDescent="0.3">
      <c r="A1276">
        <v>1275</v>
      </c>
      <c r="B1276">
        <v>165</v>
      </c>
      <c r="C1276">
        <v>4</v>
      </c>
      <c r="D1276" s="1">
        <v>43068</v>
      </c>
      <c r="E1276" s="1">
        <v>43070</v>
      </c>
      <c r="F1276" s="1">
        <v>43069</v>
      </c>
      <c r="G1276">
        <v>1</v>
      </c>
      <c r="H1276">
        <v>2</v>
      </c>
    </row>
    <row r="1277" spans="1:8" x14ac:dyDescent="0.3">
      <c r="A1277">
        <v>1276</v>
      </c>
      <c r="B1277">
        <v>893</v>
      </c>
      <c r="C1277">
        <v>4</v>
      </c>
      <c r="D1277" s="1">
        <v>43069</v>
      </c>
      <c r="E1277" s="1">
        <v>43072</v>
      </c>
      <c r="F1277" s="1">
        <v>43071</v>
      </c>
      <c r="G1277">
        <v>2</v>
      </c>
      <c r="H1277">
        <v>6</v>
      </c>
    </row>
    <row r="1278" spans="1:8" x14ac:dyDescent="0.3">
      <c r="A1278">
        <v>1277</v>
      </c>
      <c r="B1278">
        <v>227</v>
      </c>
      <c r="C1278">
        <v>4</v>
      </c>
      <c r="D1278" s="1">
        <v>43070</v>
      </c>
      <c r="E1278" s="1">
        <v>43073</v>
      </c>
      <c r="F1278" s="1">
        <v>43071</v>
      </c>
      <c r="G1278">
        <v>2</v>
      </c>
      <c r="H1278">
        <v>6</v>
      </c>
    </row>
    <row r="1279" spans="1:8" x14ac:dyDescent="0.3">
      <c r="A1279">
        <v>1278</v>
      </c>
      <c r="B1279">
        <v>980</v>
      </c>
      <c r="C1279">
        <v>4</v>
      </c>
      <c r="D1279" s="1">
        <v>43070</v>
      </c>
      <c r="E1279" s="1">
        <v>43071</v>
      </c>
      <c r="F1279" s="1">
        <v>43073</v>
      </c>
      <c r="G1279">
        <v>2</v>
      </c>
      <c r="H1279">
        <v>7</v>
      </c>
    </row>
    <row r="1280" spans="1:8" x14ac:dyDescent="0.3">
      <c r="A1280">
        <v>1279</v>
      </c>
      <c r="B1280">
        <v>1014</v>
      </c>
      <c r="C1280">
        <v>4</v>
      </c>
      <c r="D1280" s="1">
        <v>43070</v>
      </c>
      <c r="E1280" s="1">
        <v>43073</v>
      </c>
      <c r="F1280" s="1">
        <v>43072</v>
      </c>
      <c r="G1280">
        <v>2</v>
      </c>
      <c r="H1280">
        <v>6</v>
      </c>
    </row>
    <row r="1281" spans="1:8" x14ac:dyDescent="0.3">
      <c r="A1281">
        <v>1280</v>
      </c>
      <c r="B1281">
        <v>123</v>
      </c>
      <c r="C1281">
        <v>4</v>
      </c>
      <c r="D1281" s="1">
        <v>43070</v>
      </c>
      <c r="E1281" s="1">
        <v>43072</v>
      </c>
      <c r="F1281" s="1">
        <v>43072</v>
      </c>
      <c r="G1281">
        <v>3</v>
      </c>
      <c r="H1281">
        <v>9</v>
      </c>
    </row>
    <row r="1282" spans="1:8" x14ac:dyDescent="0.3">
      <c r="A1282">
        <v>1281</v>
      </c>
      <c r="B1282">
        <v>1060</v>
      </c>
      <c r="C1282">
        <v>4</v>
      </c>
      <c r="D1282" s="1">
        <v>43071</v>
      </c>
      <c r="E1282" s="1">
        <v>43074</v>
      </c>
      <c r="F1282" s="1">
        <v>43074</v>
      </c>
      <c r="G1282">
        <v>2</v>
      </c>
      <c r="H1282">
        <v>6</v>
      </c>
    </row>
    <row r="1283" spans="1:8" x14ac:dyDescent="0.3">
      <c r="A1283">
        <v>1282</v>
      </c>
      <c r="B1283">
        <v>320</v>
      </c>
      <c r="C1283">
        <v>4</v>
      </c>
      <c r="D1283" s="1">
        <v>43072</v>
      </c>
      <c r="E1283" s="1">
        <v>43074</v>
      </c>
      <c r="F1283" s="1">
        <v>43074</v>
      </c>
      <c r="G1283">
        <v>2</v>
      </c>
      <c r="H1283">
        <v>6</v>
      </c>
    </row>
    <row r="1284" spans="1:8" x14ac:dyDescent="0.3">
      <c r="A1284">
        <v>1283</v>
      </c>
      <c r="B1284">
        <v>85</v>
      </c>
      <c r="C1284">
        <v>4</v>
      </c>
      <c r="D1284" s="1">
        <v>43073</v>
      </c>
      <c r="E1284" s="1">
        <v>43076</v>
      </c>
      <c r="F1284" s="1">
        <v>43076</v>
      </c>
      <c r="G1284">
        <v>2</v>
      </c>
      <c r="H1284">
        <v>7</v>
      </c>
    </row>
    <row r="1285" spans="1:8" x14ac:dyDescent="0.3">
      <c r="A1285">
        <v>1284</v>
      </c>
      <c r="B1285">
        <v>128</v>
      </c>
      <c r="C1285">
        <v>4</v>
      </c>
      <c r="D1285" s="1">
        <v>43073</v>
      </c>
      <c r="E1285" s="1">
        <v>43075</v>
      </c>
      <c r="F1285" s="1">
        <v>43076</v>
      </c>
      <c r="G1285">
        <v>2</v>
      </c>
      <c r="H1285">
        <v>7</v>
      </c>
    </row>
    <row r="1286" spans="1:8" x14ac:dyDescent="0.3">
      <c r="A1286">
        <v>1285</v>
      </c>
      <c r="B1286">
        <v>262</v>
      </c>
      <c r="C1286">
        <v>4</v>
      </c>
      <c r="D1286" s="1">
        <v>43073</v>
      </c>
      <c r="E1286" s="1">
        <v>43076</v>
      </c>
      <c r="F1286" s="1">
        <v>43076</v>
      </c>
      <c r="G1286">
        <v>2</v>
      </c>
      <c r="H1286">
        <v>7</v>
      </c>
    </row>
    <row r="1287" spans="1:8" x14ac:dyDescent="0.3">
      <c r="A1287">
        <v>1286</v>
      </c>
      <c r="B1287">
        <v>1033</v>
      </c>
      <c r="C1287">
        <v>4</v>
      </c>
      <c r="D1287" s="1">
        <v>43073</v>
      </c>
      <c r="E1287" s="1">
        <v>43076</v>
      </c>
      <c r="F1287" s="1">
        <v>43075</v>
      </c>
      <c r="G1287">
        <v>2</v>
      </c>
      <c r="H1287">
        <v>7</v>
      </c>
    </row>
    <row r="1288" spans="1:8" x14ac:dyDescent="0.3">
      <c r="A1288">
        <v>1287</v>
      </c>
      <c r="B1288">
        <v>279</v>
      </c>
      <c r="C1288">
        <v>4</v>
      </c>
      <c r="D1288" s="1">
        <v>43076</v>
      </c>
      <c r="E1288" s="1">
        <v>43079</v>
      </c>
      <c r="F1288" s="1">
        <v>43078</v>
      </c>
      <c r="G1288">
        <v>1</v>
      </c>
      <c r="H1288">
        <v>3</v>
      </c>
    </row>
    <row r="1289" spans="1:8" x14ac:dyDescent="0.3">
      <c r="A1289">
        <v>1288</v>
      </c>
      <c r="B1289">
        <v>778</v>
      </c>
      <c r="C1289">
        <v>4</v>
      </c>
      <c r="D1289" s="1">
        <v>43076</v>
      </c>
      <c r="E1289" s="1">
        <v>43079</v>
      </c>
      <c r="F1289" s="1">
        <v>43078</v>
      </c>
      <c r="G1289">
        <v>3</v>
      </c>
      <c r="H1289">
        <v>9</v>
      </c>
    </row>
    <row r="1290" spans="1:8" x14ac:dyDescent="0.3">
      <c r="A1290">
        <v>1289</v>
      </c>
      <c r="B1290">
        <v>1292</v>
      </c>
      <c r="C1290">
        <v>4</v>
      </c>
      <c r="D1290" s="1">
        <v>43077</v>
      </c>
      <c r="E1290" s="1">
        <v>43080</v>
      </c>
      <c r="F1290" s="1">
        <v>43079</v>
      </c>
      <c r="G1290">
        <v>1</v>
      </c>
      <c r="H1290">
        <v>3</v>
      </c>
    </row>
    <row r="1291" spans="1:8" x14ac:dyDescent="0.3">
      <c r="A1291">
        <v>1290</v>
      </c>
      <c r="B1291">
        <v>967</v>
      </c>
      <c r="C1291">
        <v>4</v>
      </c>
      <c r="D1291" s="1">
        <v>43077</v>
      </c>
      <c r="E1291" s="1">
        <v>43079</v>
      </c>
      <c r="F1291" s="1">
        <v>43079</v>
      </c>
      <c r="G1291">
        <v>2</v>
      </c>
      <c r="H1291">
        <v>6</v>
      </c>
    </row>
    <row r="1292" spans="1:8" x14ac:dyDescent="0.3">
      <c r="A1292">
        <v>1291</v>
      </c>
      <c r="B1292">
        <v>1284</v>
      </c>
      <c r="C1292">
        <v>4</v>
      </c>
      <c r="D1292" s="1">
        <v>43078</v>
      </c>
      <c r="E1292" s="1">
        <v>43080</v>
      </c>
      <c r="F1292" s="1">
        <v>43081</v>
      </c>
      <c r="G1292">
        <v>2</v>
      </c>
      <c r="H1292">
        <v>6</v>
      </c>
    </row>
    <row r="1293" spans="1:8" x14ac:dyDescent="0.3">
      <c r="A1293">
        <v>1292</v>
      </c>
      <c r="B1293">
        <v>285</v>
      </c>
      <c r="C1293">
        <v>4</v>
      </c>
      <c r="D1293" s="1">
        <v>43079</v>
      </c>
      <c r="E1293" s="1">
        <v>43082</v>
      </c>
      <c r="F1293" s="1">
        <v>43080</v>
      </c>
      <c r="G1293">
        <v>2</v>
      </c>
      <c r="H1293">
        <v>6</v>
      </c>
    </row>
    <row r="1294" spans="1:8" x14ac:dyDescent="0.3">
      <c r="A1294">
        <v>1293</v>
      </c>
      <c r="B1294">
        <v>1401</v>
      </c>
      <c r="C1294">
        <v>4</v>
      </c>
      <c r="D1294" s="1">
        <v>43079</v>
      </c>
      <c r="E1294" s="1">
        <v>43081</v>
      </c>
      <c r="F1294" s="1">
        <v>43080</v>
      </c>
      <c r="G1294">
        <v>2</v>
      </c>
      <c r="H1294">
        <v>7</v>
      </c>
    </row>
    <row r="1295" spans="1:8" x14ac:dyDescent="0.3">
      <c r="A1295">
        <v>1294</v>
      </c>
      <c r="B1295">
        <v>947</v>
      </c>
      <c r="C1295">
        <v>4</v>
      </c>
      <c r="D1295" s="1">
        <v>43080</v>
      </c>
      <c r="E1295" s="1">
        <v>43082</v>
      </c>
      <c r="F1295" s="1">
        <v>43083</v>
      </c>
      <c r="G1295">
        <v>1</v>
      </c>
      <c r="H1295">
        <v>2</v>
      </c>
    </row>
    <row r="1296" spans="1:8" x14ac:dyDescent="0.3">
      <c r="A1296">
        <v>1295</v>
      </c>
      <c r="B1296">
        <v>37</v>
      </c>
      <c r="C1296">
        <v>4</v>
      </c>
      <c r="D1296" s="1">
        <v>43080</v>
      </c>
      <c r="E1296" s="1">
        <v>43081</v>
      </c>
      <c r="F1296" s="1">
        <v>43083</v>
      </c>
      <c r="G1296">
        <v>2</v>
      </c>
      <c r="H1296">
        <v>7</v>
      </c>
    </row>
    <row r="1297" spans="1:8" x14ac:dyDescent="0.3">
      <c r="A1297">
        <v>1296</v>
      </c>
      <c r="B1297">
        <v>231</v>
      </c>
      <c r="C1297">
        <v>4</v>
      </c>
      <c r="D1297" s="1">
        <v>43083</v>
      </c>
      <c r="E1297" s="1">
        <v>43086</v>
      </c>
      <c r="F1297" s="1">
        <v>43084</v>
      </c>
      <c r="G1297">
        <v>1</v>
      </c>
      <c r="H1297">
        <v>3</v>
      </c>
    </row>
    <row r="1298" spans="1:8" x14ac:dyDescent="0.3">
      <c r="A1298">
        <v>1297</v>
      </c>
      <c r="B1298">
        <v>108</v>
      </c>
      <c r="C1298">
        <v>4</v>
      </c>
      <c r="D1298" s="1">
        <v>43083</v>
      </c>
      <c r="E1298" s="1">
        <v>43086</v>
      </c>
      <c r="F1298" s="1">
        <v>43085</v>
      </c>
      <c r="G1298">
        <v>2</v>
      </c>
      <c r="H1298">
        <v>6</v>
      </c>
    </row>
    <row r="1299" spans="1:8" x14ac:dyDescent="0.3">
      <c r="A1299">
        <v>1298</v>
      </c>
      <c r="B1299">
        <v>533</v>
      </c>
      <c r="C1299">
        <v>4</v>
      </c>
      <c r="D1299" s="1">
        <v>43083</v>
      </c>
      <c r="E1299" s="1">
        <v>43086</v>
      </c>
      <c r="F1299" s="1">
        <v>43085</v>
      </c>
      <c r="G1299">
        <v>3</v>
      </c>
      <c r="H1299">
        <v>9</v>
      </c>
    </row>
    <row r="1300" spans="1:8" x14ac:dyDescent="0.3">
      <c r="A1300">
        <v>1299</v>
      </c>
      <c r="B1300">
        <v>1216</v>
      </c>
      <c r="C1300">
        <v>4</v>
      </c>
      <c r="D1300" s="1">
        <v>43084</v>
      </c>
      <c r="E1300" s="1">
        <v>43087</v>
      </c>
      <c r="F1300" s="1">
        <v>43085</v>
      </c>
      <c r="G1300">
        <v>1</v>
      </c>
      <c r="H1300">
        <v>2</v>
      </c>
    </row>
    <row r="1301" spans="1:8" x14ac:dyDescent="0.3">
      <c r="A1301">
        <v>1300</v>
      </c>
      <c r="B1301">
        <v>824</v>
      </c>
      <c r="C1301">
        <v>4</v>
      </c>
      <c r="D1301" s="1">
        <v>43084</v>
      </c>
      <c r="E1301" s="1">
        <v>43086</v>
      </c>
      <c r="F1301" s="1">
        <v>43086</v>
      </c>
      <c r="G1301">
        <v>2</v>
      </c>
      <c r="H1301">
        <v>6</v>
      </c>
    </row>
    <row r="1302" spans="1:8" x14ac:dyDescent="0.3">
      <c r="A1302">
        <v>1301</v>
      </c>
      <c r="B1302">
        <v>1088</v>
      </c>
      <c r="C1302">
        <v>4</v>
      </c>
      <c r="D1302" s="1">
        <v>43085</v>
      </c>
      <c r="E1302" s="1">
        <v>43088</v>
      </c>
      <c r="F1302" s="1">
        <v>43088</v>
      </c>
      <c r="G1302">
        <v>1</v>
      </c>
      <c r="H1302">
        <v>3</v>
      </c>
    </row>
    <row r="1303" spans="1:8" x14ac:dyDescent="0.3">
      <c r="A1303">
        <v>1302</v>
      </c>
      <c r="B1303">
        <v>322</v>
      </c>
      <c r="C1303">
        <v>4</v>
      </c>
      <c r="D1303" s="1">
        <v>43085</v>
      </c>
      <c r="E1303" s="1">
        <v>43087</v>
      </c>
      <c r="F1303" s="1">
        <v>43088</v>
      </c>
      <c r="G1303">
        <v>2</v>
      </c>
      <c r="H1303">
        <v>7</v>
      </c>
    </row>
    <row r="1304" spans="1:8" x14ac:dyDescent="0.3">
      <c r="A1304">
        <v>1303</v>
      </c>
      <c r="B1304">
        <v>878</v>
      </c>
      <c r="C1304">
        <v>4</v>
      </c>
      <c r="D1304" s="1">
        <v>43085</v>
      </c>
      <c r="E1304" s="1">
        <v>43088</v>
      </c>
      <c r="F1304" s="1">
        <v>43087</v>
      </c>
      <c r="G1304">
        <v>2</v>
      </c>
      <c r="H1304">
        <v>7</v>
      </c>
    </row>
    <row r="1305" spans="1:8" x14ac:dyDescent="0.3">
      <c r="A1305">
        <v>1304</v>
      </c>
      <c r="B1305">
        <v>1409</v>
      </c>
      <c r="C1305">
        <v>4</v>
      </c>
      <c r="D1305" s="1">
        <v>43085</v>
      </c>
      <c r="E1305" s="1">
        <v>43086</v>
      </c>
      <c r="F1305" s="1">
        <v>43086</v>
      </c>
      <c r="G1305">
        <v>2</v>
      </c>
      <c r="H1305">
        <v>6</v>
      </c>
    </row>
    <row r="1306" spans="1:8" x14ac:dyDescent="0.3">
      <c r="A1306">
        <v>1305</v>
      </c>
      <c r="B1306">
        <v>257</v>
      </c>
      <c r="C1306">
        <v>4</v>
      </c>
      <c r="D1306" s="1">
        <v>43086</v>
      </c>
      <c r="E1306" s="1">
        <v>43088</v>
      </c>
      <c r="F1306" s="1">
        <v>43087</v>
      </c>
      <c r="G1306">
        <v>2</v>
      </c>
      <c r="H1306">
        <v>7</v>
      </c>
    </row>
    <row r="1307" spans="1:8" x14ac:dyDescent="0.3">
      <c r="A1307">
        <v>1306</v>
      </c>
      <c r="B1307">
        <v>28</v>
      </c>
      <c r="C1307">
        <v>4</v>
      </c>
      <c r="D1307" s="1">
        <v>43089</v>
      </c>
      <c r="E1307" s="1">
        <v>43090</v>
      </c>
      <c r="F1307" s="1">
        <v>43091</v>
      </c>
      <c r="G1307">
        <v>2</v>
      </c>
      <c r="H1307">
        <v>6</v>
      </c>
    </row>
    <row r="1308" spans="1:8" x14ac:dyDescent="0.3">
      <c r="A1308">
        <v>1307</v>
      </c>
      <c r="B1308">
        <v>1384</v>
      </c>
      <c r="C1308">
        <v>4</v>
      </c>
      <c r="D1308" s="1">
        <v>43091</v>
      </c>
      <c r="E1308" s="1">
        <v>43092</v>
      </c>
      <c r="F1308" s="1">
        <v>43094</v>
      </c>
      <c r="G1308">
        <v>1</v>
      </c>
      <c r="H1308">
        <v>2</v>
      </c>
    </row>
    <row r="1309" spans="1:8" x14ac:dyDescent="0.3">
      <c r="A1309">
        <v>1308</v>
      </c>
      <c r="B1309">
        <v>713</v>
      </c>
      <c r="C1309">
        <v>4</v>
      </c>
      <c r="D1309" s="1">
        <v>43091</v>
      </c>
      <c r="E1309" s="1">
        <v>43093</v>
      </c>
      <c r="F1309" s="1">
        <v>43093</v>
      </c>
      <c r="G1309">
        <v>2</v>
      </c>
      <c r="H1309">
        <v>7</v>
      </c>
    </row>
    <row r="1310" spans="1:8" x14ac:dyDescent="0.3">
      <c r="A1310">
        <v>1309</v>
      </c>
      <c r="B1310">
        <v>821</v>
      </c>
      <c r="C1310">
        <v>4</v>
      </c>
      <c r="D1310" s="1">
        <v>43091</v>
      </c>
      <c r="E1310" s="1">
        <v>43094</v>
      </c>
      <c r="F1310" s="1">
        <v>43093</v>
      </c>
      <c r="G1310">
        <v>2</v>
      </c>
      <c r="H1310">
        <v>6</v>
      </c>
    </row>
    <row r="1311" spans="1:8" x14ac:dyDescent="0.3">
      <c r="A1311">
        <v>1310</v>
      </c>
      <c r="B1311">
        <v>444</v>
      </c>
      <c r="C1311">
        <v>4</v>
      </c>
      <c r="D1311" s="1">
        <v>43093</v>
      </c>
      <c r="E1311" s="1">
        <v>43094</v>
      </c>
      <c r="F1311" s="1">
        <v>43095</v>
      </c>
      <c r="G1311">
        <v>1</v>
      </c>
      <c r="H1311">
        <v>3</v>
      </c>
    </row>
    <row r="1312" spans="1:8" x14ac:dyDescent="0.3">
      <c r="A1312">
        <v>1311</v>
      </c>
      <c r="B1312">
        <v>1021</v>
      </c>
      <c r="C1312">
        <v>4</v>
      </c>
      <c r="D1312" s="1">
        <v>43093</v>
      </c>
      <c r="E1312" s="1">
        <v>43095</v>
      </c>
      <c r="F1312" s="1">
        <v>43096</v>
      </c>
      <c r="G1312">
        <v>2</v>
      </c>
      <c r="H1312">
        <v>6</v>
      </c>
    </row>
    <row r="1313" spans="1:8" x14ac:dyDescent="0.3">
      <c r="A1313">
        <v>1312</v>
      </c>
      <c r="B1313">
        <v>311</v>
      </c>
      <c r="C1313">
        <v>4</v>
      </c>
      <c r="D1313" s="1">
        <v>43094</v>
      </c>
      <c r="E1313" s="1">
        <v>43097</v>
      </c>
      <c r="F1313" s="1">
        <v>43095</v>
      </c>
      <c r="G1313">
        <v>1</v>
      </c>
      <c r="H1313">
        <v>3</v>
      </c>
    </row>
    <row r="1314" spans="1:8" x14ac:dyDescent="0.3">
      <c r="A1314">
        <v>1313</v>
      </c>
      <c r="B1314">
        <v>1294</v>
      </c>
      <c r="C1314">
        <v>4</v>
      </c>
      <c r="D1314" s="1">
        <v>43094</v>
      </c>
      <c r="E1314" s="1">
        <v>43096</v>
      </c>
      <c r="F1314" s="1">
        <v>43096</v>
      </c>
      <c r="G1314">
        <v>1</v>
      </c>
      <c r="H1314">
        <v>3</v>
      </c>
    </row>
    <row r="1315" spans="1:8" x14ac:dyDescent="0.3">
      <c r="A1315">
        <v>1314</v>
      </c>
      <c r="B1315">
        <v>1027</v>
      </c>
      <c r="C1315">
        <v>4</v>
      </c>
      <c r="D1315" s="1">
        <v>43094</v>
      </c>
      <c r="E1315" s="1">
        <v>43095</v>
      </c>
      <c r="F1315" s="1">
        <v>43097</v>
      </c>
      <c r="G1315">
        <v>2</v>
      </c>
      <c r="H1315">
        <v>7</v>
      </c>
    </row>
    <row r="1316" spans="1:8" x14ac:dyDescent="0.3">
      <c r="A1316">
        <v>1315</v>
      </c>
      <c r="B1316">
        <v>931</v>
      </c>
      <c r="C1316">
        <v>4</v>
      </c>
      <c r="D1316" s="1">
        <v>43094</v>
      </c>
      <c r="E1316" s="1">
        <v>43096</v>
      </c>
      <c r="F1316" s="1">
        <v>43097</v>
      </c>
      <c r="G1316">
        <v>3</v>
      </c>
      <c r="H1316">
        <v>9</v>
      </c>
    </row>
    <row r="1317" spans="1:8" x14ac:dyDescent="0.3">
      <c r="A1317">
        <v>1316</v>
      </c>
      <c r="B1317">
        <v>846</v>
      </c>
      <c r="C1317">
        <v>4</v>
      </c>
      <c r="D1317" s="1">
        <v>43095</v>
      </c>
      <c r="E1317" s="1">
        <v>43098</v>
      </c>
      <c r="F1317" s="1">
        <v>43096</v>
      </c>
      <c r="G1317">
        <v>1</v>
      </c>
      <c r="H1317">
        <v>3</v>
      </c>
    </row>
    <row r="1318" spans="1:8" x14ac:dyDescent="0.3">
      <c r="A1318">
        <v>1317</v>
      </c>
      <c r="B1318">
        <v>418</v>
      </c>
      <c r="C1318">
        <v>4</v>
      </c>
      <c r="D1318" s="1">
        <v>43096</v>
      </c>
      <c r="E1318" s="1">
        <v>43097</v>
      </c>
      <c r="F1318" s="1">
        <v>43098</v>
      </c>
      <c r="G1318">
        <v>1</v>
      </c>
      <c r="H1318">
        <v>3</v>
      </c>
    </row>
    <row r="1319" spans="1:8" x14ac:dyDescent="0.3">
      <c r="A1319">
        <v>1318</v>
      </c>
      <c r="B1319">
        <v>75</v>
      </c>
      <c r="C1319">
        <v>4</v>
      </c>
      <c r="D1319" s="1">
        <v>43096</v>
      </c>
      <c r="E1319" s="1">
        <v>43099</v>
      </c>
      <c r="F1319" s="1">
        <v>43098</v>
      </c>
      <c r="G1319">
        <v>2</v>
      </c>
      <c r="H1319">
        <v>6</v>
      </c>
    </row>
    <row r="1320" spans="1:8" x14ac:dyDescent="0.3">
      <c r="A1320">
        <v>1319</v>
      </c>
      <c r="B1320">
        <v>604</v>
      </c>
      <c r="C1320">
        <v>4</v>
      </c>
      <c r="D1320" s="1">
        <v>43096</v>
      </c>
      <c r="E1320" s="1">
        <v>43099</v>
      </c>
      <c r="F1320" s="1">
        <v>43099</v>
      </c>
      <c r="G1320">
        <v>2</v>
      </c>
      <c r="H1320">
        <v>6</v>
      </c>
    </row>
    <row r="1321" spans="1:8" x14ac:dyDescent="0.3">
      <c r="A1321">
        <v>1320</v>
      </c>
      <c r="B1321">
        <v>244</v>
      </c>
      <c r="C1321">
        <v>4</v>
      </c>
      <c r="D1321" s="1">
        <v>43097</v>
      </c>
      <c r="E1321" s="1">
        <v>43099</v>
      </c>
      <c r="F1321" s="1">
        <v>43098</v>
      </c>
      <c r="G1321">
        <v>1</v>
      </c>
      <c r="H1321">
        <v>3</v>
      </c>
    </row>
    <row r="1322" spans="1:8" x14ac:dyDescent="0.3">
      <c r="A1322">
        <v>1321</v>
      </c>
      <c r="B1322">
        <v>217</v>
      </c>
      <c r="C1322">
        <v>4</v>
      </c>
      <c r="D1322" s="1">
        <v>43099</v>
      </c>
      <c r="E1322" s="1">
        <v>43100</v>
      </c>
      <c r="F1322" s="1">
        <v>43100</v>
      </c>
      <c r="G1322">
        <v>1</v>
      </c>
      <c r="H1322">
        <v>3</v>
      </c>
    </row>
    <row r="1323" spans="1:8" x14ac:dyDescent="0.3">
      <c r="A1323">
        <v>1322</v>
      </c>
      <c r="B1323">
        <v>39</v>
      </c>
      <c r="C1323">
        <v>4</v>
      </c>
      <c r="D1323" s="1">
        <v>43100</v>
      </c>
      <c r="E1323" s="1">
        <v>43103</v>
      </c>
      <c r="F1323" s="1">
        <v>43102</v>
      </c>
      <c r="G1323">
        <v>2</v>
      </c>
      <c r="H1323">
        <v>7</v>
      </c>
    </row>
    <row r="1324" spans="1:8" x14ac:dyDescent="0.3">
      <c r="A1324">
        <v>1323</v>
      </c>
      <c r="B1324">
        <v>273</v>
      </c>
      <c r="C1324">
        <v>4</v>
      </c>
      <c r="D1324" s="1">
        <v>43100</v>
      </c>
      <c r="E1324" s="1">
        <v>43101</v>
      </c>
      <c r="F1324" s="1">
        <v>43101</v>
      </c>
      <c r="G1324">
        <v>2</v>
      </c>
      <c r="H1324">
        <v>6</v>
      </c>
    </row>
    <row r="1325" spans="1:8" x14ac:dyDescent="0.3">
      <c r="A1325">
        <v>1324</v>
      </c>
      <c r="B1325">
        <v>862</v>
      </c>
      <c r="C1325">
        <v>4</v>
      </c>
      <c r="D1325" s="1">
        <v>43101</v>
      </c>
      <c r="E1325" s="1">
        <v>43104</v>
      </c>
      <c r="F1325" s="1">
        <v>43103</v>
      </c>
      <c r="G1325">
        <v>2</v>
      </c>
      <c r="H1325">
        <v>6</v>
      </c>
    </row>
    <row r="1326" spans="1:8" x14ac:dyDescent="0.3">
      <c r="A1326">
        <v>1325</v>
      </c>
      <c r="B1326">
        <v>68</v>
      </c>
      <c r="C1326">
        <v>4</v>
      </c>
      <c r="D1326" s="1">
        <v>43101</v>
      </c>
      <c r="E1326" s="1">
        <v>43102</v>
      </c>
      <c r="F1326" s="1">
        <v>43103</v>
      </c>
      <c r="G1326">
        <v>3</v>
      </c>
      <c r="H1326">
        <v>8</v>
      </c>
    </row>
    <row r="1327" spans="1:8" x14ac:dyDescent="0.3">
      <c r="A1327">
        <v>1326</v>
      </c>
      <c r="B1327">
        <v>567</v>
      </c>
      <c r="C1327">
        <v>4</v>
      </c>
      <c r="D1327" s="1">
        <v>43101</v>
      </c>
      <c r="E1327" s="1">
        <v>43103</v>
      </c>
      <c r="F1327" s="1">
        <v>43102</v>
      </c>
      <c r="G1327">
        <v>3</v>
      </c>
      <c r="H1327">
        <v>9</v>
      </c>
    </row>
    <row r="1328" spans="1:8" x14ac:dyDescent="0.3">
      <c r="A1328">
        <v>1327</v>
      </c>
      <c r="B1328">
        <v>1026</v>
      </c>
      <c r="C1328">
        <v>4</v>
      </c>
      <c r="D1328" s="1">
        <v>43102</v>
      </c>
      <c r="E1328" s="1">
        <v>43103</v>
      </c>
      <c r="F1328" s="1">
        <v>43105</v>
      </c>
      <c r="G1328">
        <v>2</v>
      </c>
      <c r="H1328">
        <v>6</v>
      </c>
    </row>
    <row r="1329" spans="1:8" x14ac:dyDescent="0.3">
      <c r="A1329">
        <v>1328</v>
      </c>
      <c r="B1329">
        <v>1083</v>
      </c>
      <c r="C1329">
        <v>4</v>
      </c>
      <c r="D1329" s="1">
        <v>43102</v>
      </c>
      <c r="E1329" s="1">
        <v>43103</v>
      </c>
      <c r="F1329" s="1">
        <v>43103</v>
      </c>
      <c r="G1329">
        <v>2</v>
      </c>
      <c r="H1329">
        <v>6</v>
      </c>
    </row>
    <row r="1330" spans="1:8" x14ac:dyDescent="0.3">
      <c r="A1330">
        <v>1329</v>
      </c>
      <c r="B1330">
        <v>443</v>
      </c>
      <c r="C1330">
        <v>4</v>
      </c>
      <c r="D1330" s="1">
        <v>43104</v>
      </c>
      <c r="E1330" s="1">
        <v>43105</v>
      </c>
      <c r="F1330" s="1">
        <v>43106</v>
      </c>
      <c r="G1330">
        <v>1</v>
      </c>
      <c r="H1330">
        <v>3</v>
      </c>
    </row>
    <row r="1331" spans="1:8" x14ac:dyDescent="0.3">
      <c r="A1331">
        <v>1330</v>
      </c>
      <c r="B1331">
        <v>761</v>
      </c>
      <c r="C1331">
        <v>4</v>
      </c>
      <c r="D1331" s="1">
        <v>43104</v>
      </c>
      <c r="E1331" s="1">
        <v>43105</v>
      </c>
      <c r="F1331" s="1">
        <v>43107</v>
      </c>
      <c r="G1331">
        <v>2</v>
      </c>
      <c r="H1331">
        <v>7</v>
      </c>
    </row>
    <row r="1332" spans="1:8" x14ac:dyDescent="0.3">
      <c r="A1332">
        <v>1331</v>
      </c>
      <c r="B1332">
        <v>1122</v>
      </c>
      <c r="C1332">
        <v>4</v>
      </c>
      <c r="D1332" s="1">
        <v>43105</v>
      </c>
      <c r="E1332" s="1">
        <v>43106</v>
      </c>
      <c r="F1332" s="1">
        <v>43108</v>
      </c>
      <c r="G1332">
        <v>2</v>
      </c>
      <c r="H1332">
        <v>6</v>
      </c>
    </row>
    <row r="1333" spans="1:8" x14ac:dyDescent="0.3">
      <c r="A1333">
        <v>1332</v>
      </c>
      <c r="B1333">
        <v>256</v>
      </c>
      <c r="C1333">
        <v>4</v>
      </c>
      <c r="D1333" s="1">
        <v>43106</v>
      </c>
      <c r="E1333" s="1">
        <v>43107</v>
      </c>
      <c r="F1333" s="1">
        <v>43109</v>
      </c>
      <c r="G1333">
        <v>2</v>
      </c>
      <c r="H1333">
        <v>7</v>
      </c>
    </row>
    <row r="1334" spans="1:8" x14ac:dyDescent="0.3">
      <c r="A1334">
        <v>1333</v>
      </c>
      <c r="B1334">
        <v>203</v>
      </c>
      <c r="C1334">
        <v>4</v>
      </c>
      <c r="D1334" s="1">
        <v>43106</v>
      </c>
      <c r="E1334" s="1">
        <v>43107</v>
      </c>
      <c r="F1334" s="1">
        <v>43107</v>
      </c>
      <c r="G1334">
        <v>3</v>
      </c>
      <c r="H1334">
        <v>8</v>
      </c>
    </row>
    <row r="1335" spans="1:8" x14ac:dyDescent="0.3">
      <c r="A1335">
        <v>1334</v>
      </c>
      <c r="B1335">
        <v>425</v>
      </c>
      <c r="C1335">
        <v>4</v>
      </c>
      <c r="D1335" s="1">
        <v>43107</v>
      </c>
      <c r="E1335" s="1">
        <v>43109</v>
      </c>
      <c r="F1335" s="1">
        <v>43110</v>
      </c>
      <c r="G1335">
        <v>2</v>
      </c>
      <c r="H1335">
        <v>6</v>
      </c>
    </row>
    <row r="1336" spans="1:8" x14ac:dyDescent="0.3">
      <c r="A1336">
        <v>1335</v>
      </c>
      <c r="B1336">
        <v>955</v>
      </c>
      <c r="C1336">
        <v>4</v>
      </c>
      <c r="D1336" s="1">
        <v>43107</v>
      </c>
      <c r="E1336" s="1">
        <v>43108</v>
      </c>
      <c r="F1336" s="1">
        <v>43108</v>
      </c>
      <c r="G1336">
        <v>2</v>
      </c>
      <c r="H1336">
        <v>7</v>
      </c>
    </row>
    <row r="1337" spans="1:8" x14ac:dyDescent="0.3">
      <c r="A1337">
        <v>1336</v>
      </c>
      <c r="B1337">
        <v>904</v>
      </c>
      <c r="C1337">
        <v>4</v>
      </c>
      <c r="D1337" s="1">
        <v>43109</v>
      </c>
      <c r="E1337" s="1">
        <v>43110</v>
      </c>
      <c r="F1337" s="1">
        <v>43112</v>
      </c>
      <c r="G1337">
        <v>1</v>
      </c>
      <c r="H1337">
        <v>2</v>
      </c>
    </row>
    <row r="1338" spans="1:8" x14ac:dyDescent="0.3">
      <c r="A1338">
        <v>1337</v>
      </c>
      <c r="B1338">
        <v>970</v>
      </c>
      <c r="C1338">
        <v>4</v>
      </c>
      <c r="D1338" s="1">
        <v>43109</v>
      </c>
      <c r="E1338" s="1">
        <v>43112</v>
      </c>
      <c r="F1338" s="1">
        <v>43112</v>
      </c>
      <c r="G1338">
        <v>2</v>
      </c>
      <c r="H1338">
        <v>7</v>
      </c>
    </row>
    <row r="1339" spans="1:8" x14ac:dyDescent="0.3">
      <c r="A1339">
        <v>1338</v>
      </c>
      <c r="B1339">
        <v>905</v>
      </c>
      <c r="C1339">
        <v>4</v>
      </c>
      <c r="D1339" s="1">
        <v>43110</v>
      </c>
      <c r="E1339" s="1">
        <v>43111</v>
      </c>
      <c r="F1339" s="1">
        <v>43113</v>
      </c>
      <c r="G1339">
        <v>2</v>
      </c>
      <c r="H1339">
        <v>6</v>
      </c>
    </row>
    <row r="1340" spans="1:8" x14ac:dyDescent="0.3">
      <c r="A1340">
        <v>1339</v>
      </c>
      <c r="B1340">
        <v>580</v>
      </c>
      <c r="C1340">
        <v>4</v>
      </c>
      <c r="D1340" s="1">
        <v>43111</v>
      </c>
      <c r="E1340" s="1">
        <v>43114</v>
      </c>
      <c r="F1340" s="1">
        <v>43113</v>
      </c>
      <c r="G1340">
        <v>1</v>
      </c>
      <c r="H1340">
        <v>3</v>
      </c>
    </row>
    <row r="1341" spans="1:8" x14ac:dyDescent="0.3">
      <c r="A1341">
        <v>1340</v>
      </c>
      <c r="B1341">
        <v>1066</v>
      </c>
      <c r="C1341">
        <v>4</v>
      </c>
      <c r="D1341" s="1">
        <v>43112</v>
      </c>
      <c r="E1341" s="1">
        <v>43113</v>
      </c>
      <c r="F1341" s="1">
        <v>43113</v>
      </c>
      <c r="G1341">
        <v>1</v>
      </c>
      <c r="H1341">
        <v>3</v>
      </c>
    </row>
    <row r="1342" spans="1:8" x14ac:dyDescent="0.3">
      <c r="A1342">
        <v>1341</v>
      </c>
      <c r="B1342">
        <v>1258</v>
      </c>
      <c r="C1342">
        <v>4</v>
      </c>
      <c r="D1342" s="1">
        <v>43112</v>
      </c>
      <c r="E1342" s="1">
        <v>43113</v>
      </c>
      <c r="F1342" s="1">
        <v>43114</v>
      </c>
      <c r="G1342">
        <v>2</v>
      </c>
      <c r="H1342">
        <v>7</v>
      </c>
    </row>
    <row r="1343" spans="1:8" x14ac:dyDescent="0.3">
      <c r="A1343">
        <v>1342</v>
      </c>
      <c r="B1343">
        <v>1393</v>
      </c>
      <c r="C1343">
        <v>4</v>
      </c>
      <c r="D1343" s="1">
        <v>43112</v>
      </c>
      <c r="E1343" s="1">
        <v>43113</v>
      </c>
      <c r="F1343" s="1">
        <v>43115</v>
      </c>
      <c r="G1343">
        <v>2</v>
      </c>
      <c r="H1343">
        <v>7</v>
      </c>
    </row>
    <row r="1344" spans="1:8" x14ac:dyDescent="0.3">
      <c r="A1344">
        <v>1343</v>
      </c>
      <c r="B1344">
        <v>594</v>
      </c>
      <c r="C1344">
        <v>4</v>
      </c>
      <c r="D1344" s="1">
        <v>43113</v>
      </c>
      <c r="E1344" s="1">
        <v>43115</v>
      </c>
      <c r="F1344" s="1">
        <v>43114</v>
      </c>
      <c r="G1344">
        <v>2</v>
      </c>
      <c r="H1344">
        <v>6</v>
      </c>
    </row>
    <row r="1345" spans="1:8" x14ac:dyDescent="0.3">
      <c r="A1345">
        <v>1344</v>
      </c>
      <c r="B1345">
        <v>916</v>
      </c>
      <c r="C1345">
        <v>4</v>
      </c>
      <c r="D1345" s="1">
        <v>43113</v>
      </c>
      <c r="E1345" s="1">
        <v>43116</v>
      </c>
      <c r="F1345" s="1">
        <v>43115</v>
      </c>
      <c r="G1345">
        <v>2</v>
      </c>
      <c r="H1345">
        <v>6</v>
      </c>
    </row>
    <row r="1346" spans="1:8" x14ac:dyDescent="0.3">
      <c r="A1346">
        <v>1345</v>
      </c>
      <c r="B1346">
        <v>1037</v>
      </c>
      <c r="C1346">
        <v>4</v>
      </c>
      <c r="D1346" s="1">
        <v>43114</v>
      </c>
      <c r="E1346" s="1">
        <v>43115</v>
      </c>
      <c r="F1346" s="1">
        <v>43115</v>
      </c>
      <c r="G1346">
        <v>2</v>
      </c>
      <c r="H1346">
        <v>6</v>
      </c>
    </row>
    <row r="1347" spans="1:8" x14ac:dyDescent="0.3">
      <c r="A1347">
        <v>1346</v>
      </c>
      <c r="B1347">
        <v>136</v>
      </c>
      <c r="C1347">
        <v>4</v>
      </c>
      <c r="D1347" s="1">
        <v>43114</v>
      </c>
      <c r="E1347" s="1">
        <v>43115</v>
      </c>
      <c r="F1347" s="1">
        <v>43115</v>
      </c>
      <c r="G1347">
        <v>3</v>
      </c>
      <c r="H1347">
        <v>8</v>
      </c>
    </row>
    <row r="1348" spans="1:8" x14ac:dyDescent="0.3">
      <c r="A1348">
        <v>1347</v>
      </c>
      <c r="B1348">
        <v>247</v>
      </c>
      <c r="C1348">
        <v>4</v>
      </c>
      <c r="D1348" s="1">
        <v>43115</v>
      </c>
      <c r="E1348" s="1">
        <v>43118</v>
      </c>
      <c r="F1348" s="1">
        <v>43118</v>
      </c>
      <c r="G1348">
        <v>1</v>
      </c>
      <c r="H1348">
        <v>2</v>
      </c>
    </row>
    <row r="1349" spans="1:8" x14ac:dyDescent="0.3">
      <c r="A1349">
        <v>1348</v>
      </c>
      <c r="B1349">
        <v>1214</v>
      </c>
      <c r="C1349">
        <v>4</v>
      </c>
      <c r="D1349" s="1">
        <v>43115</v>
      </c>
      <c r="E1349" s="1">
        <v>43117</v>
      </c>
      <c r="F1349" s="1">
        <v>43117</v>
      </c>
      <c r="G1349">
        <v>1</v>
      </c>
      <c r="H1349">
        <v>2</v>
      </c>
    </row>
    <row r="1350" spans="1:8" x14ac:dyDescent="0.3">
      <c r="A1350">
        <v>1349</v>
      </c>
      <c r="B1350">
        <v>464</v>
      </c>
      <c r="C1350">
        <v>4</v>
      </c>
      <c r="D1350" s="1">
        <v>43115</v>
      </c>
      <c r="E1350" s="1">
        <v>43117</v>
      </c>
      <c r="F1350" s="1">
        <v>43116</v>
      </c>
      <c r="G1350">
        <v>2</v>
      </c>
      <c r="H1350">
        <v>6</v>
      </c>
    </row>
    <row r="1351" spans="1:8" x14ac:dyDescent="0.3">
      <c r="A1351">
        <v>1350</v>
      </c>
      <c r="B1351">
        <v>637</v>
      </c>
      <c r="C1351">
        <v>4</v>
      </c>
      <c r="D1351" s="1">
        <v>43115</v>
      </c>
      <c r="E1351" s="1">
        <v>43118</v>
      </c>
      <c r="F1351" s="1">
        <v>43117</v>
      </c>
      <c r="G1351">
        <v>2</v>
      </c>
      <c r="H1351">
        <v>7</v>
      </c>
    </row>
    <row r="1352" spans="1:8" x14ac:dyDescent="0.3">
      <c r="A1352">
        <v>1351</v>
      </c>
      <c r="B1352">
        <v>1016</v>
      </c>
      <c r="C1352">
        <v>4</v>
      </c>
      <c r="D1352" s="1">
        <v>43116</v>
      </c>
      <c r="E1352" s="1">
        <v>43119</v>
      </c>
      <c r="F1352" s="1">
        <v>43119</v>
      </c>
      <c r="G1352">
        <v>2</v>
      </c>
      <c r="H1352">
        <v>7</v>
      </c>
    </row>
    <row r="1353" spans="1:8" x14ac:dyDescent="0.3">
      <c r="A1353">
        <v>1352</v>
      </c>
      <c r="B1353">
        <v>1433</v>
      </c>
      <c r="C1353">
        <v>4</v>
      </c>
      <c r="D1353" s="1">
        <v>43116</v>
      </c>
      <c r="E1353" s="1">
        <v>43118</v>
      </c>
      <c r="F1353" s="1">
        <v>43118</v>
      </c>
      <c r="G1353">
        <v>2</v>
      </c>
      <c r="H1353">
        <v>6</v>
      </c>
    </row>
    <row r="1354" spans="1:8" x14ac:dyDescent="0.3">
      <c r="A1354">
        <v>1353</v>
      </c>
      <c r="B1354">
        <v>502</v>
      </c>
      <c r="C1354">
        <v>4</v>
      </c>
      <c r="D1354" s="1">
        <v>43117</v>
      </c>
      <c r="E1354" s="1">
        <v>43119</v>
      </c>
      <c r="F1354" s="1">
        <v>43118</v>
      </c>
      <c r="G1354">
        <v>2</v>
      </c>
      <c r="H1354">
        <v>6</v>
      </c>
    </row>
    <row r="1355" spans="1:8" x14ac:dyDescent="0.3">
      <c r="A1355">
        <v>1354</v>
      </c>
      <c r="B1355">
        <v>476</v>
      </c>
      <c r="C1355">
        <v>4</v>
      </c>
      <c r="D1355" s="1">
        <v>43119</v>
      </c>
      <c r="E1355" s="1">
        <v>43120</v>
      </c>
      <c r="F1355" s="1">
        <v>43121</v>
      </c>
      <c r="G1355">
        <v>1</v>
      </c>
      <c r="H1355">
        <v>3</v>
      </c>
    </row>
    <row r="1356" spans="1:8" x14ac:dyDescent="0.3">
      <c r="A1356">
        <v>1355</v>
      </c>
      <c r="B1356">
        <v>1010</v>
      </c>
      <c r="C1356">
        <v>4</v>
      </c>
      <c r="D1356" s="1">
        <v>43119</v>
      </c>
      <c r="E1356" s="1">
        <v>43121</v>
      </c>
      <c r="F1356" s="1">
        <v>43120</v>
      </c>
      <c r="G1356">
        <v>2</v>
      </c>
      <c r="H1356">
        <v>7</v>
      </c>
    </row>
    <row r="1357" spans="1:8" x14ac:dyDescent="0.3">
      <c r="A1357">
        <v>1356</v>
      </c>
      <c r="B1357">
        <v>1161</v>
      </c>
      <c r="C1357">
        <v>4</v>
      </c>
      <c r="D1357" s="1">
        <v>43119</v>
      </c>
      <c r="E1357" s="1">
        <v>43121</v>
      </c>
      <c r="F1357" s="1">
        <v>43122</v>
      </c>
      <c r="G1357">
        <v>2</v>
      </c>
      <c r="H1357">
        <v>6</v>
      </c>
    </row>
    <row r="1358" spans="1:8" x14ac:dyDescent="0.3">
      <c r="A1358">
        <v>1357</v>
      </c>
      <c r="B1358">
        <v>440</v>
      </c>
      <c r="C1358">
        <v>4</v>
      </c>
      <c r="D1358" s="1">
        <v>43120</v>
      </c>
      <c r="E1358" s="1">
        <v>43123</v>
      </c>
      <c r="F1358" s="1">
        <v>43121</v>
      </c>
      <c r="G1358">
        <v>2</v>
      </c>
      <c r="H1358">
        <v>6</v>
      </c>
    </row>
    <row r="1359" spans="1:8" x14ac:dyDescent="0.3">
      <c r="A1359">
        <v>1358</v>
      </c>
      <c r="B1359">
        <v>253</v>
      </c>
      <c r="C1359">
        <v>4</v>
      </c>
      <c r="D1359" s="1">
        <v>43121</v>
      </c>
      <c r="E1359" s="1">
        <v>43123</v>
      </c>
      <c r="F1359" s="1">
        <v>43124</v>
      </c>
      <c r="G1359">
        <v>1</v>
      </c>
      <c r="H1359">
        <v>2</v>
      </c>
    </row>
    <row r="1360" spans="1:8" x14ac:dyDescent="0.3">
      <c r="A1360">
        <v>1359</v>
      </c>
      <c r="B1360">
        <v>1008</v>
      </c>
      <c r="C1360">
        <v>4</v>
      </c>
      <c r="D1360" s="1">
        <v>43121</v>
      </c>
      <c r="E1360" s="1">
        <v>43122</v>
      </c>
      <c r="F1360" s="1">
        <v>43122</v>
      </c>
      <c r="G1360">
        <v>3</v>
      </c>
      <c r="H1360">
        <v>9</v>
      </c>
    </row>
    <row r="1361" spans="1:8" x14ac:dyDescent="0.3">
      <c r="A1361">
        <v>1360</v>
      </c>
      <c r="B1361">
        <v>71</v>
      </c>
      <c r="C1361">
        <v>4</v>
      </c>
      <c r="D1361" s="1">
        <v>43122</v>
      </c>
      <c r="E1361" s="1">
        <v>43125</v>
      </c>
      <c r="F1361" s="1">
        <v>43124</v>
      </c>
      <c r="G1361">
        <v>2</v>
      </c>
      <c r="H1361">
        <v>6</v>
      </c>
    </row>
    <row r="1362" spans="1:8" x14ac:dyDescent="0.3">
      <c r="A1362">
        <v>1361</v>
      </c>
      <c r="B1362">
        <v>1084</v>
      </c>
      <c r="C1362">
        <v>4</v>
      </c>
      <c r="D1362" s="1">
        <v>43122</v>
      </c>
      <c r="E1362" s="1">
        <v>43124</v>
      </c>
      <c r="F1362" s="1">
        <v>43123</v>
      </c>
      <c r="G1362">
        <v>2</v>
      </c>
      <c r="H1362">
        <v>7</v>
      </c>
    </row>
    <row r="1363" spans="1:8" x14ac:dyDescent="0.3">
      <c r="A1363">
        <v>1362</v>
      </c>
      <c r="B1363">
        <v>310</v>
      </c>
      <c r="C1363">
        <v>4</v>
      </c>
      <c r="D1363" s="1">
        <v>43123</v>
      </c>
      <c r="E1363" s="1">
        <v>43124</v>
      </c>
      <c r="F1363" s="1">
        <v>43125</v>
      </c>
      <c r="G1363">
        <v>2</v>
      </c>
      <c r="H1363">
        <v>6</v>
      </c>
    </row>
    <row r="1364" spans="1:8" x14ac:dyDescent="0.3">
      <c r="A1364">
        <v>1363</v>
      </c>
      <c r="B1364">
        <v>860</v>
      </c>
      <c r="C1364">
        <v>4</v>
      </c>
      <c r="D1364" s="1">
        <v>43124</v>
      </c>
      <c r="E1364" s="1">
        <v>43125</v>
      </c>
      <c r="F1364" s="1">
        <v>43125</v>
      </c>
      <c r="G1364">
        <v>2</v>
      </c>
      <c r="H1364">
        <v>6</v>
      </c>
    </row>
    <row r="1365" spans="1:8" x14ac:dyDescent="0.3">
      <c r="A1365">
        <v>1364</v>
      </c>
      <c r="B1365">
        <v>122</v>
      </c>
      <c r="C1365">
        <v>4</v>
      </c>
      <c r="D1365" s="1">
        <v>43125</v>
      </c>
      <c r="E1365" s="1">
        <v>43128</v>
      </c>
      <c r="F1365" s="1">
        <v>43128</v>
      </c>
      <c r="G1365">
        <v>2</v>
      </c>
      <c r="H1365">
        <v>6</v>
      </c>
    </row>
    <row r="1366" spans="1:8" x14ac:dyDescent="0.3">
      <c r="A1366">
        <v>1365</v>
      </c>
      <c r="B1366">
        <v>689</v>
      </c>
      <c r="C1366">
        <v>4</v>
      </c>
      <c r="D1366" s="1">
        <v>43125</v>
      </c>
      <c r="E1366" s="1">
        <v>43128</v>
      </c>
      <c r="F1366" s="1">
        <v>43127</v>
      </c>
      <c r="G1366">
        <v>2</v>
      </c>
      <c r="H1366">
        <v>7</v>
      </c>
    </row>
    <row r="1367" spans="1:8" x14ac:dyDescent="0.3">
      <c r="A1367">
        <v>1366</v>
      </c>
      <c r="B1367">
        <v>1441</v>
      </c>
      <c r="C1367">
        <v>4</v>
      </c>
      <c r="D1367" s="1">
        <v>43126</v>
      </c>
      <c r="E1367" s="1">
        <v>43127</v>
      </c>
      <c r="F1367" s="1">
        <v>43128</v>
      </c>
      <c r="G1367">
        <v>2</v>
      </c>
      <c r="H1367">
        <v>6</v>
      </c>
    </row>
    <row r="1368" spans="1:8" x14ac:dyDescent="0.3">
      <c r="A1368">
        <v>1367</v>
      </c>
      <c r="B1368">
        <v>1118</v>
      </c>
      <c r="C1368">
        <v>4</v>
      </c>
      <c r="D1368" s="1">
        <v>43127</v>
      </c>
      <c r="E1368" s="1">
        <v>43128</v>
      </c>
      <c r="F1368" s="1">
        <v>43128</v>
      </c>
      <c r="G1368">
        <v>1</v>
      </c>
      <c r="H1368">
        <v>3</v>
      </c>
    </row>
    <row r="1369" spans="1:8" x14ac:dyDescent="0.3">
      <c r="A1369">
        <v>1368</v>
      </c>
      <c r="B1369">
        <v>765</v>
      </c>
      <c r="C1369">
        <v>4</v>
      </c>
      <c r="D1369" s="1">
        <v>43127</v>
      </c>
      <c r="E1369" s="1">
        <v>43128</v>
      </c>
      <c r="F1369" s="1">
        <v>43129</v>
      </c>
      <c r="G1369">
        <v>2</v>
      </c>
      <c r="H1369">
        <v>6</v>
      </c>
    </row>
    <row r="1370" spans="1:8" x14ac:dyDescent="0.3">
      <c r="A1370">
        <v>1369</v>
      </c>
      <c r="B1370">
        <v>92</v>
      </c>
      <c r="C1370">
        <v>4</v>
      </c>
      <c r="D1370" s="1">
        <v>43128</v>
      </c>
      <c r="E1370" s="1">
        <v>43130</v>
      </c>
      <c r="F1370" s="1">
        <v>43130</v>
      </c>
      <c r="G1370">
        <v>2</v>
      </c>
      <c r="H1370">
        <v>6</v>
      </c>
    </row>
    <row r="1371" spans="1:8" x14ac:dyDescent="0.3">
      <c r="A1371">
        <v>1370</v>
      </c>
      <c r="B1371">
        <v>115</v>
      </c>
      <c r="C1371">
        <v>4</v>
      </c>
      <c r="D1371" s="1">
        <v>43128</v>
      </c>
      <c r="E1371" s="1">
        <v>43129</v>
      </c>
      <c r="F1371" s="1">
        <v>43129</v>
      </c>
      <c r="G1371">
        <v>2</v>
      </c>
      <c r="H1371">
        <v>7</v>
      </c>
    </row>
    <row r="1372" spans="1:8" x14ac:dyDescent="0.3">
      <c r="A1372">
        <v>1371</v>
      </c>
      <c r="B1372">
        <v>937</v>
      </c>
      <c r="C1372">
        <v>4</v>
      </c>
      <c r="D1372" s="1">
        <v>43129</v>
      </c>
      <c r="E1372" s="1">
        <v>43130</v>
      </c>
      <c r="F1372" s="1">
        <v>43132</v>
      </c>
      <c r="G1372">
        <v>2</v>
      </c>
      <c r="H1372">
        <v>7</v>
      </c>
    </row>
    <row r="1373" spans="1:8" x14ac:dyDescent="0.3">
      <c r="A1373">
        <v>1372</v>
      </c>
      <c r="B1373">
        <v>1013</v>
      </c>
      <c r="C1373">
        <v>4</v>
      </c>
      <c r="D1373" s="1">
        <v>43129</v>
      </c>
      <c r="E1373" s="1">
        <v>43132</v>
      </c>
      <c r="F1373" s="1">
        <v>43130</v>
      </c>
      <c r="G1373">
        <v>2</v>
      </c>
      <c r="H1373">
        <v>6</v>
      </c>
    </row>
    <row r="1374" spans="1:8" x14ac:dyDescent="0.3">
      <c r="A1374">
        <v>1373</v>
      </c>
      <c r="B1374">
        <v>427</v>
      </c>
      <c r="C1374">
        <v>4</v>
      </c>
      <c r="D1374" s="1">
        <v>43129</v>
      </c>
      <c r="E1374" s="1">
        <v>43131</v>
      </c>
      <c r="F1374" s="1">
        <v>43131</v>
      </c>
      <c r="G1374">
        <v>3</v>
      </c>
      <c r="H1374">
        <v>9</v>
      </c>
    </row>
    <row r="1375" spans="1:8" x14ac:dyDescent="0.3">
      <c r="A1375">
        <v>1374</v>
      </c>
      <c r="B1375">
        <v>1330</v>
      </c>
      <c r="C1375">
        <v>4</v>
      </c>
      <c r="D1375" s="1">
        <v>43130</v>
      </c>
      <c r="E1375" s="1">
        <v>43132</v>
      </c>
      <c r="F1375" s="1">
        <v>43132</v>
      </c>
      <c r="G1375">
        <v>1</v>
      </c>
      <c r="H1375">
        <v>3</v>
      </c>
    </row>
    <row r="1376" spans="1:8" x14ac:dyDescent="0.3">
      <c r="A1376">
        <v>1375</v>
      </c>
      <c r="B1376">
        <v>312</v>
      </c>
      <c r="C1376">
        <v>4</v>
      </c>
      <c r="D1376" s="1">
        <v>43130</v>
      </c>
      <c r="E1376" s="1">
        <v>43132</v>
      </c>
      <c r="F1376" s="1">
        <v>43132</v>
      </c>
      <c r="G1376">
        <v>3</v>
      </c>
      <c r="H1376">
        <v>8</v>
      </c>
    </row>
    <row r="1377" spans="1:8" x14ac:dyDescent="0.3">
      <c r="A1377">
        <v>1376</v>
      </c>
      <c r="B1377">
        <v>1186</v>
      </c>
      <c r="C1377">
        <v>4</v>
      </c>
      <c r="D1377" s="1">
        <v>43132</v>
      </c>
      <c r="E1377" s="1">
        <v>43133</v>
      </c>
      <c r="F1377" s="1">
        <v>43134</v>
      </c>
      <c r="G1377">
        <v>1</v>
      </c>
      <c r="H1377">
        <v>2</v>
      </c>
    </row>
    <row r="1378" spans="1:8" x14ac:dyDescent="0.3">
      <c r="A1378">
        <v>1377</v>
      </c>
      <c r="B1378">
        <v>1007</v>
      </c>
      <c r="C1378">
        <v>4</v>
      </c>
      <c r="D1378" s="1">
        <v>43132</v>
      </c>
      <c r="E1378" s="1">
        <v>43134</v>
      </c>
      <c r="F1378" s="1">
        <v>43134</v>
      </c>
      <c r="G1378">
        <v>2</v>
      </c>
      <c r="H1378">
        <v>7</v>
      </c>
    </row>
    <row r="1379" spans="1:8" x14ac:dyDescent="0.3">
      <c r="A1379">
        <v>1378</v>
      </c>
      <c r="B1379">
        <v>983</v>
      </c>
      <c r="C1379">
        <v>4</v>
      </c>
      <c r="D1379" s="1">
        <v>43133</v>
      </c>
      <c r="E1379" s="1">
        <v>43136</v>
      </c>
      <c r="F1379" s="1">
        <v>43135</v>
      </c>
      <c r="G1379">
        <v>1</v>
      </c>
      <c r="H1379">
        <v>2</v>
      </c>
    </row>
    <row r="1380" spans="1:8" x14ac:dyDescent="0.3">
      <c r="A1380">
        <v>1379</v>
      </c>
      <c r="B1380">
        <v>1256</v>
      </c>
      <c r="C1380">
        <v>4</v>
      </c>
      <c r="D1380" s="1">
        <v>43133</v>
      </c>
      <c r="E1380" s="1">
        <v>43136</v>
      </c>
      <c r="F1380" s="1">
        <v>43136</v>
      </c>
      <c r="G1380">
        <v>2</v>
      </c>
      <c r="H1380">
        <v>6</v>
      </c>
    </row>
    <row r="1381" spans="1:8" x14ac:dyDescent="0.3">
      <c r="A1381">
        <v>1380</v>
      </c>
      <c r="B1381">
        <v>818</v>
      </c>
      <c r="C1381">
        <v>4</v>
      </c>
      <c r="D1381" s="1">
        <v>43136</v>
      </c>
      <c r="E1381" s="1">
        <v>43139</v>
      </c>
      <c r="F1381" s="1">
        <v>43139</v>
      </c>
      <c r="G1381">
        <v>1</v>
      </c>
      <c r="H1381">
        <v>3</v>
      </c>
    </row>
    <row r="1382" spans="1:8" x14ac:dyDescent="0.3">
      <c r="A1382">
        <v>1381</v>
      </c>
      <c r="B1382">
        <v>680</v>
      </c>
      <c r="C1382">
        <v>4</v>
      </c>
      <c r="D1382" s="1">
        <v>43136</v>
      </c>
      <c r="E1382" s="1">
        <v>43137</v>
      </c>
      <c r="F1382" s="1">
        <v>43139</v>
      </c>
      <c r="G1382">
        <v>2</v>
      </c>
      <c r="H1382">
        <v>7</v>
      </c>
    </row>
    <row r="1383" spans="1:8" x14ac:dyDescent="0.3">
      <c r="A1383">
        <v>1382</v>
      </c>
      <c r="B1383">
        <v>1303</v>
      </c>
      <c r="C1383">
        <v>4</v>
      </c>
      <c r="D1383" s="1">
        <v>43137</v>
      </c>
      <c r="E1383" s="1">
        <v>43140</v>
      </c>
      <c r="F1383" s="1">
        <v>43139</v>
      </c>
      <c r="G1383">
        <v>2</v>
      </c>
      <c r="H1383">
        <v>6</v>
      </c>
    </row>
    <row r="1384" spans="1:8" x14ac:dyDescent="0.3">
      <c r="A1384">
        <v>1383</v>
      </c>
      <c r="B1384">
        <v>488</v>
      </c>
      <c r="C1384">
        <v>4</v>
      </c>
      <c r="D1384" s="1">
        <v>43138</v>
      </c>
      <c r="E1384" s="1">
        <v>43139</v>
      </c>
      <c r="F1384" s="1">
        <v>43139</v>
      </c>
      <c r="G1384">
        <v>1</v>
      </c>
      <c r="H1384">
        <v>3</v>
      </c>
    </row>
    <row r="1385" spans="1:8" x14ac:dyDescent="0.3">
      <c r="A1385">
        <v>1384</v>
      </c>
      <c r="B1385">
        <v>1126</v>
      </c>
      <c r="C1385">
        <v>4</v>
      </c>
      <c r="D1385" s="1">
        <v>43139</v>
      </c>
      <c r="E1385" s="1">
        <v>43141</v>
      </c>
      <c r="F1385" s="1">
        <v>43140</v>
      </c>
      <c r="G1385">
        <v>2</v>
      </c>
      <c r="H1385">
        <v>7</v>
      </c>
    </row>
    <row r="1386" spans="1:8" x14ac:dyDescent="0.3">
      <c r="A1386">
        <v>1385</v>
      </c>
      <c r="B1386">
        <v>866</v>
      </c>
      <c r="C1386">
        <v>4</v>
      </c>
      <c r="D1386" s="1">
        <v>43139</v>
      </c>
      <c r="E1386" s="1">
        <v>43142</v>
      </c>
      <c r="F1386" s="1">
        <v>43140</v>
      </c>
      <c r="G1386">
        <v>3</v>
      </c>
      <c r="H1386">
        <v>9</v>
      </c>
    </row>
    <row r="1387" spans="1:8" x14ac:dyDescent="0.3">
      <c r="A1387">
        <v>1386</v>
      </c>
      <c r="B1387">
        <v>1254</v>
      </c>
      <c r="C1387">
        <v>4</v>
      </c>
      <c r="D1387" s="1">
        <v>43140</v>
      </c>
      <c r="E1387" s="1">
        <v>43141</v>
      </c>
      <c r="F1387" s="1">
        <v>43142</v>
      </c>
      <c r="G1387">
        <v>1</v>
      </c>
      <c r="H1387">
        <v>2</v>
      </c>
    </row>
    <row r="1388" spans="1:8" x14ac:dyDescent="0.3">
      <c r="A1388">
        <v>1387</v>
      </c>
      <c r="B1388">
        <v>11</v>
      </c>
      <c r="C1388">
        <v>4</v>
      </c>
      <c r="D1388" s="1">
        <v>43140</v>
      </c>
      <c r="E1388" s="1">
        <v>43142</v>
      </c>
      <c r="F1388" s="1">
        <v>43142</v>
      </c>
      <c r="G1388">
        <v>2</v>
      </c>
      <c r="H1388">
        <v>7</v>
      </c>
    </row>
    <row r="1389" spans="1:8" x14ac:dyDescent="0.3">
      <c r="A1389">
        <v>1388</v>
      </c>
      <c r="B1389">
        <v>323</v>
      </c>
      <c r="C1389">
        <v>4</v>
      </c>
      <c r="D1389" s="1">
        <v>43140</v>
      </c>
      <c r="E1389" s="1">
        <v>43143</v>
      </c>
      <c r="F1389" s="1">
        <v>43143</v>
      </c>
      <c r="G1389">
        <v>2</v>
      </c>
      <c r="H1389">
        <v>7</v>
      </c>
    </row>
    <row r="1390" spans="1:8" x14ac:dyDescent="0.3">
      <c r="A1390">
        <v>1389</v>
      </c>
      <c r="B1390">
        <v>491</v>
      </c>
      <c r="C1390">
        <v>4</v>
      </c>
      <c r="D1390" s="1">
        <v>43142</v>
      </c>
      <c r="E1390" s="1">
        <v>43143</v>
      </c>
      <c r="F1390" s="1">
        <v>43145</v>
      </c>
      <c r="G1390">
        <v>2</v>
      </c>
      <c r="H1390">
        <v>7</v>
      </c>
    </row>
    <row r="1391" spans="1:8" x14ac:dyDescent="0.3">
      <c r="A1391">
        <v>1390</v>
      </c>
      <c r="B1391">
        <v>63</v>
      </c>
      <c r="C1391">
        <v>4</v>
      </c>
      <c r="D1391" s="1">
        <v>43143</v>
      </c>
      <c r="E1391" s="1">
        <v>43144</v>
      </c>
      <c r="F1391" s="1">
        <v>43144</v>
      </c>
      <c r="G1391">
        <v>2</v>
      </c>
      <c r="H1391">
        <v>7</v>
      </c>
    </row>
    <row r="1392" spans="1:8" x14ac:dyDescent="0.3">
      <c r="A1392">
        <v>1391</v>
      </c>
      <c r="B1392">
        <v>914</v>
      </c>
      <c r="C1392">
        <v>4</v>
      </c>
      <c r="D1392" s="1">
        <v>43144</v>
      </c>
      <c r="E1392" s="1">
        <v>43145</v>
      </c>
      <c r="F1392" s="1">
        <v>43145</v>
      </c>
      <c r="G1392">
        <v>2</v>
      </c>
      <c r="H1392">
        <v>7</v>
      </c>
    </row>
    <row r="1393" spans="1:8" x14ac:dyDescent="0.3">
      <c r="A1393">
        <v>1392</v>
      </c>
      <c r="B1393">
        <v>1187</v>
      </c>
      <c r="C1393">
        <v>4</v>
      </c>
      <c r="D1393" s="1">
        <v>43144</v>
      </c>
      <c r="E1393" s="1">
        <v>43145</v>
      </c>
      <c r="F1393" s="1">
        <v>43145</v>
      </c>
      <c r="G1393">
        <v>2</v>
      </c>
      <c r="H1393">
        <v>6</v>
      </c>
    </row>
    <row r="1394" spans="1:8" x14ac:dyDescent="0.3">
      <c r="A1394">
        <v>1393</v>
      </c>
      <c r="B1394">
        <v>547</v>
      </c>
      <c r="C1394">
        <v>4</v>
      </c>
      <c r="D1394" s="1">
        <v>43145</v>
      </c>
      <c r="E1394" s="1">
        <v>43146</v>
      </c>
      <c r="F1394" s="1">
        <v>43146</v>
      </c>
      <c r="G1394">
        <v>2</v>
      </c>
      <c r="H1394">
        <v>7</v>
      </c>
    </row>
    <row r="1395" spans="1:8" x14ac:dyDescent="0.3">
      <c r="A1395">
        <v>1394</v>
      </c>
      <c r="B1395">
        <v>906</v>
      </c>
      <c r="C1395">
        <v>4</v>
      </c>
      <c r="D1395" s="1">
        <v>43145</v>
      </c>
      <c r="E1395" s="1">
        <v>43147</v>
      </c>
      <c r="F1395" s="1">
        <v>43147</v>
      </c>
      <c r="G1395">
        <v>3</v>
      </c>
      <c r="H1395">
        <v>8</v>
      </c>
    </row>
    <row r="1396" spans="1:8" x14ac:dyDescent="0.3">
      <c r="A1396">
        <v>1395</v>
      </c>
      <c r="B1396">
        <v>1052</v>
      </c>
      <c r="C1396">
        <v>4</v>
      </c>
      <c r="D1396" s="1">
        <v>43146</v>
      </c>
      <c r="E1396" s="1">
        <v>43149</v>
      </c>
      <c r="F1396" s="1">
        <v>43147</v>
      </c>
      <c r="G1396">
        <v>1</v>
      </c>
      <c r="H1396">
        <v>3</v>
      </c>
    </row>
    <row r="1397" spans="1:8" x14ac:dyDescent="0.3">
      <c r="A1397">
        <v>1396</v>
      </c>
      <c r="B1397">
        <v>856</v>
      </c>
      <c r="C1397">
        <v>4</v>
      </c>
      <c r="D1397" s="1">
        <v>43146</v>
      </c>
      <c r="E1397" s="1">
        <v>43149</v>
      </c>
      <c r="F1397" s="1">
        <v>43147</v>
      </c>
      <c r="G1397">
        <v>2</v>
      </c>
      <c r="H1397">
        <v>7</v>
      </c>
    </row>
    <row r="1398" spans="1:8" x14ac:dyDescent="0.3">
      <c r="A1398">
        <v>1397</v>
      </c>
      <c r="B1398">
        <v>920</v>
      </c>
      <c r="C1398">
        <v>4</v>
      </c>
      <c r="D1398" s="1">
        <v>43146</v>
      </c>
      <c r="E1398" s="1">
        <v>43148</v>
      </c>
      <c r="F1398" s="1">
        <v>43147</v>
      </c>
      <c r="G1398">
        <v>2</v>
      </c>
      <c r="H1398">
        <v>6</v>
      </c>
    </row>
    <row r="1399" spans="1:8" x14ac:dyDescent="0.3">
      <c r="A1399">
        <v>1398</v>
      </c>
      <c r="B1399">
        <v>1383</v>
      </c>
      <c r="C1399">
        <v>4</v>
      </c>
      <c r="D1399" s="1">
        <v>43147</v>
      </c>
      <c r="E1399" s="1">
        <v>43150</v>
      </c>
      <c r="F1399" s="1">
        <v>43150</v>
      </c>
      <c r="G1399">
        <v>1</v>
      </c>
      <c r="H1399">
        <v>3</v>
      </c>
    </row>
    <row r="1400" spans="1:8" x14ac:dyDescent="0.3">
      <c r="A1400">
        <v>1399</v>
      </c>
      <c r="B1400">
        <v>146</v>
      </c>
      <c r="C1400">
        <v>4</v>
      </c>
      <c r="D1400" s="1">
        <v>43147</v>
      </c>
      <c r="E1400" s="1">
        <v>43149</v>
      </c>
      <c r="F1400" s="1">
        <v>43149</v>
      </c>
      <c r="G1400">
        <v>2</v>
      </c>
      <c r="H1400">
        <v>6</v>
      </c>
    </row>
    <row r="1401" spans="1:8" x14ac:dyDescent="0.3">
      <c r="A1401">
        <v>1400</v>
      </c>
      <c r="B1401">
        <v>987</v>
      </c>
      <c r="C1401">
        <v>4</v>
      </c>
      <c r="D1401" s="1">
        <v>43148</v>
      </c>
      <c r="E1401" s="1">
        <v>43149</v>
      </c>
      <c r="F1401" s="1">
        <v>43149</v>
      </c>
      <c r="G1401">
        <v>2</v>
      </c>
      <c r="H1401">
        <v>6</v>
      </c>
    </row>
    <row r="1402" spans="1:8" x14ac:dyDescent="0.3">
      <c r="A1402">
        <v>1401</v>
      </c>
      <c r="B1402">
        <v>15</v>
      </c>
      <c r="C1402">
        <v>4</v>
      </c>
      <c r="D1402" s="1">
        <v>43149</v>
      </c>
      <c r="E1402" s="1">
        <v>43150</v>
      </c>
      <c r="F1402" s="1">
        <v>43151</v>
      </c>
      <c r="G1402">
        <v>2</v>
      </c>
      <c r="H1402">
        <v>7</v>
      </c>
    </row>
    <row r="1403" spans="1:8" x14ac:dyDescent="0.3">
      <c r="A1403">
        <v>1402</v>
      </c>
      <c r="B1403">
        <v>1171</v>
      </c>
      <c r="C1403">
        <v>4</v>
      </c>
      <c r="D1403" s="1">
        <v>43150</v>
      </c>
      <c r="E1403" s="1">
        <v>43152</v>
      </c>
      <c r="F1403" s="1">
        <v>43152</v>
      </c>
      <c r="G1403">
        <v>2</v>
      </c>
      <c r="H1403">
        <v>6</v>
      </c>
    </row>
    <row r="1404" spans="1:8" x14ac:dyDescent="0.3">
      <c r="A1404">
        <v>1403</v>
      </c>
      <c r="B1404">
        <v>452</v>
      </c>
      <c r="C1404">
        <v>4</v>
      </c>
      <c r="D1404" s="1">
        <v>43152</v>
      </c>
      <c r="E1404" s="1">
        <v>43153</v>
      </c>
      <c r="F1404" s="1">
        <v>43153</v>
      </c>
      <c r="G1404">
        <v>2</v>
      </c>
      <c r="H1404">
        <v>7</v>
      </c>
    </row>
    <row r="1405" spans="1:8" x14ac:dyDescent="0.3">
      <c r="A1405">
        <v>1404</v>
      </c>
      <c r="B1405">
        <v>1240</v>
      </c>
      <c r="C1405">
        <v>4</v>
      </c>
      <c r="D1405" s="1">
        <v>43154</v>
      </c>
      <c r="E1405" s="1">
        <v>43157</v>
      </c>
      <c r="F1405" s="1">
        <v>43155</v>
      </c>
      <c r="G1405">
        <v>1</v>
      </c>
      <c r="H1405">
        <v>3</v>
      </c>
    </row>
    <row r="1406" spans="1:8" x14ac:dyDescent="0.3">
      <c r="A1406">
        <v>1405</v>
      </c>
      <c r="B1406">
        <v>100</v>
      </c>
      <c r="C1406">
        <v>4</v>
      </c>
      <c r="D1406" s="1">
        <v>43156</v>
      </c>
      <c r="E1406" s="1">
        <v>43159</v>
      </c>
      <c r="F1406" s="1">
        <v>43158</v>
      </c>
      <c r="G1406">
        <v>2</v>
      </c>
      <c r="H1406">
        <v>6</v>
      </c>
    </row>
    <row r="1407" spans="1:8" x14ac:dyDescent="0.3">
      <c r="A1407">
        <v>1406</v>
      </c>
      <c r="B1407">
        <v>1053</v>
      </c>
      <c r="C1407">
        <v>4</v>
      </c>
      <c r="D1407" s="1">
        <v>43156</v>
      </c>
      <c r="E1407" s="1">
        <v>43158</v>
      </c>
      <c r="F1407" s="1">
        <v>43158</v>
      </c>
      <c r="G1407">
        <v>2</v>
      </c>
      <c r="H1407">
        <v>7</v>
      </c>
    </row>
    <row r="1408" spans="1:8" x14ac:dyDescent="0.3">
      <c r="A1408">
        <v>1407</v>
      </c>
      <c r="B1408">
        <v>18</v>
      </c>
      <c r="C1408">
        <v>3</v>
      </c>
      <c r="D1408" s="1">
        <v>43157</v>
      </c>
      <c r="E1408" s="1">
        <v>43157</v>
      </c>
      <c r="F1408" s="1">
        <v>42411</v>
      </c>
      <c r="G1408">
        <v>2</v>
      </c>
      <c r="H1408">
        <v>6</v>
      </c>
    </row>
    <row r="1409" spans="1:8" x14ac:dyDescent="0.3">
      <c r="A1409">
        <v>1408</v>
      </c>
      <c r="B1409">
        <v>1172</v>
      </c>
      <c r="C1409">
        <v>4</v>
      </c>
      <c r="D1409" s="1">
        <v>43157</v>
      </c>
      <c r="E1409" s="1">
        <v>43158</v>
      </c>
      <c r="F1409" s="1">
        <v>43160</v>
      </c>
      <c r="G1409">
        <v>2</v>
      </c>
      <c r="H1409">
        <v>6</v>
      </c>
    </row>
    <row r="1410" spans="1:8" x14ac:dyDescent="0.3">
      <c r="A1410">
        <v>1409</v>
      </c>
      <c r="B1410">
        <v>21</v>
      </c>
      <c r="C1410">
        <v>4</v>
      </c>
      <c r="D1410" s="1">
        <v>43157</v>
      </c>
      <c r="E1410" s="1">
        <v>43159</v>
      </c>
      <c r="F1410" s="1">
        <v>43159</v>
      </c>
      <c r="G1410">
        <v>3</v>
      </c>
      <c r="H1410">
        <v>8</v>
      </c>
    </row>
    <row r="1411" spans="1:8" x14ac:dyDescent="0.3">
      <c r="A1411">
        <v>1410</v>
      </c>
      <c r="B1411">
        <v>1005</v>
      </c>
      <c r="C1411">
        <v>4</v>
      </c>
      <c r="D1411" s="1">
        <v>43158</v>
      </c>
      <c r="E1411" s="1">
        <v>43159</v>
      </c>
      <c r="F1411" s="1">
        <v>43159</v>
      </c>
      <c r="G1411">
        <v>2</v>
      </c>
      <c r="H1411">
        <v>7</v>
      </c>
    </row>
    <row r="1412" spans="1:8" x14ac:dyDescent="0.3">
      <c r="A1412">
        <v>1411</v>
      </c>
      <c r="B1412">
        <v>109</v>
      </c>
      <c r="C1412">
        <v>4</v>
      </c>
      <c r="D1412" s="1">
        <v>43160</v>
      </c>
      <c r="E1412" s="1">
        <v>43161</v>
      </c>
      <c r="F1412" s="1">
        <v>43161</v>
      </c>
      <c r="G1412">
        <v>1</v>
      </c>
      <c r="H1412">
        <v>2</v>
      </c>
    </row>
    <row r="1413" spans="1:8" x14ac:dyDescent="0.3">
      <c r="A1413">
        <v>1412</v>
      </c>
      <c r="B1413">
        <v>1043</v>
      </c>
      <c r="C1413">
        <v>4</v>
      </c>
      <c r="D1413" s="1">
        <v>43160</v>
      </c>
      <c r="E1413" s="1">
        <v>43161</v>
      </c>
      <c r="F1413" s="1">
        <v>43163</v>
      </c>
      <c r="G1413">
        <v>2</v>
      </c>
      <c r="H1413">
        <v>7</v>
      </c>
    </row>
    <row r="1414" spans="1:8" x14ac:dyDescent="0.3">
      <c r="A1414">
        <v>1413</v>
      </c>
      <c r="B1414">
        <v>56</v>
      </c>
      <c r="C1414">
        <v>4</v>
      </c>
      <c r="D1414" s="1">
        <v>43160</v>
      </c>
      <c r="E1414" s="1">
        <v>43162</v>
      </c>
      <c r="F1414" s="1">
        <v>43163</v>
      </c>
      <c r="G1414">
        <v>3</v>
      </c>
      <c r="H1414">
        <v>8</v>
      </c>
    </row>
    <row r="1415" spans="1:8" x14ac:dyDescent="0.3">
      <c r="A1415">
        <v>1414</v>
      </c>
      <c r="B1415">
        <v>293</v>
      </c>
      <c r="C1415">
        <v>4</v>
      </c>
      <c r="D1415" s="1">
        <v>43162</v>
      </c>
      <c r="E1415" s="1">
        <v>43164</v>
      </c>
      <c r="F1415" s="1">
        <v>43165</v>
      </c>
      <c r="G1415">
        <v>2</v>
      </c>
      <c r="H1415">
        <v>7</v>
      </c>
    </row>
    <row r="1416" spans="1:8" x14ac:dyDescent="0.3">
      <c r="A1416">
        <v>1415</v>
      </c>
      <c r="B1416">
        <v>839</v>
      </c>
      <c r="C1416">
        <v>4</v>
      </c>
      <c r="D1416" s="1">
        <v>43162</v>
      </c>
      <c r="E1416" s="1">
        <v>43163</v>
      </c>
      <c r="F1416" s="1">
        <v>43164</v>
      </c>
      <c r="G1416">
        <v>2</v>
      </c>
      <c r="H1416">
        <v>7</v>
      </c>
    </row>
    <row r="1417" spans="1:8" x14ac:dyDescent="0.3">
      <c r="A1417">
        <v>1416</v>
      </c>
      <c r="B1417">
        <v>566</v>
      </c>
      <c r="C1417">
        <v>4</v>
      </c>
      <c r="D1417" s="1">
        <v>43162</v>
      </c>
      <c r="E1417" s="1">
        <v>43163</v>
      </c>
      <c r="F1417" s="1">
        <v>43165</v>
      </c>
      <c r="G1417">
        <v>3</v>
      </c>
      <c r="H1417">
        <v>8</v>
      </c>
    </row>
    <row r="1418" spans="1:8" x14ac:dyDescent="0.3">
      <c r="A1418">
        <v>1417</v>
      </c>
      <c r="B1418">
        <v>300</v>
      </c>
      <c r="C1418">
        <v>4</v>
      </c>
      <c r="D1418" s="1">
        <v>43163</v>
      </c>
      <c r="E1418" s="1">
        <v>43165</v>
      </c>
      <c r="F1418" s="1">
        <v>43166</v>
      </c>
      <c r="G1418">
        <v>1</v>
      </c>
      <c r="H1418">
        <v>2</v>
      </c>
    </row>
    <row r="1419" spans="1:8" x14ac:dyDescent="0.3">
      <c r="A1419">
        <v>1418</v>
      </c>
      <c r="B1419">
        <v>364</v>
      </c>
      <c r="C1419">
        <v>4</v>
      </c>
      <c r="D1419" s="1">
        <v>43163</v>
      </c>
      <c r="E1419" s="1">
        <v>43164</v>
      </c>
      <c r="F1419" s="1">
        <v>43166</v>
      </c>
      <c r="G1419">
        <v>2</v>
      </c>
      <c r="H1419">
        <v>6</v>
      </c>
    </row>
    <row r="1420" spans="1:8" x14ac:dyDescent="0.3">
      <c r="A1420">
        <v>1419</v>
      </c>
      <c r="B1420">
        <v>474</v>
      </c>
      <c r="C1420">
        <v>4</v>
      </c>
      <c r="D1420" s="1">
        <v>43163</v>
      </c>
      <c r="E1420" s="1">
        <v>43166</v>
      </c>
      <c r="F1420" s="1">
        <v>43166</v>
      </c>
      <c r="G1420">
        <v>2</v>
      </c>
      <c r="H1420">
        <v>6</v>
      </c>
    </row>
    <row r="1421" spans="1:8" x14ac:dyDescent="0.3">
      <c r="A1421">
        <v>1420</v>
      </c>
      <c r="B1421">
        <v>838</v>
      </c>
      <c r="C1421">
        <v>4</v>
      </c>
      <c r="D1421" s="1">
        <v>43163</v>
      </c>
      <c r="E1421" s="1">
        <v>43164</v>
      </c>
      <c r="F1421" s="1">
        <v>43166</v>
      </c>
      <c r="G1421">
        <v>2</v>
      </c>
      <c r="H1421">
        <v>7</v>
      </c>
    </row>
    <row r="1422" spans="1:8" x14ac:dyDescent="0.3">
      <c r="A1422">
        <v>1421</v>
      </c>
      <c r="B1422">
        <v>1176</v>
      </c>
      <c r="C1422">
        <v>4</v>
      </c>
      <c r="D1422" s="1">
        <v>43164</v>
      </c>
      <c r="E1422" s="1">
        <v>43166</v>
      </c>
      <c r="F1422" s="1">
        <v>43166</v>
      </c>
      <c r="G1422">
        <v>2</v>
      </c>
      <c r="H1422">
        <v>7</v>
      </c>
    </row>
    <row r="1423" spans="1:8" x14ac:dyDescent="0.3">
      <c r="A1423">
        <v>1422</v>
      </c>
      <c r="B1423">
        <v>599</v>
      </c>
      <c r="C1423">
        <v>4</v>
      </c>
      <c r="D1423" s="1">
        <v>43164</v>
      </c>
      <c r="E1423" s="1">
        <v>43165</v>
      </c>
      <c r="F1423" s="1">
        <v>43167</v>
      </c>
      <c r="G1423">
        <v>3</v>
      </c>
      <c r="H1423">
        <v>8</v>
      </c>
    </row>
    <row r="1424" spans="1:8" x14ac:dyDescent="0.3">
      <c r="A1424">
        <v>1423</v>
      </c>
      <c r="B1424">
        <v>1231</v>
      </c>
      <c r="C1424">
        <v>4</v>
      </c>
      <c r="D1424" s="1">
        <v>43165</v>
      </c>
      <c r="E1424" s="1">
        <v>43166</v>
      </c>
      <c r="F1424" s="1">
        <v>43166</v>
      </c>
      <c r="G1424">
        <v>1</v>
      </c>
      <c r="H1424">
        <v>2</v>
      </c>
    </row>
    <row r="1425" spans="1:8" x14ac:dyDescent="0.3">
      <c r="A1425">
        <v>1424</v>
      </c>
      <c r="B1425">
        <v>1445</v>
      </c>
      <c r="C1425">
        <v>4</v>
      </c>
      <c r="D1425" s="1">
        <v>43166</v>
      </c>
      <c r="E1425" s="1">
        <v>43169</v>
      </c>
      <c r="F1425" s="1">
        <v>43169</v>
      </c>
      <c r="G1425">
        <v>1</v>
      </c>
      <c r="H1425">
        <v>2</v>
      </c>
    </row>
    <row r="1426" spans="1:8" x14ac:dyDescent="0.3">
      <c r="A1426">
        <v>1425</v>
      </c>
      <c r="B1426">
        <v>126</v>
      </c>
      <c r="C1426">
        <v>4</v>
      </c>
      <c r="D1426" s="1">
        <v>43166</v>
      </c>
      <c r="E1426" s="1">
        <v>43168</v>
      </c>
      <c r="F1426" s="1">
        <v>43168</v>
      </c>
      <c r="G1426">
        <v>2</v>
      </c>
      <c r="H1426">
        <v>6</v>
      </c>
    </row>
    <row r="1427" spans="1:8" x14ac:dyDescent="0.3">
      <c r="A1427">
        <v>1426</v>
      </c>
      <c r="B1427">
        <v>938</v>
      </c>
      <c r="C1427">
        <v>4</v>
      </c>
      <c r="D1427" s="1">
        <v>43166</v>
      </c>
      <c r="E1427" s="1">
        <v>43167</v>
      </c>
      <c r="F1427" s="1">
        <v>43169</v>
      </c>
      <c r="G1427">
        <v>2</v>
      </c>
      <c r="H1427">
        <v>6</v>
      </c>
    </row>
    <row r="1428" spans="1:8" x14ac:dyDescent="0.3">
      <c r="A1428">
        <v>1427</v>
      </c>
      <c r="B1428">
        <v>999</v>
      </c>
      <c r="C1428">
        <v>4</v>
      </c>
      <c r="D1428" s="1">
        <v>43166</v>
      </c>
      <c r="E1428" s="1">
        <v>43167</v>
      </c>
      <c r="F1428" s="1">
        <v>43167</v>
      </c>
      <c r="G1428">
        <v>2</v>
      </c>
      <c r="H1428">
        <v>6</v>
      </c>
    </row>
    <row r="1429" spans="1:8" x14ac:dyDescent="0.3">
      <c r="A1429">
        <v>1428</v>
      </c>
      <c r="B1429">
        <v>195</v>
      </c>
      <c r="C1429">
        <v>4</v>
      </c>
      <c r="D1429" s="1">
        <v>43167</v>
      </c>
      <c r="E1429" s="1">
        <v>43169</v>
      </c>
      <c r="F1429" s="1">
        <v>43170</v>
      </c>
      <c r="G1429">
        <v>2</v>
      </c>
      <c r="H1429">
        <v>7</v>
      </c>
    </row>
    <row r="1430" spans="1:8" x14ac:dyDescent="0.3">
      <c r="A1430">
        <v>1429</v>
      </c>
      <c r="B1430">
        <v>1116</v>
      </c>
      <c r="C1430">
        <v>4</v>
      </c>
      <c r="D1430" s="1">
        <v>43167</v>
      </c>
      <c r="E1430" s="1">
        <v>43168</v>
      </c>
      <c r="F1430" s="1">
        <v>43168</v>
      </c>
      <c r="G1430">
        <v>2</v>
      </c>
      <c r="H1430">
        <v>6</v>
      </c>
    </row>
    <row r="1431" spans="1:8" x14ac:dyDescent="0.3">
      <c r="A1431">
        <v>1430</v>
      </c>
      <c r="B1431">
        <v>1239</v>
      </c>
      <c r="C1431">
        <v>4</v>
      </c>
      <c r="D1431" s="1">
        <v>43169</v>
      </c>
      <c r="E1431" s="1">
        <v>43172</v>
      </c>
      <c r="F1431" s="1">
        <v>43170</v>
      </c>
      <c r="G1431">
        <v>2</v>
      </c>
      <c r="H1431">
        <v>7</v>
      </c>
    </row>
    <row r="1432" spans="1:8" x14ac:dyDescent="0.3">
      <c r="A1432">
        <v>1431</v>
      </c>
      <c r="B1432">
        <v>308</v>
      </c>
      <c r="C1432">
        <v>4</v>
      </c>
      <c r="D1432" s="1">
        <v>43170</v>
      </c>
      <c r="E1432" s="1">
        <v>43171</v>
      </c>
      <c r="F1432" s="1">
        <v>43173</v>
      </c>
      <c r="G1432">
        <v>2</v>
      </c>
      <c r="H1432">
        <v>6</v>
      </c>
    </row>
    <row r="1433" spans="1:8" x14ac:dyDescent="0.3">
      <c r="A1433">
        <v>1432</v>
      </c>
      <c r="B1433">
        <v>483</v>
      </c>
      <c r="C1433">
        <v>4</v>
      </c>
      <c r="D1433" s="1">
        <v>43170</v>
      </c>
      <c r="E1433" s="1">
        <v>43171</v>
      </c>
      <c r="F1433" s="1">
        <v>43173</v>
      </c>
      <c r="G1433">
        <v>2</v>
      </c>
      <c r="H1433">
        <v>6</v>
      </c>
    </row>
    <row r="1434" spans="1:8" x14ac:dyDescent="0.3">
      <c r="A1434">
        <v>1433</v>
      </c>
      <c r="B1434">
        <v>1142</v>
      </c>
      <c r="C1434">
        <v>4</v>
      </c>
      <c r="D1434" s="1">
        <v>43170</v>
      </c>
      <c r="E1434" s="1">
        <v>43172</v>
      </c>
      <c r="F1434" s="1">
        <v>43171</v>
      </c>
      <c r="G1434">
        <v>2</v>
      </c>
      <c r="H1434">
        <v>7</v>
      </c>
    </row>
    <row r="1435" spans="1:8" x14ac:dyDescent="0.3">
      <c r="A1435">
        <v>1434</v>
      </c>
      <c r="B1435">
        <v>595</v>
      </c>
      <c r="C1435">
        <v>4</v>
      </c>
      <c r="D1435" s="1">
        <v>43173</v>
      </c>
      <c r="E1435" s="1">
        <v>43175</v>
      </c>
      <c r="F1435" s="1">
        <v>43175</v>
      </c>
      <c r="G1435">
        <v>2</v>
      </c>
      <c r="H1435">
        <v>6</v>
      </c>
    </row>
    <row r="1436" spans="1:8" x14ac:dyDescent="0.3">
      <c r="A1436">
        <v>1435</v>
      </c>
      <c r="B1436">
        <v>744</v>
      </c>
      <c r="C1436">
        <v>4</v>
      </c>
      <c r="D1436" s="1">
        <v>43173</v>
      </c>
      <c r="E1436" s="1">
        <v>43174</v>
      </c>
      <c r="F1436" s="1">
        <v>43175</v>
      </c>
      <c r="G1436">
        <v>2</v>
      </c>
      <c r="H1436">
        <v>6</v>
      </c>
    </row>
    <row r="1437" spans="1:8" x14ac:dyDescent="0.3">
      <c r="A1437">
        <v>1436</v>
      </c>
      <c r="B1437">
        <v>1044</v>
      </c>
      <c r="C1437">
        <v>4</v>
      </c>
      <c r="D1437" s="1">
        <v>43173</v>
      </c>
      <c r="E1437" s="1">
        <v>43176</v>
      </c>
      <c r="F1437" s="1">
        <v>43175</v>
      </c>
      <c r="G1437">
        <v>2</v>
      </c>
      <c r="H1437">
        <v>6</v>
      </c>
    </row>
    <row r="1438" spans="1:8" x14ac:dyDescent="0.3">
      <c r="A1438">
        <v>1437</v>
      </c>
      <c r="B1438">
        <v>518</v>
      </c>
      <c r="C1438">
        <v>4</v>
      </c>
      <c r="D1438" s="1">
        <v>43174</v>
      </c>
      <c r="E1438" s="1">
        <v>43175</v>
      </c>
      <c r="F1438" s="1">
        <v>43175</v>
      </c>
      <c r="G1438">
        <v>1</v>
      </c>
      <c r="H1438">
        <v>2</v>
      </c>
    </row>
    <row r="1439" spans="1:8" x14ac:dyDescent="0.3">
      <c r="A1439">
        <v>1438</v>
      </c>
      <c r="B1439">
        <v>263</v>
      </c>
      <c r="C1439">
        <v>4</v>
      </c>
      <c r="D1439" s="1">
        <v>43174</v>
      </c>
      <c r="E1439" s="1">
        <v>43176</v>
      </c>
      <c r="F1439" s="1">
        <v>43175</v>
      </c>
      <c r="G1439">
        <v>2</v>
      </c>
      <c r="H1439">
        <v>6</v>
      </c>
    </row>
    <row r="1440" spans="1:8" x14ac:dyDescent="0.3">
      <c r="A1440">
        <v>1439</v>
      </c>
      <c r="B1440">
        <v>463</v>
      </c>
      <c r="C1440">
        <v>4</v>
      </c>
      <c r="D1440" s="1">
        <v>43174</v>
      </c>
      <c r="E1440" s="1">
        <v>43175</v>
      </c>
      <c r="F1440" s="1">
        <v>43176</v>
      </c>
      <c r="G1440">
        <v>2</v>
      </c>
      <c r="H1440">
        <v>7</v>
      </c>
    </row>
    <row r="1441" spans="1:8" x14ac:dyDescent="0.3">
      <c r="A1441">
        <v>1440</v>
      </c>
      <c r="B1441">
        <v>859</v>
      </c>
      <c r="C1441">
        <v>4</v>
      </c>
      <c r="D1441" s="1">
        <v>43174</v>
      </c>
      <c r="E1441" s="1">
        <v>43177</v>
      </c>
      <c r="F1441" s="1">
        <v>43175</v>
      </c>
      <c r="G1441">
        <v>3</v>
      </c>
      <c r="H1441">
        <v>8</v>
      </c>
    </row>
    <row r="1442" spans="1:8" x14ac:dyDescent="0.3">
      <c r="A1442">
        <v>1441</v>
      </c>
      <c r="B1442">
        <v>982</v>
      </c>
      <c r="C1442">
        <v>4</v>
      </c>
      <c r="D1442" s="1">
        <v>43174</v>
      </c>
      <c r="E1442" s="1">
        <v>43175</v>
      </c>
      <c r="F1442" s="1">
        <v>43177</v>
      </c>
      <c r="G1442">
        <v>3</v>
      </c>
      <c r="H1442">
        <v>8</v>
      </c>
    </row>
    <row r="1443" spans="1:8" x14ac:dyDescent="0.3">
      <c r="A1443">
        <v>1442</v>
      </c>
      <c r="B1443">
        <v>478</v>
      </c>
      <c r="C1443">
        <v>4</v>
      </c>
      <c r="D1443" s="1">
        <v>43175</v>
      </c>
      <c r="E1443" s="1">
        <v>43176</v>
      </c>
      <c r="F1443" s="1">
        <v>43176</v>
      </c>
      <c r="G1443">
        <v>2</v>
      </c>
      <c r="H1443">
        <v>7</v>
      </c>
    </row>
    <row r="1444" spans="1:8" x14ac:dyDescent="0.3">
      <c r="A1444">
        <v>1443</v>
      </c>
      <c r="B1444">
        <v>972</v>
      </c>
      <c r="C1444">
        <v>4</v>
      </c>
      <c r="D1444" s="1">
        <v>43175</v>
      </c>
      <c r="E1444" s="1">
        <v>43176</v>
      </c>
      <c r="F1444" s="1">
        <v>43176</v>
      </c>
      <c r="G1444">
        <v>2</v>
      </c>
      <c r="H1444">
        <v>7</v>
      </c>
    </row>
    <row r="1445" spans="1:8" x14ac:dyDescent="0.3">
      <c r="A1445">
        <v>1444</v>
      </c>
      <c r="B1445">
        <v>1154</v>
      </c>
      <c r="C1445">
        <v>4</v>
      </c>
      <c r="D1445" s="1">
        <v>43175</v>
      </c>
      <c r="E1445" s="1">
        <v>43176</v>
      </c>
      <c r="F1445" s="1">
        <v>43178</v>
      </c>
      <c r="G1445">
        <v>2</v>
      </c>
      <c r="H1445">
        <v>6</v>
      </c>
    </row>
    <row r="1446" spans="1:8" x14ac:dyDescent="0.3">
      <c r="A1446">
        <v>1445</v>
      </c>
      <c r="B1446">
        <v>515</v>
      </c>
      <c r="C1446">
        <v>4</v>
      </c>
      <c r="D1446" s="1">
        <v>43176</v>
      </c>
      <c r="E1446" s="1">
        <v>43177</v>
      </c>
      <c r="F1446" s="1">
        <v>43179</v>
      </c>
      <c r="G1446">
        <v>2</v>
      </c>
      <c r="H1446">
        <v>7</v>
      </c>
    </row>
    <row r="1447" spans="1:8" x14ac:dyDescent="0.3">
      <c r="A1447">
        <v>1446</v>
      </c>
      <c r="B1447">
        <v>820</v>
      </c>
      <c r="C1447">
        <v>4</v>
      </c>
      <c r="D1447" s="1">
        <v>43176</v>
      </c>
      <c r="E1447" s="1">
        <v>43177</v>
      </c>
      <c r="F1447" s="1">
        <v>43177</v>
      </c>
      <c r="G1447">
        <v>2</v>
      </c>
      <c r="H1447">
        <v>6</v>
      </c>
    </row>
    <row r="1448" spans="1:8" x14ac:dyDescent="0.3">
      <c r="A1448">
        <v>1447</v>
      </c>
      <c r="B1448">
        <v>1419</v>
      </c>
      <c r="C1448">
        <v>4</v>
      </c>
      <c r="D1448" s="1">
        <v>43177</v>
      </c>
      <c r="E1448" s="1">
        <v>43179</v>
      </c>
      <c r="F1448" s="1">
        <v>43179</v>
      </c>
      <c r="G1448">
        <v>1</v>
      </c>
      <c r="H1448">
        <v>3</v>
      </c>
    </row>
    <row r="1449" spans="1:8" x14ac:dyDescent="0.3">
      <c r="A1449">
        <v>1448</v>
      </c>
      <c r="B1449">
        <v>228</v>
      </c>
      <c r="C1449">
        <v>4</v>
      </c>
      <c r="D1449" s="1">
        <v>43177</v>
      </c>
      <c r="E1449" s="1">
        <v>43178</v>
      </c>
      <c r="F1449" s="1">
        <v>43180</v>
      </c>
      <c r="G1449">
        <v>2</v>
      </c>
      <c r="H1449">
        <v>6</v>
      </c>
    </row>
    <row r="1450" spans="1:8" x14ac:dyDescent="0.3">
      <c r="A1450">
        <v>1449</v>
      </c>
      <c r="B1450">
        <v>330</v>
      </c>
      <c r="C1450">
        <v>4</v>
      </c>
      <c r="D1450" s="1">
        <v>43177</v>
      </c>
      <c r="E1450" s="1">
        <v>43178</v>
      </c>
      <c r="F1450" s="1">
        <v>43179</v>
      </c>
      <c r="G1450">
        <v>2</v>
      </c>
      <c r="H1450">
        <v>7</v>
      </c>
    </row>
    <row r="1451" spans="1:8" x14ac:dyDescent="0.3">
      <c r="A1451">
        <v>1450</v>
      </c>
      <c r="B1451">
        <v>296</v>
      </c>
      <c r="C1451">
        <v>4</v>
      </c>
      <c r="D1451" s="1">
        <v>43178</v>
      </c>
      <c r="E1451" s="1">
        <v>43179</v>
      </c>
      <c r="F1451" s="1">
        <v>43181</v>
      </c>
      <c r="G1451">
        <v>2</v>
      </c>
      <c r="H1451">
        <v>7</v>
      </c>
    </row>
    <row r="1452" spans="1:8" x14ac:dyDescent="0.3">
      <c r="A1452">
        <v>1451</v>
      </c>
      <c r="B1452">
        <v>822</v>
      </c>
      <c r="C1452">
        <v>4</v>
      </c>
      <c r="D1452" s="1">
        <v>43178</v>
      </c>
      <c r="E1452" s="1">
        <v>43181</v>
      </c>
      <c r="F1452" s="1">
        <v>43179</v>
      </c>
      <c r="G1452">
        <v>2</v>
      </c>
      <c r="H1452">
        <v>6</v>
      </c>
    </row>
    <row r="1453" spans="1:8" x14ac:dyDescent="0.3">
      <c r="A1453">
        <v>1452</v>
      </c>
      <c r="B1453">
        <v>287</v>
      </c>
      <c r="C1453">
        <v>4</v>
      </c>
      <c r="D1453" s="1">
        <v>43179</v>
      </c>
      <c r="E1453" s="1">
        <v>43182</v>
      </c>
      <c r="F1453" s="1">
        <v>43182</v>
      </c>
      <c r="G1453">
        <v>1</v>
      </c>
      <c r="H1453">
        <v>3</v>
      </c>
    </row>
    <row r="1454" spans="1:8" x14ac:dyDescent="0.3">
      <c r="A1454">
        <v>1453</v>
      </c>
      <c r="B1454">
        <v>601</v>
      </c>
      <c r="C1454">
        <v>4</v>
      </c>
      <c r="D1454" s="1">
        <v>43179</v>
      </c>
      <c r="E1454" s="1">
        <v>43182</v>
      </c>
      <c r="F1454" s="1">
        <v>43181</v>
      </c>
      <c r="G1454">
        <v>1</v>
      </c>
      <c r="H1454">
        <v>3</v>
      </c>
    </row>
    <row r="1455" spans="1:8" x14ac:dyDescent="0.3">
      <c r="A1455">
        <v>1454</v>
      </c>
      <c r="B1455">
        <v>395</v>
      </c>
      <c r="C1455">
        <v>4</v>
      </c>
      <c r="D1455" s="1">
        <v>43179</v>
      </c>
      <c r="E1455" s="1">
        <v>43180</v>
      </c>
      <c r="F1455" s="1">
        <v>43181</v>
      </c>
      <c r="G1455">
        <v>2</v>
      </c>
      <c r="H1455">
        <v>6</v>
      </c>
    </row>
    <row r="1456" spans="1:8" x14ac:dyDescent="0.3">
      <c r="A1456">
        <v>1455</v>
      </c>
      <c r="B1456">
        <v>405</v>
      </c>
      <c r="C1456">
        <v>4</v>
      </c>
      <c r="D1456" s="1">
        <v>43179</v>
      </c>
      <c r="E1456" s="1">
        <v>43181</v>
      </c>
      <c r="F1456" s="1">
        <v>43180</v>
      </c>
      <c r="G1456">
        <v>2</v>
      </c>
      <c r="H1456">
        <v>6</v>
      </c>
    </row>
    <row r="1457" spans="1:8" x14ac:dyDescent="0.3">
      <c r="A1457">
        <v>1456</v>
      </c>
      <c r="B1457">
        <v>754</v>
      </c>
      <c r="C1457">
        <v>4</v>
      </c>
      <c r="D1457" s="1">
        <v>43179</v>
      </c>
      <c r="E1457" s="1">
        <v>43180</v>
      </c>
      <c r="F1457" s="1">
        <v>43182</v>
      </c>
      <c r="G1457">
        <v>2</v>
      </c>
      <c r="H1457">
        <v>7</v>
      </c>
    </row>
    <row r="1458" spans="1:8" x14ac:dyDescent="0.3">
      <c r="A1458">
        <v>1457</v>
      </c>
      <c r="B1458">
        <v>1411</v>
      </c>
      <c r="C1458">
        <v>4</v>
      </c>
      <c r="D1458" s="1">
        <v>43179</v>
      </c>
      <c r="E1458" s="1">
        <v>43182</v>
      </c>
      <c r="F1458" s="1">
        <v>43182</v>
      </c>
      <c r="G1458">
        <v>2</v>
      </c>
      <c r="H1458">
        <v>6</v>
      </c>
    </row>
    <row r="1459" spans="1:8" x14ac:dyDescent="0.3">
      <c r="A1459">
        <v>1458</v>
      </c>
      <c r="B1459">
        <v>1029</v>
      </c>
      <c r="C1459">
        <v>4</v>
      </c>
      <c r="D1459" s="1">
        <v>43179</v>
      </c>
      <c r="E1459" s="1">
        <v>43181</v>
      </c>
      <c r="F1459" s="1">
        <v>43180</v>
      </c>
      <c r="G1459">
        <v>3</v>
      </c>
      <c r="H1459">
        <v>8</v>
      </c>
    </row>
    <row r="1460" spans="1:8" x14ac:dyDescent="0.3">
      <c r="A1460">
        <v>1459</v>
      </c>
      <c r="B1460">
        <v>9</v>
      </c>
      <c r="C1460">
        <v>4</v>
      </c>
      <c r="D1460" s="1">
        <v>43180</v>
      </c>
      <c r="E1460" s="1">
        <v>43181</v>
      </c>
      <c r="F1460" s="1">
        <v>43181</v>
      </c>
      <c r="G1460">
        <v>2</v>
      </c>
      <c r="H1460">
        <v>7</v>
      </c>
    </row>
    <row r="1461" spans="1:8" x14ac:dyDescent="0.3">
      <c r="A1461">
        <v>1460</v>
      </c>
      <c r="B1461">
        <v>1131</v>
      </c>
      <c r="C1461">
        <v>4</v>
      </c>
      <c r="D1461" s="1">
        <v>43180</v>
      </c>
      <c r="E1461" s="1">
        <v>43182</v>
      </c>
      <c r="F1461" s="1">
        <v>43182</v>
      </c>
      <c r="G1461">
        <v>2</v>
      </c>
      <c r="H1461">
        <v>7</v>
      </c>
    </row>
    <row r="1462" spans="1:8" x14ac:dyDescent="0.3">
      <c r="A1462">
        <v>1461</v>
      </c>
      <c r="B1462">
        <v>139</v>
      </c>
      <c r="C1462">
        <v>4</v>
      </c>
      <c r="D1462" s="1">
        <v>43181</v>
      </c>
      <c r="E1462" s="1">
        <v>43184</v>
      </c>
      <c r="F1462" s="1">
        <v>43182</v>
      </c>
      <c r="G1462">
        <v>2</v>
      </c>
      <c r="H1462">
        <v>6</v>
      </c>
    </row>
    <row r="1463" spans="1:8" x14ac:dyDescent="0.3">
      <c r="A1463">
        <v>1462</v>
      </c>
      <c r="B1463">
        <v>1101</v>
      </c>
      <c r="C1463">
        <v>4</v>
      </c>
      <c r="D1463" s="1">
        <v>43181</v>
      </c>
      <c r="E1463" s="1">
        <v>43183</v>
      </c>
      <c r="F1463" s="1">
        <v>43183</v>
      </c>
      <c r="G1463">
        <v>2</v>
      </c>
      <c r="H1463">
        <v>6</v>
      </c>
    </row>
    <row r="1464" spans="1:8" x14ac:dyDescent="0.3">
      <c r="A1464">
        <v>1463</v>
      </c>
      <c r="B1464">
        <v>692</v>
      </c>
      <c r="C1464">
        <v>4</v>
      </c>
      <c r="D1464" s="1">
        <v>43182</v>
      </c>
      <c r="E1464" s="1">
        <v>43183</v>
      </c>
      <c r="F1464" s="1">
        <v>43183</v>
      </c>
      <c r="G1464">
        <v>2</v>
      </c>
      <c r="H1464">
        <v>7</v>
      </c>
    </row>
    <row r="1465" spans="1:8" x14ac:dyDescent="0.3">
      <c r="A1465">
        <v>1464</v>
      </c>
      <c r="B1465">
        <v>1279</v>
      </c>
      <c r="C1465">
        <v>4</v>
      </c>
      <c r="D1465" s="1">
        <v>43183</v>
      </c>
      <c r="E1465" s="1">
        <v>43184</v>
      </c>
      <c r="F1465" s="1">
        <v>43184</v>
      </c>
      <c r="G1465">
        <v>2</v>
      </c>
      <c r="H1465">
        <v>7</v>
      </c>
    </row>
    <row r="1466" spans="1:8" x14ac:dyDescent="0.3">
      <c r="A1466">
        <v>1465</v>
      </c>
      <c r="B1466">
        <v>623</v>
      </c>
      <c r="C1466">
        <v>4</v>
      </c>
      <c r="D1466" s="1">
        <v>43184</v>
      </c>
      <c r="E1466" s="1">
        <v>43187</v>
      </c>
      <c r="F1466" s="1">
        <v>43187</v>
      </c>
      <c r="G1466">
        <v>2</v>
      </c>
      <c r="H1466">
        <v>7</v>
      </c>
    </row>
    <row r="1467" spans="1:8" x14ac:dyDescent="0.3">
      <c r="A1467">
        <v>1466</v>
      </c>
      <c r="B1467">
        <v>738</v>
      </c>
      <c r="C1467">
        <v>4</v>
      </c>
      <c r="D1467" s="1">
        <v>43185</v>
      </c>
      <c r="E1467" s="1">
        <v>43188</v>
      </c>
      <c r="F1467" s="1">
        <v>43187</v>
      </c>
      <c r="G1467">
        <v>1</v>
      </c>
      <c r="H1467">
        <v>3</v>
      </c>
    </row>
    <row r="1468" spans="1:8" x14ac:dyDescent="0.3">
      <c r="A1468">
        <v>1467</v>
      </c>
      <c r="B1468">
        <v>152</v>
      </c>
      <c r="C1468">
        <v>4</v>
      </c>
      <c r="D1468" s="1">
        <v>43185</v>
      </c>
      <c r="E1468" s="1">
        <v>43186</v>
      </c>
      <c r="F1468" s="1">
        <v>43188</v>
      </c>
      <c r="G1468">
        <v>2</v>
      </c>
      <c r="H1468">
        <v>7</v>
      </c>
    </row>
    <row r="1469" spans="1:8" x14ac:dyDescent="0.3">
      <c r="A1469">
        <v>1468</v>
      </c>
      <c r="B1469">
        <v>3</v>
      </c>
      <c r="C1469">
        <v>4</v>
      </c>
      <c r="D1469" s="1">
        <v>43186</v>
      </c>
      <c r="E1469" s="1">
        <v>43189</v>
      </c>
      <c r="F1469" s="1">
        <v>43188</v>
      </c>
      <c r="G1469">
        <v>1</v>
      </c>
      <c r="H1469">
        <v>2</v>
      </c>
    </row>
    <row r="1470" spans="1:8" x14ac:dyDescent="0.3">
      <c r="A1470">
        <v>1469</v>
      </c>
      <c r="B1470">
        <v>1135</v>
      </c>
      <c r="C1470">
        <v>4</v>
      </c>
      <c r="D1470" s="1">
        <v>43186</v>
      </c>
      <c r="E1470" s="1">
        <v>43187</v>
      </c>
      <c r="F1470" s="1">
        <v>43189</v>
      </c>
      <c r="G1470">
        <v>3</v>
      </c>
      <c r="H1470">
        <v>8</v>
      </c>
    </row>
    <row r="1471" spans="1:8" x14ac:dyDescent="0.3">
      <c r="A1471">
        <v>1470</v>
      </c>
      <c r="B1471">
        <v>505</v>
      </c>
      <c r="C1471">
        <v>4</v>
      </c>
      <c r="D1471" s="1">
        <v>43187</v>
      </c>
      <c r="E1471" s="1">
        <v>43190</v>
      </c>
      <c r="F1471" s="1">
        <v>43190</v>
      </c>
      <c r="G1471">
        <v>2</v>
      </c>
      <c r="H1471">
        <v>7</v>
      </c>
    </row>
    <row r="1472" spans="1:8" x14ac:dyDescent="0.3">
      <c r="A1472">
        <v>1471</v>
      </c>
      <c r="B1472">
        <v>1310</v>
      </c>
      <c r="C1472">
        <v>4</v>
      </c>
      <c r="D1472" s="1">
        <v>43187</v>
      </c>
      <c r="E1472" s="1">
        <v>43189</v>
      </c>
      <c r="F1472" s="1">
        <v>43188</v>
      </c>
      <c r="G1472">
        <v>2</v>
      </c>
      <c r="H1472">
        <v>7</v>
      </c>
    </row>
    <row r="1473" spans="1:8" x14ac:dyDescent="0.3">
      <c r="A1473">
        <v>1472</v>
      </c>
      <c r="B1473">
        <v>114</v>
      </c>
      <c r="C1473">
        <v>4</v>
      </c>
      <c r="D1473" s="1">
        <v>43188</v>
      </c>
      <c r="E1473" s="1">
        <v>43189</v>
      </c>
      <c r="F1473" s="1">
        <v>43190</v>
      </c>
      <c r="G1473">
        <v>2</v>
      </c>
      <c r="H1473">
        <v>6</v>
      </c>
    </row>
    <row r="1474" spans="1:8" x14ac:dyDescent="0.3">
      <c r="A1474">
        <v>1473</v>
      </c>
      <c r="B1474">
        <v>302</v>
      </c>
      <c r="C1474">
        <v>4</v>
      </c>
      <c r="D1474" s="1">
        <v>43189</v>
      </c>
      <c r="E1474" s="1">
        <v>43191</v>
      </c>
      <c r="F1474" s="1">
        <v>43192</v>
      </c>
      <c r="G1474">
        <v>1</v>
      </c>
      <c r="H1474">
        <v>2</v>
      </c>
    </row>
    <row r="1475" spans="1:8" x14ac:dyDescent="0.3">
      <c r="A1475">
        <v>1474</v>
      </c>
      <c r="B1475">
        <v>816</v>
      </c>
      <c r="C1475">
        <v>4</v>
      </c>
      <c r="D1475" s="1">
        <v>43189</v>
      </c>
      <c r="E1475" s="1">
        <v>43191</v>
      </c>
      <c r="F1475" s="1">
        <v>43192</v>
      </c>
      <c r="G1475">
        <v>1</v>
      </c>
      <c r="H1475">
        <v>3</v>
      </c>
    </row>
    <row r="1476" spans="1:8" x14ac:dyDescent="0.3">
      <c r="A1476">
        <v>1475</v>
      </c>
      <c r="B1476">
        <v>112</v>
      </c>
      <c r="C1476">
        <v>4</v>
      </c>
      <c r="D1476" s="1">
        <v>43189</v>
      </c>
      <c r="E1476" s="1">
        <v>43191</v>
      </c>
      <c r="F1476" s="1">
        <v>43190</v>
      </c>
      <c r="G1476">
        <v>2</v>
      </c>
      <c r="H1476">
        <v>6</v>
      </c>
    </row>
    <row r="1477" spans="1:8" x14ac:dyDescent="0.3">
      <c r="A1477">
        <v>1476</v>
      </c>
      <c r="B1477">
        <v>35</v>
      </c>
      <c r="C1477">
        <v>4</v>
      </c>
      <c r="D1477" s="1">
        <v>43190</v>
      </c>
      <c r="E1477" s="1">
        <v>43191</v>
      </c>
      <c r="F1477" s="1">
        <v>43191</v>
      </c>
      <c r="G1477">
        <v>2</v>
      </c>
      <c r="H1477">
        <v>7</v>
      </c>
    </row>
    <row r="1478" spans="1:8" x14ac:dyDescent="0.3">
      <c r="A1478">
        <v>1477</v>
      </c>
      <c r="B1478">
        <v>180</v>
      </c>
      <c r="C1478">
        <v>4</v>
      </c>
      <c r="D1478" s="1">
        <v>43190</v>
      </c>
      <c r="E1478" s="1">
        <v>43193</v>
      </c>
      <c r="F1478" s="1">
        <v>43191</v>
      </c>
      <c r="G1478">
        <v>2</v>
      </c>
      <c r="H1478">
        <v>6</v>
      </c>
    </row>
    <row r="1479" spans="1:8" x14ac:dyDescent="0.3">
      <c r="A1479">
        <v>1478</v>
      </c>
      <c r="B1479">
        <v>392</v>
      </c>
      <c r="C1479">
        <v>4</v>
      </c>
      <c r="D1479" s="1">
        <v>43190</v>
      </c>
      <c r="E1479" s="1">
        <v>43192</v>
      </c>
      <c r="F1479" s="1">
        <v>43192</v>
      </c>
      <c r="G1479">
        <v>2</v>
      </c>
      <c r="H1479">
        <v>6</v>
      </c>
    </row>
    <row r="1480" spans="1:8" x14ac:dyDescent="0.3">
      <c r="A1480">
        <v>1479</v>
      </c>
      <c r="B1480">
        <v>23</v>
      </c>
      <c r="C1480">
        <v>2</v>
      </c>
      <c r="D1480" s="1">
        <v>43191</v>
      </c>
      <c r="E1480" s="1">
        <v>43191</v>
      </c>
      <c r="F1480" s="1">
        <v>42411</v>
      </c>
      <c r="G1480">
        <v>2</v>
      </c>
      <c r="H1480">
        <v>7</v>
      </c>
    </row>
    <row r="1481" spans="1:8" x14ac:dyDescent="0.3">
      <c r="A1481">
        <v>1480</v>
      </c>
      <c r="B1481">
        <v>27</v>
      </c>
      <c r="C1481">
        <v>2</v>
      </c>
      <c r="D1481" s="1">
        <v>43191</v>
      </c>
      <c r="E1481" s="1">
        <v>43191</v>
      </c>
      <c r="F1481" s="1">
        <v>42411</v>
      </c>
      <c r="G1481">
        <v>2</v>
      </c>
      <c r="H1481">
        <v>7</v>
      </c>
    </row>
    <row r="1482" spans="1:8" x14ac:dyDescent="0.3">
      <c r="A1482">
        <v>1481</v>
      </c>
      <c r="B1482">
        <v>62</v>
      </c>
      <c r="C1482">
        <v>1</v>
      </c>
      <c r="D1482" s="1">
        <v>43191</v>
      </c>
      <c r="E1482" s="1">
        <v>43191</v>
      </c>
      <c r="F1482" s="1">
        <v>42411</v>
      </c>
      <c r="G1482">
        <v>2</v>
      </c>
      <c r="H1482">
        <v>6</v>
      </c>
    </row>
    <row r="1483" spans="1:8" x14ac:dyDescent="0.3">
      <c r="A1483">
        <v>1482</v>
      </c>
      <c r="B1483">
        <v>94</v>
      </c>
      <c r="C1483">
        <v>1</v>
      </c>
      <c r="D1483" s="1">
        <v>43191</v>
      </c>
      <c r="E1483" s="1">
        <v>43191</v>
      </c>
      <c r="F1483" s="1">
        <v>42411</v>
      </c>
      <c r="G1483">
        <v>2</v>
      </c>
      <c r="H1483">
        <v>7</v>
      </c>
    </row>
    <row r="1484" spans="1:8" x14ac:dyDescent="0.3">
      <c r="A1484">
        <v>1483</v>
      </c>
      <c r="B1484">
        <v>15</v>
      </c>
      <c r="C1484">
        <v>1</v>
      </c>
      <c r="D1484" s="1">
        <v>43192</v>
      </c>
      <c r="E1484" s="1">
        <v>43192</v>
      </c>
      <c r="F1484" s="1">
        <v>42411</v>
      </c>
      <c r="G1484">
        <v>2</v>
      </c>
      <c r="H1484">
        <v>7</v>
      </c>
    </row>
    <row r="1485" spans="1:8" x14ac:dyDescent="0.3">
      <c r="A1485">
        <v>1484</v>
      </c>
      <c r="B1485">
        <v>35</v>
      </c>
      <c r="C1485">
        <v>2</v>
      </c>
      <c r="D1485" s="1">
        <v>43192</v>
      </c>
      <c r="E1485" s="1">
        <v>43192</v>
      </c>
      <c r="F1485" s="1">
        <v>42411</v>
      </c>
      <c r="G1485">
        <v>2</v>
      </c>
      <c r="H1485">
        <v>6</v>
      </c>
    </row>
    <row r="1486" spans="1:8" x14ac:dyDescent="0.3">
      <c r="A1486">
        <v>1485</v>
      </c>
      <c r="B1486">
        <v>51</v>
      </c>
      <c r="C1486">
        <v>2</v>
      </c>
      <c r="D1486" s="1">
        <v>43192</v>
      </c>
      <c r="E1486" s="1">
        <v>43192</v>
      </c>
      <c r="F1486" s="1">
        <v>42411</v>
      </c>
      <c r="G1486">
        <v>2</v>
      </c>
      <c r="H1486">
        <v>7</v>
      </c>
    </row>
    <row r="1487" spans="1:8" x14ac:dyDescent="0.3">
      <c r="A1487">
        <v>1486</v>
      </c>
      <c r="B1487">
        <v>84</v>
      </c>
      <c r="C1487">
        <v>2</v>
      </c>
      <c r="D1487" s="1">
        <v>43192</v>
      </c>
      <c r="E1487" s="1">
        <v>43192</v>
      </c>
      <c r="F1487" s="1">
        <v>42411</v>
      </c>
      <c r="G1487">
        <v>2</v>
      </c>
      <c r="H1487">
        <v>7</v>
      </c>
    </row>
    <row r="1488" spans="1:8" x14ac:dyDescent="0.3">
      <c r="A1488">
        <v>1487</v>
      </c>
      <c r="B1488">
        <v>33</v>
      </c>
      <c r="C1488">
        <v>1</v>
      </c>
      <c r="D1488" s="1">
        <v>43193</v>
      </c>
      <c r="E1488" s="1">
        <v>43193</v>
      </c>
      <c r="F1488" s="1">
        <v>42411</v>
      </c>
      <c r="G1488">
        <v>1</v>
      </c>
      <c r="H1488">
        <v>3</v>
      </c>
    </row>
    <row r="1489" spans="1:8" x14ac:dyDescent="0.3">
      <c r="A1489">
        <v>1488</v>
      </c>
      <c r="B1489">
        <v>181</v>
      </c>
      <c r="C1489">
        <v>2</v>
      </c>
      <c r="D1489" s="1">
        <v>43193</v>
      </c>
      <c r="E1489" s="1">
        <v>43193</v>
      </c>
      <c r="F1489" s="1">
        <v>42411</v>
      </c>
      <c r="G1489">
        <v>1</v>
      </c>
      <c r="H1489">
        <v>3</v>
      </c>
    </row>
    <row r="1490" spans="1:8" x14ac:dyDescent="0.3">
      <c r="A1490">
        <v>1489</v>
      </c>
      <c r="B1490">
        <v>194</v>
      </c>
      <c r="C1490">
        <v>1</v>
      </c>
      <c r="D1490" s="1">
        <v>43193</v>
      </c>
      <c r="E1490" s="1">
        <v>43193</v>
      </c>
      <c r="F1490" s="1">
        <v>42411</v>
      </c>
      <c r="G1490">
        <v>1</v>
      </c>
      <c r="H1490">
        <v>3</v>
      </c>
    </row>
    <row r="1491" spans="1:8" x14ac:dyDescent="0.3">
      <c r="A1491">
        <v>1490</v>
      </c>
      <c r="B1491">
        <v>217</v>
      </c>
      <c r="C1491">
        <v>2</v>
      </c>
      <c r="D1491" s="1">
        <v>43193</v>
      </c>
      <c r="E1491" s="1">
        <v>43193</v>
      </c>
      <c r="F1491" s="1">
        <v>42411</v>
      </c>
      <c r="G1491">
        <v>1</v>
      </c>
      <c r="H1491">
        <v>3</v>
      </c>
    </row>
    <row r="1492" spans="1:8" x14ac:dyDescent="0.3">
      <c r="A1492">
        <v>1491</v>
      </c>
      <c r="B1492">
        <v>82</v>
      </c>
      <c r="C1492">
        <v>1</v>
      </c>
      <c r="D1492" s="1">
        <v>43194</v>
      </c>
      <c r="E1492" s="1">
        <v>43194</v>
      </c>
      <c r="F1492" s="1">
        <v>42411</v>
      </c>
      <c r="G1492">
        <v>1</v>
      </c>
      <c r="H1492">
        <v>3</v>
      </c>
    </row>
    <row r="1493" spans="1:8" x14ac:dyDescent="0.3">
      <c r="A1493">
        <v>1492</v>
      </c>
      <c r="B1493">
        <v>41</v>
      </c>
      <c r="C1493">
        <v>1</v>
      </c>
      <c r="D1493" s="1">
        <v>43194</v>
      </c>
      <c r="E1493" s="1">
        <v>43194</v>
      </c>
      <c r="F1493" s="1">
        <v>42411</v>
      </c>
      <c r="G1493">
        <v>2</v>
      </c>
      <c r="H1493">
        <v>7</v>
      </c>
    </row>
    <row r="1494" spans="1:8" x14ac:dyDescent="0.3">
      <c r="A1494">
        <v>1493</v>
      </c>
      <c r="B1494">
        <v>64</v>
      </c>
      <c r="C1494">
        <v>2</v>
      </c>
      <c r="D1494" s="1">
        <v>43194</v>
      </c>
      <c r="E1494" s="1">
        <v>43194</v>
      </c>
      <c r="F1494" s="1">
        <v>42411</v>
      </c>
      <c r="G1494">
        <v>3</v>
      </c>
      <c r="H1494">
        <v>8</v>
      </c>
    </row>
    <row r="1495" spans="1:8" x14ac:dyDescent="0.3">
      <c r="A1495">
        <v>1494</v>
      </c>
      <c r="B1495">
        <v>69</v>
      </c>
      <c r="C1495">
        <v>2</v>
      </c>
      <c r="D1495" s="1">
        <v>43195</v>
      </c>
      <c r="E1495" s="1">
        <v>43195</v>
      </c>
      <c r="F1495" s="1">
        <v>42411</v>
      </c>
      <c r="G1495">
        <v>1</v>
      </c>
      <c r="H1495">
        <v>3</v>
      </c>
    </row>
    <row r="1496" spans="1:8" x14ac:dyDescent="0.3">
      <c r="A1496">
        <v>1495</v>
      </c>
      <c r="B1496">
        <v>86</v>
      </c>
      <c r="C1496">
        <v>2</v>
      </c>
      <c r="D1496" s="1">
        <v>43195</v>
      </c>
      <c r="E1496" s="1">
        <v>43195</v>
      </c>
      <c r="F1496" s="1">
        <v>42411</v>
      </c>
      <c r="G1496">
        <v>2</v>
      </c>
      <c r="H1496">
        <v>7</v>
      </c>
    </row>
    <row r="1497" spans="1:8" x14ac:dyDescent="0.3">
      <c r="A1497">
        <v>1496</v>
      </c>
      <c r="B1497">
        <v>3</v>
      </c>
      <c r="C1497">
        <v>1</v>
      </c>
      <c r="D1497" s="1">
        <v>43196</v>
      </c>
      <c r="E1497" s="1">
        <v>43196</v>
      </c>
      <c r="F1497" s="1">
        <v>42411</v>
      </c>
      <c r="G1497">
        <v>1</v>
      </c>
      <c r="H1497">
        <v>3</v>
      </c>
    </row>
    <row r="1498" spans="1:8" x14ac:dyDescent="0.3">
      <c r="A1498">
        <v>1497</v>
      </c>
      <c r="B1498">
        <v>31</v>
      </c>
      <c r="C1498">
        <v>2</v>
      </c>
      <c r="D1498" s="1">
        <v>43196</v>
      </c>
      <c r="E1498" s="1">
        <v>43196</v>
      </c>
      <c r="F1498" s="1">
        <v>42411</v>
      </c>
      <c r="G1498">
        <v>1</v>
      </c>
      <c r="H1498">
        <v>2</v>
      </c>
    </row>
    <row r="1499" spans="1:8" x14ac:dyDescent="0.3">
      <c r="A1499">
        <v>1498</v>
      </c>
      <c r="B1499">
        <v>81</v>
      </c>
      <c r="C1499">
        <v>1</v>
      </c>
      <c r="D1499" s="1">
        <v>43196</v>
      </c>
      <c r="E1499" s="1">
        <v>43196</v>
      </c>
      <c r="F1499" s="1">
        <v>42411</v>
      </c>
      <c r="G1499">
        <v>1</v>
      </c>
      <c r="H1499">
        <v>2</v>
      </c>
    </row>
    <row r="1500" spans="1:8" x14ac:dyDescent="0.3">
      <c r="A1500">
        <v>1499</v>
      </c>
      <c r="B1500">
        <v>120</v>
      </c>
      <c r="C1500">
        <v>2</v>
      </c>
      <c r="D1500" s="1">
        <v>43196</v>
      </c>
      <c r="E1500" s="1">
        <v>43196</v>
      </c>
      <c r="F1500" s="1">
        <v>42411</v>
      </c>
      <c r="G1500">
        <v>1</v>
      </c>
      <c r="H1500">
        <v>2</v>
      </c>
    </row>
    <row r="1501" spans="1:8" x14ac:dyDescent="0.3">
      <c r="A1501">
        <v>1500</v>
      </c>
      <c r="B1501">
        <v>151</v>
      </c>
      <c r="C1501">
        <v>2</v>
      </c>
      <c r="D1501" s="1">
        <v>43196</v>
      </c>
      <c r="E1501" s="1">
        <v>43196</v>
      </c>
      <c r="F1501" s="1">
        <v>42411</v>
      </c>
      <c r="G1501">
        <v>1</v>
      </c>
      <c r="H1501">
        <v>3</v>
      </c>
    </row>
    <row r="1502" spans="1:8" x14ac:dyDescent="0.3">
      <c r="A1502">
        <v>1501</v>
      </c>
      <c r="B1502">
        <v>52</v>
      </c>
      <c r="C1502">
        <v>1</v>
      </c>
      <c r="D1502" s="1">
        <v>43196</v>
      </c>
      <c r="E1502" s="1">
        <v>43196</v>
      </c>
      <c r="F1502" s="1">
        <v>42411</v>
      </c>
      <c r="G1502">
        <v>2</v>
      </c>
      <c r="H1502">
        <v>6</v>
      </c>
    </row>
    <row r="1503" spans="1:8" x14ac:dyDescent="0.3">
      <c r="A1503">
        <v>1502</v>
      </c>
      <c r="B1503">
        <v>83</v>
      </c>
      <c r="C1503">
        <v>2</v>
      </c>
      <c r="D1503" s="1">
        <v>43196</v>
      </c>
      <c r="E1503" s="1">
        <v>43196</v>
      </c>
      <c r="F1503" s="1">
        <v>42411</v>
      </c>
      <c r="G1503">
        <v>2</v>
      </c>
      <c r="H1503">
        <v>6</v>
      </c>
    </row>
    <row r="1504" spans="1:8" x14ac:dyDescent="0.3">
      <c r="A1504">
        <v>1503</v>
      </c>
      <c r="B1504">
        <v>208</v>
      </c>
      <c r="C1504">
        <v>2</v>
      </c>
      <c r="D1504" s="1">
        <v>43197</v>
      </c>
      <c r="E1504" s="1">
        <v>43197</v>
      </c>
      <c r="F1504" s="1">
        <v>42411</v>
      </c>
      <c r="G1504">
        <v>1</v>
      </c>
      <c r="H1504">
        <v>3</v>
      </c>
    </row>
    <row r="1505" spans="1:8" x14ac:dyDescent="0.3">
      <c r="A1505">
        <v>1504</v>
      </c>
      <c r="B1505">
        <v>237</v>
      </c>
      <c r="C1505">
        <v>2</v>
      </c>
      <c r="D1505" s="1">
        <v>43198</v>
      </c>
      <c r="E1505" s="1">
        <v>43198</v>
      </c>
      <c r="F1505" s="1">
        <v>42411</v>
      </c>
      <c r="G1505">
        <v>1</v>
      </c>
      <c r="H1505">
        <v>2</v>
      </c>
    </row>
    <row r="1506" spans="1:8" x14ac:dyDescent="0.3">
      <c r="A1506">
        <v>1505</v>
      </c>
      <c r="B1506">
        <v>22</v>
      </c>
      <c r="C1506">
        <v>1</v>
      </c>
      <c r="D1506" s="1">
        <v>43198</v>
      </c>
      <c r="E1506" s="1">
        <v>43198</v>
      </c>
      <c r="F1506" s="1">
        <v>42411</v>
      </c>
      <c r="G1506">
        <v>2</v>
      </c>
      <c r="H1506">
        <v>7</v>
      </c>
    </row>
    <row r="1507" spans="1:8" x14ac:dyDescent="0.3">
      <c r="A1507">
        <v>1506</v>
      </c>
      <c r="B1507">
        <v>75</v>
      </c>
      <c r="C1507">
        <v>1</v>
      </c>
      <c r="D1507" s="1">
        <v>43198</v>
      </c>
      <c r="E1507" s="1">
        <v>43198</v>
      </c>
      <c r="F1507" s="1">
        <v>42411</v>
      </c>
      <c r="G1507">
        <v>2</v>
      </c>
      <c r="H1507">
        <v>7</v>
      </c>
    </row>
    <row r="1508" spans="1:8" x14ac:dyDescent="0.3">
      <c r="A1508">
        <v>1507</v>
      </c>
      <c r="B1508">
        <v>85</v>
      </c>
      <c r="C1508">
        <v>2</v>
      </c>
      <c r="D1508" s="1">
        <v>43198</v>
      </c>
      <c r="E1508" s="1">
        <v>43198</v>
      </c>
      <c r="F1508" s="1">
        <v>42411</v>
      </c>
      <c r="G1508">
        <v>2</v>
      </c>
      <c r="H1508">
        <v>6</v>
      </c>
    </row>
    <row r="1509" spans="1:8" x14ac:dyDescent="0.3">
      <c r="A1509">
        <v>1508</v>
      </c>
      <c r="B1509">
        <v>92</v>
      </c>
      <c r="C1509">
        <v>2</v>
      </c>
      <c r="D1509" s="1">
        <v>43198</v>
      </c>
      <c r="E1509" s="1">
        <v>43198</v>
      </c>
      <c r="F1509" s="1">
        <v>42411</v>
      </c>
      <c r="G1509">
        <v>2</v>
      </c>
      <c r="H1509">
        <v>6</v>
      </c>
    </row>
    <row r="1510" spans="1:8" x14ac:dyDescent="0.3">
      <c r="A1510">
        <v>1509</v>
      </c>
      <c r="B1510">
        <v>2</v>
      </c>
      <c r="C1510">
        <v>1</v>
      </c>
      <c r="D1510" s="1">
        <v>43199</v>
      </c>
      <c r="E1510" s="1">
        <v>43199</v>
      </c>
      <c r="F1510" s="1">
        <v>42411</v>
      </c>
      <c r="G1510">
        <v>1</v>
      </c>
      <c r="H1510">
        <v>3</v>
      </c>
    </row>
    <row r="1511" spans="1:8" x14ac:dyDescent="0.3">
      <c r="A1511">
        <v>1510</v>
      </c>
      <c r="B1511">
        <v>16</v>
      </c>
      <c r="C1511">
        <v>2</v>
      </c>
      <c r="D1511" s="1">
        <v>43199</v>
      </c>
      <c r="E1511" s="1">
        <v>43199</v>
      </c>
      <c r="F1511" s="1">
        <v>42411</v>
      </c>
      <c r="G1511">
        <v>2</v>
      </c>
      <c r="H1511">
        <v>6</v>
      </c>
    </row>
    <row r="1512" spans="1:8" x14ac:dyDescent="0.3">
      <c r="A1512">
        <v>1511</v>
      </c>
      <c r="B1512">
        <v>25</v>
      </c>
      <c r="C1512">
        <v>1</v>
      </c>
      <c r="D1512" s="1">
        <v>43199</v>
      </c>
      <c r="E1512" s="1">
        <v>43199</v>
      </c>
      <c r="F1512" s="1">
        <v>42411</v>
      </c>
      <c r="G1512">
        <v>2</v>
      </c>
      <c r="H1512">
        <v>6</v>
      </c>
    </row>
    <row r="1513" spans="1:8" x14ac:dyDescent="0.3">
      <c r="A1513">
        <v>1512</v>
      </c>
      <c r="B1513">
        <v>68</v>
      </c>
      <c r="C1513">
        <v>1</v>
      </c>
      <c r="D1513" s="1">
        <v>43199</v>
      </c>
      <c r="E1513" s="1">
        <v>43199</v>
      </c>
      <c r="F1513" s="1">
        <v>42411</v>
      </c>
      <c r="G1513">
        <v>3</v>
      </c>
      <c r="H1513">
        <v>9</v>
      </c>
    </row>
    <row r="1514" spans="1:8" x14ac:dyDescent="0.3">
      <c r="A1514">
        <v>1513</v>
      </c>
      <c r="B1514">
        <v>32</v>
      </c>
      <c r="C1514">
        <v>2</v>
      </c>
      <c r="D1514" s="1">
        <v>43200</v>
      </c>
      <c r="E1514" s="1">
        <v>43200</v>
      </c>
      <c r="F1514" s="1">
        <v>42411</v>
      </c>
      <c r="G1514">
        <v>1</v>
      </c>
      <c r="H1514">
        <v>2</v>
      </c>
    </row>
    <row r="1515" spans="1:8" x14ac:dyDescent="0.3">
      <c r="A1515">
        <v>1514</v>
      </c>
      <c r="B1515">
        <v>87</v>
      </c>
      <c r="C1515">
        <v>2</v>
      </c>
      <c r="D1515" s="1">
        <v>43200</v>
      </c>
      <c r="E1515" s="1">
        <v>43200</v>
      </c>
      <c r="F1515" s="1">
        <v>42411</v>
      </c>
      <c r="G1515">
        <v>1</v>
      </c>
      <c r="H1515">
        <v>3</v>
      </c>
    </row>
    <row r="1516" spans="1:8" x14ac:dyDescent="0.3">
      <c r="A1516">
        <v>1515</v>
      </c>
      <c r="B1516">
        <v>61</v>
      </c>
      <c r="C1516">
        <v>1</v>
      </c>
      <c r="D1516" s="1">
        <v>43200</v>
      </c>
      <c r="E1516" s="1">
        <v>43200</v>
      </c>
      <c r="F1516" s="1">
        <v>42411</v>
      </c>
      <c r="G1516">
        <v>3</v>
      </c>
      <c r="H1516">
        <v>9</v>
      </c>
    </row>
    <row r="1517" spans="1:8" x14ac:dyDescent="0.3">
      <c r="A1517">
        <v>1516</v>
      </c>
      <c r="B1517">
        <v>47</v>
      </c>
      <c r="C1517">
        <v>2</v>
      </c>
      <c r="D1517" s="1">
        <v>43201</v>
      </c>
      <c r="E1517" s="1">
        <v>43201</v>
      </c>
      <c r="F1517" s="1">
        <v>42411</v>
      </c>
      <c r="G1517">
        <v>1</v>
      </c>
      <c r="H1517">
        <v>3</v>
      </c>
    </row>
    <row r="1518" spans="1:8" x14ac:dyDescent="0.3">
      <c r="A1518">
        <v>1517</v>
      </c>
      <c r="B1518">
        <v>97</v>
      </c>
      <c r="C1518">
        <v>1</v>
      </c>
      <c r="D1518" s="1">
        <v>43201</v>
      </c>
      <c r="E1518" s="1">
        <v>43201</v>
      </c>
      <c r="F1518" s="1">
        <v>42411</v>
      </c>
      <c r="G1518">
        <v>1</v>
      </c>
      <c r="H1518">
        <v>2</v>
      </c>
    </row>
    <row r="1519" spans="1:8" x14ac:dyDescent="0.3">
      <c r="A1519">
        <v>1518</v>
      </c>
      <c r="B1519">
        <v>175</v>
      </c>
      <c r="C1519">
        <v>1</v>
      </c>
      <c r="D1519" s="1">
        <v>43201</v>
      </c>
      <c r="E1519" s="1">
        <v>43201</v>
      </c>
      <c r="F1519" s="1">
        <v>42411</v>
      </c>
      <c r="G1519">
        <v>1</v>
      </c>
      <c r="H1519">
        <v>2</v>
      </c>
    </row>
    <row r="1520" spans="1:8" x14ac:dyDescent="0.3">
      <c r="A1520">
        <v>1519</v>
      </c>
      <c r="B1520">
        <v>26</v>
      </c>
      <c r="C1520">
        <v>2</v>
      </c>
      <c r="D1520" s="1">
        <v>43201</v>
      </c>
      <c r="E1520" s="1">
        <v>43201</v>
      </c>
      <c r="F1520" s="1">
        <v>42411</v>
      </c>
      <c r="G1520">
        <v>2</v>
      </c>
      <c r="H1520">
        <v>7</v>
      </c>
    </row>
    <row r="1521" spans="1:8" x14ac:dyDescent="0.3">
      <c r="A1521">
        <v>1520</v>
      </c>
      <c r="B1521">
        <v>66</v>
      </c>
      <c r="C1521">
        <v>2</v>
      </c>
      <c r="D1521" s="1">
        <v>43201</v>
      </c>
      <c r="E1521" s="1">
        <v>43201</v>
      </c>
      <c r="F1521" s="1">
        <v>42411</v>
      </c>
      <c r="G1521">
        <v>3</v>
      </c>
      <c r="H1521">
        <v>8</v>
      </c>
    </row>
    <row r="1522" spans="1:8" x14ac:dyDescent="0.3">
      <c r="A1522">
        <v>1521</v>
      </c>
      <c r="B1522">
        <v>53</v>
      </c>
      <c r="C1522">
        <v>1</v>
      </c>
      <c r="D1522" s="1">
        <v>43202</v>
      </c>
      <c r="E1522" s="1">
        <v>43202</v>
      </c>
      <c r="F1522" s="1">
        <v>42411</v>
      </c>
      <c r="G1522">
        <v>1</v>
      </c>
      <c r="H1522">
        <v>3</v>
      </c>
    </row>
    <row r="1523" spans="1:8" x14ac:dyDescent="0.3">
      <c r="A1523">
        <v>1522</v>
      </c>
      <c r="B1523">
        <v>78</v>
      </c>
      <c r="C1523">
        <v>1</v>
      </c>
      <c r="D1523" s="1">
        <v>43202</v>
      </c>
      <c r="E1523" s="1">
        <v>43202</v>
      </c>
      <c r="F1523" s="1">
        <v>42411</v>
      </c>
      <c r="G1523">
        <v>1</v>
      </c>
      <c r="H1523">
        <v>3</v>
      </c>
    </row>
    <row r="1524" spans="1:8" x14ac:dyDescent="0.3">
      <c r="A1524">
        <v>1523</v>
      </c>
      <c r="B1524">
        <v>8</v>
      </c>
      <c r="C1524">
        <v>1</v>
      </c>
      <c r="D1524" s="1">
        <v>43202</v>
      </c>
      <c r="E1524" s="1">
        <v>43202</v>
      </c>
      <c r="F1524" s="1">
        <v>42411</v>
      </c>
      <c r="G1524">
        <v>2</v>
      </c>
      <c r="H1524">
        <v>7</v>
      </c>
    </row>
    <row r="1525" spans="1:8" x14ac:dyDescent="0.3">
      <c r="A1525">
        <v>1524</v>
      </c>
      <c r="B1525">
        <v>37</v>
      </c>
      <c r="C1525">
        <v>1</v>
      </c>
      <c r="D1525" s="1">
        <v>43202</v>
      </c>
      <c r="E1525" s="1">
        <v>43202</v>
      </c>
      <c r="F1525" s="1">
        <v>42411</v>
      </c>
      <c r="G1525">
        <v>2</v>
      </c>
      <c r="H1525">
        <v>6</v>
      </c>
    </row>
    <row r="1526" spans="1:8" x14ac:dyDescent="0.3">
      <c r="A1526">
        <v>1525</v>
      </c>
      <c r="B1526">
        <v>38</v>
      </c>
      <c r="C1526">
        <v>2</v>
      </c>
      <c r="D1526" s="1">
        <v>43202</v>
      </c>
      <c r="E1526" s="1">
        <v>43202</v>
      </c>
      <c r="F1526" s="1">
        <v>42411</v>
      </c>
      <c r="G1526">
        <v>2</v>
      </c>
      <c r="H1526">
        <v>7</v>
      </c>
    </row>
    <row r="1527" spans="1:8" x14ac:dyDescent="0.3">
      <c r="A1527">
        <v>1526</v>
      </c>
      <c r="B1527">
        <v>59</v>
      </c>
      <c r="C1527">
        <v>2</v>
      </c>
      <c r="D1527" s="1">
        <v>43202</v>
      </c>
      <c r="E1527" s="1">
        <v>43202</v>
      </c>
      <c r="F1527" s="1">
        <v>42411</v>
      </c>
      <c r="G1527">
        <v>2</v>
      </c>
      <c r="H1527">
        <v>7</v>
      </c>
    </row>
    <row r="1528" spans="1:8" x14ac:dyDescent="0.3">
      <c r="A1528">
        <v>1527</v>
      </c>
      <c r="B1528">
        <v>13</v>
      </c>
      <c r="C1528">
        <v>2</v>
      </c>
      <c r="D1528" s="1">
        <v>43202</v>
      </c>
      <c r="E1528" s="1">
        <v>43202</v>
      </c>
      <c r="F1528" s="1">
        <v>42411</v>
      </c>
      <c r="G1528">
        <v>3</v>
      </c>
      <c r="H1528">
        <v>9</v>
      </c>
    </row>
    <row r="1529" spans="1:8" x14ac:dyDescent="0.3">
      <c r="A1529">
        <v>1528</v>
      </c>
      <c r="B1529">
        <v>20</v>
      </c>
      <c r="C1529">
        <v>1</v>
      </c>
      <c r="D1529" s="1">
        <v>43202</v>
      </c>
      <c r="E1529" s="1">
        <v>43202</v>
      </c>
      <c r="F1529" s="1">
        <v>42411</v>
      </c>
      <c r="G1529">
        <v>3</v>
      </c>
      <c r="H1529">
        <v>8</v>
      </c>
    </row>
    <row r="1530" spans="1:8" x14ac:dyDescent="0.3">
      <c r="A1530">
        <v>1529</v>
      </c>
      <c r="B1530">
        <v>50</v>
      </c>
      <c r="C1530">
        <v>1</v>
      </c>
      <c r="D1530" s="1">
        <v>43202</v>
      </c>
      <c r="E1530" s="1">
        <v>43202</v>
      </c>
      <c r="F1530" s="1">
        <v>42411</v>
      </c>
      <c r="G1530">
        <v>3</v>
      </c>
      <c r="H1530">
        <v>8</v>
      </c>
    </row>
    <row r="1531" spans="1:8" x14ac:dyDescent="0.3">
      <c r="A1531">
        <v>1530</v>
      </c>
      <c r="B1531">
        <v>110</v>
      </c>
      <c r="C1531">
        <v>1</v>
      </c>
      <c r="D1531" s="1">
        <v>43203</v>
      </c>
      <c r="E1531" s="1">
        <v>43203</v>
      </c>
      <c r="F1531" s="1">
        <v>42411</v>
      </c>
      <c r="G1531">
        <v>1</v>
      </c>
      <c r="H1531">
        <v>2</v>
      </c>
    </row>
    <row r="1532" spans="1:8" x14ac:dyDescent="0.3">
      <c r="A1532">
        <v>1531</v>
      </c>
      <c r="B1532">
        <v>233</v>
      </c>
      <c r="C1532">
        <v>1</v>
      </c>
      <c r="D1532" s="1">
        <v>43203</v>
      </c>
      <c r="E1532" s="1">
        <v>43203</v>
      </c>
      <c r="F1532" s="1">
        <v>42411</v>
      </c>
      <c r="G1532">
        <v>1</v>
      </c>
      <c r="H1532">
        <v>2</v>
      </c>
    </row>
    <row r="1533" spans="1:8" x14ac:dyDescent="0.3">
      <c r="A1533">
        <v>1532</v>
      </c>
      <c r="B1533">
        <v>7</v>
      </c>
      <c r="C1533">
        <v>2</v>
      </c>
      <c r="D1533" s="1">
        <v>43203</v>
      </c>
      <c r="E1533" s="1">
        <v>43203</v>
      </c>
      <c r="F1533" s="1">
        <v>42411</v>
      </c>
      <c r="G1533">
        <v>2</v>
      </c>
      <c r="H1533">
        <v>7</v>
      </c>
    </row>
    <row r="1534" spans="1:8" x14ac:dyDescent="0.3">
      <c r="A1534">
        <v>1533</v>
      </c>
      <c r="B1534">
        <v>28</v>
      </c>
      <c r="C1534">
        <v>2</v>
      </c>
      <c r="D1534" s="1">
        <v>43203</v>
      </c>
      <c r="E1534" s="1">
        <v>43203</v>
      </c>
      <c r="F1534" s="1">
        <v>42411</v>
      </c>
      <c r="G1534">
        <v>2</v>
      </c>
      <c r="H1534">
        <v>6</v>
      </c>
    </row>
    <row r="1535" spans="1:8" x14ac:dyDescent="0.3">
      <c r="A1535">
        <v>1534</v>
      </c>
      <c r="B1535">
        <v>18</v>
      </c>
      <c r="C1535">
        <v>2</v>
      </c>
      <c r="D1535" s="1">
        <v>43204</v>
      </c>
      <c r="E1535" s="1">
        <v>43204</v>
      </c>
      <c r="F1535" s="1">
        <v>42411</v>
      </c>
      <c r="G1535">
        <v>2</v>
      </c>
      <c r="H1535">
        <v>7</v>
      </c>
    </row>
    <row r="1536" spans="1:8" x14ac:dyDescent="0.3">
      <c r="A1536">
        <v>1535</v>
      </c>
      <c r="B1536">
        <v>19</v>
      </c>
      <c r="C1536">
        <v>2</v>
      </c>
      <c r="D1536" s="1">
        <v>43204</v>
      </c>
      <c r="E1536" s="1">
        <v>43204</v>
      </c>
      <c r="F1536" s="1">
        <v>42411</v>
      </c>
      <c r="G1536">
        <v>2</v>
      </c>
      <c r="H1536">
        <v>7</v>
      </c>
    </row>
    <row r="1537" spans="1:8" x14ac:dyDescent="0.3">
      <c r="A1537">
        <v>1536</v>
      </c>
      <c r="B1537">
        <v>34</v>
      </c>
      <c r="C1537">
        <v>2</v>
      </c>
      <c r="D1537" s="1">
        <v>43204</v>
      </c>
      <c r="E1537" s="1">
        <v>43204</v>
      </c>
      <c r="F1537" s="1">
        <v>42411</v>
      </c>
      <c r="G1537">
        <v>2</v>
      </c>
      <c r="H1537">
        <v>7</v>
      </c>
    </row>
    <row r="1538" spans="1:8" x14ac:dyDescent="0.3">
      <c r="A1538">
        <v>1537</v>
      </c>
      <c r="B1538">
        <v>36</v>
      </c>
      <c r="C1538">
        <v>1</v>
      </c>
      <c r="D1538" s="1">
        <v>43205</v>
      </c>
      <c r="E1538" s="1">
        <v>43205</v>
      </c>
      <c r="F1538" s="1">
        <v>42411</v>
      </c>
      <c r="G1538">
        <v>2</v>
      </c>
      <c r="H1538">
        <v>6</v>
      </c>
    </row>
    <row r="1539" spans="1:8" x14ac:dyDescent="0.3">
      <c r="A1539">
        <v>1538</v>
      </c>
      <c r="B1539">
        <v>79</v>
      </c>
      <c r="C1539">
        <v>2</v>
      </c>
      <c r="D1539" s="1">
        <v>43205</v>
      </c>
      <c r="E1539" s="1">
        <v>43205</v>
      </c>
      <c r="F1539" s="1">
        <v>42411</v>
      </c>
      <c r="G1539">
        <v>2</v>
      </c>
      <c r="H1539">
        <v>6</v>
      </c>
    </row>
    <row r="1540" spans="1:8" x14ac:dyDescent="0.3">
      <c r="A1540">
        <v>1539</v>
      </c>
      <c r="B1540">
        <v>116</v>
      </c>
      <c r="C1540">
        <v>1</v>
      </c>
      <c r="D1540" s="1">
        <v>43205</v>
      </c>
      <c r="E1540" s="1">
        <v>43205</v>
      </c>
      <c r="F1540" s="1">
        <v>42411</v>
      </c>
      <c r="G1540">
        <v>3</v>
      </c>
      <c r="H1540">
        <v>9</v>
      </c>
    </row>
    <row r="1541" spans="1:8" x14ac:dyDescent="0.3">
      <c r="A1541">
        <v>1540</v>
      </c>
      <c r="B1541">
        <v>187</v>
      </c>
      <c r="C1541">
        <v>1</v>
      </c>
      <c r="D1541" s="1">
        <v>43206</v>
      </c>
      <c r="E1541" s="1">
        <v>43206</v>
      </c>
      <c r="F1541" s="1">
        <v>42411</v>
      </c>
      <c r="G1541">
        <v>1</v>
      </c>
      <c r="H1541">
        <v>2</v>
      </c>
    </row>
    <row r="1542" spans="1:8" x14ac:dyDescent="0.3">
      <c r="A1542">
        <v>1541</v>
      </c>
      <c r="B1542">
        <v>10</v>
      </c>
      <c r="C1542">
        <v>2</v>
      </c>
      <c r="D1542" s="1">
        <v>43206</v>
      </c>
      <c r="E1542" s="1">
        <v>43206</v>
      </c>
      <c r="F1542" s="1">
        <v>42411</v>
      </c>
      <c r="G1542">
        <v>2</v>
      </c>
      <c r="H1542">
        <v>7</v>
      </c>
    </row>
    <row r="1543" spans="1:8" x14ac:dyDescent="0.3">
      <c r="A1543">
        <v>1542</v>
      </c>
      <c r="B1543">
        <v>58</v>
      </c>
      <c r="C1543">
        <v>2</v>
      </c>
      <c r="D1543" s="1">
        <v>43206</v>
      </c>
      <c r="E1543" s="1">
        <v>43206</v>
      </c>
      <c r="F1543" s="1">
        <v>42411</v>
      </c>
      <c r="G1543">
        <v>2</v>
      </c>
      <c r="H1543">
        <v>6</v>
      </c>
    </row>
    <row r="1544" spans="1:8" x14ac:dyDescent="0.3">
      <c r="A1544">
        <v>1543</v>
      </c>
      <c r="B1544">
        <v>76</v>
      </c>
      <c r="C1544">
        <v>1</v>
      </c>
      <c r="D1544" s="1">
        <v>43206</v>
      </c>
      <c r="E1544" s="1">
        <v>43206</v>
      </c>
      <c r="F1544" s="1">
        <v>42411</v>
      </c>
      <c r="G1544">
        <v>2</v>
      </c>
      <c r="H1544">
        <v>6</v>
      </c>
    </row>
    <row r="1545" spans="1:8" x14ac:dyDescent="0.3">
      <c r="A1545">
        <v>1544</v>
      </c>
      <c r="B1545">
        <v>5</v>
      </c>
      <c r="C1545">
        <v>1</v>
      </c>
      <c r="D1545" s="1">
        <v>43207</v>
      </c>
      <c r="E1545" s="1">
        <v>43207</v>
      </c>
      <c r="F1545" s="1">
        <v>42411</v>
      </c>
      <c r="G1545">
        <v>1</v>
      </c>
      <c r="H1545">
        <v>2</v>
      </c>
    </row>
    <row r="1546" spans="1:8" x14ac:dyDescent="0.3">
      <c r="A1546">
        <v>1545</v>
      </c>
      <c r="B1546">
        <v>67</v>
      </c>
      <c r="C1546">
        <v>1</v>
      </c>
      <c r="D1546" s="1">
        <v>43207</v>
      </c>
      <c r="E1546" s="1">
        <v>43207</v>
      </c>
      <c r="F1546" s="1">
        <v>42411</v>
      </c>
      <c r="G1546">
        <v>1</v>
      </c>
      <c r="H1546">
        <v>3</v>
      </c>
    </row>
    <row r="1547" spans="1:8" x14ac:dyDescent="0.3">
      <c r="A1547">
        <v>1546</v>
      </c>
      <c r="B1547">
        <v>91</v>
      </c>
      <c r="C1547">
        <v>2</v>
      </c>
      <c r="D1547" s="1">
        <v>43207</v>
      </c>
      <c r="E1547" s="1">
        <v>43207</v>
      </c>
      <c r="F1547" s="1">
        <v>42411</v>
      </c>
      <c r="G1547">
        <v>1</v>
      </c>
      <c r="H1547">
        <v>3</v>
      </c>
    </row>
    <row r="1548" spans="1:8" x14ac:dyDescent="0.3">
      <c r="A1548">
        <v>1547</v>
      </c>
      <c r="B1548">
        <v>169</v>
      </c>
      <c r="C1548">
        <v>1</v>
      </c>
      <c r="D1548" s="1">
        <v>43207</v>
      </c>
      <c r="E1548" s="1">
        <v>43207</v>
      </c>
      <c r="F1548" s="1">
        <v>42411</v>
      </c>
      <c r="G1548">
        <v>1</v>
      </c>
      <c r="H1548">
        <v>3</v>
      </c>
    </row>
    <row r="1549" spans="1:8" x14ac:dyDescent="0.3">
      <c r="A1549">
        <v>1548</v>
      </c>
      <c r="B1549">
        <v>170</v>
      </c>
      <c r="C1549">
        <v>1</v>
      </c>
      <c r="D1549" s="1">
        <v>43207</v>
      </c>
      <c r="E1549" s="1">
        <v>43207</v>
      </c>
      <c r="F1549" s="1">
        <v>42411</v>
      </c>
      <c r="G1549">
        <v>1</v>
      </c>
      <c r="H1549">
        <v>2</v>
      </c>
    </row>
    <row r="1550" spans="1:8" x14ac:dyDescent="0.3">
      <c r="A1550">
        <v>1549</v>
      </c>
      <c r="B1550">
        <v>17</v>
      </c>
      <c r="C1550">
        <v>1</v>
      </c>
      <c r="D1550" s="1">
        <v>43207</v>
      </c>
      <c r="E1550" s="1">
        <v>43207</v>
      </c>
      <c r="F1550" s="1">
        <v>42411</v>
      </c>
      <c r="G1550">
        <v>2</v>
      </c>
      <c r="H1550">
        <v>7</v>
      </c>
    </row>
    <row r="1551" spans="1:8" x14ac:dyDescent="0.3">
      <c r="A1551">
        <v>1550</v>
      </c>
      <c r="B1551">
        <v>39</v>
      </c>
      <c r="C1551">
        <v>1</v>
      </c>
      <c r="D1551" s="1">
        <v>43207</v>
      </c>
      <c r="E1551" s="1">
        <v>43207</v>
      </c>
      <c r="F1551" s="1">
        <v>42411</v>
      </c>
      <c r="G1551">
        <v>2</v>
      </c>
      <c r="H1551">
        <v>6</v>
      </c>
    </row>
    <row r="1552" spans="1:8" x14ac:dyDescent="0.3">
      <c r="A1552">
        <v>1551</v>
      </c>
      <c r="B1552">
        <v>70</v>
      </c>
      <c r="C1552">
        <v>1</v>
      </c>
      <c r="D1552" s="1">
        <v>43207</v>
      </c>
      <c r="E1552" s="1">
        <v>43207</v>
      </c>
      <c r="F1552" s="1">
        <v>42411</v>
      </c>
      <c r="G1552">
        <v>2</v>
      </c>
      <c r="H1552">
        <v>7</v>
      </c>
    </row>
    <row r="1553" spans="1:8" x14ac:dyDescent="0.3">
      <c r="A1553">
        <v>1552</v>
      </c>
      <c r="B1553">
        <v>73</v>
      </c>
      <c r="C1553">
        <v>1</v>
      </c>
      <c r="D1553" s="1">
        <v>43207</v>
      </c>
      <c r="E1553" s="1">
        <v>43207</v>
      </c>
      <c r="F1553" s="1">
        <v>42411</v>
      </c>
      <c r="G1553">
        <v>2</v>
      </c>
      <c r="H1553">
        <v>7</v>
      </c>
    </row>
    <row r="1554" spans="1:8" x14ac:dyDescent="0.3">
      <c r="A1554">
        <v>1553</v>
      </c>
      <c r="B1554">
        <v>30</v>
      </c>
      <c r="C1554">
        <v>2</v>
      </c>
      <c r="D1554" s="1">
        <v>43208</v>
      </c>
      <c r="E1554" s="1">
        <v>43208</v>
      </c>
      <c r="F1554" s="1">
        <v>42411</v>
      </c>
      <c r="G1554">
        <v>1</v>
      </c>
      <c r="H1554">
        <v>3</v>
      </c>
    </row>
    <row r="1555" spans="1:8" x14ac:dyDescent="0.3">
      <c r="A1555">
        <v>1554</v>
      </c>
      <c r="B1555">
        <v>172</v>
      </c>
      <c r="C1555">
        <v>1</v>
      </c>
      <c r="D1555" s="1">
        <v>43208</v>
      </c>
      <c r="E1555" s="1">
        <v>43208</v>
      </c>
      <c r="F1555" s="1">
        <v>42411</v>
      </c>
      <c r="G1555">
        <v>1</v>
      </c>
      <c r="H1555">
        <v>3</v>
      </c>
    </row>
    <row r="1556" spans="1:8" x14ac:dyDescent="0.3">
      <c r="A1556">
        <v>1555</v>
      </c>
      <c r="B1556">
        <v>1</v>
      </c>
      <c r="C1556">
        <v>1</v>
      </c>
      <c r="D1556" s="1">
        <v>43208</v>
      </c>
      <c r="E1556" s="1">
        <v>43208</v>
      </c>
      <c r="F1556" s="1">
        <v>42411</v>
      </c>
      <c r="G1556">
        <v>2</v>
      </c>
      <c r="H1556">
        <v>7</v>
      </c>
    </row>
    <row r="1557" spans="1:8" x14ac:dyDescent="0.3">
      <c r="A1557">
        <v>1556</v>
      </c>
      <c r="B1557">
        <v>4</v>
      </c>
      <c r="C1557">
        <v>2</v>
      </c>
      <c r="D1557" s="1">
        <v>43208</v>
      </c>
      <c r="E1557" s="1">
        <v>43208</v>
      </c>
      <c r="F1557" s="1">
        <v>42411</v>
      </c>
      <c r="G1557">
        <v>2</v>
      </c>
      <c r="H1557">
        <v>6</v>
      </c>
    </row>
    <row r="1558" spans="1:8" x14ac:dyDescent="0.3">
      <c r="A1558">
        <v>1557</v>
      </c>
      <c r="B1558">
        <v>121</v>
      </c>
      <c r="C1558">
        <v>2</v>
      </c>
      <c r="D1558" s="1">
        <v>43209</v>
      </c>
      <c r="E1558" s="1">
        <v>43209</v>
      </c>
      <c r="F1558" s="1">
        <v>42411</v>
      </c>
      <c r="G1558">
        <v>1</v>
      </c>
      <c r="H1558">
        <v>3</v>
      </c>
    </row>
    <row r="1559" spans="1:8" x14ac:dyDescent="0.3">
      <c r="A1559">
        <v>1558</v>
      </c>
      <c r="B1559">
        <v>63</v>
      </c>
      <c r="C1559">
        <v>1</v>
      </c>
      <c r="D1559" s="1">
        <v>43209</v>
      </c>
      <c r="E1559" s="1">
        <v>43209</v>
      </c>
      <c r="F1559" s="1">
        <v>42411</v>
      </c>
      <c r="G1559">
        <v>2</v>
      </c>
      <c r="H1559">
        <v>6</v>
      </c>
    </row>
    <row r="1560" spans="1:8" x14ac:dyDescent="0.3">
      <c r="A1560">
        <v>1559</v>
      </c>
      <c r="B1560">
        <v>42</v>
      </c>
      <c r="C1560">
        <v>2</v>
      </c>
      <c r="D1560" s="1">
        <v>43210</v>
      </c>
      <c r="E1560" s="1">
        <v>43210</v>
      </c>
      <c r="F1560" s="1">
        <v>42411</v>
      </c>
      <c r="G1560">
        <v>2</v>
      </c>
      <c r="H1560">
        <v>6</v>
      </c>
    </row>
    <row r="1561" spans="1:8" x14ac:dyDescent="0.3">
      <c r="A1561">
        <v>1560</v>
      </c>
      <c r="B1561">
        <v>57</v>
      </c>
      <c r="C1561">
        <v>1</v>
      </c>
      <c r="D1561" s="1">
        <v>43210</v>
      </c>
      <c r="E1561" s="1">
        <v>43210</v>
      </c>
      <c r="F1561" s="1">
        <v>42411</v>
      </c>
      <c r="G1561">
        <v>2</v>
      </c>
      <c r="H1561">
        <v>7</v>
      </c>
    </row>
    <row r="1562" spans="1:8" x14ac:dyDescent="0.3">
      <c r="A1562">
        <v>1561</v>
      </c>
      <c r="B1562">
        <v>65</v>
      </c>
      <c r="C1562">
        <v>2</v>
      </c>
      <c r="D1562" s="1">
        <v>43210</v>
      </c>
      <c r="E1562" s="1">
        <v>43210</v>
      </c>
      <c r="F1562" s="1">
        <v>42411</v>
      </c>
      <c r="G1562">
        <v>2</v>
      </c>
      <c r="H1562">
        <v>7</v>
      </c>
    </row>
    <row r="1563" spans="1:8" x14ac:dyDescent="0.3">
      <c r="A1563">
        <v>1562</v>
      </c>
      <c r="B1563">
        <v>88</v>
      </c>
      <c r="C1563">
        <v>1</v>
      </c>
      <c r="D1563" s="1">
        <v>43210</v>
      </c>
      <c r="E1563" s="1">
        <v>43210</v>
      </c>
      <c r="F1563" s="1">
        <v>42411</v>
      </c>
      <c r="G1563">
        <v>2</v>
      </c>
      <c r="H1563">
        <v>7</v>
      </c>
    </row>
    <row r="1564" spans="1:8" x14ac:dyDescent="0.3">
      <c r="A1564">
        <v>1563</v>
      </c>
      <c r="B1564">
        <v>77</v>
      </c>
      <c r="C1564">
        <v>2</v>
      </c>
      <c r="D1564" s="1">
        <v>43210</v>
      </c>
      <c r="E1564" s="1">
        <v>43210</v>
      </c>
      <c r="F1564" s="1">
        <v>42411</v>
      </c>
      <c r="G1564">
        <v>3</v>
      </c>
      <c r="H1564">
        <v>9</v>
      </c>
    </row>
    <row r="1565" spans="1:8" x14ac:dyDescent="0.3">
      <c r="A1565">
        <v>1564</v>
      </c>
      <c r="B1565">
        <v>46</v>
      </c>
      <c r="C1565">
        <v>1</v>
      </c>
      <c r="D1565" s="1">
        <v>43211</v>
      </c>
      <c r="E1565" s="1">
        <v>43211</v>
      </c>
      <c r="F1565" s="1">
        <v>42411</v>
      </c>
      <c r="G1565">
        <v>1</v>
      </c>
      <c r="H1565">
        <v>3</v>
      </c>
    </row>
    <row r="1566" spans="1:8" x14ac:dyDescent="0.3">
      <c r="A1566">
        <v>1565</v>
      </c>
      <c r="B1566">
        <v>60</v>
      </c>
      <c r="C1566">
        <v>2</v>
      </c>
      <c r="D1566" s="1">
        <v>43211</v>
      </c>
      <c r="E1566" s="1">
        <v>43211</v>
      </c>
      <c r="F1566" s="1">
        <v>42411</v>
      </c>
      <c r="G1566">
        <v>1</v>
      </c>
      <c r="H1566">
        <v>2</v>
      </c>
    </row>
    <row r="1567" spans="1:8" x14ac:dyDescent="0.3">
      <c r="A1567">
        <v>1566</v>
      </c>
      <c r="B1567">
        <v>72</v>
      </c>
      <c r="C1567">
        <v>1</v>
      </c>
      <c r="D1567" s="1">
        <v>43211</v>
      </c>
      <c r="E1567" s="1">
        <v>43211</v>
      </c>
      <c r="F1567" s="1">
        <v>42411</v>
      </c>
      <c r="G1567">
        <v>1</v>
      </c>
      <c r="H1567">
        <v>3</v>
      </c>
    </row>
    <row r="1568" spans="1:8" x14ac:dyDescent="0.3">
      <c r="A1568">
        <v>1567</v>
      </c>
      <c r="B1568">
        <v>89</v>
      </c>
      <c r="C1568">
        <v>2</v>
      </c>
      <c r="D1568" s="1">
        <v>43211</v>
      </c>
      <c r="E1568" s="1">
        <v>43211</v>
      </c>
      <c r="F1568" s="1">
        <v>42411</v>
      </c>
      <c r="G1568">
        <v>1</v>
      </c>
      <c r="H1568">
        <v>2</v>
      </c>
    </row>
    <row r="1569" spans="1:8" x14ac:dyDescent="0.3">
      <c r="A1569">
        <v>1568</v>
      </c>
      <c r="B1569">
        <v>192</v>
      </c>
      <c r="C1569">
        <v>2</v>
      </c>
      <c r="D1569" s="1">
        <v>43211</v>
      </c>
      <c r="E1569" s="1">
        <v>43211</v>
      </c>
      <c r="F1569" s="1">
        <v>42411</v>
      </c>
      <c r="G1569">
        <v>1</v>
      </c>
      <c r="H1569">
        <v>3</v>
      </c>
    </row>
    <row r="1570" spans="1:8" x14ac:dyDescent="0.3">
      <c r="A1570">
        <v>1569</v>
      </c>
      <c r="B1570">
        <v>29</v>
      </c>
      <c r="C1570">
        <v>2</v>
      </c>
      <c r="D1570" s="1">
        <v>43212</v>
      </c>
      <c r="E1570" s="1">
        <v>43212</v>
      </c>
      <c r="F1570" s="1">
        <v>42411</v>
      </c>
      <c r="G1570">
        <v>2</v>
      </c>
      <c r="H1570">
        <v>7</v>
      </c>
    </row>
    <row r="1571" spans="1:8" x14ac:dyDescent="0.3">
      <c r="A1571">
        <v>1570</v>
      </c>
      <c r="B1571">
        <v>54</v>
      </c>
      <c r="C1571">
        <v>2</v>
      </c>
      <c r="D1571" s="1">
        <v>43212</v>
      </c>
      <c r="E1571" s="1">
        <v>43212</v>
      </c>
      <c r="F1571" s="1">
        <v>42411</v>
      </c>
      <c r="G1571">
        <v>2</v>
      </c>
      <c r="H1571">
        <v>7</v>
      </c>
    </row>
    <row r="1572" spans="1:8" x14ac:dyDescent="0.3">
      <c r="A1572">
        <v>1571</v>
      </c>
      <c r="B1572">
        <v>80</v>
      </c>
      <c r="C1572">
        <v>1</v>
      </c>
      <c r="D1572" s="1">
        <v>43212</v>
      </c>
      <c r="E1572" s="1">
        <v>43212</v>
      </c>
      <c r="F1572" s="1">
        <v>42411</v>
      </c>
      <c r="G1572">
        <v>2</v>
      </c>
      <c r="H1572">
        <v>7</v>
      </c>
    </row>
    <row r="1573" spans="1:8" x14ac:dyDescent="0.3">
      <c r="A1573">
        <v>1572</v>
      </c>
      <c r="B1573">
        <v>14</v>
      </c>
      <c r="C1573">
        <v>1</v>
      </c>
      <c r="D1573" s="1">
        <v>43212</v>
      </c>
      <c r="E1573" s="1">
        <v>43212</v>
      </c>
      <c r="F1573" s="1">
        <v>42411</v>
      </c>
      <c r="G1573">
        <v>3</v>
      </c>
      <c r="H1573">
        <v>9</v>
      </c>
    </row>
    <row r="1574" spans="1:8" x14ac:dyDescent="0.3">
      <c r="A1574">
        <v>1573</v>
      </c>
      <c r="B1574">
        <v>24</v>
      </c>
      <c r="C1574">
        <v>2</v>
      </c>
      <c r="D1574" s="1">
        <v>43213</v>
      </c>
      <c r="E1574" s="1">
        <v>43213</v>
      </c>
      <c r="F1574" s="1">
        <v>42411</v>
      </c>
      <c r="G1574">
        <v>1</v>
      </c>
      <c r="H1574">
        <v>2</v>
      </c>
    </row>
    <row r="1575" spans="1:8" x14ac:dyDescent="0.3">
      <c r="A1575">
        <v>1574</v>
      </c>
      <c r="B1575">
        <v>124</v>
      </c>
      <c r="C1575">
        <v>1</v>
      </c>
      <c r="D1575" s="1">
        <v>43213</v>
      </c>
      <c r="E1575" s="1">
        <v>43213</v>
      </c>
      <c r="F1575" s="1">
        <v>42411</v>
      </c>
      <c r="G1575">
        <v>1</v>
      </c>
      <c r="H1575">
        <v>2</v>
      </c>
    </row>
    <row r="1576" spans="1:8" x14ac:dyDescent="0.3">
      <c r="A1576">
        <v>1575</v>
      </c>
      <c r="B1576">
        <v>224</v>
      </c>
      <c r="C1576">
        <v>2</v>
      </c>
      <c r="D1576" s="1">
        <v>43213</v>
      </c>
      <c r="E1576" s="1">
        <v>43213</v>
      </c>
      <c r="F1576" s="1">
        <v>42411</v>
      </c>
      <c r="G1576">
        <v>1</v>
      </c>
      <c r="H1576">
        <v>3</v>
      </c>
    </row>
    <row r="1577" spans="1:8" x14ac:dyDescent="0.3">
      <c r="A1577">
        <v>1576</v>
      </c>
      <c r="B1577">
        <v>12</v>
      </c>
      <c r="C1577">
        <v>2</v>
      </c>
      <c r="D1577" s="1">
        <v>43213</v>
      </c>
      <c r="E1577" s="1">
        <v>43213</v>
      </c>
      <c r="F1577" s="1">
        <v>42411</v>
      </c>
      <c r="G1577">
        <v>2</v>
      </c>
      <c r="H1577">
        <v>7</v>
      </c>
    </row>
    <row r="1578" spans="1:8" x14ac:dyDescent="0.3">
      <c r="A1578">
        <v>1577</v>
      </c>
      <c r="B1578">
        <v>48</v>
      </c>
      <c r="C1578">
        <v>1</v>
      </c>
      <c r="D1578" s="1">
        <v>43213</v>
      </c>
      <c r="E1578" s="1">
        <v>43213</v>
      </c>
      <c r="F1578" s="1">
        <v>42411</v>
      </c>
      <c r="G1578">
        <v>2</v>
      </c>
      <c r="H1578">
        <v>7</v>
      </c>
    </row>
    <row r="1579" spans="1:8" x14ac:dyDescent="0.3">
      <c r="A1579">
        <v>1578</v>
      </c>
      <c r="B1579">
        <v>93</v>
      </c>
      <c r="C1579">
        <v>2</v>
      </c>
      <c r="D1579" s="1">
        <v>43213</v>
      </c>
      <c r="E1579" s="1">
        <v>43213</v>
      </c>
      <c r="F1579" s="1">
        <v>42411</v>
      </c>
      <c r="G1579">
        <v>2</v>
      </c>
      <c r="H1579">
        <v>7</v>
      </c>
    </row>
    <row r="1580" spans="1:8" x14ac:dyDescent="0.3">
      <c r="A1580">
        <v>1579</v>
      </c>
      <c r="B1580">
        <v>104</v>
      </c>
      <c r="C1580">
        <v>2</v>
      </c>
      <c r="D1580" s="1">
        <v>43214</v>
      </c>
      <c r="E1580" s="1">
        <v>43214</v>
      </c>
      <c r="F1580" s="1">
        <v>42411</v>
      </c>
      <c r="G1580">
        <v>1</v>
      </c>
      <c r="H1580">
        <v>2</v>
      </c>
    </row>
    <row r="1581" spans="1:8" x14ac:dyDescent="0.3">
      <c r="A1581">
        <v>1580</v>
      </c>
      <c r="B1581">
        <v>191</v>
      </c>
      <c r="C1581">
        <v>2</v>
      </c>
      <c r="D1581" s="1">
        <v>43214</v>
      </c>
      <c r="E1581" s="1">
        <v>43214</v>
      </c>
      <c r="F1581" s="1">
        <v>42411</v>
      </c>
      <c r="G1581">
        <v>1</v>
      </c>
      <c r="H1581">
        <v>2</v>
      </c>
    </row>
    <row r="1582" spans="1:8" x14ac:dyDescent="0.3">
      <c r="A1582">
        <v>1581</v>
      </c>
      <c r="B1582">
        <v>188</v>
      </c>
      <c r="C1582">
        <v>2</v>
      </c>
      <c r="D1582" s="1">
        <v>43215</v>
      </c>
      <c r="E1582" s="1">
        <v>43215</v>
      </c>
      <c r="F1582" s="1">
        <v>42411</v>
      </c>
      <c r="G1582">
        <v>1</v>
      </c>
      <c r="H1582">
        <v>2</v>
      </c>
    </row>
    <row r="1583" spans="1:8" x14ac:dyDescent="0.3">
      <c r="A1583">
        <v>1582</v>
      </c>
      <c r="B1583">
        <v>240</v>
      </c>
      <c r="C1583">
        <v>1</v>
      </c>
      <c r="D1583" s="1">
        <v>43215</v>
      </c>
      <c r="E1583" s="1">
        <v>43215</v>
      </c>
      <c r="F1583" s="1">
        <v>42411</v>
      </c>
      <c r="G1583">
        <v>1</v>
      </c>
      <c r="H1583">
        <v>3</v>
      </c>
    </row>
    <row r="1584" spans="1:8" x14ac:dyDescent="0.3">
      <c r="A1584">
        <v>1583</v>
      </c>
      <c r="B1584">
        <v>44</v>
      </c>
      <c r="C1584">
        <v>1</v>
      </c>
      <c r="D1584" s="1">
        <v>43215</v>
      </c>
      <c r="E1584" s="1">
        <v>43215</v>
      </c>
      <c r="F1584" s="1">
        <v>42411</v>
      </c>
      <c r="G1584">
        <v>2</v>
      </c>
      <c r="H1584">
        <v>6</v>
      </c>
    </row>
    <row r="1585" spans="1:8" x14ac:dyDescent="0.3">
      <c r="A1585">
        <v>1584</v>
      </c>
      <c r="B1585">
        <v>109</v>
      </c>
      <c r="C1585">
        <v>2</v>
      </c>
      <c r="D1585" s="1">
        <v>43216</v>
      </c>
      <c r="E1585" s="1">
        <v>43216</v>
      </c>
      <c r="F1585" s="1">
        <v>42411</v>
      </c>
      <c r="G1585">
        <v>1</v>
      </c>
      <c r="H1585">
        <v>3</v>
      </c>
    </row>
    <row r="1586" spans="1:8" x14ac:dyDescent="0.3">
      <c r="A1586">
        <v>1585</v>
      </c>
      <c r="B1586">
        <v>157</v>
      </c>
      <c r="C1586">
        <v>1</v>
      </c>
      <c r="D1586" s="1">
        <v>43216</v>
      </c>
      <c r="E1586" s="1">
        <v>43216</v>
      </c>
      <c r="F1586" s="1">
        <v>42411</v>
      </c>
      <c r="G1586">
        <v>1</v>
      </c>
      <c r="H1586">
        <v>3</v>
      </c>
    </row>
    <row r="1587" spans="1:8" x14ac:dyDescent="0.3">
      <c r="A1587">
        <v>1586</v>
      </c>
      <c r="B1587">
        <v>176</v>
      </c>
      <c r="C1587">
        <v>1</v>
      </c>
      <c r="D1587" s="1">
        <v>43216</v>
      </c>
      <c r="E1587" s="1">
        <v>43216</v>
      </c>
      <c r="F1587" s="1">
        <v>42411</v>
      </c>
      <c r="G1587">
        <v>1</v>
      </c>
      <c r="H1587">
        <v>2</v>
      </c>
    </row>
    <row r="1588" spans="1:8" x14ac:dyDescent="0.3">
      <c r="A1588">
        <v>1587</v>
      </c>
      <c r="B1588">
        <v>231</v>
      </c>
      <c r="C1588">
        <v>2</v>
      </c>
      <c r="D1588" s="1">
        <v>43216</v>
      </c>
      <c r="E1588" s="1">
        <v>43216</v>
      </c>
      <c r="F1588" s="1">
        <v>42411</v>
      </c>
      <c r="G1588">
        <v>1</v>
      </c>
      <c r="H1588">
        <v>2</v>
      </c>
    </row>
    <row r="1589" spans="1:8" x14ac:dyDescent="0.3">
      <c r="A1589">
        <v>1588</v>
      </c>
      <c r="B1589">
        <v>11</v>
      </c>
      <c r="C1589">
        <v>1</v>
      </c>
      <c r="D1589" s="1">
        <v>43216</v>
      </c>
      <c r="E1589" s="1">
        <v>43216</v>
      </c>
      <c r="F1589" s="1">
        <v>42411</v>
      </c>
      <c r="G1589">
        <v>2</v>
      </c>
      <c r="H1589">
        <v>6</v>
      </c>
    </row>
    <row r="1590" spans="1:8" x14ac:dyDescent="0.3">
      <c r="A1590">
        <v>1589</v>
      </c>
      <c r="B1590">
        <v>40</v>
      </c>
      <c r="C1590">
        <v>2</v>
      </c>
      <c r="D1590" s="1">
        <v>43217</v>
      </c>
      <c r="E1590" s="1">
        <v>43217</v>
      </c>
      <c r="F1590" s="1">
        <v>42411</v>
      </c>
      <c r="G1590">
        <v>1</v>
      </c>
      <c r="H1590">
        <v>3</v>
      </c>
    </row>
    <row r="1591" spans="1:8" x14ac:dyDescent="0.3">
      <c r="A1591">
        <v>1590</v>
      </c>
      <c r="B1591">
        <v>138</v>
      </c>
      <c r="C1591">
        <v>1</v>
      </c>
      <c r="D1591" s="1">
        <v>43217</v>
      </c>
      <c r="E1591" s="1">
        <v>43217</v>
      </c>
      <c r="F1591" s="1">
        <v>42411</v>
      </c>
      <c r="G1591">
        <v>1</v>
      </c>
      <c r="H1591">
        <v>3</v>
      </c>
    </row>
    <row r="1592" spans="1:8" x14ac:dyDescent="0.3">
      <c r="A1592">
        <v>1591</v>
      </c>
      <c r="B1592">
        <v>165</v>
      </c>
      <c r="C1592">
        <v>2</v>
      </c>
      <c r="D1592" s="1">
        <v>43217</v>
      </c>
      <c r="E1592" s="1">
        <v>43217</v>
      </c>
      <c r="F1592" s="1">
        <v>42411</v>
      </c>
      <c r="G1592">
        <v>1</v>
      </c>
      <c r="H1592">
        <v>2</v>
      </c>
    </row>
    <row r="1593" spans="1:8" x14ac:dyDescent="0.3">
      <c r="A1593">
        <v>1592</v>
      </c>
      <c r="B1593">
        <v>6</v>
      </c>
      <c r="C1593">
        <v>2</v>
      </c>
      <c r="D1593" s="1">
        <v>43217</v>
      </c>
      <c r="E1593" s="1">
        <v>43217</v>
      </c>
      <c r="F1593" s="1">
        <v>42411</v>
      </c>
      <c r="G1593">
        <v>2</v>
      </c>
      <c r="H1593">
        <v>7</v>
      </c>
    </row>
    <row r="1594" spans="1:8" x14ac:dyDescent="0.3">
      <c r="A1594">
        <v>1593</v>
      </c>
      <c r="B1594">
        <v>9</v>
      </c>
      <c r="C1594">
        <v>1</v>
      </c>
      <c r="D1594" s="1">
        <v>43217</v>
      </c>
      <c r="E1594" s="1">
        <v>43217</v>
      </c>
      <c r="F1594" s="1">
        <v>42411</v>
      </c>
      <c r="G1594">
        <v>2</v>
      </c>
      <c r="H1594">
        <v>6</v>
      </c>
    </row>
    <row r="1595" spans="1:8" x14ac:dyDescent="0.3">
      <c r="A1595">
        <v>1594</v>
      </c>
      <c r="B1595">
        <v>45</v>
      </c>
      <c r="C1595">
        <v>1</v>
      </c>
      <c r="D1595" s="1">
        <v>43218</v>
      </c>
      <c r="E1595" s="1">
        <v>43218</v>
      </c>
      <c r="F1595" s="1">
        <v>42411</v>
      </c>
      <c r="G1595">
        <v>2</v>
      </c>
      <c r="H1595">
        <v>7</v>
      </c>
    </row>
    <row r="1596" spans="1:8" x14ac:dyDescent="0.3">
      <c r="A1596">
        <v>1595</v>
      </c>
      <c r="B1596">
        <v>71</v>
      </c>
      <c r="C1596">
        <v>2</v>
      </c>
      <c r="D1596" s="1">
        <v>43218</v>
      </c>
      <c r="E1596" s="1">
        <v>43218</v>
      </c>
      <c r="F1596" s="1">
        <v>42411</v>
      </c>
      <c r="G1596">
        <v>2</v>
      </c>
      <c r="H1596">
        <v>7</v>
      </c>
    </row>
    <row r="1597" spans="1:8" x14ac:dyDescent="0.3">
      <c r="A1597">
        <v>1596</v>
      </c>
      <c r="B1597">
        <v>21</v>
      </c>
      <c r="C1597">
        <v>2</v>
      </c>
      <c r="D1597" s="1">
        <v>43218</v>
      </c>
      <c r="E1597" s="1">
        <v>43218</v>
      </c>
      <c r="F1597" s="1">
        <v>42411</v>
      </c>
      <c r="G1597">
        <v>3</v>
      </c>
      <c r="H1597">
        <v>8</v>
      </c>
    </row>
    <row r="1598" spans="1:8" x14ac:dyDescent="0.3">
      <c r="A1598">
        <v>1597</v>
      </c>
      <c r="B1598">
        <v>56</v>
      </c>
      <c r="C1598">
        <v>1</v>
      </c>
      <c r="D1598" s="1">
        <v>43218</v>
      </c>
      <c r="E1598" s="1">
        <v>43218</v>
      </c>
      <c r="F1598" s="1">
        <v>42411</v>
      </c>
      <c r="G1598">
        <v>3</v>
      </c>
      <c r="H1598">
        <v>9</v>
      </c>
    </row>
    <row r="1599" spans="1:8" x14ac:dyDescent="0.3">
      <c r="A1599">
        <v>1598</v>
      </c>
      <c r="B1599">
        <v>239</v>
      </c>
      <c r="C1599">
        <v>2</v>
      </c>
      <c r="D1599" s="1">
        <v>43219</v>
      </c>
      <c r="E1599" s="1">
        <v>43219</v>
      </c>
      <c r="F1599" s="1">
        <v>42411</v>
      </c>
      <c r="G1599">
        <v>1</v>
      </c>
      <c r="H1599">
        <v>3</v>
      </c>
    </row>
    <row r="1600" spans="1:8" x14ac:dyDescent="0.3">
      <c r="A1600">
        <v>1599</v>
      </c>
      <c r="B1600">
        <v>49</v>
      </c>
      <c r="C1600">
        <v>1</v>
      </c>
      <c r="D1600" s="1">
        <v>43219</v>
      </c>
      <c r="E1600" s="1">
        <v>43219</v>
      </c>
      <c r="F1600" s="1">
        <v>42411</v>
      </c>
      <c r="G1600">
        <v>2</v>
      </c>
      <c r="H1600">
        <v>7</v>
      </c>
    </row>
    <row r="1601" spans="1:8" x14ac:dyDescent="0.3">
      <c r="A1601">
        <v>1600</v>
      </c>
      <c r="B1601">
        <v>90</v>
      </c>
      <c r="C1601">
        <v>1</v>
      </c>
      <c r="D1601" s="1">
        <v>43219</v>
      </c>
      <c r="E1601" s="1">
        <v>43219</v>
      </c>
      <c r="F1601" s="1">
        <v>42411</v>
      </c>
      <c r="G1601">
        <v>2</v>
      </c>
      <c r="H1601">
        <v>6</v>
      </c>
    </row>
    <row r="1602" spans="1:8" x14ac:dyDescent="0.3">
      <c r="A1602">
        <v>1601</v>
      </c>
      <c r="B1602">
        <v>43</v>
      </c>
      <c r="C1602">
        <v>1</v>
      </c>
      <c r="D1602" s="1">
        <v>43219</v>
      </c>
      <c r="E1602" s="1">
        <v>43219</v>
      </c>
      <c r="F1602" s="1">
        <v>42411</v>
      </c>
      <c r="G1602">
        <v>3</v>
      </c>
      <c r="H1602">
        <v>8</v>
      </c>
    </row>
    <row r="1603" spans="1:8" x14ac:dyDescent="0.3">
      <c r="A1603">
        <v>1602</v>
      </c>
      <c r="B1603">
        <v>55</v>
      </c>
      <c r="C1603">
        <v>1</v>
      </c>
      <c r="D1603" s="1">
        <v>43220</v>
      </c>
      <c r="E1603" s="1">
        <v>43220</v>
      </c>
      <c r="F1603" s="1">
        <v>42411</v>
      </c>
      <c r="G1603">
        <v>2</v>
      </c>
      <c r="H1603">
        <v>6</v>
      </c>
    </row>
    <row r="1604" spans="1:8" x14ac:dyDescent="0.3">
      <c r="A1604">
        <v>1603</v>
      </c>
      <c r="B1604">
        <v>74</v>
      </c>
      <c r="C1604">
        <v>2</v>
      </c>
      <c r="D1604" s="1">
        <v>43220</v>
      </c>
      <c r="E1604" s="1">
        <v>43220</v>
      </c>
      <c r="F1604" s="1">
        <v>42411</v>
      </c>
      <c r="G1604">
        <v>2</v>
      </c>
      <c r="H1604">
        <v>6</v>
      </c>
    </row>
    <row r="1605" spans="1:8" x14ac:dyDescent="0.3">
      <c r="A1605">
        <v>1604</v>
      </c>
      <c r="B1605">
        <v>7</v>
      </c>
      <c r="C1605">
        <v>3</v>
      </c>
      <c r="D1605" s="1">
        <v>43268</v>
      </c>
      <c r="E1605" s="1">
        <v>43268</v>
      </c>
      <c r="F1605" s="1">
        <v>42411</v>
      </c>
      <c r="G1605">
        <v>2</v>
      </c>
      <c r="H1605">
        <v>7</v>
      </c>
    </row>
    <row r="1606" spans="1:8" x14ac:dyDescent="0.3">
      <c r="A1606">
        <v>1605</v>
      </c>
      <c r="B1606">
        <v>123</v>
      </c>
      <c r="C1606">
        <v>3</v>
      </c>
      <c r="D1606" s="1">
        <v>43282</v>
      </c>
      <c r="E1606" s="1">
        <v>43282</v>
      </c>
      <c r="F1606" s="1">
        <v>42411</v>
      </c>
      <c r="G1606">
        <v>3</v>
      </c>
      <c r="H1606">
        <v>8</v>
      </c>
    </row>
    <row r="1607" spans="1:8" x14ac:dyDescent="0.3">
      <c r="A1607">
        <v>1606</v>
      </c>
      <c r="B1607">
        <v>119</v>
      </c>
      <c r="C1607">
        <v>3</v>
      </c>
      <c r="D1607" s="1">
        <v>43291</v>
      </c>
      <c r="E1607" s="1">
        <v>43291</v>
      </c>
      <c r="F1607" s="1">
        <v>42411</v>
      </c>
      <c r="G1607">
        <v>3</v>
      </c>
      <c r="H1607">
        <v>8</v>
      </c>
    </row>
    <row r="1608" spans="1:8" x14ac:dyDescent="0.3">
      <c r="A1608">
        <v>1607</v>
      </c>
      <c r="B1608">
        <v>33</v>
      </c>
      <c r="C1608">
        <v>3</v>
      </c>
      <c r="D1608" s="1">
        <v>43292</v>
      </c>
      <c r="E1608" s="1">
        <v>43292</v>
      </c>
      <c r="F1608" s="1">
        <v>42411</v>
      </c>
      <c r="G1608">
        <v>1</v>
      </c>
      <c r="H1608">
        <v>2</v>
      </c>
    </row>
    <row r="1609" spans="1:8" x14ac:dyDescent="0.3">
      <c r="A1609">
        <v>1608</v>
      </c>
      <c r="B1609">
        <v>53</v>
      </c>
      <c r="C1609">
        <v>3</v>
      </c>
      <c r="D1609" s="1">
        <v>43293</v>
      </c>
      <c r="E1609" s="1">
        <v>43293</v>
      </c>
      <c r="F1609" s="1">
        <v>42411</v>
      </c>
      <c r="G1609">
        <v>1</v>
      </c>
      <c r="H1609">
        <v>2</v>
      </c>
    </row>
    <row r="1610" spans="1:8" x14ac:dyDescent="0.3">
      <c r="A1610">
        <v>1609</v>
      </c>
      <c r="B1610">
        <v>10</v>
      </c>
      <c r="C1610">
        <v>3</v>
      </c>
      <c r="D1610" s="1">
        <v>43335</v>
      </c>
      <c r="E1610" s="1">
        <v>43335</v>
      </c>
      <c r="F1610" s="1">
        <v>42411</v>
      </c>
      <c r="G1610">
        <v>2</v>
      </c>
      <c r="H1610">
        <v>7</v>
      </c>
    </row>
    <row r="1611" spans="1:8" x14ac:dyDescent="0.3">
      <c r="A1611">
        <v>1610</v>
      </c>
      <c r="B1611">
        <v>15</v>
      </c>
      <c r="C1611">
        <v>3</v>
      </c>
      <c r="D1611" s="1">
        <v>43337</v>
      </c>
      <c r="E1611" s="1">
        <v>43337</v>
      </c>
      <c r="F1611" s="1">
        <v>42411</v>
      </c>
      <c r="G1611">
        <v>2</v>
      </c>
      <c r="H1611">
        <v>7</v>
      </c>
    </row>
    <row r="1612" spans="1:8" x14ac:dyDescent="0.3">
      <c r="A1612">
        <v>1611</v>
      </c>
      <c r="B1612">
        <v>6</v>
      </c>
      <c r="C1612">
        <v>3</v>
      </c>
      <c r="D1612" s="1">
        <v>43349</v>
      </c>
      <c r="E1612" s="1">
        <v>43349</v>
      </c>
      <c r="F1612" s="1">
        <v>42411</v>
      </c>
      <c r="G1612">
        <v>2</v>
      </c>
      <c r="H1612">
        <v>7</v>
      </c>
    </row>
    <row r="1613" spans="1:8" x14ac:dyDescent="0.3">
      <c r="A1613">
        <v>1612</v>
      </c>
      <c r="B1613">
        <v>3</v>
      </c>
      <c r="C1613">
        <v>3</v>
      </c>
      <c r="D1613" s="1">
        <v>43394</v>
      </c>
      <c r="E1613" s="1">
        <v>43394</v>
      </c>
      <c r="F1613" s="1">
        <v>42411</v>
      </c>
      <c r="G1613">
        <v>1</v>
      </c>
      <c r="H1613">
        <v>3</v>
      </c>
    </row>
    <row r="1614" spans="1:8" x14ac:dyDescent="0.3">
      <c r="A1614">
        <v>1613</v>
      </c>
      <c r="B1614">
        <v>1</v>
      </c>
      <c r="C1614">
        <v>3</v>
      </c>
      <c r="D1614" s="1">
        <v>43422</v>
      </c>
      <c r="E1614" s="1">
        <v>43422</v>
      </c>
      <c r="F1614" s="1">
        <v>42411</v>
      </c>
      <c r="G1614">
        <v>2</v>
      </c>
      <c r="H1614">
        <v>6</v>
      </c>
    </row>
    <row r="1615" spans="1:8" x14ac:dyDescent="0.3">
      <c r="A1615">
        <v>1614</v>
      </c>
      <c r="B1615">
        <v>135</v>
      </c>
      <c r="C1615">
        <v>3</v>
      </c>
      <c r="D1615" s="1">
        <v>43432</v>
      </c>
      <c r="E1615" s="1">
        <v>43432</v>
      </c>
      <c r="F1615" s="1">
        <v>42411</v>
      </c>
      <c r="G1615">
        <v>3</v>
      </c>
      <c r="H1615">
        <v>8</v>
      </c>
    </row>
    <row r="1616" spans="1:8" x14ac:dyDescent="0.3">
      <c r="A1616">
        <v>1615</v>
      </c>
      <c r="B1616">
        <v>136</v>
      </c>
      <c r="C1616">
        <v>3</v>
      </c>
      <c r="D1616" s="1">
        <v>43462</v>
      </c>
      <c r="E1616" s="1">
        <v>43462</v>
      </c>
      <c r="F1616" s="1">
        <v>42411</v>
      </c>
      <c r="G1616">
        <v>3</v>
      </c>
      <c r="H1616">
        <v>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DA52C-C121-4788-81BB-ECF6D7A39CCB}">
  <sheetPr codeName="Sheet7"/>
  <dimension ref="A1:F322"/>
  <sheetViews>
    <sheetView workbookViewId="0">
      <selection activeCell="J7" sqref="J7"/>
    </sheetView>
  </sheetViews>
  <sheetFormatPr defaultRowHeight="14.4" x14ac:dyDescent="0.3"/>
  <cols>
    <col min="1" max="1" width="12.44140625" bestFit="1" customWidth="1"/>
    <col min="2" max="2" width="47.33203125" bestFit="1" customWidth="1"/>
    <col min="3" max="3" width="10.77734375" bestFit="1" customWidth="1"/>
    <col min="4" max="4" width="13.109375" bestFit="1" customWidth="1"/>
    <col min="5" max="5" width="13.21875" bestFit="1" customWidth="1"/>
    <col min="6" max="6" width="10.6640625" bestFit="1" customWidth="1"/>
  </cols>
  <sheetData>
    <row r="1" spans="1:6" x14ac:dyDescent="0.3">
      <c r="A1" t="s">
        <v>5262</v>
      </c>
      <c r="B1" t="s">
        <v>5273</v>
      </c>
      <c r="C1" t="s">
        <v>0</v>
      </c>
      <c r="D1" t="s">
        <v>11</v>
      </c>
      <c r="E1" t="s">
        <v>5274</v>
      </c>
      <c r="F1" t="s">
        <v>5264</v>
      </c>
    </row>
    <row r="2" spans="1:6" x14ac:dyDescent="0.3">
      <c r="A2">
        <v>1</v>
      </c>
      <c r="B2" t="s">
        <v>5275</v>
      </c>
      <c r="C2">
        <v>9</v>
      </c>
      <c r="D2">
        <v>6</v>
      </c>
      <c r="E2">
        <v>2016</v>
      </c>
      <c r="F2">
        <v>379.99</v>
      </c>
    </row>
    <row r="3" spans="1:6" x14ac:dyDescent="0.3">
      <c r="A3">
        <v>2</v>
      </c>
      <c r="B3" t="s">
        <v>5276</v>
      </c>
      <c r="C3">
        <v>5</v>
      </c>
      <c r="D3">
        <v>6</v>
      </c>
      <c r="E3">
        <v>2016</v>
      </c>
      <c r="F3">
        <v>749.99</v>
      </c>
    </row>
    <row r="4" spans="1:6" x14ac:dyDescent="0.3">
      <c r="A4">
        <v>3</v>
      </c>
      <c r="B4" t="s">
        <v>5277</v>
      </c>
      <c r="C4">
        <v>8</v>
      </c>
      <c r="D4">
        <v>6</v>
      </c>
      <c r="E4">
        <v>2016</v>
      </c>
      <c r="F4">
        <v>999.99</v>
      </c>
    </row>
    <row r="5" spans="1:6" x14ac:dyDescent="0.3">
      <c r="A5">
        <v>4</v>
      </c>
      <c r="B5" t="s">
        <v>5278</v>
      </c>
      <c r="C5">
        <v>9</v>
      </c>
      <c r="D5">
        <v>6</v>
      </c>
      <c r="E5">
        <v>2016</v>
      </c>
      <c r="F5">
        <v>2899.99</v>
      </c>
    </row>
    <row r="6" spans="1:6" x14ac:dyDescent="0.3">
      <c r="A6">
        <v>5</v>
      </c>
      <c r="B6" t="s">
        <v>5279</v>
      </c>
      <c r="C6">
        <v>3</v>
      </c>
      <c r="D6">
        <v>6</v>
      </c>
      <c r="E6">
        <v>2016</v>
      </c>
      <c r="F6">
        <v>1320.99</v>
      </c>
    </row>
    <row r="7" spans="1:6" x14ac:dyDescent="0.3">
      <c r="A7">
        <v>6</v>
      </c>
      <c r="B7" t="s">
        <v>5280</v>
      </c>
      <c r="C7">
        <v>8</v>
      </c>
      <c r="D7">
        <v>6</v>
      </c>
      <c r="E7">
        <v>2016</v>
      </c>
      <c r="F7">
        <v>469.99</v>
      </c>
    </row>
    <row r="8" spans="1:6" x14ac:dyDescent="0.3">
      <c r="A8">
        <v>7</v>
      </c>
      <c r="B8" t="s">
        <v>5281</v>
      </c>
      <c r="C8">
        <v>9</v>
      </c>
      <c r="D8">
        <v>6</v>
      </c>
      <c r="E8">
        <v>2016</v>
      </c>
      <c r="F8">
        <v>3999.99</v>
      </c>
    </row>
    <row r="9" spans="1:6" x14ac:dyDescent="0.3">
      <c r="A9">
        <v>8</v>
      </c>
      <c r="B9" t="s">
        <v>5282</v>
      </c>
      <c r="C9">
        <v>9</v>
      </c>
      <c r="D9">
        <v>6</v>
      </c>
      <c r="E9">
        <v>2016</v>
      </c>
      <c r="F9">
        <v>1799.99</v>
      </c>
    </row>
    <row r="10" spans="1:6" x14ac:dyDescent="0.3">
      <c r="A10">
        <v>9</v>
      </c>
      <c r="B10" t="s">
        <v>5283</v>
      </c>
      <c r="C10">
        <v>9</v>
      </c>
      <c r="D10">
        <v>5</v>
      </c>
      <c r="E10">
        <v>2016</v>
      </c>
      <c r="F10">
        <v>2999.99</v>
      </c>
    </row>
    <row r="11" spans="1:6" x14ac:dyDescent="0.3">
      <c r="A11">
        <v>10</v>
      </c>
      <c r="B11" t="s">
        <v>5284</v>
      </c>
      <c r="C11">
        <v>8</v>
      </c>
      <c r="D11">
        <v>4</v>
      </c>
      <c r="E11">
        <v>2016</v>
      </c>
      <c r="F11">
        <v>1549</v>
      </c>
    </row>
    <row r="12" spans="1:6" x14ac:dyDescent="0.3">
      <c r="A12">
        <v>11</v>
      </c>
      <c r="B12" t="s">
        <v>5285</v>
      </c>
      <c r="C12">
        <v>8</v>
      </c>
      <c r="D12">
        <v>4</v>
      </c>
      <c r="E12">
        <v>2016</v>
      </c>
      <c r="F12">
        <v>1680.99</v>
      </c>
    </row>
    <row r="13" spans="1:6" x14ac:dyDescent="0.3">
      <c r="A13">
        <v>12</v>
      </c>
      <c r="B13" t="s">
        <v>5286</v>
      </c>
      <c r="C13">
        <v>1</v>
      </c>
      <c r="D13">
        <v>3</v>
      </c>
      <c r="E13">
        <v>2016</v>
      </c>
      <c r="F13">
        <v>549.99</v>
      </c>
    </row>
    <row r="14" spans="1:6" x14ac:dyDescent="0.3">
      <c r="A14">
        <v>13</v>
      </c>
      <c r="B14" t="s">
        <v>5287</v>
      </c>
      <c r="C14">
        <v>1</v>
      </c>
      <c r="D14">
        <v>3</v>
      </c>
      <c r="E14">
        <v>2016</v>
      </c>
      <c r="F14">
        <v>269.99</v>
      </c>
    </row>
    <row r="15" spans="1:6" x14ac:dyDescent="0.3">
      <c r="A15">
        <v>14</v>
      </c>
      <c r="B15" t="s">
        <v>5288</v>
      </c>
      <c r="C15">
        <v>1</v>
      </c>
      <c r="D15">
        <v>3</v>
      </c>
      <c r="E15">
        <v>2016</v>
      </c>
      <c r="F15">
        <v>269.99</v>
      </c>
    </row>
    <row r="16" spans="1:6" x14ac:dyDescent="0.3">
      <c r="A16">
        <v>15</v>
      </c>
      <c r="B16" t="s">
        <v>5289</v>
      </c>
      <c r="C16">
        <v>1</v>
      </c>
      <c r="D16">
        <v>3</v>
      </c>
      <c r="E16">
        <v>2016</v>
      </c>
      <c r="F16">
        <v>529.99</v>
      </c>
    </row>
    <row r="17" spans="1:6" x14ac:dyDescent="0.3">
      <c r="A17">
        <v>16</v>
      </c>
      <c r="B17" t="s">
        <v>5290</v>
      </c>
      <c r="C17">
        <v>1</v>
      </c>
      <c r="D17">
        <v>3</v>
      </c>
      <c r="E17">
        <v>2016</v>
      </c>
      <c r="F17">
        <v>599.99</v>
      </c>
    </row>
    <row r="18" spans="1:6" x14ac:dyDescent="0.3">
      <c r="A18">
        <v>17</v>
      </c>
      <c r="B18" t="s">
        <v>5291</v>
      </c>
      <c r="C18">
        <v>4</v>
      </c>
      <c r="D18">
        <v>3</v>
      </c>
      <c r="E18">
        <v>2016</v>
      </c>
      <c r="F18">
        <v>429</v>
      </c>
    </row>
    <row r="19" spans="1:6" x14ac:dyDescent="0.3">
      <c r="A19">
        <v>18</v>
      </c>
      <c r="B19" t="s">
        <v>5292</v>
      </c>
      <c r="C19">
        <v>4</v>
      </c>
      <c r="D19">
        <v>3</v>
      </c>
      <c r="E19">
        <v>2016</v>
      </c>
      <c r="F19">
        <v>449</v>
      </c>
    </row>
    <row r="20" spans="1:6" x14ac:dyDescent="0.3">
      <c r="A20">
        <v>19</v>
      </c>
      <c r="B20" t="s">
        <v>5293</v>
      </c>
      <c r="C20">
        <v>4</v>
      </c>
      <c r="D20">
        <v>3</v>
      </c>
      <c r="E20">
        <v>2016</v>
      </c>
      <c r="F20">
        <v>449</v>
      </c>
    </row>
    <row r="21" spans="1:6" x14ac:dyDescent="0.3">
      <c r="A21">
        <v>20</v>
      </c>
      <c r="B21" t="s">
        <v>5294</v>
      </c>
      <c r="C21">
        <v>1</v>
      </c>
      <c r="D21">
        <v>3</v>
      </c>
      <c r="E21">
        <v>2016</v>
      </c>
      <c r="F21">
        <v>599.99</v>
      </c>
    </row>
    <row r="22" spans="1:6" x14ac:dyDescent="0.3">
      <c r="A22">
        <v>21</v>
      </c>
      <c r="B22" t="s">
        <v>5287</v>
      </c>
      <c r="C22">
        <v>1</v>
      </c>
      <c r="D22">
        <v>1</v>
      </c>
      <c r="E22">
        <v>2016</v>
      </c>
      <c r="F22">
        <v>269.99</v>
      </c>
    </row>
    <row r="23" spans="1:6" x14ac:dyDescent="0.3">
      <c r="A23">
        <v>22</v>
      </c>
      <c r="B23" t="s">
        <v>5288</v>
      </c>
      <c r="C23">
        <v>1</v>
      </c>
      <c r="D23">
        <v>1</v>
      </c>
      <c r="E23">
        <v>2016</v>
      </c>
      <c r="F23">
        <v>269.99</v>
      </c>
    </row>
    <row r="24" spans="1:6" x14ac:dyDescent="0.3">
      <c r="A24">
        <v>23</v>
      </c>
      <c r="B24" t="s">
        <v>5295</v>
      </c>
      <c r="C24">
        <v>1</v>
      </c>
      <c r="D24">
        <v>1</v>
      </c>
      <c r="E24">
        <v>2016</v>
      </c>
      <c r="F24">
        <v>299.99</v>
      </c>
    </row>
    <row r="25" spans="1:6" x14ac:dyDescent="0.3">
      <c r="A25">
        <v>24</v>
      </c>
      <c r="B25" t="s">
        <v>5286</v>
      </c>
      <c r="C25">
        <v>1</v>
      </c>
      <c r="D25">
        <v>2</v>
      </c>
      <c r="E25">
        <v>2016</v>
      </c>
      <c r="F25">
        <v>549.99</v>
      </c>
    </row>
    <row r="26" spans="1:6" x14ac:dyDescent="0.3">
      <c r="A26">
        <v>25</v>
      </c>
      <c r="B26" t="s">
        <v>5296</v>
      </c>
      <c r="C26">
        <v>1</v>
      </c>
      <c r="D26">
        <v>2</v>
      </c>
      <c r="E26">
        <v>2016</v>
      </c>
      <c r="F26">
        <v>499.99</v>
      </c>
    </row>
    <row r="27" spans="1:6" x14ac:dyDescent="0.3">
      <c r="A27">
        <v>26</v>
      </c>
      <c r="B27" t="s">
        <v>5290</v>
      </c>
      <c r="C27">
        <v>1</v>
      </c>
      <c r="D27">
        <v>2</v>
      </c>
      <c r="E27">
        <v>2016</v>
      </c>
      <c r="F27">
        <v>599.99</v>
      </c>
    </row>
    <row r="28" spans="1:6" x14ac:dyDescent="0.3">
      <c r="A28">
        <v>27</v>
      </c>
      <c r="B28" t="s">
        <v>5297</v>
      </c>
      <c r="C28">
        <v>8</v>
      </c>
      <c r="D28">
        <v>6</v>
      </c>
      <c r="E28">
        <v>2017</v>
      </c>
      <c r="F28">
        <v>999.99</v>
      </c>
    </row>
    <row r="29" spans="1:6" x14ac:dyDescent="0.3">
      <c r="A29">
        <v>28</v>
      </c>
      <c r="B29" t="s">
        <v>5298</v>
      </c>
      <c r="C29">
        <v>8</v>
      </c>
      <c r="D29">
        <v>6</v>
      </c>
      <c r="E29">
        <v>2017</v>
      </c>
      <c r="F29">
        <v>2499.9899999999998</v>
      </c>
    </row>
    <row r="30" spans="1:6" x14ac:dyDescent="0.3">
      <c r="A30">
        <v>29</v>
      </c>
      <c r="B30" t="s">
        <v>5299</v>
      </c>
      <c r="C30">
        <v>9</v>
      </c>
      <c r="D30">
        <v>6</v>
      </c>
      <c r="E30">
        <v>2017</v>
      </c>
      <c r="F30">
        <v>999.99</v>
      </c>
    </row>
    <row r="31" spans="1:6" x14ac:dyDescent="0.3">
      <c r="A31">
        <v>30</v>
      </c>
      <c r="B31" t="s">
        <v>5300</v>
      </c>
      <c r="C31">
        <v>8</v>
      </c>
      <c r="D31">
        <v>6</v>
      </c>
      <c r="E31">
        <v>2017</v>
      </c>
      <c r="F31">
        <v>999.99</v>
      </c>
    </row>
    <row r="32" spans="1:6" x14ac:dyDescent="0.3">
      <c r="A32">
        <v>31</v>
      </c>
      <c r="B32" t="s">
        <v>5301</v>
      </c>
      <c r="C32">
        <v>8</v>
      </c>
      <c r="D32">
        <v>6</v>
      </c>
      <c r="E32">
        <v>2017</v>
      </c>
      <c r="F32">
        <v>1632.99</v>
      </c>
    </row>
    <row r="33" spans="1:6" x14ac:dyDescent="0.3">
      <c r="A33">
        <v>32</v>
      </c>
      <c r="B33" t="s">
        <v>5302</v>
      </c>
      <c r="C33">
        <v>9</v>
      </c>
      <c r="D33">
        <v>6</v>
      </c>
      <c r="E33">
        <v>2017</v>
      </c>
      <c r="F33">
        <v>469.99</v>
      </c>
    </row>
    <row r="34" spans="1:6" x14ac:dyDescent="0.3">
      <c r="A34">
        <v>33</v>
      </c>
      <c r="B34" t="s">
        <v>5303</v>
      </c>
      <c r="C34">
        <v>8</v>
      </c>
      <c r="D34">
        <v>6</v>
      </c>
      <c r="E34">
        <v>2017</v>
      </c>
      <c r="F34">
        <v>469.99</v>
      </c>
    </row>
    <row r="35" spans="1:6" x14ac:dyDescent="0.3">
      <c r="A35">
        <v>34</v>
      </c>
      <c r="B35" t="s">
        <v>5304</v>
      </c>
      <c r="C35">
        <v>9</v>
      </c>
      <c r="D35">
        <v>6</v>
      </c>
      <c r="E35">
        <v>2017</v>
      </c>
      <c r="F35">
        <v>469.99</v>
      </c>
    </row>
    <row r="36" spans="1:6" x14ac:dyDescent="0.3">
      <c r="A36">
        <v>35</v>
      </c>
      <c r="B36" t="s">
        <v>5305</v>
      </c>
      <c r="C36">
        <v>7</v>
      </c>
      <c r="D36">
        <v>6</v>
      </c>
      <c r="E36">
        <v>2017</v>
      </c>
      <c r="F36">
        <v>832.99</v>
      </c>
    </row>
    <row r="37" spans="1:6" x14ac:dyDescent="0.3">
      <c r="A37">
        <v>36</v>
      </c>
      <c r="B37" t="s">
        <v>5306</v>
      </c>
      <c r="C37">
        <v>8</v>
      </c>
      <c r="D37">
        <v>6</v>
      </c>
      <c r="E37">
        <v>2017</v>
      </c>
      <c r="F37">
        <v>832.99</v>
      </c>
    </row>
    <row r="38" spans="1:6" x14ac:dyDescent="0.3">
      <c r="A38">
        <v>37</v>
      </c>
      <c r="B38" t="s">
        <v>5307</v>
      </c>
      <c r="C38">
        <v>2</v>
      </c>
      <c r="D38">
        <v>6</v>
      </c>
      <c r="E38">
        <v>2017</v>
      </c>
      <c r="F38">
        <v>379.99</v>
      </c>
    </row>
    <row r="39" spans="1:6" x14ac:dyDescent="0.3">
      <c r="A39">
        <v>38</v>
      </c>
      <c r="B39" t="s">
        <v>5308</v>
      </c>
      <c r="C39">
        <v>2</v>
      </c>
      <c r="D39">
        <v>6</v>
      </c>
      <c r="E39">
        <v>2017</v>
      </c>
      <c r="F39">
        <v>549.99</v>
      </c>
    </row>
    <row r="40" spans="1:6" x14ac:dyDescent="0.3">
      <c r="A40">
        <v>39</v>
      </c>
      <c r="B40" t="s">
        <v>5309</v>
      </c>
      <c r="C40">
        <v>9</v>
      </c>
      <c r="D40">
        <v>6</v>
      </c>
      <c r="E40">
        <v>2017</v>
      </c>
      <c r="F40">
        <v>1499.99</v>
      </c>
    </row>
    <row r="41" spans="1:6" x14ac:dyDescent="0.3">
      <c r="A41">
        <v>40</v>
      </c>
      <c r="B41" t="s">
        <v>5310</v>
      </c>
      <c r="C41">
        <v>9</v>
      </c>
      <c r="D41">
        <v>6</v>
      </c>
      <c r="E41">
        <v>2017</v>
      </c>
      <c r="F41">
        <v>4999.99</v>
      </c>
    </row>
    <row r="42" spans="1:6" x14ac:dyDescent="0.3">
      <c r="A42">
        <v>41</v>
      </c>
      <c r="B42" t="s">
        <v>5311</v>
      </c>
      <c r="C42">
        <v>2</v>
      </c>
      <c r="D42">
        <v>6</v>
      </c>
      <c r="E42">
        <v>2017</v>
      </c>
      <c r="F42">
        <v>1469.99</v>
      </c>
    </row>
    <row r="43" spans="1:6" x14ac:dyDescent="0.3">
      <c r="A43">
        <v>42</v>
      </c>
      <c r="B43" t="s">
        <v>5312</v>
      </c>
      <c r="C43">
        <v>9</v>
      </c>
      <c r="D43">
        <v>6</v>
      </c>
      <c r="E43">
        <v>2017</v>
      </c>
      <c r="F43">
        <v>2299.9899999999998</v>
      </c>
    </row>
    <row r="44" spans="1:6" x14ac:dyDescent="0.3">
      <c r="A44">
        <v>43</v>
      </c>
      <c r="B44" t="s">
        <v>5313</v>
      </c>
      <c r="C44">
        <v>9</v>
      </c>
      <c r="D44">
        <v>6</v>
      </c>
      <c r="E44">
        <v>2017</v>
      </c>
      <c r="F44">
        <v>5299.99</v>
      </c>
    </row>
    <row r="45" spans="1:6" x14ac:dyDescent="0.3">
      <c r="A45">
        <v>44</v>
      </c>
      <c r="B45" t="s">
        <v>5314</v>
      </c>
      <c r="C45">
        <v>2</v>
      </c>
      <c r="D45">
        <v>6</v>
      </c>
      <c r="E45">
        <v>2017</v>
      </c>
      <c r="F45">
        <v>539.99</v>
      </c>
    </row>
    <row r="46" spans="1:6" x14ac:dyDescent="0.3">
      <c r="A46">
        <v>45</v>
      </c>
      <c r="B46" t="s">
        <v>5315</v>
      </c>
      <c r="C46">
        <v>2</v>
      </c>
      <c r="D46">
        <v>6</v>
      </c>
      <c r="E46">
        <v>2017</v>
      </c>
      <c r="F46">
        <v>869.99</v>
      </c>
    </row>
    <row r="47" spans="1:6" x14ac:dyDescent="0.3">
      <c r="A47">
        <v>46</v>
      </c>
      <c r="B47" t="s">
        <v>5316</v>
      </c>
      <c r="C47">
        <v>2</v>
      </c>
      <c r="D47">
        <v>6</v>
      </c>
      <c r="E47">
        <v>2017</v>
      </c>
      <c r="F47">
        <v>1409.99</v>
      </c>
    </row>
    <row r="48" spans="1:6" x14ac:dyDescent="0.3">
      <c r="A48">
        <v>47</v>
      </c>
      <c r="B48" t="s">
        <v>5317</v>
      </c>
      <c r="C48">
        <v>9</v>
      </c>
      <c r="D48">
        <v>6</v>
      </c>
      <c r="E48">
        <v>2017</v>
      </c>
      <c r="F48">
        <v>5299.99</v>
      </c>
    </row>
    <row r="49" spans="1:6" x14ac:dyDescent="0.3">
      <c r="A49">
        <v>48</v>
      </c>
      <c r="B49" t="s">
        <v>5318</v>
      </c>
      <c r="C49">
        <v>9</v>
      </c>
      <c r="D49">
        <v>7</v>
      </c>
      <c r="E49">
        <v>2017</v>
      </c>
      <c r="F49">
        <v>1499.99</v>
      </c>
    </row>
    <row r="50" spans="1:6" x14ac:dyDescent="0.3">
      <c r="A50">
        <v>49</v>
      </c>
      <c r="B50" t="s">
        <v>5319</v>
      </c>
      <c r="C50">
        <v>9</v>
      </c>
      <c r="D50">
        <v>7</v>
      </c>
      <c r="E50">
        <v>2017</v>
      </c>
      <c r="F50">
        <v>3499.99</v>
      </c>
    </row>
    <row r="51" spans="1:6" x14ac:dyDescent="0.3">
      <c r="A51">
        <v>50</v>
      </c>
      <c r="B51" t="s">
        <v>5320</v>
      </c>
      <c r="C51">
        <v>9</v>
      </c>
      <c r="D51">
        <v>7</v>
      </c>
      <c r="E51">
        <v>2017</v>
      </c>
      <c r="F51">
        <v>5999.99</v>
      </c>
    </row>
    <row r="52" spans="1:6" x14ac:dyDescent="0.3">
      <c r="A52">
        <v>51</v>
      </c>
      <c r="B52" t="s">
        <v>5321</v>
      </c>
      <c r="C52">
        <v>9</v>
      </c>
      <c r="D52">
        <v>7</v>
      </c>
      <c r="E52">
        <v>2017</v>
      </c>
      <c r="F52">
        <v>6499.99</v>
      </c>
    </row>
    <row r="53" spans="1:6" x14ac:dyDescent="0.3">
      <c r="A53">
        <v>52</v>
      </c>
      <c r="B53" t="s">
        <v>5322</v>
      </c>
      <c r="C53">
        <v>8</v>
      </c>
      <c r="D53">
        <v>7</v>
      </c>
      <c r="E53">
        <v>2017</v>
      </c>
      <c r="F53">
        <v>875.99</v>
      </c>
    </row>
    <row r="54" spans="1:6" x14ac:dyDescent="0.3">
      <c r="A54">
        <v>53</v>
      </c>
      <c r="B54" t="s">
        <v>5323</v>
      </c>
      <c r="C54">
        <v>8</v>
      </c>
      <c r="D54">
        <v>7</v>
      </c>
      <c r="E54">
        <v>2017</v>
      </c>
      <c r="F54">
        <v>749.99</v>
      </c>
    </row>
    <row r="55" spans="1:6" x14ac:dyDescent="0.3">
      <c r="A55">
        <v>54</v>
      </c>
      <c r="B55" t="s">
        <v>5324</v>
      </c>
      <c r="C55">
        <v>9</v>
      </c>
      <c r="D55">
        <v>7</v>
      </c>
      <c r="E55">
        <v>2017</v>
      </c>
      <c r="F55">
        <v>3199.99</v>
      </c>
    </row>
    <row r="56" spans="1:6" x14ac:dyDescent="0.3">
      <c r="A56">
        <v>55</v>
      </c>
      <c r="B56" t="s">
        <v>5325</v>
      </c>
      <c r="C56">
        <v>9</v>
      </c>
      <c r="D56">
        <v>7</v>
      </c>
      <c r="E56">
        <v>2017</v>
      </c>
      <c r="F56">
        <v>2699.99</v>
      </c>
    </row>
    <row r="57" spans="1:6" x14ac:dyDescent="0.3">
      <c r="A57">
        <v>56</v>
      </c>
      <c r="B57" t="s">
        <v>5326</v>
      </c>
      <c r="C57">
        <v>9</v>
      </c>
      <c r="D57">
        <v>7</v>
      </c>
      <c r="E57">
        <v>2017</v>
      </c>
      <c r="F57">
        <v>5499.99</v>
      </c>
    </row>
    <row r="58" spans="1:6" x14ac:dyDescent="0.3">
      <c r="A58">
        <v>57</v>
      </c>
      <c r="B58" t="s">
        <v>5327</v>
      </c>
      <c r="C58">
        <v>9</v>
      </c>
      <c r="D58">
        <v>7</v>
      </c>
      <c r="E58">
        <v>2017</v>
      </c>
      <c r="F58">
        <v>1999.99</v>
      </c>
    </row>
    <row r="59" spans="1:6" x14ac:dyDescent="0.3">
      <c r="A59">
        <v>58</v>
      </c>
      <c r="B59" t="s">
        <v>5328</v>
      </c>
      <c r="C59">
        <v>9</v>
      </c>
      <c r="D59">
        <v>7</v>
      </c>
      <c r="E59">
        <v>2017</v>
      </c>
      <c r="F59">
        <v>4999.99</v>
      </c>
    </row>
    <row r="60" spans="1:6" x14ac:dyDescent="0.3">
      <c r="A60">
        <v>59</v>
      </c>
      <c r="B60" t="s">
        <v>5329</v>
      </c>
      <c r="C60">
        <v>9</v>
      </c>
      <c r="D60">
        <v>7</v>
      </c>
      <c r="E60">
        <v>2017</v>
      </c>
      <c r="F60">
        <v>2599.9899999999998</v>
      </c>
    </row>
    <row r="61" spans="1:6" x14ac:dyDescent="0.3">
      <c r="A61">
        <v>60</v>
      </c>
      <c r="B61" t="s">
        <v>5330</v>
      </c>
      <c r="C61">
        <v>7</v>
      </c>
      <c r="D61">
        <v>5</v>
      </c>
      <c r="E61">
        <v>2017</v>
      </c>
      <c r="F61">
        <v>1559.99</v>
      </c>
    </row>
    <row r="62" spans="1:6" x14ac:dyDescent="0.3">
      <c r="A62">
        <v>61</v>
      </c>
      <c r="B62" t="s">
        <v>5331</v>
      </c>
      <c r="C62">
        <v>9</v>
      </c>
      <c r="D62">
        <v>5</v>
      </c>
      <c r="E62">
        <v>2017</v>
      </c>
      <c r="F62">
        <v>4999.99</v>
      </c>
    </row>
    <row r="63" spans="1:6" x14ac:dyDescent="0.3">
      <c r="A63">
        <v>62</v>
      </c>
      <c r="B63" t="s">
        <v>5332</v>
      </c>
      <c r="C63">
        <v>9</v>
      </c>
      <c r="D63">
        <v>4</v>
      </c>
      <c r="E63">
        <v>2017</v>
      </c>
      <c r="F63">
        <v>3499.99</v>
      </c>
    </row>
    <row r="64" spans="1:6" x14ac:dyDescent="0.3">
      <c r="A64">
        <v>63</v>
      </c>
      <c r="B64" t="s">
        <v>5333</v>
      </c>
      <c r="C64">
        <v>9</v>
      </c>
      <c r="D64">
        <v>4</v>
      </c>
      <c r="E64">
        <v>2017</v>
      </c>
      <c r="F64">
        <v>3499.99</v>
      </c>
    </row>
    <row r="65" spans="1:6" x14ac:dyDescent="0.3">
      <c r="A65">
        <v>64</v>
      </c>
      <c r="B65" t="s">
        <v>5334</v>
      </c>
      <c r="C65">
        <v>1</v>
      </c>
      <c r="D65">
        <v>3</v>
      </c>
      <c r="E65">
        <v>2017</v>
      </c>
      <c r="F65">
        <v>489.99</v>
      </c>
    </row>
    <row r="66" spans="1:6" x14ac:dyDescent="0.3">
      <c r="A66">
        <v>65</v>
      </c>
      <c r="B66" t="s">
        <v>5335</v>
      </c>
      <c r="C66">
        <v>7</v>
      </c>
      <c r="D66">
        <v>3</v>
      </c>
      <c r="E66">
        <v>2017</v>
      </c>
      <c r="F66">
        <v>346.99</v>
      </c>
    </row>
    <row r="67" spans="1:6" x14ac:dyDescent="0.3">
      <c r="A67">
        <v>66</v>
      </c>
      <c r="B67" t="s">
        <v>5336</v>
      </c>
      <c r="C67">
        <v>7</v>
      </c>
      <c r="D67">
        <v>3</v>
      </c>
      <c r="E67">
        <v>2017</v>
      </c>
      <c r="F67">
        <v>250.99</v>
      </c>
    </row>
    <row r="68" spans="1:6" x14ac:dyDescent="0.3">
      <c r="A68">
        <v>67</v>
      </c>
      <c r="B68" t="s">
        <v>5337</v>
      </c>
      <c r="C68">
        <v>7</v>
      </c>
      <c r="D68">
        <v>3</v>
      </c>
      <c r="E68">
        <v>2017</v>
      </c>
      <c r="F68">
        <v>250.99</v>
      </c>
    </row>
    <row r="69" spans="1:6" x14ac:dyDescent="0.3">
      <c r="A69">
        <v>68</v>
      </c>
      <c r="B69" t="s">
        <v>5338</v>
      </c>
      <c r="C69">
        <v>7</v>
      </c>
      <c r="D69">
        <v>3</v>
      </c>
      <c r="E69">
        <v>2017</v>
      </c>
      <c r="F69">
        <v>449.99</v>
      </c>
    </row>
    <row r="70" spans="1:6" x14ac:dyDescent="0.3">
      <c r="A70">
        <v>69</v>
      </c>
      <c r="B70" t="s">
        <v>5339</v>
      </c>
      <c r="C70">
        <v>7</v>
      </c>
      <c r="D70">
        <v>3</v>
      </c>
      <c r="E70">
        <v>2017</v>
      </c>
      <c r="F70">
        <v>416.99</v>
      </c>
    </row>
    <row r="71" spans="1:6" x14ac:dyDescent="0.3">
      <c r="A71">
        <v>70</v>
      </c>
      <c r="B71" t="s">
        <v>5340</v>
      </c>
      <c r="C71">
        <v>1</v>
      </c>
      <c r="D71">
        <v>3</v>
      </c>
      <c r="E71">
        <v>2017</v>
      </c>
      <c r="F71">
        <v>659.99</v>
      </c>
    </row>
    <row r="72" spans="1:6" x14ac:dyDescent="0.3">
      <c r="A72">
        <v>71</v>
      </c>
      <c r="B72" t="s">
        <v>5341</v>
      </c>
      <c r="C72">
        <v>7</v>
      </c>
      <c r="D72">
        <v>3</v>
      </c>
      <c r="E72">
        <v>2017</v>
      </c>
      <c r="F72">
        <v>416.99</v>
      </c>
    </row>
    <row r="73" spans="1:6" x14ac:dyDescent="0.3">
      <c r="A73">
        <v>72</v>
      </c>
      <c r="B73" t="s">
        <v>5342</v>
      </c>
      <c r="C73">
        <v>7</v>
      </c>
      <c r="D73">
        <v>3</v>
      </c>
      <c r="E73">
        <v>2017</v>
      </c>
      <c r="F73">
        <v>619.99</v>
      </c>
    </row>
    <row r="74" spans="1:6" x14ac:dyDescent="0.3">
      <c r="A74">
        <v>73</v>
      </c>
      <c r="B74" t="s">
        <v>5343</v>
      </c>
      <c r="C74">
        <v>7</v>
      </c>
      <c r="D74">
        <v>3</v>
      </c>
      <c r="E74">
        <v>2017</v>
      </c>
      <c r="F74">
        <v>749.99</v>
      </c>
    </row>
    <row r="75" spans="1:6" x14ac:dyDescent="0.3">
      <c r="A75">
        <v>74</v>
      </c>
      <c r="B75" t="s">
        <v>5344</v>
      </c>
      <c r="C75">
        <v>1</v>
      </c>
      <c r="D75">
        <v>3</v>
      </c>
      <c r="E75">
        <v>2017</v>
      </c>
      <c r="F75">
        <v>439.99</v>
      </c>
    </row>
    <row r="76" spans="1:6" x14ac:dyDescent="0.3">
      <c r="A76">
        <v>75</v>
      </c>
      <c r="B76" t="s">
        <v>5345</v>
      </c>
      <c r="C76">
        <v>1</v>
      </c>
      <c r="D76">
        <v>3</v>
      </c>
      <c r="E76">
        <v>2017</v>
      </c>
      <c r="F76">
        <v>599.99</v>
      </c>
    </row>
    <row r="77" spans="1:6" x14ac:dyDescent="0.3">
      <c r="A77">
        <v>76</v>
      </c>
      <c r="B77" t="s">
        <v>5346</v>
      </c>
      <c r="C77">
        <v>1</v>
      </c>
      <c r="D77">
        <v>3</v>
      </c>
      <c r="E77">
        <v>2017</v>
      </c>
      <c r="F77">
        <v>299.99</v>
      </c>
    </row>
    <row r="78" spans="1:6" x14ac:dyDescent="0.3">
      <c r="A78">
        <v>77</v>
      </c>
      <c r="B78" t="s">
        <v>5347</v>
      </c>
      <c r="C78">
        <v>1</v>
      </c>
      <c r="D78">
        <v>3</v>
      </c>
      <c r="E78">
        <v>2017</v>
      </c>
      <c r="F78">
        <v>799.99</v>
      </c>
    </row>
    <row r="79" spans="1:6" x14ac:dyDescent="0.3">
      <c r="A79">
        <v>78</v>
      </c>
      <c r="B79" t="s">
        <v>5348</v>
      </c>
      <c r="C79">
        <v>7</v>
      </c>
      <c r="D79">
        <v>3</v>
      </c>
      <c r="E79">
        <v>2017</v>
      </c>
      <c r="F79">
        <v>647.99</v>
      </c>
    </row>
    <row r="80" spans="1:6" x14ac:dyDescent="0.3">
      <c r="A80">
        <v>79</v>
      </c>
      <c r="B80" t="s">
        <v>5349</v>
      </c>
      <c r="C80">
        <v>7</v>
      </c>
      <c r="D80">
        <v>3</v>
      </c>
      <c r="E80">
        <v>2017</v>
      </c>
      <c r="F80">
        <v>402.99</v>
      </c>
    </row>
    <row r="81" spans="1:6" x14ac:dyDescent="0.3">
      <c r="A81">
        <v>80</v>
      </c>
      <c r="B81" t="s">
        <v>5350</v>
      </c>
      <c r="C81">
        <v>7</v>
      </c>
      <c r="D81">
        <v>3</v>
      </c>
      <c r="E81">
        <v>2017</v>
      </c>
      <c r="F81">
        <v>761.99</v>
      </c>
    </row>
    <row r="82" spans="1:6" x14ac:dyDescent="0.3">
      <c r="A82">
        <v>81</v>
      </c>
      <c r="B82" t="s">
        <v>5351</v>
      </c>
      <c r="C82">
        <v>1</v>
      </c>
      <c r="D82">
        <v>3</v>
      </c>
      <c r="E82">
        <v>2017</v>
      </c>
      <c r="F82">
        <v>1099.99</v>
      </c>
    </row>
    <row r="83" spans="1:6" x14ac:dyDescent="0.3">
      <c r="A83">
        <v>82</v>
      </c>
      <c r="B83" t="s">
        <v>5352</v>
      </c>
      <c r="C83">
        <v>1</v>
      </c>
      <c r="D83">
        <v>3</v>
      </c>
      <c r="E83">
        <v>2017</v>
      </c>
      <c r="F83">
        <v>659.99</v>
      </c>
    </row>
    <row r="84" spans="1:6" x14ac:dyDescent="0.3">
      <c r="A84">
        <v>83</v>
      </c>
      <c r="B84" t="s">
        <v>5353</v>
      </c>
      <c r="C84">
        <v>9</v>
      </c>
      <c r="D84">
        <v>1</v>
      </c>
      <c r="E84">
        <v>2017</v>
      </c>
      <c r="F84">
        <v>149.99</v>
      </c>
    </row>
    <row r="85" spans="1:6" x14ac:dyDescent="0.3">
      <c r="A85">
        <v>84</v>
      </c>
      <c r="B85" t="s">
        <v>5354</v>
      </c>
      <c r="C85">
        <v>7</v>
      </c>
      <c r="D85">
        <v>1</v>
      </c>
      <c r="E85">
        <v>2017</v>
      </c>
      <c r="F85">
        <v>109.99</v>
      </c>
    </row>
    <row r="86" spans="1:6" x14ac:dyDescent="0.3">
      <c r="A86">
        <v>85</v>
      </c>
      <c r="B86" t="s">
        <v>5355</v>
      </c>
      <c r="C86">
        <v>2</v>
      </c>
      <c r="D86">
        <v>1</v>
      </c>
      <c r="E86">
        <v>2017</v>
      </c>
      <c r="F86">
        <v>329.99</v>
      </c>
    </row>
    <row r="87" spans="1:6" x14ac:dyDescent="0.3">
      <c r="A87">
        <v>86</v>
      </c>
      <c r="B87" t="s">
        <v>5356</v>
      </c>
      <c r="C87">
        <v>9</v>
      </c>
      <c r="D87">
        <v>1</v>
      </c>
      <c r="E87">
        <v>2017</v>
      </c>
      <c r="F87">
        <v>149.99</v>
      </c>
    </row>
    <row r="88" spans="1:6" x14ac:dyDescent="0.3">
      <c r="A88">
        <v>87</v>
      </c>
      <c r="B88" t="s">
        <v>5357</v>
      </c>
      <c r="C88">
        <v>9</v>
      </c>
      <c r="D88">
        <v>1</v>
      </c>
      <c r="E88">
        <v>2017</v>
      </c>
      <c r="F88">
        <v>189.99</v>
      </c>
    </row>
    <row r="89" spans="1:6" x14ac:dyDescent="0.3">
      <c r="A89">
        <v>88</v>
      </c>
      <c r="B89" t="s">
        <v>5358</v>
      </c>
      <c r="C89">
        <v>9</v>
      </c>
      <c r="D89">
        <v>1</v>
      </c>
      <c r="E89">
        <v>2017</v>
      </c>
      <c r="F89">
        <v>189.99</v>
      </c>
    </row>
    <row r="90" spans="1:6" x14ac:dyDescent="0.3">
      <c r="A90">
        <v>89</v>
      </c>
      <c r="B90" t="s">
        <v>5359</v>
      </c>
      <c r="C90">
        <v>9</v>
      </c>
      <c r="D90">
        <v>1</v>
      </c>
      <c r="E90">
        <v>2017</v>
      </c>
      <c r="F90">
        <v>209.99</v>
      </c>
    </row>
    <row r="91" spans="1:6" x14ac:dyDescent="0.3">
      <c r="A91">
        <v>90</v>
      </c>
      <c r="B91" t="s">
        <v>5360</v>
      </c>
      <c r="C91">
        <v>9</v>
      </c>
      <c r="D91">
        <v>1</v>
      </c>
      <c r="E91">
        <v>2017</v>
      </c>
      <c r="F91">
        <v>209.99</v>
      </c>
    </row>
    <row r="92" spans="1:6" x14ac:dyDescent="0.3">
      <c r="A92">
        <v>91</v>
      </c>
      <c r="B92" t="s">
        <v>5361</v>
      </c>
      <c r="C92">
        <v>9</v>
      </c>
      <c r="D92">
        <v>1</v>
      </c>
      <c r="E92">
        <v>2017</v>
      </c>
      <c r="F92">
        <v>349.99</v>
      </c>
    </row>
    <row r="93" spans="1:6" x14ac:dyDescent="0.3">
      <c r="A93">
        <v>92</v>
      </c>
      <c r="B93" t="s">
        <v>5362</v>
      </c>
      <c r="C93">
        <v>2</v>
      </c>
      <c r="D93">
        <v>1</v>
      </c>
      <c r="E93">
        <v>2017</v>
      </c>
      <c r="F93">
        <v>209.99</v>
      </c>
    </row>
    <row r="94" spans="1:6" x14ac:dyDescent="0.3">
      <c r="A94">
        <v>93</v>
      </c>
      <c r="B94" t="s">
        <v>5363</v>
      </c>
      <c r="C94">
        <v>2</v>
      </c>
      <c r="D94">
        <v>1</v>
      </c>
      <c r="E94">
        <v>2017</v>
      </c>
      <c r="F94">
        <v>209.99</v>
      </c>
    </row>
    <row r="95" spans="1:6" x14ac:dyDescent="0.3">
      <c r="A95">
        <v>94</v>
      </c>
      <c r="B95" t="s">
        <v>5364</v>
      </c>
      <c r="C95">
        <v>2</v>
      </c>
      <c r="D95">
        <v>1</v>
      </c>
      <c r="E95">
        <v>2017</v>
      </c>
      <c r="F95">
        <v>249.99</v>
      </c>
    </row>
    <row r="96" spans="1:6" x14ac:dyDescent="0.3">
      <c r="A96">
        <v>95</v>
      </c>
      <c r="B96" t="s">
        <v>5346</v>
      </c>
      <c r="C96">
        <v>1</v>
      </c>
      <c r="D96">
        <v>1</v>
      </c>
      <c r="E96">
        <v>2017</v>
      </c>
      <c r="F96">
        <v>299.99</v>
      </c>
    </row>
    <row r="97" spans="1:6" x14ac:dyDescent="0.3">
      <c r="A97">
        <v>96</v>
      </c>
      <c r="B97" t="s">
        <v>5365</v>
      </c>
      <c r="C97">
        <v>1</v>
      </c>
      <c r="D97">
        <v>1</v>
      </c>
      <c r="E97">
        <v>2017</v>
      </c>
      <c r="F97">
        <v>349.99</v>
      </c>
    </row>
    <row r="98" spans="1:6" x14ac:dyDescent="0.3">
      <c r="A98">
        <v>97</v>
      </c>
      <c r="B98" t="s">
        <v>5366</v>
      </c>
      <c r="C98">
        <v>1</v>
      </c>
      <c r="D98">
        <v>1</v>
      </c>
      <c r="E98">
        <v>2017</v>
      </c>
      <c r="F98">
        <v>349.99</v>
      </c>
    </row>
    <row r="99" spans="1:6" x14ac:dyDescent="0.3">
      <c r="A99">
        <v>98</v>
      </c>
      <c r="B99" t="s">
        <v>5367</v>
      </c>
      <c r="C99">
        <v>1</v>
      </c>
      <c r="D99">
        <v>1</v>
      </c>
      <c r="E99">
        <v>2017</v>
      </c>
      <c r="F99">
        <v>489.99</v>
      </c>
    </row>
    <row r="100" spans="1:6" x14ac:dyDescent="0.3">
      <c r="A100">
        <v>99</v>
      </c>
      <c r="B100" t="s">
        <v>5368</v>
      </c>
      <c r="C100">
        <v>1</v>
      </c>
      <c r="D100">
        <v>1</v>
      </c>
      <c r="E100">
        <v>2017</v>
      </c>
      <c r="F100">
        <v>299.99</v>
      </c>
    </row>
    <row r="101" spans="1:6" x14ac:dyDescent="0.3">
      <c r="A101">
        <v>100</v>
      </c>
      <c r="B101" t="s">
        <v>5369</v>
      </c>
      <c r="C101">
        <v>1</v>
      </c>
      <c r="D101">
        <v>1</v>
      </c>
      <c r="E101">
        <v>2017</v>
      </c>
      <c r="F101">
        <v>489.99</v>
      </c>
    </row>
    <row r="102" spans="1:6" x14ac:dyDescent="0.3">
      <c r="A102">
        <v>101</v>
      </c>
      <c r="B102" t="s">
        <v>5370</v>
      </c>
      <c r="C102">
        <v>1</v>
      </c>
      <c r="D102">
        <v>1</v>
      </c>
      <c r="E102">
        <v>2017</v>
      </c>
      <c r="F102">
        <v>339.99</v>
      </c>
    </row>
    <row r="103" spans="1:6" x14ac:dyDescent="0.3">
      <c r="A103">
        <v>102</v>
      </c>
      <c r="B103" t="s">
        <v>5334</v>
      </c>
      <c r="C103">
        <v>1</v>
      </c>
      <c r="D103">
        <v>2</v>
      </c>
      <c r="E103">
        <v>2017</v>
      </c>
      <c r="F103">
        <v>489.99</v>
      </c>
    </row>
    <row r="104" spans="1:6" x14ac:dyDescent="0.3">
      <c r="A104">
        <v>103</v>
      </c>
      <c r="B104" t="s">
        <v>5371</v>
      </c>
      <c r="C104">
        <v>7</v>
      </c>
      <c r="D104">
        <v>2</v>
      </c>
      <c r="E104">
        <v>2017</v>
      </c>
      <c r="F104">
        <v>551.99</v>
      </c>
    </row>
    <row r="105" spans="1:6" x14ac:dyDescent="0.3">
      <c r="A105">
        <v>104</v>
      </c>
      <c r="B105" t="s">
        <v>5372</v>
      </c>
      <c r="C105">
        <v>7</v>
      </c>
      <c r="D105">
        <v>2</v>
      </c>
      <c r="E105">
        <v>2017</v>
      </c>
      <c r="F105">
        <v>481.99</v>
      </c>
    </row>
    <row r="106" spans="1:6" x14ac:dyDescent="0.3">
      <c r="A106">
        <v>105</v>
      </c>
      <c r="B106" t="s">
        <v>5373</v>
      </c>
      <c r="C106">
        <v>7</v>
      </c>
      <c r="D106">
        <v>2</v>
      </c>
      <c r="E106">
        <v>2017</v>
      </c>
      <c r="F106">
        <v>533.99</v>
      </c>
    </row>
    <row r="107" spans="1:6" x14ac:dyDescent="0.3">
      <c r="A107">
        <v>106</v>
      </c>
      <c r="B107" t="s">
        <v>5338</v>
      </c>
      <c r="C107">
        <v>7</v>
      </c>
      <c r="D107">
        <v>2</v>
      </c>
      <c r="E107">
        <v>2017</v>
      </c>
      <c r="F107">
        <v>449.99</v>
      </c>
    </row>
    <row r="108" spans="1:6" x14ac:dyDescent="0.3">
      <c r="A108">
        <v>107</v>
      </c>
      <c r="B108" t="s">
        <v>5339</v>
      </c>
      <c r="C108">
        <v>7</v>
      </c>
      <c r="D108">
        <v>2</v>
      </c>
      <c r="E108">
        <v>2017</v>
      </c>
      <c r="F108">
        <v>416.99</v>
      </c>
    </row>
    <row r="109" spans="1:6" x14ac:dyDescent="0.3">
      <c r="A109">
        <v>108</v>
      </c>
      <c r="B109" t="s">
        <v>5374</v>
      </c>
      <c r="C109">
        <v>7</v>
      </c>
      <c r="D109">
        <v>2</v>
      </c>
      <c r="E109">
        <v>2017</v>
      </c>
      <c r="F109">
        <v>449.99</v>
      </c>
    </row>
    <row r="110" spans="1:6" x14ac:dyDescent="0.3">
      <c r="A110">
        <v>109</v>
      </c>
      <c r="B110" t="s">
        <v>5375</v>
      </c>
      <c r="C110">
        <v>7</v>
      </c>
      <c r="D110">
        <v>2</v>
      </c>
      <c r="E110">
        <v>2017</v>
      </c>
      <c r="F110">
        <v>416.99</v>
      </c>
    </row>
    <row r="111" spans="1:6" x14ac:dyDescent="0.3">
      <c r="A111">
        <v>110</v>
      </c>
      <c r="B111" t="s">
        <v>5376</v>
      </c>
      <c r="C111">
        <v>7</v>
      </c>
      <c r="D111">
        <v>2</v>
      </c>
      <c r="E111">
        <v>2017</v>
      </c>
      <c r="F111">
        <v>470.99</v>
      </c>
    </row>
    <row r="112" spans="1:6" x14ac:dyDescent="0.3">
      <c r="A112">
        <v>111</v>
      </c>
      <c r="B112" t="s">
        <v>5377</v>
      </c>
      <c r="C112">
        <v>7</v>
      </c>
      <c r="D112">
        <v>2</v>
      </c>
      <c r="E112">
        <v>2017</v>
      </c>
      <c r="F112">
        <v>470.99</v>
      </c>
    </row>
    <row r="113" spans="1:6" x14ac:dyDescent="0.3">
      <c r="A113">
        <v>112</v>
      </c>
      <c r="B113" t="s">
        <v>5378</v>
      </c>
      <c r="C113">
        <v>9</v>
      </c>
      <c r="D113">
        <v>6</v>
      </c>
      <c r="E113">
        <v>2018</v>
      </c>
      <c r="F113">
        <v>379.99</v>
      </c>
    </row>
    <row r="114" spans="1:6" x14ac:dyDescent="0.3">
      <c r="A114">
        <v>113</v>
      </c>
      <c r="B114" t="s">
        <v>5379</v>
      </c>
      <c r="C114">
        <v>9</v>
      </c>
      <c r="D114">
        <v>6</v>
      </c>
      <c r="E114">
        <v>2018</v>
      </c>
      <c r="F114">
        <v>489.99</v>
      </c>
    </row>
    <row r="115" spans="1:6" x14ac:dyDescent="0.3">
      <c r="A115">
        <v>114</v>
      </c>
      <c r="B115" t="s">
        <v>5380</v>
      </c>
      <c r="C115">
        <v>9</v>
      </c>
      <c r="D115">
        <v>6</v>
      </c>
      <c r="E115">
        <v>2018</v>
      </c>
      <c r="F115">
        <v>579.99</v>
      </c>
    </row>
    <row r="116" spans="1:6" x14ac:dyDescent="0.3">
      <c r="A116">
        <v>115</v>
      </c>
      <c r="B116" t="s">
        <v>5381</v>
      </c>
      <c r="C116">
        <v>9</v>
      </c>
      <c r="D116">
        <v>6</v>
      </c>
      <c r="E116">
        <v>2018</v>
      </c>
      <c r="F116">
        <v>3199.99</v>
      </c>
    </row>
    <row r="117" spans="1:6" x14ac:dyDescent="0.3">
      <c r="A117">
        <v>116</v>
      </c>
      <c r="B117" t="s">
        <v>5382</v>
      </c>
      <c r="C117">
        <v>9</v>
      </c>
      <c r="D117">
        <v>6</v>
      </c>
      <c r="E117">
        <v>2018</v>
      </c>
      <c r="F117">
        <v>749.99</v>
      </c>
    </row>
    <row r="118" spans="1:6" x14ac:dyDescent="0.3">
      <c r="A118">
        <v>117</v>
      </c>
      <c r="B118" t="s">
        <v>5383</v>
      </c>
      <c r="C118">
        <v>9</v>
      </c>
      <c r="D118">
        <v>6</v>
      </c>
      <c r="E118">
        <v>2018</v>
      </c>
      <c r="F118">
        <v>1469.99</v>
      </c>
    </row>
    <row r="119" spans="1:6" x14ac:dyDescent="0.3">
      <c r="A119">
        <v>118</v>
      </c>
      <c r="B119" t="s">
        <v>5384</v>
      </c>
      <c r="C119">
        <v>9</v>
      </c>
      <c r="D119">
        <v>6</v>
      </c>
      <c r="E119">
        <v>2018</v>
      </c>
      <c r="F119">
        <v>999.99</v>
      </c>
    </row>
    <row r="120" spans="1:6" x14ac:dyDescent="0.3">
      <c r="A120">
        <v>119</v>
      </c>
      <c r="B120" t="s">
        <v>5385</v>
      </c>
      <c r="C120">
        <v>9</v>
      </c>
      <c r="D120">
        <v>6</v>
      </c>
      <c r="E120">
        <v>2018</v>
      </c>
      <c r="F120">
        <v>469.99</v>
      </c>
    </row>
    <row r="121" spans="1:6" x14ac:dyDescent="0.3">
      <c r="A121">
        <v>120</v>
      </c>
      <c r="B121" t="s">
        <v>5386</v>
      </c>
      <c r="C121">
        <v>9</v>
      </c>
      <c r="D121">
        <v>6</v>
      </c>
      <c r="E121">
        <v>2018</v>
      </c>
      <c r="F121">
        <v>2499.9899999999998</v>
      </c>
    </row>
    <row r="122" spans="1:6" x14ac:dyDescent="0.3">
      <c r="A122">
        <v>121</v>
      </c>
      <c r="B122" t="s">
        <v>5387</v>
      </c>
      <c r="C122">
        <v>8</v>
      </c>
      <c r="D122">
        <v>6</v>
      </c>
      <c r="E122">
        <v>2018</v>
      </c>
      <c r="F122">
        <v>2499.9899999999998</v>
      </c>
    </row>
    <row r="123" spans="1:6" x14ac:dyDescent="0.3">
      <c r="A123">
        <v>122</v>
      </c>
      <c r="B123" t="s">
        <v>5388</v>
      </c>
      <c r="C123">
        <v>8</v>
      </c>
      <c r="D123">
        <v>6</v>
      </c>
      <c r="E123">
        <v>2018</v>
      </c>
      <c r="F123">
        <v>2499.9899999999998</v>
      </c>
    </row>
    <row r="124" spans="1:6" x14ac:dyDescent="0.3">
      <c r="A124">
        <v>123</v>
      </c>
      <c r="B124" t="s">
        <v>5389</v>
      </c>
      <c r="C124">
        <v>9</v>
      </c>
      <c r="D124">
        <v>6</v>
      </c>
      <c r="E124">
        <v>2018</v>
      </c>
      <c r="F124">
        <v>999.99</v>
      </c>
    </row>
    <row r="125" spans="1:6" x14ac:dyDescent="0.3">
      <c r="A125">
        <v>124</v>
      </c>
      <c r="B125" t="s">
        <v>5390</v>
      </c>
      <c r="C125">
        <v>8</v>
      </c>
      <c r="D125">
        <v>6</v>
      </c>
      <c r="E125">
        <v>2018</v>
      </c>
      <c r="F125">
        <v>1499</v>
      </c>
    </row>
    <row r="126" spans="1:6" x14ac:dyDescent="0.3">
      <c r="A126">
        <v>125</v>
      </c>
      <c r="B126" t="s">
        <v>5391</v>
      </c>
      <c r="C126">
        <v>9</v>
      </c>
      <c r="D126">
        <v>6</v>
      </c>
      <c r="E126">
        <v>2018</v>
      </c>
      <c r="F126">
        <v>469.99</v>
      </c>
    </row>
    <row r="127" spans="1:6" x14ac:dyDescent="0.3">
      <c r="A127">
        <v>126</v>
      </c>
      <c r="B127" t="s">
        <v>5392</v>
      </c>
      <c r="C127">
        <v>8</v>
      </c>
      <c r="D127">
        <v>6</v>
      </c>
      <c r="E127">
        <v>2018</v>
      </c>
      <c r="F127">
        <v>469.99</v>
      </c>
    </row>
    <row r="128" spans="1:6" x14ac:dyDescent="0.3">
      <c r="A128">
        <v>127</v>
      </c>
      <c r="B128" t="s">
        <v>5393</v>
      </c>
      <c r="C128">
        <v>8</v>
      </c>
      <c r="D128">
        <v>6</v>
      </c>
      <c r="E128">
        <v>2018</v>
      </c>
      <c r="F128">
        <v>469.99</v>
      </c>
    </row>
    <row r="129" spans="1:6" x14ac:dyDescent="0.3">
      <c r="A129">
        <v>128</v>
      </c>
      <c r="B129" t="s">
        <v>5394</v>
      </c>
      <c r="C129">
        <v>8</v>
      </c>
      <c r="D129">
        <v>6</v>
      </c>
      <c r="E129">
        <v>2018</v>
      </c>
      <c r="F129">
        <v>1899</v>
      </c>
    </row>
    <row r="130" spans="1:6" x14ac:dyDescent="0.3">
      <c r="A130">
        <v>129</v>
      </c>
      <c r="B130" t="s">
        <v>5395</v>
      </c>
      <c r="C130">
        <v>9</v>
      </c>
      <c r="D130">
        <v>6</v>
      </c>
      <c r="E130">
        <v>2018</v>
      </c>
      <c r="F130">
        <v>919.99</v>
      </c>
    </row>
    <row r="131" spans="1:6" x14ac:dyDescent="0.3">
      <c r="A131">
        <v>130</v>
      </c>
      <c r="B131" t="s">
        <v>5396</v>
      </c>
      <c r="C131">
        <v>9</v>
      </c>
      <c r="D131">
        <v>6</v>
      </c>
      <c r="E131">
        <v>2018</v>
      </c>
      <c r="F131">
        <v>919.99</v>
      </c>
    </row>
    <row r="132" spans="1:6" x14ac:dyDescent="0.3">
      <c r="A132">
        <v>131</v>
      </c>
      <c r="B132" t="s">
        <v>5397</v>
      </c>
      <c r="C132">
        <v>3</v>
      </c>
      <c r="D132">
        <v>6</v>
      </c>
      <c r="E132">
        <v>2018</v>
      </c>
      <c r="F132">
        <v>2599</v>
      </c>
    </row>
    <row r="133" spans="1:6" x14ac:dyDescent="0.3">
      <c r="A133">
        <v>132</v>
      </c>
      <c r="B133" t="s">
        <v>5398</v>
      </c>
      <c r="C133">
        <v>9</v>
      </c>
      <c r="D133">
        <v>6</v>
      </c>
      <c r="E133">
        <v>2018</v>
      </c>
      <c r="F133">
        <v>1499.99</v>
      </c>
    </row>
    <row r="134" spans="1:6" x14ac:dyDescent="0.3">
      <c r="A134">
        <v>133</v>
      </c>
      <c r="B134" t="s">
        <v>5399</v>
      </c>
      <c r="C134">
        <v>9</v>
      </c>
      <c r="D134">
        <v>6</v>
      </c>
      <c r="E134">
        <v>2018</v>
      </c>
      <c r="F134">
        <v>1499.99</v>
      </c>
    </row>
    <row r="135" spans="1:6" x14ac:dyDescent="0.3">
      <c r="A135">
        <v>134</v>
      </c>
      <c r="B135" t="s">
        <v>5400</v>
      </c>
      <c r="C135">
        <v>9</v>
      </c>
      <c r="D135">
        <v>6</v>
      </c>
      <c r="E135">
        <v>2018</v>
      </c>
      <c r="F135">
        <v>1499.99</v>
      </c>
    </row>
    <row r="136" spans="1:6" x14ac:dyDescent="0.3">
      <c r="A136">
        <v>135</v>
      </c>
      <c r="B136" t="s">
        <v>5401</v>
      </c>
      <c r="C136">
        <v>9</v>
      </c>
      <c r="D136">
        <v>6</v>
      </c>
      <c r="E136">
        <v>2018</v>
      </c>
      <c r="F136">
        <v>1499.99</v>
      </c>
    </row>
    <row r="137" spans="1:6" x14ac:dyDescent="0.3">
      <c r="A137">
        <v>136</v>
      </c>
      <c r="B137" t="s">
        <v>5402</v>
      </c>
      <c r="C137">
        <v>9</v>
      </c>
      <c r="D137">
        <v>6</v>
      </c>
      <c r="E137">
        <v>2018</v>
      </c>
      <c r="F137">
        <v>1799.99</v>
      </c>
    </row>
    <row r="138" spans="1:6" x14ac:dyDescent="0.3">
      <c r="A138">
        <v>137</v>
      </c>
      <c r="B138" t="s">
        <v>5403</v>
      </c>
      <c r="C138">
        <v>3</v>
      </c>
      <c r="D138">
        <v>6</v>
      </c>
      <c r="E138">
        <v>2018</v>
      </c>
      <c r="F138">
        <v>2599</v>
      </c>
    </row>
    <row r="139" spans="1:6" x14ac:dyDescent="0.3">
      <c r="A139">
        <v>138</v>
      </c>
      <c r="B139" t="s">
        <v>5404</v>
      </c>
      <c r="C139">
        <v>9</v>
      </c>
      <c r="D139">
        <v>6</v>
      </c>
      <c r="E139">
        <v>2018</v>
      </c>
      <c r="F139">
        <v>2249.9899999999998</v>
      </c>
    </row>
    <row r="140" spans="1:6" x14ac:dyDescent="0.3">
      <c r="A140">
        <v>139</v>
      </c>
      <c r="B140" t="s">
        <v>5405</v>
      </c>
      <c r="C140">
        <v>9</v>
      </c>
      <c r="D140">
        <v>6</v>
      </c>
      <c r="E140">
        <v>2018</v>
      </c>
      <c r="F140">
        <v>2999.99</v>
      </c>
    </row>
    <row r="141" spans="1:6" x14ac:dyDescent="0.3">
      <c r="A141">
        <v>140</v>
      </c>
      <c r="B141" t="s">
        <v>5406</v>
      </c>
      <c r="C141">
        <v>9</v>
      </c>
      <c r="D141">
        <v>6</v>
      </c>
      <c r="E141">
        <v>2018</v>
      </c>
      <c r="F141">
        <v>4999.99</v>
      </c>
    </row>
    <row r="142" spans="1:6" x14ac:dyDescent="0.3">
      <c r="A142">
        <v>141</v>
      </c>
      <c r="B142" t="s">
        <v>5407</v>
      </c>
      <c r="C142">
        <v>9</v>
      </c>
      <c r="D142">
        <v>6</v>
      </c>
      <c r="E142">
        <v>2018</v>
      </c>
      <c r="F142">
        <v>1599.99</v>
      </c>
    </row>
    <row r="143" spans="1:6" x14ac:dyDescent="0.3">
      <c r="A143">
        <v>142</v>
      </c>
      <c r="B143" t="s">
        <v>5408</v>
      </c>
      <c r="C143">
        <v>9</v>
      </c>
      <c r="D143">
        <v>6</v>
      </c>
      <c r="E143">
        <v>2018</v>
      </c>
      <c r="F143">
        <v>3199.99</v>
      </c>
    </row>
    <row r="144" spans="1:6" x14ac:dyDescent="0.3">
      <c r="A144">
        <v>143</v>
      </c>
      <c r="B144" t="s">
        <v>5409</v>
      </c>
      <c r="C144">
        <v>9</v>
      </c>
      <c r="D144">
        <v>7</v>
      </c>
      <c r="E144">
        <v>2018</v>
      </c>
      <c r="F144">
        <v>1099.99</v>
      </c>
    </row>
    <row r="145" spans="1:6" x14ac:dyDescent="0.3">
      <c r="A145">
        <v>144</v>
      </c>
      <c r="B145" t="s">
        <v>5410</v>
      </c>
      <c r="C145">
        <v>9</v>
      </c>
      <c r="D145">
        <v>7</v>
      </c>
      <c r="E145">
        <v>2018</v>
      </c>
      <c r="F145">
        <v>1549.99</v>
      </c>
    </row>
    <row r="146" spans="1:6" x14ac:dyDescent="0.3">
      <c r="A146">
        <v>145</v>
      </c>
      <c r="B146" t="s">
        <v>5411</v>
      </c>
      <c r="C146">
        <v>9</v>
      </c>
      <c r="D146">
        <v>7</v>
      </c>
      <c r="E146">
        <v>2018</v>
      </c>
      <c r="F146">
        <v>1799.99</v>
      </c>
    </row>
    <row r="147" spans="1:6" x14ac:dyDescent="0.3">
      <c r="A147">
        <v>146</v>
      </c>
      <c r="B147" t="s">
        <v>5412</v>
      </c>
      <c r="C147">
        <v>9</v>
      </c>
      <c r="D147">
        <v>7</v>
      </c>
      <c r="E147">
        <v>2018</v>
      </c>
      <c r="F147">
        <v>4999.99</v>
      </c>
    </row>
    <row r="148" spans="1:6" x14ac:dyDescent="0.3">
      <c r="A148">
        <v>147</v>
      </c>
      <c r="B148" t="s">
        <v>5413</v>
      </c>
      <c r="C148">
        <v>9</v>
      </c>
      <c r="D148">
        <v>7</v>
      </c>
      <c r="E148">
        <v>2018</v>
      </c>
      <c r="F148">
        <v>1799.99</v>
      </c>
    </row>
    <row r="149" spans="1:6" x14ac:dyDescent="0.3">
      <c r="A149">
        <v>148</v>
      </c>
      <c r="B149" t="s">
        <v>5414</v>
      </c>
      <c r="C149">
        <v>9</v>
      </c>
      <c r="D149">
        <v>7</v>
      </c>
      <c r="E149">
        <v>2018</v>
      </c>
      <c r="F149">
        <v>5499.99</v>
      </c>
    </row>
    <row r="150" spans="1:6" x14ac:dyDescent="0.3">
      <c r="A150">
        <v>149</v>
      </c>
      <c r="B150" t="s">
        <v>5415</v>
      </c>
      <c r="C150">
        <v>9</v>
      </c>
      <c r="D150">
        <v>7</v>
      </c>
      <c r="E150">
        <v>2018</v>
      </c>
      <c r="F150">
        <v>7499.99</v>
      </c>
    </row>
    <row r="151" spans="1:6" x14ac:dyDescent="0.3">
      <c r="A151">
        <v>150</v>
      </c>
      <c r="B151" t="s">
        <v>5416</v>
      </c>
      <c r="C151">
        <v>9</v>
      </c>
      <c r="D151">
        <v>7</v>
      </c>
      <c r="E151">
        <v>2018</v>
      </c>
      <c r="F151">
        <v>4499.99</v>
      </c>
    </row>
    <row r="152" spans="1:6" x14ac:dyDescent="0.3">
      <c r="A152">
        <v>151</v>
      </c>
      <c r="B152" t="s">
        <v>5417</v>
      </c>
      <c r="C152">
        <v>9</v>
      </c>
      <c r="D152">
        <v>7</v>
      </c>
      <c r="E152">
        <v>2018</v>
      </c>
      <c r="F152">
        <v>1549.99</v>
      </c>
    </row>
    <row r="153" spans="1:6" x14ac:dyDescent="0.3">
      <c r="A153">
        <v>152</v>
      </c>
      <c r="B153" t="s">
        <v>5418</v>
      </c>
      <c r="C153">
        <v>9</v>
      </c>
      <c r="D153">
        <v>7</v>
      </c>
      <c r="E153">
        <v>2018</v>
      </c>
      <c r="F153">
        <v>2499.9899999999998</v>
      </c>
    </row>
    <row r="154" spans="1:6" x14ac:dyDescent="0.3">
      <c r="A154">
        <v>153</v>
      </c>
      <c r="B154" t="s">
        <v>5419</v>
      </c>
      <c r="C154">
        <v>9</v>
      </c>
      <c r="D154">
        <v>7</v>
      </c>
      <c r="E154">
        <v>2018</v>
      </c>
      <c r="F154">
        <v>4999.99</v>
      </c>
    </row>
    <row r="155" spans="1:6" x14ac:dyDescent="0.3">
      <c r="A155">
        <v>154</v>
      </c>
      <c r="B155" t="s">
        <v>5420</v>
      </c>
      <c r="C155">
        <v>9</v>
      </c>
      <c r="D155">
        <v>7</v>
      </c>
      <c r="E155">
        <v>2018</v>
      </c>
      <c r="F155">
        <v>5499.99</v>
      </c>
    </row>
    <row r="156" spans="1:6" x14ac:dyDescent="0.3">
      <c r="A156">
        <v>155</v>
      </c>
      <c r="B156" t="s">
        <v>5421</v>
      </c>
      <c r="C156">
        <v>9</v>
      </c>
      <c r="D156">
        <v>7</v>
      </c>
      <c r="E156">
        <v>2018</v>
      </c>
      <c r="F156">
        <v>11999.99</v>
      </c>
    </row>
    <row r="157" spans="1:6" x14ac:dyDescent="0.3">
      <c r="A157">
        <v>156</v>
      </c>
      <c r="B157" t="s">
        <v>5422</v>
      </c>
      <c r="C157">
        <v>9</v>
      </c>
      <c r="D157">
        <v>7</v>
      </c>
      <c r="E157">
        <v>2018</v>
      </c>
      <c r="F157">
        <v>6499.99</v>
      </c>
    </row>
    <row r="158" spans="1:6" x14ac:dyDescent="0.3">
      <c r="A158">
        <v>157</v>
      </c>
      <c r="B158" t="s">
        <v>5423</v>
      </c>
      <c r="C158">
        <v>9</v>
      </c>
      <c r="D158">
        <v>7</v>
      </c>
      <c r="E158">
        <v>2018</v>
      </c>
      <c r="F158">
        <v>6499.99</v>
      </c>
    </row>
    <row r="159" spans="1:6" x14ac:dyDescent="0.3">
      <c r="A159">
        <v>158</v>
      </c>
      <c r="B159" t="s">
        <v>5424</v>
      </c>
      <c r="C159">
        <v>9</v>
      </c>
      <c r="D159">
        <v>7</v>
      </c>
      <c r="E159">
        <v>2018</v>
      </c>
      <c r="F159">
        <v>959.99</v>
      </c>
    </row>
    <row r="160" spans="1:6" x14ac:dyDescent="0.3">
      <c r="A160">
        <v>159</v>
      </c>
      <c r="B160" t="s">
        <v>5425</v>
      </c>
      <c r="C160">
        <v>9</v>
      </c>
      <c r="D160">
        <v>7</v>
      </c>
      <c r="E160">
        <v>2018</v>
      </c>
      <c r="F160">
        <v>2299.9899999999998</v>
      </c>
    </row>
    <row r="161" spans="1:6" x14ac:dyDescent="0.3">
      <c r="A161">
        <v>160</v>
      </c>
      <c r="B161" t="s">
        <v>5426</v>
      </c>
      <c r="C161">
        <v>9</v>
      </c>
      <c r="D161">
        <v>7</v>
      </c>
      <c r="E161">
        <v>2018</v>
      </c>
      <c r="F161">
        <v>4499.99</v>
      </c>
    </row>
    <row r="162" spans="1:6" x14ac:dyDescent="0.3">
      <c r="A162">
        <v>161</v>
      </c>
      <c r="B162" t="s">
        <v>5427</v>
      </c>
      <c r="C162">
        <v>8</v>
      </c>
      <c r="D162">
        <v>7</v>
      </c>
      <c r="E162">
        <v>2018</v>
      </c>
      <c r="F162">
        <v>1899</v>
      </c>
    </row>
    <row r="163" spans="1:6" x14ac:dyDescent="0.3">
      <c r="A163">
        <v>162</v>
      </c>
      <c r="B163" t="s">
        <v>5428</v>
      </c>
      <c r="C163">
        <v>9</v>
      </c>
      <c r="D163">
        <v>7</v>
      </c>
      <c r="E163">
        <v>2018</v>
      </c>
      <c r="F163">
        <v>2999.99</v>
      </c>
    </row>
    <row r="164" spans="1:6" x14ac:dyDescent="0.3">
      <c r="A164">
        <v>163</v>
      </c>
      <c r="B164" t="s">
        <v>5429</v>
      </c>
      <c r="C164">
        <v>8</v>
      </c>
      <c r="D164">
        <v>7</v>
      </c>
      <c r="E164">
        <v>2018</v>
      </c>
      <c r="F164">
        <v>1349</v>
      </c>
    </row>
    <row r="165" spans="1:6" x14ac:dyDescent="0.3">
      <c r="A165">
        <v>164</v>
      </c>
      <c r="B165" t="s">
        <v>5430</v>
      </c>
      <c r="C165">
        <v>8</v>
      </c>
      <c r="D165">
        <v>7</v>
      </c>
      <c r="E165">
        <v>2018</v>
      </c>
      <c r="F165">
        <v>1549</v>
      </c>
    </row>
    <row r="166" spans="1:6" x14ac:dyDescent="0.3">
      <c r="A166">
        <v>165</v>
      </c>
      <c r="B166" t="s">
        <v>5431</v>
      </c>
      <c r="C166">
        <v>9</v>
      </c>
      <c r="D166">
        <v>7</v>
      </c>
      <c r="E166">
        <v>2018</v>
      </c>
      <c r="F166">
        <v>2499.9899999999998</v>
      </c>
    </row>
    <row r="167" spans="1:6" x14ac:dyDescent="0.3">
      <c r="A167">
        <v>166</v>
      </c>
      <c r="B167" t="s">
        <v>5432</v>
      </c>
      <c r="C167">
        <v>9</v>
      </c>
      <c r="D167">
        <v>7</v>
      </c>
      <c r="E167">
        <v>2018</v>
      </c>
      <c r="F167">
        <v>749.99</v>
      </c>
    </row>
    <row r="168" spans="1:6" x14ac:dyDescent="0.3">
      <c r="A168">
        <v>167</v>
      </c>
      <c r="B168" t="s">
        <v>5433</v>
      </c>
      <c r="C168">
        <v>8</v>
      </c>
      <c r="D168">
        <v>7</v>
      </c>
      <c r="E168">
        <v>2018</v>
      </c>
      <c r="F168">
        <v>749.99</v>
      </c>
    </row>
    <row r="169" spans="1:6" x14ac:dyDescent="0.3">
      <c r="A169">
        <v>168</v>
      </c>
      <c r="B169" t="s">
        <v>5434</v>
      </c>
      <c r="C169">
        <v>8</v>
      </c>
      <c r="D169">
        <v>7</v>
      </c>
      <c r="E169">
        <v>2018</v>
      </c>
      <c r="F169">
        <v>1549</v>
      </c>
    </row>
    <row r="170" spans="1:6" x14ac:dyDescent="0.3">
      <c r="A170">
        <v>169</v>
      </c>
      <c r="B170" t="s">
        <v>5435</v>
      </c>
      <c r="C170">
        <v>9</v>
      </c>
      <c r="D170">
        <v>7</v>
      </c>
      <c r="E170">
        <v>2018</v>
      </c>
      <c r="F170">
        <v>6499.99</v>
      </c>
    </row>
    <row r="171" spans="1:6" x14ac:dyDescent="0.3">
      <c r="A171">
        <v>170</v>
      </c>
      <c r="B171" t="s">
        <v>5436</v>
      </c>
      <c r="C171">
        <v>9</v>
      </c>
      <c r="D171">
        <v>7</v>
      </c>
      <c r="E171">
        <v>2018</v>
      </c>
      <c r="F171">
        <v>1299.99</v>
      </c>
    </row>
    <row r="172" spans="1:6" x14ac:dyDescent="0.3">
      <c r="A172">
        <v>171</v>
      </c>
      <c r="B172" t="s">
        <v>5437</v>
      </c>
      <c r="C172">
        <v>9</v>
      </c>
      <c r="D172">
        <v>7</v>
      </c>
      <c r="E172">
        <v>2018</v>
      </c>
      <c r="F172">
        <v>3199.99</v>
      </c>
    </row>
    <row r="173" spans="1:6" x14ac:dyDescent="0.3">
      <c r="A173">
        <v>172</v>
      </c>
      <c r="B173" t="s">
        <v>5438</v>
      </c>
      <c r="C173">
        <v>9</v>
      </c>
      <c r="D173">
        <v>7</v>
      </c>
      <c r="E173">
        <v>2018</v>
      </c>
      <c r="F173">
        <v>3199.99</v>
      </c>
    </row>
    <row r="174" spans="1:6" x14ac:dyDescent="0.3">
      <c r="A174">
        <v>173</v>
      </c>
      <c r="B174" t="s">
        <v>5439</v>
      </c>
      <c r="C174">
        <v>9</v>
      </c>
      <c r="D174">
        <v>7</v>
      </c>
      <c r="E174">
        <v>2018</v>
      </c>
      <c r="F174">
        <v>3199.99</v>
      </c>
    </row>
    <row r="175" spans="1:6" x14ac:dyDescent="0.3">
      <c r="A175">
        <v>174</v>
      </c>
      <c r="B175" t="s">
        <v>5440</v>
      </c>
      <c r="C175">
        <v>9</v>
      </c>
      <c r="D175">
        <v>7</v>
      </c>
      <c r="E175">
        <v>2018</v>
      </c>
      <c r="F175">
        <v>3199.99</v>
      </c>
    </row>
    <row r="176" spans="1:6" x14ac:dyDescent="0.3">
      <c r="A176">
        <v>175</v>
      </c>
      <c r="B176" t="s">
        <v>5441</v>
      </c>
      <c r="C176">
        <v>9</v>
      </c>
      <c r="D176">
        <v>7</v>
      </c>
      <c r="E176">
        <v>2018</v>
      </c>
      <c r="F176">
        <v>3199.99</v>
      </c>
    </row>
    <row r="177" spans="1:6" x14ac:dyDescent="0.3">
      <c r="A177">
        <v>176</v>
      </c>
      <c r="B177" t="s">
        <v>5442</v>
      </c>
      <c r="C177">
        <v>9</v>
      </c>
      <c r="D177">
        <v>7</v>
      </c>
      <c r="E177">
        <v>2018</v>
      </c>
      <c r="F177">
        <v>3199.99</v>
      </c>
    </row>
    <row r="178" spans="1:6" x14ac:dyDescent="0.3">
      <c r="A178">
        <v>177</v>
      </c>
      <c r="B178" t="s">
        <v>5443</v>
      </c>
      <c r="C178">
        <v>9</v>
      </c>
      <c r="D178">
        <v>7</v>
      </c>
      <c r="E178">
        <v>2018</v>
      </c>
      <c r="F178">
        <v>5499.99</v>
      </c>
    </row>
    <row r="179" spans="1:6" x14ac:dyDescent="0.3">
      <c r="A179">
        <v>178</v>
      </c>
      <c r="B179" t="s">
        <v>5444</v>
      </c>
      <c r="C179">
        <v>9</v>
      </c>
      <c r="D179">
        <v>7</v>
      </c>
      <c r="E179">
        <v>2018</v>
      </c>
      <c r="F179">
        <v>749.99</v>
      </c>
    </row>
    <row r="180" spans="1:6" x14ac:dyDescent="0.3">
      <c r="A180">
        <v>179</v>
      </c>
      <c r="B180" t="s">
        <v>5445</v>
      </c>
      <c r="C180">
        <v>9</v>
      </c>
      <c r="D180">
        <v>7</v>
      </c>
      <c r="E180">
        <v>2018</v>
      </c>
      <c r="F180">
        <v>919.99</v>
      </c>
    </row>
    <row r="181" spans="1:6" x14ac:dyDescent="0.3">
      <c r="A181">
        <v>180</v>
      </c>
      <c r="B181" t="s">
        <v>5446</v>
      </c>
      <c r="C181">
        <v>9</v>
      </c>
      <c r="D181">
        <v>7</v>
      </c>
      <c r="E181">
        <v>2018</v>
      </c>
      <c r="F181">
        <v>919.99</v>
      </c>
    </row>
    <row r="182" spans="1:6" x14ac:dyDescent="0.3">
      <c r="A182">
        <v>181</v>
      </c>
      <c r="B182" t="s">
        <v>5447</v>
      </c>
      <c r="C182">
        <v>9</v>
      </c>
      <c r="D182">
        <v>7</v>
      </c>
      <c r="E182">
        <v>2018</v>
      </c>
      <c r="F182">
        <v>2199.9899999999998</v>
      </c>
    </row>
    <row r="183" spans="1:6" x14ac:dyDescent="0.3">
      <c r="A183">
        <v>182</v>
      </c>
      <c r="B183" t="s">
        <v>5448</v>
      </c>
      <c r="C183">
        <v>9</v>
      </c>
      <c r="D183">
        <v>7</v>
      </c>
      <c r="E183">
        <v>2018</v>
      </c>
      <c r="F183">
        <v>2499.9899999999998</v>
      </c>
    </row>
    <row r="184" spans="1:6" x14ac:dyDescent="0.3">
      <c r="A184">
        <v>183</v>
      </c>
      <c r="B184" t="s">
        <v>5449</v>
      </c>
      <c r="C184">
        <v>9</v>
      </c>
      <c r="D184">
        <v>7</v>
      </c>
      <c r="E184">
        <v>2018</v>
      </c>
      <c r="F184">
        <v>2199.9899999999998</v>
      </c>
    </row>
    <row r="185" spans="1:6" x14ac:dyDescent="0.3">
      <c r="A185">
        <v>184</v>
      </c>
      <c r="B185" t="s">
        <v>5450</v>
      </c>
      <c r="C185">
        <v>9</v>
      </c>
      <c r="D185">
        <v>7</v>
      </c>
      <c r="E185">
        <v>2018</v>
      </c>
      <c r="F185">
        <v>3499.99</v>
      </c>
    </row>
    <row r="186" spans="1:6" x14ac:dyDescent="0.3">
      <c r="A186">
        <v>185</v>
      </c>
      <c r="B186" t="s">
        <v>5451</v>
      </c>
      <c r="C186">
        <v>9</v>
      </c>
      <c r="D186">
        <v>5</v>
      </c>
      <c r="E186">
        <v>2018</v>
      </c>
      <c r="F186">
        <v>2799.99</v>
      </c>
    </row>
    <row r="187" spans="1:6" x14ac:dyDescent="0.3">
      <c r="A187">
        <v>186</v>
      </c>
      <c r="B187" t="s">
        <v>5452</v>
      </c>
      <c r="C187">
        <v>9</v>
      </c>
      <c r="D187">
        <v>5</v>
      </c>
      <c r="E187">
        <v>2018</v>
      </c>
      <c r="F187">
        <v>4499.99</v>
      </c>
    </row>
    <row r="188" spans="1:6" x14ac:dyDescent="0.3">
      <c r="A188">
        <v>187</v>
      </c>
      <c r="B188" t="s">
        <v>5453</v>
      </c>
      <c r="C188">
        <v>9</v>
      </c>
      <c r="D188">
        <v>5</v>
      </c>
      <c r="E188">
        <v>2018</v>
      </c>
      <c r="F188">
        <v>2799.99</v>
      </c>
    </row>
    <row r="189" spans="1:6" x14ac:dyDescent="0.3">
      <c r="A189">
        <v>188</v>
      </c>
      <c r="B189" t="s">
        <v>5454</v>
      </c>
      <c r="C189">
        <v>9</v>
      </c>
      <c r="D189">
        <v>5</v>
      </c>
      <c r="E189">
        <v>2018</v>
      </c>
      <c r="F189">
        <v>3499.99</v>
      </c>
    </row>
    <row r="190" spans="1:6" x14ac:dyDescent="0.3">
      <c r="A190">
        <v>189</v>
      </c>
      <c r="B190" t="s">
        <v>5455</v>
      </c>
      <c r="C190">
        <v>9</v>
      </c>
      <c r="D190">
        <v>5</v>
      </c>
      <c r="E190">
        <v>2018</v>
      </c>
      <c r="F190">
        <v>2799.99</v>
      </c>
    </row>
    <row r="191" spans="1:6" x14ac:dyDescent="0.3">
      <c r="A191">
        <v>190</v>
      </c>
      <c r="B191" t="s">
        <v>5456</v>
      </c>
      <c r="C191">
        <v>9</v>
      </c>
      <c r="D191">
        <v>5</v>
      </c>
      <c r="E191">
        <v>2018</v>
      </c>
      <c r="F191">
        <v>2799.99</v>
      </c>
    </row>
    <row r="192" spans="1:6" x14ac:dyDescent="0.3">
      <c r="A192">
        <v>191</v>
      </c>
      <c r="B192" t="s">
        <v>5457</v>
      </c>
      <c r="C192">
        <v>1</v>
      </c>
      <c r="D192">
        <v>5</v>
      </c>
      <c r="E192">
        <v>2018</v>
      </c>
      <c r="F192">
        <v>2799.99</v>
      </c>
    </row>
    <row r="193" spans="1:6" x14ac:dyDescent="0.3">
      <c r="A193">
        <v>192</v>
      </c>
      <c r="B193" t="s">
        <v>5458</v>
      </c>
      <c r="C193">
        <v>1</v>
      </c>
      <c r="D193">
        <v>5</v>
      </c>
      <c r="E193">
        <v>2018</v>
      </c>
      <c r="F193">
        <v>2599.9899999999998</v>
      </c>
    </row>
    <row r="194" spans="1:6" x14ac:dyDescent="0.3">
      <c r="A194">
        <v>193</v>
      </c>
      <c r="B194" t="s">
        <v>5459</v>
      </c>
      <c r="C194">
        <v>9</v>
      </c>
      <c r="D194">
        <v>5</v>
      </c>
      <c r="E194">
        <v>2018</v>
      </c>
      <c r="F194">
        <v>2799.99</v>
      </c>
    </row>
    <row r="195" spans="1:6" x14ac:dyDescent="0.3">
      <c r="A195">
        <v>194</v>
      </c>
      <c r="B195" t="s">
        <v>5460</v>
      </c>
      <c r="C195">
        <v>9</v>
      </c>
      <c r="D195">
        <v>5</v>
      </c>
      <c r="E195">
        <v>2018</v>
      </c>
      <c r="F195">
        <v>3499.99</v>
      </c>
    </row>
    <row r="196" spans="1:6" x14ac:dyDescent="0.3">
      <c r="A196">
        <v>195</v>
      </c>
      <c r="B196" t="s">
        <v>5461</v>
      </c>
      <c r="C196">
        <v>1</v>
      </c>
      <c r="D196">
        <v>5</v>
      </c>
      <c r="E196">
        <v>2018</v>
      </c>
      <c r="F196">
        <v>2599.9899999999998</v>
      </c>
    </row>
    <row r="197" spans="1:6" x14ac:dyDescent="0.3">
      <c r="A197">
        <v>196</v>
      </c>
      <c r="B197" t="s">
        <v>5462</v>
      </c>
      <c r="C197">
        <v>9</v>
      </c>
      <c r="D197">
        <v>5</v>
      </c>
      <c r="E197">
        <v>2018</v>
      </c>
      <c r="F197">
        <v>2299.9899999999998</v>
      </c>
    </row>
    <row r="198" spans="1:6" x14ac:dyDescent="0.3">
      <c r="A198">
        <v>197</v>
      </c>
      <c r="B198" t="s">
        <v>5463</v>
      </c>
      <c r="C198">
        <v>9</v>
      </c>
      <c r="D198">
        <v>5</v>
      </c>
      <c r="E198">
        <v>2018</v>
      </c>
      <c r="F198">
        <v>2299.9899999999998</v>
      </c>
    </row>
    <row r="199" spans="1:6" x14ac:dyDescent="0.3">
      <c r="A199">
        <v>198</v>
      </c>
      <c r="B199" t="s">
        <v>5464</v>
      </c>
      <c r="C199">
        <v>1</v>
      </c>
      <c r="D199">
        <v>5</v>
      </c>
      <c r="E199">
        <v>2018</v>
      </c>
      <c r="F199">
        <v>2999.99</v>
      </c>
    </row>
    <row r="200" spans="1:6" x14ac:dyDescent="0.3">
      <c r="A200">
        <v>199</v>
      </c>
      <c r="B200" t="s">
        <v>5465</v>
      </c>
      <c r="C200">
        <v>1</v>
      </c>
      <c r="D200">
        <v>5</v>
      </c>
      <c r="E200">
        <v>2018</v>
      </c>
      <c r="F200">
        <v>2999.99</v>
      </c>
    </row>
    <row r="201" spans="1:6" x14ac:dyDescent="0.3">
      <c r="A201">
        <v>200</v>
      </c>
      <c r="B201" t="s">
        <v>5466</v>
      </c>
      <c r="C201">
        <v>9</v>
      </c>
      <c r="D201">
        <v>5</v>
      </c>
      <c r="E201">
        <v>2018</v>
      </c>
      <c r="F201">
        <v>3499.99</v>
      </c>
    </row>
    <row r="202" spans="1:6" x14ac:dyDescent="0.3">
      <c r="A202">
        <v>201</v>
      </c>
      <c r="B202" t="s">
        <v>5467</v>
      </c>
      <c r="C202">
        <v>9</v>
      </c>
      <c r="D202">
        <v>5</v>
      </c>
      <c r="E202">
        <v>2018</v>
      </c>
      <c r="F202">
        <v>4499.99</v>
      </c>
    </row>
    <row r="203" spans="1:6" x14ac:dyDescent="0.3">
      <c r="A203">
        <v>202</v>
      </c>
      <c r="B203" t="s">
        <v>5468</v>
      </c>
      <c r="C203">
        <v>9</v>
      </c>
      <c r="D203">
        <v>5</v>
      </c>
      <c r="E203">
        <v>2018</v>
      </c>
      <c r="F203">
        <v>3499.99</v>
      </c>
    </row>
    <row r="204" spans="1:6" x14ac:dyDescent="0.3">
      <c r="A204">
        <v>203</v>
      </c>
      <c r="B204" t="s">
        <v>5469</v>
      </c>
      <c r="C204">
        <v>9</v>
      </c>
      <c r="D204">
        <v>5</v>
      </c>
      <c r="E204">
        <v>2018</v>
      </c>
      <c r="F204">
        <v>4999.99</v>
      </c>
    </row>
    <row r="205" spans="1:6" x14ac:dyDescent="0.3">
      <c r="A205">
        <v>204</v>
      </c>
      <c r="B205" t="s">
        <v>5470</v>
      </c>
      <c r="C205">
        <v>9</v>
      </c>
      <c r="D205">
        <v>5</v>
      </c>
      <c r="E205">
        <v>2018</v>
      </c>
      <c r="F205">
        <v>3599.99</v>
      </c>
    </row>
    <row r="206" spans="1:6" x14ac:dyDescent="0.3">
      <c r="A206">
        <v>205</v>
      </c>
      <c r="B206" t="s">
        <v>5471</v>
      </c>
      <c r="C206">
        <v>9</v>
      </c>
      <c r="D206">
        <v>5</v>
      </c>
      <c r="E206">
        <v>2018</v>
      </c>
      <c r="F206">
        <v>4999.99</v>
      </c>
    </row>
    <row r="207" spans="1:6" x14ac:dyDescent="0.3">
      <c r="A207">
        <v>206</v>
      </c>
      <c r="B207" t="s">
        <v>5472</v>
      </c>
      <c r="C207">
        <v>9</v>
      </c>
      <c r="D207">
        <v>4</v>
      </c>
      <c r="E207">
        <v>2018</v>
      </c>
      <c r="F207">
        <v>3299.99</v>
      </c>
    </row>
    <row r="208" spans="1:6" x14ac:dyDescent="0.3">
      <c r="A208">
        <v>207</v>
      </c>
      <c r="B208" t="s">
        <v>5473</v>
      </c>
      <c r="C208">
        <v>9</v>
      </c>
      <c r="D208">
        <v>4</v>
      </c>
      <c r="E208">
        <v>2018</v>
      </c>
      <c r="F208">
        <v>3999.99</v>
      </c>
    </row>
    <row r="209" spans="1:6" x14ac:dyDescent="0.3">
      <c r="A209">
        <v>208</v>
      </c>
      <c r="B209" t="s">
        <v>5474</v>
      </c>
      <c r="C209">
        <v>9</v>
      </c>
      <c r="D209">
        <v>4</v>
      </c>
      <c r="E209">
        <v>2018</v>
      </c>
      <c r="F209">
        <v>1799.99</v>
      </c>
    </row>
    <row r="210" spans="1:6" x14ac:dyDescent="0.3">
      <c r="A210">
        <v>209</v>
      </c>
      <c r="B210" t="s">
        <v>5475</v>
      </c>
      <c r="C210">
        <v>9</v>
      </c>
      <c r="D210">
        <v>4</v>
      </c>
      <c r="E210">
        <v>2018</v>
      </c>
      <c r="F210">
        <v>2999.99</v>
      </c>
    </row>
    <row r="211" spans="1:6" x14ac:dyDescent="0.3">
      <c r="A211">
        <v>210</v>
      </c>
      <c r="B211" t="s">
        <v>5434</v>
      </c>
      <c r="C211">
        <v>8</v>
      </c>
      <c r="D211">
        <v>4</v>
      </c>
      <c r="E211">
        <v>2018</v>
      </c>
      <c r="F211">
        <v>1549</v>
      </c>
    </row>
    <row r="212" spans="1:6" x14ac:dyDescent="0.3">
      <c r="A212">
        <v>211</v>
      </c>
      <c r="B212" t="s">
        <v>5430</v>
      </c>
      <c r="C212">
        <v>8</v>
      </c>
      <c r="D212">
        <v>4</v>
      </c>
      <c r="E212">
        <v>2018</v>
      </c>
      <c r="F212">
        <v>1549</v>
      </c>
    </row>
    <row r="213" spans="1:6" x14ac:dyDescent="0.3">
      <c r="A213">
        <v>212</v>
      </c>
      <c r="B213" t="s">
        <v>5476</v>
      </c>
      <c r="C213">
        <v>1</v>
      </c>
      <c r="D213">
        <v>3</v>
      </c>
      <c r="E213">
        <v>2018</v>
      </c>
      <c r="F213">
        <v>559.99</v>
      </c>
    </row>
    <row r="214" spans="1:6" x14ac:dyDescent="0.3">
      <c r="A214">
        <v>213</v>
      </c>
      <c r="B214" t="s">
        <v>5477</v>
      </c>
      <c r="C214">
        <v>1</v>
      </c>
      <c r="D214">
        <v>3</v>
      </c>
      <c r="E214">
        <v>2018</v>
      </c>
      <c r="F214">
        <v>269.99</v>
      </c>
    </row>
    <row r="215" spans="1:6" x14ac:dyDescent="0.3">
      <c r="A215">
        <v>214</v>
      </c>
      <c r="B215" t="s">
        <v>5478</v>
      </c>
      <c r="C215">
        <v>1</v>
      </c>
      <c r="D215">
        <v>3</v>
      </c>
      <c r="E215">
        <v>2018</v>
      </c>
      <c r="F215">
        <v>899.99</v>
      </c>
    </row>
    <row r="216" spans="1:6" x14ac:dyDescent="0.3">
      <c r="A216">
        <v>215</v>
      </c>
      <c r="B216" t="s">
        <v>5479</v>
      </c>
      <c r="C216">
        <v>1</v>
      </c>
      <c r="D216">
        <v>3</v>
      </c>
      <c r="E216">
        <v>2018</v>
      </c>
      <c r="F216">
        <v>749.99</v>
      </c>
    </row>
    <row r="217" spans="1:6" x14ac:dyDescent="0.3">
      <c r="A217">
        <v>216</v>
      </c>
      <c r="B217" t="s">
        <v>5480</v>
      </c>
      <c r="C217">
        <v>1</v>
      </c>
      <c r="D217">
        <v>3</v>
      </c>
      <c r="E217">
        <v>2018</v>
      </c>
      <c r="F217">
        <v>899.99</v>
      </c>
    </row>
    <row r="218" spans="1:6" x14ac:dyDescent="0.3">
      <c r="A218">
        <v>217</v>
      </c>
      <c r="B218" t="s">
        <v>5481</v>
      </c>
      <c r="C218">
        <v>1</v>
      </c>
      <c r="D218">
        <v>3</v>
      </c>
      <c r="E218">
        <v>2018</v>
      </c>
      <c r="F218">
        <v>909.99</v>
      </c>
    </row>
    <row r="219" spans="1:6" x14ac:dyDescent="0.3">
      <c r="A219">
        <v>218</v>
      </c>
      <c r="B219" t="s">
        <v>5482</v>
      </c>
      <c r="C219">
        <v>1</v>
      </c>
      <c r="D219">
        <v>3</v>
      </c>
      <c r="E219">
        <v>2018</v>
      </c>
      <c r="F219">
        <v>319.99</v>
      </c>
    </row>
    <row r="220" spans="1:6" x14ac:dyDescent="0.3">
      <c r="A220">
        <v>219</v>
      </c>
      <c r="B220" t="s">
        <v>5483</v>
      </c>
      <c r="C220">
        <v>1</v>
      </c>
      <c r="D220">
        <v>3</v>
      </c>
      <c r="E220">
        <v>2018</v>
      </c>
      <c r="F220">
        <v>639.99</v>
      </c>
    </row>
    <row r="221" spans="1:6" x14ac:dyDescent="0.3">
      <c r="A221">
        <v>220</v>
      </c>
      <c r="B221" t="s">
        <v>5484</v>
      </c>
      <c r="C221">
        <v>1</v>
      </c>
      <c r="D221">
        <v>3</v>
      </c>
      <c r="E221">
        <v>2018</v>
      </c>
      <c r="F221">
        <v>269.99</v>
      </c>
    </row>
    <row r="222" spans="1:6" x14ac:dyDescent="0.3">
      <c r="A222">
        <v>221</v>
      </c>
      <c r="B222" t="s">
        <v>5485</v>
      </c>
      <c r="C222">
        <v>1</v>
      </c>
      <c r="D222">
        <v>3</v>
      </c>
      <c r="E222">
        <v>2018</v>
      </c>
      <c r="F222">
        <v>319.99</v>
      </c>
    </row>
    <row r="223" spans="1:6" x14ac:dyDescent="0.3">
      <c r="A223">
        <v>222</v>
      </c>
      <c r="B223" t="s">
        <v>5486</v>
      </c>
      <c r="C223">
        <v>1</v>
      </c>
      <c r="D223">
        <v>3</v>
      </c>
      <c r="E223">
        <v>2018</v>
      </c>
      <c r="F223">
        <v>269.99</v>
      </c>
    </row>
    <row r="224" spans="1:6" x14ac:dyDescent="0.3">
      <c r="A224">
        <v>223</v>
      </c>
      <c r="B224" t="s">
        <v>5487</v>
      </c>
      <c r="C224">
        <v>1</v>
      </c>
      <c r="D224">
        <v>3</v>
      </c>
      <c r="E224">
        <v>2018</v>
      </c>
      <c r="F224">
        <v>529.99</v>
      </c>
    </row>
    <row r="225" spans="1:6" x14ac:dyDescent="0.3">
      <c r="A225">
        <v>224</v>
      </c>
      <c r="B225" t="s">
        <v>5488</v>
      </c>
      <c r="C225">
        <v>1</v>
      </c>
      <c r="D225">
        <v>3</v>
      </c>
      <c r="E225">
        <v>2018</v>
      </c>
      <c r="F225">
        <v>479.99</v>
      </c>
    </row>
    <row r="226" spans="1:6" x14ac:dyDescent="0.3">
      <c r="A226">
        <v>225</v>
      </c>
      <c r="B226" t="s">
        <v>5489</v>
      </c>
      <c r="C226">
        <v>1</v>
      </c>
      <c r="D226">
        <v>3</v>
      </c>
      <c r="E226">
        <v>2018</v>
      </c>
      <c r="F226">
        <v>959.99</v>
      </c>
    </row>
    <row r="227" spans="1:6" x14ac:dyDescent="0.3">
      <c r="A227">
        <v>226</v>
      </c>
      <c r="B227" t="s">
        <v>5490</v>
      </c>
      <c r="C227">
        <v>1</v>
      </c>
      <c r="D227">
        <v>3</v>
      </c>
      <c r="E227">
        <v>2018</v>
      </c>
      <c r="F227">
        <v>679.99</v>
      </c>
    </row>
    <row r="228" spans="1:6" x14ac:dyDescent="0.3">
      <c r="A228">
        <v>227</v>
      </c>
      <c r="B228" t="s">
        <v>5491</v>
      </c>
      <c r="C228">
        <v>1</v>
      </c>
      <c r="D228">
        <v>3</v>
      </c>
      <c r="E228">
        <v>2018</v>
      </c>
      <c r="F228">
        <v>319.99</v>
      </c>
    </row>
    <row r="229" spans="1:6" x14ac:dyDescent="0.3">
      <c r="A229">
        <v>228</v>
      </c>
      <c r="B229" t="s">
        <v>5492</v>
      </c>
      <c r="C229">
        <v>1</v>
      </c>
      <c r="D229">
        <v>3</v>
      </c>
      <c r="E229">
        <v>2018</v>
      </c>
      <c r="F229">
        <v>319.99</v>
      </c>
    </row>
    <row r="230" spans="1:6" x14ac:dyDescent="0.3">
      <c r="A230">
        <v>229</v>
      </c>
      <c r="B230" t="s">
        <v>5493</v>
      </c>
      <c r="C230">
        <v>1</v>
      </c>
      <c r="D230">
        <v>3</v>
      </c>
      <c r="E230">
        <v>2018</v>
      </c>
      <c r="F230">
        <v>429.99</v>
      </c>
    </row>
    <row r="231" spans="1:6" x14ac:dyDescent="0.3">
      <c r="A231">
        <v>230</v>
      </c>
      <c r="B231" t="s">
        <v>5494</v>
      </c>
      <c r="C231">
        <v>1</v>
      </c>
      <c r="D231">
        <v>3</v>
      </c>
      <c r="E231">
        <v>2018</v>
      </c>
      <c r="F231">
        <v>429.99</v>
      </c>
    </row>
    <row r="232" spans="1:6" x14ac:dyDescent="0.3">
      <c r="A232">
        <v>231</v>
      </c>
      <c r="B232" t="s">
        <v>5495</v>
      </c>
      <c r="C232">
        <v>1</v>
      </c>
      <c r="D232">
        <v>3</v>
      </c>
      <c r="E232">
        <v>2018</v>
      </c>
      <c r="F232">
        <v>529.99</v>
      </c>
    </row>
    <row r="233" spans="1:6" x14ac:dyDescent="0.3">
      <c r="A233">
        <v>232</v>
      </c>
      <c r="B233" t="s">
        <v>5496</v>
      </c>
      <c r="C233">
        <v>1</v>
      </c>
      <c r="D233">
        <v>3</v>
      </c>
      <c r="E233">
        <v>2018</v>
      </c>
      <c r="F233">
        <v>479.99</v>
      </c>
    </row>
    <row r="234" spans="1:6" x14ac:dyDescent="0.3">
      <c r="A234">
        <v>233</v>
      </c>
      <c r="B234" t="s">
        <v>5497</v>
      </c>
      <c r="C234">
        <v>1</v>
      </c>
      <c r="D234">
        <v>3</v>
      </c>
      <c r="E234">
        <v>2018</v>
      </c>
      <c r="F234">
        <v>639.99</v>
      </c>
    </row>
    <row r="235" spans="1:6" x14ac:dyDescent="0.3">
      <c r="A235">
        <v>234</v>
      </c>
      <c r="B235" t="s">
        <v>5498</v>
      </c>
      <c r="C235">
        <v>1</v>
      </c>
      <c r="D235">
        <v>3</v>
      </c>
      <c r="E235">
        <v>2018</v>
      </c>
      <c r="F235">
        <v>899.99</v>
      </c>
    </row>
    <row r="236" spans="1:6" x14ac:dyDescent="0.3">
      <c r="A236">
        <v>235</v>
      </c>
      <c r="B236" t="s">
        <v>5499</v>
      </c>
      <c r="C236">
        <v>1</v>
      </c>
      <c r="D236">
        <v>3</v>
      </c>
      <c r="E236">
        <v>2018</v>
      </c>
      <c r="F236">
        <v>899.99</v>
      </c>
    </row>
    <row r="237" spans="1:6" x14ac:dyDescent="0.3">
      <c r="A237">
        <v>236</v>
      </c>
      <c r="B237" t="s">
        <v>5500</v>
      </c>
      <c r="C237">
        <v>1</v>
      </c>
      <c r="D237">
        <v>3</v>
      </c>
      <c r="E237">
        <v>2018</v>
      </c>
      <c r="F237">
        <v>749.99</v>
      </c>
    </row>
    <row r="238" spans="1:6" x14ac:dyDescent="0.3">
      <c r="A238">
        <v>237</v>
      </c>
      <c r="B238" t="s">
        <v>5501</v>
      </c>
      <c r="C238">
        <v>1</v>
      </c>
      <c r="D238">
        <v>3</v>
      </c>
      <c r="E238">
        <v>2018</v>
      </c>
      <c r="F238">
        <v>849.99</v>
      </c>
    </row>
    <row r="239" spans="1:6" x14ac:dyDescent="0.3">
      <c r="A239">
        <v>238</v>
      </c>
      <c r="B239" t="s">
        <v>5502</v>
      </c>
      <c r="C239">
        <v>1</v>
      </c>
      <c r="D239">
        <v>3</v>
      </c>
      <c r="E239">
        <v>2018</v>
      </c>
      <c r="F239">
        <v>749.99</v>
      </c>
    </row>
    <row r="240" spans="1:6" x14ac:dyDescent="0.3">
      <c r="A240">
        <v>239</v>
      </c>
      <c r="B240" t="s">
        <v>5503</v>
      </c>
      <c r="C240">
        <v>1</v>
      </c>
      <c r="D240">
        <v>3</v>
      </c>
      <c r="E240">
        <v>2018</v>
      </c>
      <c r="F240">
        <v>749.99</v>
      </c>
    </row>
    <row r="241" spans="1:6" x14ac:dyDescent="0.3">
      <c r="A241">
        <v>240</v>
      </c>
      <c r="B241" t="s">
        <v>5504</v>
      </c>
      <c r="C241">
        <v>1</v>
      </c>
      <c r="D241">
        <v>3</v>
      </c>
      <c r="E241">
        <v>2018</v>
      </c>
      <c r="F241">
        <v>899.99</v>
      </c>
    </row>
    <row r="242" spans="1:6" x14ac:dyDescent="0.3">
      <c r="A242">
        <v>241</v>
      </c>
      <c r="B242" t="s">
        <v>5505</v>
      </c>
      <c r="C242">
        <v>1</v>
      </c>
      <c r="D242">
        <v>3</v>
      </c>
      <c r="E242">
        <v>2018</v>
      </c>
      <c r="F242">
        <v>749.99</v>
      </c>
    </row>
    <row r="243" spans="1:6" x14ac:dyDescent="0.3">
      <c r="A243">
        <v>242</v>
      </c>
      <c r="B243" t="s">
        <v>5506</v>
      </c>
      <c r="C243">
        <v>1</v>
      </c>
      <c r="D243">
        <v>3</v>
      </c>
      <c r="E243">
        <v>2018</v>
      </c>
      <c r="F243">
        <v>699.99</v>
      </c>
    </row>
    <row r="244" spans="1:6" x14ac:dyDescent="0.3">
      <c r="A244">
        <v>243</v>
      </c>
      <c r="B244" t="s">
        <v>5507</v>
      </c>
      <c r="C244">
        <v>1</v>
      </c>
      <c r="D244">
        <v>3</v>
      </c>
      <c r="E244">
        <v>2018</v>
      </c>
      <c r="F244">
        <v>679.99</v>
      </c>
    </row>
    <row r="245" spans="1:6" x14ac:dyDescent="0.3">
      <c r="A245">
        <v>244</v>
      </c>
      <c r="B245" t="s">
        <v>5508</v>
      </c>
      <c r="C245">
        <v>1</v>
      </c>
      <c r="D245">
        <v>3</v>
      </c>
      <c r="E245">
        <v>2018</v>
      </c>
      <c r="F245">
        <v>559.99</v>
      </c>
    </row>
    <row r="246" spans="1:6" x14ac:dyDescent="0.3">
      <c r="A246">
        <v>245</v>
      </c>
      <c r="B246" t="s">
        <v>5509</v>
      </c>
      <c r="C246">
        <v>1</v>
      </c>
      <c r="D246">
        <v>3</v>
      </c>
      <c r="E246">
        <v>2018</v>
      </c>
      <c r="F246">
        <v>659.99</v>
      </c>
    </row>
    <row r="247" spans="1:6" x14ac:dyDescent="0.3">
      <c r="A247">
        <v>246</v>
      </c>
      <c r="B247" t="s">
        <v>5510</v>
      </c>
      <c r="C247">
        <v>1</v>
      </c>
      <c r="D247">
        <v>3</v>
      </c>
      <c r="E247">
        <v>2018</v>
      </c>
      <c r="F247">
        <v>639.99</v>
      </c>
    </row>
    <row r="248" spans="1:6" x14ac:dyDescent="0.3">
      <c r="A248">
        <v>247</v>
      </c>
      <c r="B248" t="s">
        <v>5511</v>
      </c>
      <c r="C248">
        <v>1</v>
      </c>
      <c r="D248">
        <v>3</v>
      </c>
      <c r="E248">
        <v>2018</v>
      </c>
      <c r="F248">
        <v>599.99</v>
      </c>
    </row>
    <row r="249" spans="1:6" x14ac:dyDescent="0.3">
      <c r="A249">
        <v>248</v>
      </c>
      <c r="B249" t="s">
        <v>5512</v>
      </c>
      <c r="C249">
        <v>1</v>
      </c>
      <c r="D249">
        <v>3</v>
      </c>
      <c r="E249">
        <v>2018</v>
      </c>
      <c r="F249">
        <v>599.99</v>
      </c>
    </row>
    <row r="250" spans="1:6" x14ac:dyDescent="0.3">
      <c r="A250">
        <v>249</v>
      </c>
      <c r="B250" t="s">
        <v>5513</v>
      </c>
      <c r="C250">
        <v>1</v>
      </c>
      <c r="D250">
        <v>3</v>
      </c>
      <c r="E250">
        <v>2018</v>
      </c>
      <c r="F250">
        <v>749.99</v>
      </c>
    </row>
    <row r="251" spans="1:6" x14ac:dyDescent="0.3">
      <c r="A251">
        <v>250</v>
      </c>
      <c r="B251" t="s">
        <v>5458</v>
      </c>
      <c r="C251">
        <v>1</v>
      </c>
      <c r="D251">
        <v>3</v>
      </c>
      <c r="E251">
        <v>2018</v>
      </c>
      <c r="F251">
        <v>2599.9899999999998</v>
      </c>
    </row>
    <row r="252" spans="1:6" x14ac:dyDescent="0.3">
      <c r="A252">
        <v>251</v>
      </c>
      <c r="B252" t="s">
        <v>5464</v>
      </c>
      <c r="C252">
        <v>1</v>
      </c>
      <c r="D252">
        <v>3</v>
      </c>
      <c r="E252">
        <v>2018</v>
      </c>
      <c r="F252">
        <v>2999.99</v>
      </c>
    </row>
    <row r="253" spans="1:6" x14ac:dyDescent="0.3">
      <c r="A253">
        <v>252</v>
      </c>
      <c r="B253" t="s">
        <v>5465</v>
      </c>
      <c r="C253">
        <v>1</v>
      </c>
      <c r="D253">
        <v>3</v>
      </c>
      <c r="E253">
        <v>2018</v>
      </c>
      <c r="F253">
        <v>2999.99</v>
      </c>
    </row>
    <row r="254" spans="1:6" x14ac:dyDescent="0.3">
      <c r="A254">
        <v>253</v>
      </c>
      <c r="B254" t="s">
        <v>5461</v>
      </c>
      <c r="C254">
        <v>1</v>
      </c>
      <c r="D254">
        <v>3</v>
      </c>
      <c r="E254">
        <v>2018</v>
      </c>
      <c r="F254">
        <v>2599.9899999999998</v>
      </c>
    </row>
    <row r="255" spans="1:6" x14ac:dyDescent="0.3">
      <c r="A255">
        <v>254</v>
      </c>
      <c r="B255" t="s">
        <v>5514</v>
      </c>
      <c r="C255">
        <v>1</v>
      </c>
      <c r="D255">
        <v>3</v>
      </c>
      <c r="E255">
        <v>2018</v>
      </c>
      <c r="F255">
        <v>749.99</v>
      </c>
    </row>
    <row r="256" spans="1:6" x14ac:dyDescent="0.3">
      <c r="A256">
        <v>255</v>
      </c>
      <c r="B256" t="s">
        <v>5515</v>
      </c>
      <c r="C256">
        <v>1</v>
      </c>
      <c r="D256">
        <v>3</v>
      </c>
      <c r="E256">
        <v>2018</v>
      </c>
      <c r="F256">
        <v>899.99</v>
      </c>
    </row>
    <row r="257" spans="1:6" x14ac:dyDescent="0.3">
      <c r="A257">
        <v>256</v>
      </c>
      <c r="B257" t="s">
        <v>5516</v>
      </c>
      <c r="C257">
        <v>1</v>
      </c>
      <c r="D257">
        <v>3</v>
      </c>
      <c r="E257">
        <v>2018</v>
      </c>
      <c r="F257">
        <v>899.99</v>
      </c>
    </row>
    <row r="258" spans="1:6" x14ac:dyDescent="0.3">
      <c r="A258">
        <v>257</v>
      </c>
      <c r="B258" t="s">
        <v>5517</v>
      </c>
      <c r="C258">
        <v>1</v>
      </c>
      <c r="D258">
        <v>3</v>
      </c>
      <c r="E258">
        <v>2018</v>
      </c>
      <c r="F258">
        <v>899.99</v>
      </c>
    </row>
    <row r="259" spans="1:6" x14ac:dyDescent="0.3">
      <c r="A259">
        <v>258</v>
      </c>
      <c r="B259" t="s">
        <v>5518</v>
      </c>
      <c r="C259">
        <v>1</v>
      </c>
      <c r="D259">
        <v>3</v>
      </c>
      <c r="E259">
        <v>2018</v>
      </c>
      <c r="F259">
        <v>1259.9000000000001</v>
      </c>
    </row>
    <row r="260" spans="1:6" x14ac:dyDescent="0.3">
      <c r="A260">
        <v>259</v>
      </c>
      <c r="B260" t="s">
        <v>5519</v>
      </c>
      <c r="C260">
        <v>1</v>
      </c>
      <c r="D260">
        <v>3</v>
      </c>
      <c r="E260">
        <v>2018</v>
      </c>
      <c r="F260">
        <v>1199.99</v>
      </c>
    </row>
    <row r="261" spans="1:6" x14ac:dyDescent="0.3">
      <c r="A261">
        <v>260</v>
      </c>
      <c r="B261" t="s">
        <v>5520</v>
      </c>
      <c r="C261">
        <v>1</v>
      </c>
      <c r="D261">
        <v>3</v>
      </c>
      <c r="E261">
        <v>2018</v>
      </c>
      <c r="F261">
        <v>799.99</v>
      </c>
    </row>
    <row r="262" spans="1:6" x14ac:dyDescent="0.3">
      <c r="A262">
        <v>261</v>
      </c>
      <c r="B262" t="s">
        <v>5521</v>
      </c>
      <c r="C262">
        <v>1</v>
      </c>
      <c r="D262">
        <v>3</v>
      </c>
      <c r="E262">
        <v>2018</v>
      </c>
      <c r="F262">
        <v>899.99</v>
      </c>
    </row>
    <row r="263" spans="1:6" x14ac:dyDescent="0.3">
      <c r="A263">
        <v>262</v>
      </c>
      <c r="B263" t="s">
        <v>5522</v>
      </c>
      <c r="C263">
        <v>9</v>
      </c>
      <c r="D263">
        <v>1</v>
      </c>
      <c r="E263">
        <v>2018</v>
      </c>
      <c r="F263">
        <v>249.99</v>
      </c>
    </row>
    <row r="264" spans="1:6" x14ac:dyDescent="0.3">
      <c r="A264">
        <v>263</v>
      </c>
      <c r="B264" t="s">
        <v>5523</v>
      </c>
      <c r="C264">
        <v>6</v>
      </c>
      <c r="D264">
        <v>1</v>
      </c>
      <c r="E264">
        <v>2018</v>
      </c>
      <c r="F264">
        <v>89.99</v>
      </c>
    </row>
    <row r="265" spans="1:6" x14ac:dyDescent="0.3">
      <c r="A265">
        <v>264</v>
      </c>
      <c r="B265" t="s">
        <v>5524</v>
      </c>
      <c r="C265">
        <v>6</v>
      </c>
      <c r="D265">
        <v>1</v>
      </c>
      <c r="E265">
        <v>2018</v>
      </c>
      <c r="F265">
        <v>249.99</v>
      </c>
    </row>
    <row r="266" spans="1:6" x14ac:dyDescent="0.3">
      <c r="A266">
        <v>265</v>
      </c>
      <c r="B266" t="s">
        <v>5525</v>
      </c>
      <c r="C266">
        <v>6</v>
      </c>
      <c r="D266">
        <v>1</v>
      </c>
      <c r="E266">
        <v>2018</v>
      </c>
      <c r="F266">
        <v>289.99</v>
      </c>
    </row>
    <row r="267" spans="1:6" x14ac:dyDescent="0.3">
      <c r="A267">
        <v>266</v>
      </c>
      <c r="B267" t="s">
        <v>5526</v>
      </c>
      <c r="C267">
        <v>9</v>
      </c>
      <c r="D267">
        <v>1</v>
      </c>
      <c r="E267">
        <v>2018</v>
      </c>
      <c r="F267">
        <v>399.99</v>
      </c>
    </row>
    <row r="268" spans="1:6" x14ac:dyDescent="0.3">
      <c r="A268">
        <v>267</v>
      </c>
      <c r="B268" t="s">
        <v>5527</v>
      </c>
      <c r="C268">
        <v>9</v>
      </c>
      <c r="D268">
        <v>1</v>
      </c>
      <c r="E268">
        <v>2018</v>
      </c>
      <c r="F268">
        <v>199.99</v>
      </c>
    </row>
    <row r="269" spans="1:6" x14ac:dyDescent="0.3">
      <c r="A269">
        <v>268</v>
      </c>
      <c r="B269" t="s">
        <v>5528</v>
      </c>
      <c r="C269">
        <v>9</v>
      </c>
      <c r="D269">
        <v>1</v>
      </c>
      <c r="E269">
        <v>2018</v>
      </c>
      <c r="F269">
        <v>159.99</v>
      </c>
    </row>
    <row r="270" spans="1:6" x14ac:dyDescent="0.3">
      <c r="A270">
        <v>269</v>
      </c>
      <c r="B270" t="s">
        <v>5529</v>
      </c>
      <c r="C270">
        <v>9</v>
      </c>
      <c r="D270">
        <v>1</v>
      </c>
      <c r="E270">
        <v>2018</v>
      </c>
      <c r="F270">
        <v>199.99</v>
      </c>
    </row>
    <row r="271" spans="1:6" x14ac:dyDescent="0.3">
      <c r="A271">
        <v>270</v>
      </c>
      <c r="B271" t="s">
        <v>5530</v>
      </c>
      <c r="C271">
        <v>9</v>
      </c>
      <c r="D271">
        <v>1</v>
      </c>
      <c r="E271">
        <v>2018</v>
      </c>
      <c r="F271">
        <v>209.99</v>
      </c>
    </row>
    <row r="272" spans="1:6" x14ac:dyDescent="0.3">
      <c r="A272">
        <v>271</v>
      </c>
      <c r="B272" t="s">
        <v>5531</v>
      </c>
      <c r="C272">
        <v>9</v>
      </c>
      <c r="D272">
        <v>1</v>
      </c>
      <c r="E272">
        <v>2018</v>
      </c>
      <c r="F272">
        <v>209.99</v>
      </c>
    </row>
    <row r="273" spans="1:6" x14ac:dyDescent="0.3">
      <c r="A273">
        <v>272</v>
      </c>
      <c r="B273" t="s">
        <v>5532</v>
      </c>
      <c r="C273">
        <v>9</v>
      </c>
      <c r="D273">
        <v>1</v>
      </c>
      <c r="E273">
        <v>2018</v>
      </c>
      <c r="F273">
        <v>289.99</v>
      </c>
    </row>
    <row r="274" spans="1:6" x14ac:dyDescent="0.3">
      <c r="A274">
        <v>273</v>
      </c>
      <c r="B274" t="s">
        <v>5533</v>
      </c>
      <c r="C274">
        <v>9</v>
      </c>
      <c r="D274">
        <v>1</v>
      </c>
      <c r="E274">
        <v>2018</v>
      </c>
      <c r="F274">
        <v>289.99</v>
      </c>
    </row>
    <row r="275" spans="1:6" x14ac:dyDescent="0.3">
      <c r="A275">
        <v>274</v>
      </c>
      <c r="B275" t="s">
        <v>5534</v>
      </c>
      <c r="C275">
        <v>9</v>
      </c>
      <c r="D275">
        <v>1</v>
      </c>
      <c r="E275">
        <v>2018</v>
      </c>
      <c r="F275">
        <v>229.99</v>
      </c>
    </row>
    <row r="276" spans="1:6" x14ac:dyDescent="0.3">
      <c r="A276">
        <v>275</v>
      </c>
      <c r="B276" t="s">
        <v>5535</v>
      </c>
      <c r="C276">
        <v>9</v>
      </c>
      <c r="D276">
        <v>1</v>
      </c>
      <c r="E276">
        <v>2018</v>
      </c>
      <c r="F276">
        <v>229.99</v>
      </c>
    </row>
    <row r="277" spans="1:6" x14ac:dyDescent="0.3">
      <c r="A277">
        <v>276</v>
      </c>
      <c r="B277" t="s">
        <v>5536</v>
      </c>
      <c r="C277">
        <v>9</v>
      </c>
      <c r="D277">
        <v>1</v>
      </c>
      <c r="E277">
        <v>2018</v>
      </c>
      <c r="F277">
        <v>319.99</v>
      </c>
    </row>
    <row r="278" spans="1:6" x14ac:dyDescent="0.3">
      <c r="A278">
        <v>277</v>
      </c>
      <c r="B278" t="s">
        <v>5537</v>
      </c>
      <c r="C278">
        <v>9</v>
      </c>
      <c r="D278">
        <v>1</v>
      </c>
      <c r="E278">
        <v>2018</v>
      </c>
      <c r="F278">
        <v>369.99</v>
      </c>
    </row>
    <row r="279" spans="1:6" x14ac:dyDescent="0.3">
      <c r="A279">
        <v>278</v>
      </c>
      <c r="B279" t="s">
        <v>5538</v>
      </c>
      <c r="C279">
        <v>9</v>
      </c>
      <c r="D279">
        <v>1</v>
      </c>
      <c r="E279">
        <v>2018</v>
      </c>
      <c r="F279">
        <v>369.99</v>
      </c>
    </row>
    <row r="280" spans="1:6" x14ac:dyDescent="0.3">
      <c r="A280">
        <v>279</v>
      </c>
      <c r="B280" t="s">
        <v>5539</v>
      </c>
      <c r="C280">
        <v>9</v>
      </c>
      <c r="D280">
        <v>1</v>
      </c>
      <c r="E280">
        <v>2018</v>
      </c>
      <c r="F280">
        <v>319.99</v>
      </c>
    </row>
    <row r="281" spans="1:6" x14ac:dyDescent="0.3">
      <c r="A281">
        <v>280</v>
      </c>
      <c r="B281" t="s">
        <v>5540</v>
      </c>
      <c r="C281">
        <v>9</v>
      </c>
      <c r="D281">
        <v>1</v>
      </c>
      <c r="E281">
        <v>2018</v>
      </c>
      <c r="F281">
        <v>489.99</v>
      </c>
    </row>
    <row r="282" spans="1:6" x14ac:dyDescent="0.3">
      <c r="A282">
        <v>281</v>
      </c>
      <c r="B282" t="s">
        <v>5491</v>
      </c>
      <c r="C282">
        <v>1</v>
      </c>
      <c r="D282">
        <v>1</v>
      </c>
      <c r="E282">
        <v>2018</v>
      </c>
      <c r="F282">
        <v>319.99</v>
      </c>
    </row>
    <row r="283" spans="1:6" x14ac:dyDescent="0.3">
      <c r="A283">
        <v>282</v>
      </c>
      <c r="B283" t="s">
        <v>5541</v>
      </c>
      <c r="C283">
        <v>1</v>
      </c>
      <c r="D283">
        <v>1</v>
      </c>
      <c r="E283">
        <v>2018</v>
      </c>
      <c r="F283">
        <v>279.99</v>
      </c>
    </row>
    <row r="284" spans="1:6" x14ac:dyDescent="0.3">
      <c r="A284">
        <v>283</v>
      </c>
      <c r="B284" t="s">
        <v>5542</v>
      </c>
      <c r="C284">
        <v>1</v>
      </c>
      <c r="D284">
        <v>1</v>
      </c>
      <c r="E284">
        <v>2018</v>
      </c>
      <c r="F284">
        <v>319.99</v>
      </c>
    </row>
    <row r="285" spans="1:6" x14ac:dyDescent="0.3">
      <c r="A285">
        <v>284</v>
      </c>
      <c r="B285" t="s">
        <v>5543</v>
      </c>
      <c r="C285">
        <v>1</v>
      </c>
      <c r="D285">
        <v>1</v>
      </c>
      <c r="E285">
        <v>2018</v>
      </c>
      <c r="F285">
        <v>319.99</v>
      </c>
    </row>
    <row r="286" spans="1:6" x14ac:dyDescent="0.3">
      <c r="A286">
        <v>285</v>
      </c>
      <c r="B286" t="s">
        <v>5544</v>
      </c>
      <c r="C286">
        <v>1</v>
      </c>
      <c r="D286">
        <v>1</v>
      </c>
      <c r="E286">
        <v>2018</v>
      </c>
      <c r="F286">
        <v>279.99</v>
      </c>
    </row>
    <row r="287" spans="1:6" x14ac:dyDescent="0.3">
      <c r="A287">
        <v>286</v>
      </c>
      <c r="B287" t="s">
        <v>5545</v>
      </c>
      <c r="C287">
        <v>1</v>
      </c>
      <c r="D287">
        <v>1</v>
      </c>
      <c r="E287">
        <v>2018</v>
      </c>
      <c r="F287">
        <v>279.99</v>
      </c>
    </row>
    <row r="288" spans="1:6" x14ac:dyDescent="0.3">
      <c r="A288">
        <v>287</v>
      </c>
      <c r="B288" t="s">
        <v>5546</v>
      </c>
      <c r="C288">
        <v>1</v>
      </c>
      <c r="D288">
        <v>1</v>
      </c>
      <c r="E288">
        <v>2018</v>
      </c>
      <c r="F288">
        <v>279.99</v>
      </c>
    </row>
    <row r="289" spans="1:6" x14ac:dyDescent="0.3">
      <c r="A289">
        <v>288</v>
      </c>
      <c r="B289" t="s">
        <v>5547</v>
      </c>
      <c r="C289">
        <v>1</v>
      </c>
      <c r="D289">
        <v>1</v>
      </c>
      <c r="E289">
        <v>2018</v>
      </c>
      <c r="F289">
        <v>389.99</v>
      </c>
    </row>
    <row r="290" spans="1:6" x14ac:dyDescent="0.3">
      <c r="A290">
        <v>289</v>
      </c>
      <c r="B290" t="s">
        <v>5548</v>
      </c>
      <c r="C290">
        <v>1</v>
      </c>
      <c r="D290">
        <v>1</v>
      </c>
      <c r="E290">
        <v>2018</v>
      </c>
      <c r="F290">
        <v>319.99</v>
      </c>
    </row>
    <row r="291" spans="1:6" x14ac:dyDescent="0.3">
      <c r="A291">
        <v>290</v>
      </c>
      <c r="B291" t="s">
        <v>5549</v>
      </c>
      <c r="C291">
        <v>1</v>
      </c>
      <c r="D291">
        <v>1</v>
      </c>
      <c r="E291">
        <v>2018</v>
      </c>
      <c r="F291">
        <v>369.99</v>
      </c>
    </row>
    <row r="292" spans="1:6" x14ac:dyDescent="0.3">
      <c r="A292">
        <v>291</v>
      </c>
      <c r="B292" t="s">
        <v>5550</v>
      </c>
      <c r="C292">
        <v>1</v>
      </c>
      <c r="D292">
        <v>1</v>
      </c>
      <c r="E292">
        <v>2018</v>
      </c>
      <c r="F292">
        <v>319.99</v>
      </c>
    </row>
    <row r="293" spans="1:6" x14ac:dyDescent="0.3">
      <c r="A293">
        <v>292</v>
      </c>
      <c r="B293" t="s">
        <v>5551</v>
      </c>
      <c r="C293">
        <v>1</v>
      </c>
      <c r="D293">
        <v>1</v>
      </c>
      <c r="E293">
        <v>2018</v>
      </c>
      <c r="F293">
        <v>369.99</v>
      </c>
    </row>
    <row r="294" spans="1:6" x14ac:dyDescent="0.3">
      <c r="A294">
        <v>293</v>
      </c>
      <c r="B294" t="s">
        <v>5552</v>
      </c>
      <c r="C294">
        <v>1</v>
      </c>
      <c r="D294">
        <v>1</v>
      </c>
      <c r="E294">
        <v>2018</v>
      </c>
      <c r="F294">
        <v>319.99</v>
      </c>
    </row>
    <row r="295" spans="1:6" x14ac:dyDescent="0.3">
      <c r="A295">
        <v>294</v>
      </c>
      <c r="B295" t="s">
        <v>5553</v>
      </c>
      <c r="C295">
        <v>1</v>
      </c>
      <c r="D295">
        <v>1</v>
      </c>
      <c r="E295">
        <v>2018</v>
      </c>
      <c r="F295">
        <v>369.99</v>
      </c>
    </row>
    <row r="296" spans="1:6" x14ac:dyDescent="0.3">
      <c r="A296">
        <v>295</v>
      </c>
      <c r="B296" t="s">
        <v>5554</v>
      </c>
      <c r="C296">
        <v>1</v>
      </c>
      <c r="D296">
        <v>1</v>
      </c>
      <c r="E296">
        <v>2018</v>
      </c>
      <c r="F296">
        <v>319.99</v>
      </c>
    </row>
    <row r="297" spans="1:6" x14ac:dyDescent="0.3">
      <c r="A297">
        <v>296</v>
      </c>
      <c r="B297" t="s">
        <v>5555</v>
      </c>
      <c r="C297">
        <v>1</v>
      </c>
      <c r="D297">
        <v>1</v>
      </c>
      <c r="E297">
        <v>2018</v>
      </c>
      <c r="F297">
        <v>369.99</v>
      </c>
    </row>
    <row r="298" spans="1:6" x14ac:dyDescent="0.3">
      <c r="A298">
        <v>297</v>
      </c>
      <c r="B298" t="s">
        <v>5556</v>
      </c>
      <c r="C298">
        <v>1</v>
      </c>
      <c r="D298">
        <v>1</v>
      </c>
      <c r="E298">
        <v>2018</v>
      </c>
      <c r="F298">
        <v>279.99</v>
      </c>
    </row>
    <row r="299" spans="1:6" x14ac:dyDescent="0.3">
      <c r="A299">
        <v>298</v>
      </c>
      <c r="B299" t="s">
        <v>5557</v>
      </c>
      <c r="C299">
        <v>1</v>
      </c>
      <c r="D299">
        <v>1</v>
      </c>
      <c r="E299">
        <v>2018</v>
      </c>
      <c r="F299">
        <v>279.99</v>
      </c>
    </row>
    <row r="300" spans="1:6" x14ac:dyDescent="0.3">
      <c r="A300">
        <v>299</v>
      </c>
      <c r="B300" t="s">
        <v>5476</v>
      </c>
      <c r="C300">
        <v>1</v>
      </c>
      <c r="D300">
        <v>2</v>
      </c>
      <c r="E300">
        <v>2018</v>
      </c>
      <c r="F300">
        <v>559.99</v>
      </c>
    </row>
    <row r="301" spans="1:6" x14ac:dyDescent="0.3">
      <c r="A301">
        <v>300</v>
      </c>
      <c r="B301" t="s">
        <v>5520</v>
      </c>
      <c r="C301">
        <v>1</v>
      </c>
      <c r="D301">
        <v>2</v>
      </c>
      <c r="E301">
        <v>2018</v>
      </c>
      <c r="F301">
        <v>799.99</v>
      </c>
    </row>
    <row r="302" spans="1:6" x14ac:dyDescent="0.3">
      <c r="A302">
        <v>301</v>
      </c>
      <c r="B302" t="s">
        <v>5521</v>
      </c>
      <c r="C302">
        <v>1</v>
      </c>
      <c r="D302">
        <v>2</v>
      </c>
      <c r="E302">
        <v>2018</v>
      </c>
      <c r="F302">
        <v>899.99</v>
      </c>
    </row>
    <row r="303" spans="1:6" x14ac:dyDescent="0.3">
      <c r="A303">
        <v>302</v>
      </c>
      <c r="B303" t="s">
        <v>5558</v>
      </c>
      <c r="C303">
        <v>1</v>
      </c>
      <c r="D303">
        <v>2</v>
      </c>
      <c r="E303">
        <v>2018</v>
      </c>
      <c r="F303">
        <v>449.99</v>
      </c>
    </row>
    <row r="304" spans="1:6" x14ac:dyDescent="0.3">
      <c r="A304">
        <v>303</v>
      </c>
      <c r="B304" t="s">
        <v>5458</v>
      </c>
      <c r="C304">
        <v>1</v>
      </c>
      <c r="D304">
        <v>2</v>
      </c>
      <c r="E304">
        <v>2018</v>
      </c>
      <c r="F304">
        <v>2599.9899999999998</v>
      </c>
    </row>
    <row r="305" spans="1:6" x14ac:dyDescent="0.3">
      <c r="A305">
        <v>304</v>
      </c>
      <c r="B305" t="s">
        <v>5490</v>
      </c>
      <c r="C305">
        <v>1</v>
      </c>
      <c r="D305">
        <v>2</v>
      </c>
      <c r="E305">
        <v>2018</v>
      </c>
      <c r="F305">
        <v>679.99</v>
      </c>
    </row>
    <row r="306" spans="1:6" x14ac:dyDescent="0.3">
      <c r="A306">
        <v>305</v>
      </c>
      <c r="B306" t="s">
        <v>5514</v>
      </c>
      <c r="C306">
        <v>1</v>
      </c>
      <c r="D306">
        <v>2</v>
      </c>
      <c r="E306">
        <v>2018</v>
      </c>
      <c r="F306">
        <v>749.99</v>
      </c>
    </row>
    <row r="307" spans="1:6" x14ac:dyDescent="0.3">
      <c r="A307">
        <v>306</v>
      </c>
      <c r="B307" t="s">
        <v>5515</v>
      </c>
      <c r="C307">
        <v>1</v>
      </c>
      <c r="D307">
        <v>2</v>
      </c>
      <c r="E307">
        <v>2018</v>
      </c>
      <c r="F307">
        <v>899.99</v>
      </c>
    </row>
    <row r="308" spans="1:6" x14ac:dyDescent="0.3">
      <c r="A308">
        <v>307</v>
      </c>
      <c r="B308" t="s">
        <v>5502</v>
      </c>
      <c r="C308">
        <v>1</v>
      </c>
      <c r="D308">
        <v>2</v>
      </c>
      <c r="E308">
        <v>2018</v>
      </c>
      <c r="F308">
        <v>749.99</v>
      </c>
    </row>
    <row r="309" spans="1:6" x14ac:dyDescent="0.3">
      <c r="A309">
        <v>308</v>
      </c>
      <c r="B309" t="s">
        <v>5503</v>
      </c>
      <c r="C309">
        <v>1</v>
      </c>
      <c r="D309">
        <v>2</v>
      </c>
      <c r="E309">
        <v>2018</v>
      </c>
      <c r="F309">
        <v>749.99</v>
      </c>
    </row>
    <row r="310" spans="1:6" x14ac:dyDescent="0.3">
      <c r="A310">
        <v>309</v>
      </c>
      <c r="B310" t="s">
        <v>5516</v>
      </c>
      <c r="C310">
        <v>1</v>
      </c>
      <c r="D310">
        <v>2</v>
      </c>
      <c r="E310">
        <v>2018</v>
      </c>
      <c r="F310">
        <v>899.99</v>
      </c>
    </row>
    <row r="311" spans="1:6" x14ac:dyDescent="0.3">
      <c r="A311">
        <v>310</v>
      </c>
      <c r="B311" t="s">
        <v>5504</v>
      </c>
      <c r="C311">
        <v>1</v>
      </c>
      <c r="D311">
        <v>2</v>
      </c>
      <c r="E311">
        <v>2018</v>
      </c>
      <c r="F311">
        <v>899.99</v>
      </c>
    </row>
    <row r="312" spans="1:6" x14ac:dyDescent="0.3">
      <c r="A312">
        <v>311</v>
      </c>
      <c r="B312" t="s">
        <v>5505</v>
      </c>
      <c r="C312">
        <v>1</v>
      </c>
      <c r="D312">
        <v>2</v>
      </c>
      <c r="E312">
        <v>2018</v>
      </c>
      <c r="F312">
        <v>749.99</v>
      </c>
    </row>
    <row r="313" spans="1:6" x14ac:dyDescent="0.3">
      <c r="A313">
        <v>312</v>
      </c>
      <c r="B313" t="s">
        <v>5506</v>
      </c>
      <c r="C313">
        <v>1</v>
      </c>
      <c r="D313">
        <v>2</v>
      </c>
      <c r="E313">
        <v>2018</v>
      </c>
      <c r="F313">
        <v>699.99</v>
      </c>
    </row>
    <row r="314" spans="1:6" x14ac:dyDescent="0.3">
      <c r="A314">
        <v>313</v>
      </c>
      <c r="B314" t="s">
        <v>5559</v>
      </c>
      <c r="C314">
        <v>1</v>
      </c>
      <c r="D314">
        <v>2</v>
      </c>
      <c r="E314">
        <v>2018</v>
      </c>
      <c r="F314">
        <v>449.99</v>
      </c>
    </row>
    <row r="315" spans="1:6" x14ac:dyDescent="0.3">
      <c r="A315">
        <v>314</v>
      </c>
      <c r="B315" t="s">
        <v>5507</v>
      </c>
      <c r="C315">
        <v>1</v>
      </c>
      <c r="D315">
        <v>2</v>
      </c>
      <c r="E315">
        <v>2018</v>
      </c>
      <c r="F315">
        <v>679.99</v>
      </c>
    </row>
    <row r="316" spans="1:6" x14ac:dyDescent="0.3">
      <c r="A316">
        <v>315</v>
      </c>
      <c r="B316" t="s">
        <v>5508</v>
      </c>
      <c r="C316">
        <v>1</v>
      </c>
      <c r="D316">
        <v>2</v>
      </c>
      <c r="E316">
        <v>2018</v>
      </c>
      <c r="F316">
        <v>559.99</v>
      </c>
    </row>
    <row r="317" spans="1:6" x14ac:dyDescent="0.3">
      <c r="A317">
        <v>316</v>
      </c>
      <c r="B317" t="s">
        <v>5560</v>
      </c>
      <c r="C317">
        <v>9</v>
      </c>
      <c r="D317">
        <v>7</v>
      </c>
      <c r="E317">
        <v>2019</v>
      </c>
      <c r="F317">
        <v>1699.99</v>
      </c>
    </row>
    <row r="318" spans="1:6" x14ac:dyDescent="0.3">
      <c r="A318">
        <v>317</v>
      </c>
      <c r="B318" t="s">
        <v>5561</v>
      </c>
      <c r="C318">
        <v>9</v>
      </c>
      <c r="D318">
        <v>7</v>
      </c>
      <c r="E318">
        <v>2019</v>
      </c>
      <c r="F318">
        <v>1999.99</v>
      </c>
    </row>
    <row r="319" spans="1:6" x14ac:dyDescent="0.3">
      <c r="A319">
        <v>318</v>
      </c>
      <c r="B319" t="s">
        <v>5562</v>
      </c>
      <c r="C319">
        <v>9</v>
      </c>
      <c r="D319">
        <v>7</v>
      </c>
      <c r="E319">
        <v>2019</v>
      </c>
      <c r="F319">
        <v>1999.99</v>
      </c>
    </row>
    <row r="320" spans="1:6" x14ac:dyDescent="0.3">
      <c r="A320">
        <v>319</v>
      </c>
      <c r="B320" t="s">
        <v>5563</v>
      </c>
      <c r="C320">
        <v>9</v>
      </c>
      <c r="D320">
        <v>7</v>
      </c>
      <c r="E320">
        <v>2019</v>
      </c>
      <c r="F320">
        <v>2799.99</v>
      </c>
    </row>
    <row r="321" spans="1:6" x14ac:dyDescent="0.3">
      <c r="A321">
        <v>320</v>
      </c>
      <c r="B321" t="s">
        <v>5564</v>
      </c>
      <c r="C321">
        <v>9</v>
      </c>
      <c r="D321">
        <v>7</v>
      </c>
      <c r="E321">
        <v>2019</v>
      </c>
      <c r="F321">
        <v>3799.99</v>
      </c>
    </row>
    <row r="322" spans="1:6" x14ac:dyDescent="0.3">
      <c r="A322">
        <v>321</v>
      </c>
      <c r="B322" t="s">
        <v>5565</v>
      </c>
      <c r="C322">
        <v>9</v>
      </c>
      <c r="D322">
        <v>7</v>
      </c>
      <c r="E322">
        <v>2019</v>
      </c>
      <c r="F322">
        <v>3199.99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22CCB-C957-4455-9DE9-63289C842F1D}">
  <sheetPr codeName="Sheet8"/>
  <dimension ref="A1:H11"/>
  <sheetViews>
    <sheetView workbookViewId="0">
      <selection activeCell="G14" sqref="G14"/>
    </sheetView>
  </sheetViews>
  <sheetFormatPr defaultRowHeight="14.4" x14ac:dyDescent="0.3"/>
  <cols>
    <col min="1" max="1" width="9.5546875" bestFit="1" customWidth="1"/>
    <col min="2" max="2" width="12.21875" bestFit="1" customWidth="1"/>
    <col min="3" max="3" width="11.88671875" bestFit="1" customWidth="1"/>
    <col min="4" max="4" width="27.77734375" bestFit="1" customWidth="1"/>
    <col min="5" max="5" width="13.33203125" bestFit="1" customWidth="1"/>
    <col min="6" max="6" width="8.21875" bestFit="1" customWidth="1"/>
    <col min="7" max="7" width="10" bestFit="1" customWidth="1"/>
    <col min="8" max="8" width="13.21875" bestFit="1" customWidth="1"/>
  </cols>
  <sheetData>
    <row r="1" spans="1:8" x14ac:dyDescent="0.3">
      <c r="A1" t="s">
        <v>5272</v>
      </c>
      <c r="B1" t="s">
        <v>21</v>
      </c>
      <c r="C1" t="s">
        <v>22</v>
      </c>
      <c r="D1" t="s">
        <v>24</v>
      </c>
      <c r="E1" t="s">
        <v>23</v>
      </c>
      <c r="F1" t="s">
        <v>5566</v>
      </c>
      <c r="G1" t="s">
        <v>5271</v>
      </c>
      <c r="H1" t="s">
        <v>5567</v>
      </c>
    </row>
    <row r="2" spans="1:8" x14ac:dyDescent="0.3">
      <c r="A2">
        <v>1</v>
      </c>
      <c r="B2" t="s">
        <v>5568</v>
      </c>
      <c r="C2" t="s">
        <v>273</v>
      </c>
      <c r="D2" t="s">
        <v>5569</v>
      </c>
      <c r="E2" t="s">
        <v>5570</v>
      </c>
      <c r="F2">
        <v>1</v>
      </c>
      <c r="G2">
        <v>1</v>
      </c>
      <c r="H2" t="s">
        <v>5571</v>
      </c>
    </row>
    <row r="3" spans="1:8" x14ac:dyDescent="0.3">
      <c r="A3">
        <v>2</v>
      </c>
      <c r="B3" t="s">
        <v>5572</v>
      </c>
      <c r="C3" t="s">
        <v>4578</v>
      </c>
      <c r="D3" t="s">
        <v>5573</v>
      </c>
      <c r="E3" t="s">
        <v>5574</v>
      </c>
      <c r="F3">
        <v>1</v>
      </c>
      <c r="G3">
        <v>1</v>
      </c>
      <c r="H3" t="s">
        <v>5575</v>
      </c>
    </row>
    <row r="4" spans="1:8" x14ac:dyDescent="0.3">
      <c r="A4">
        <v>3</v>
      </c>
      <c r="B4" t="s">
        <v>5576</v>
      </c>
      <c r="C4" t="s">
        <v>5577</v>
      </c>
      <c r="D4" t="s">
        <v>5578</v>
      </c>
      <c r="E4" t="s">
        <v>5579</v>
      </c>
      <c r="F4">
        <v>1</v>
      </c>
      <c r="G4">
        <v>1</v>
      </c>
      <c r="H4" t="s">
        <v>5580</v>
      </c>
    </row>
    <row r="5" spans="1:8" x14ac:dyDescent="0.3">
      <c r="A5">
        <v>4</v>
      </c>
      <c r="B5" t="s">
        <v>5581</v>
      </c>
      <c r="C5" t="s">
        <v>1441</v>
      </c>
      <c r="D5" t="s">
        <v>5582</v>
      </c>
      <c r="E5" t="s">
        <v>5583</v>
      </c>
      <c r="F5">
        <v>1</v>
      </c>
      <c r="G5">
        <v>1</v>
      </c>
      <c r="H5" t="s">
        <v>5580</v>
      </c>
    </row>
    <row r="6" spans="1:8" x14ac:dyDescent="0.3">
      <c r="A6">
        <v>5</v>
      </c>
      <c r="B6" t="s">
        <v>5584</v>
      </c>
      <c r="C6" t="s">
        <v>5585</v>
      </c>
      <c r="D6" t="s">
        <v>5586</v>
      </c>
      <c r="E6" t="s">
        <v>5587</v>
      </c>
      <c r="F6">
        <v>1</v>
      </c>
      <c r="G6">
        <v>2</v>
      </c>
      <c r="H6" t="s">
        <v>5575</v>
      </c>
    </row>
    <row r="7" spans="1:8" x14ac:dyDescent="0.3">
      <c r="A7">
        <v>6</v>
      </c>
      <c r="B7" t="s">
        <v>5588</v>
      </c>
      <c r="C7" t="s">
        <v>5589</v>
      </c>
      <c r="D7" t="s">
        <v>5590</v>
      </c>
      <c r="E7" t="s">
        <v>5591</v>
      </c>
      <c r="F7">
        <v>1</v>
      </c>
      <c r="G7">
        <v>2</v>
      </c>
      <c r="H7" t="s">
        <v>5592</v>
      </c>
    </row>
    <row r="8" spans="1:8" x14ac:dyDescent="0.3">
      <c r="A8">
        <v>7</v>
      </c>
      <c r="B8" t="s">
        <v>5593</v>
      </c>
      <c r="C8" t="s">
        <v>433</v>
      </c>
      <c r="D8" t="s">
        <v>5594</v>
      </c>
      <c r="E8" t="s">
        <v>5595</v>
      </c>
      <c r="F8">
        <v>1</v>
      </c>
      <c r="G8">
        <v>2</v>
      </c>
      <c r="H8" t="s">
        <v>5592</v>
      </c>
    </row>
    <row r="9" spans="1:8" x14ac:dyDescent="0.3">
      <c r="A9">
        <v>8</v>
      </c>
      <c r="B9" t="s">
        <v>5596</v>
      </c>
      <c r="C9" t="s">
        <v>447</v>
      </c>
      <c r="D9" t="s">
        <v>5597</v>
      </c>
      <c r="E9" t="s">
        <v>5598</v>
      </c>
      <c r="F9">
        <v>1</v>
      </c>
      <c r="G9">
        <v>3</v>
      </c>
      <c r="H9" t="s">
        <v>5575</v>
      </c>
    </row>
    <row r="10" spans="1:8" x14ac:dyDescent="0.3">
      <c r="A10">
        <v>9</v>
      </c>
      <c r="B10" t="s">
        <v>5599</v>
      </c>
      <c r="C10" t="s">
        <v>3063</v>
      </c>
      <c r="D10" t="s">
        <v>5600</v>
      </c>
      <c r="E10" t="s">
        <v>5601</v>
      </c>
      <c r="F10">
        <v>1</v>
      </c>
      <c r="G10">
        <v>3</v>
      </c>
      <c r="H10" t="s">
        <v>5602</v>
      </c>
    </row>
    <row r="11" spans="1:8" x14ac:dyDescent="0.3">
      <c r="A11">
        <v>10</v>
      </c>
      <c r="B11" t="s">
        <v>5603</v>
      </c>
      <c r="C11" t="s">
        <v>252</v>
      </c>
      <c r="D11" t="s">
        <v>5604</v>
      </c>
      <c r="E11" t="s">
        <v>5605</v>
      </c>
      <c r="F11">
        <v>1</v>
      </c>
      <c r="G11">
        <v>3</v>
      </c>
      <c r="H11" t="s">
        <v>5602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FE024-6D0B-4755-AB70-EE2E393983E9}">
  <sheetPr codeName="Sheet9"/>
  <dimension ref="A1:C940"/>
  <sheetViews>
    <sheetView workbookViewId="0">
      <selection activeCell="K25" sqref="K25"/>
    </sheetView>
  </sheetViews>
  <sheetFormatPr defaultRowHeight="14.4" x14ac:dyDescent="0.3"/>
  <cols>
    <col min="1" max="1" width="10" bestFit="1" customWidth="1"/>
    <col min="2" max="2" width="12.44140625" bestFit="1" customWidth="1"/>
    <col min="3" max="3" width="10.33203125" bestFit="1" customWidth="1"/>
  </cols>
  <sheetData>
    <row r="1" spans="1:3" x14ac:dyDescent="0.3">
      <c r="A1" t="s">
        <v>5271</v>
      </c>
      <c r="B1" t="s">
        <v>5262</v>
      </c>
      <c r="C1" t="s">
        <v>5263</v>
      </c>
    </row>
    <row r="2" spans="1:3" x14ac:dyDescent="0.3">
      <c r="A2">
        <v>1</v>
      </c>
      <c r="B2">
        <v>1</v>
      </c>
      <c r="C2">
        <v>27</v>
      </c>
    </row>
    <row r="3" spans="1:3" x14ac:dyDescent="0.3">
      <c r="A3">
        <v>1</v>
      </c>
      <c r="B3">
        <v>2</v>
      </c>
      <c r="C3">
        <v>5</v>
      </c>
    </row>
    <row r="4" spans="1:3" x14ac:dyDescent="0.3">
      <c r="A4">
        <v>1</v>
      </c>
      <c r="B4">
        <v>3</v>
      </c>
      <c r="C4">
        <v>6</v>
      </c>
    </row>
    <row r="5" spans="1:3" x14ac:dyDescent="0.3">
      <c r="A5">
        <v>1</v>
      </c>
      <c r="B5">
        <v>4</v>
      </c>
      <c r="C5">
        <v>23</v>
      </c>
    </row>
    <row r="6" spans="1:3" x14ac:dyDescent="0.3">
      <c r="A6">
        <v>1</v>
      </c>
      <c r="B6">
        <v>5</v>
      </c>
      <c r="C6">
        <v>22</v>
      </c>
    </row>
    <row r="7" spans="1:3" x14ac:dyDescent="0.3">
      <c r="A7">
        <v>1</v>
      </c>
      <c r="B7">
        <v>6</v>
      </c>
      <c r="C7">
        <v>0</v>
      </c>
    </row>
    <row r="8" spans="1:3" x14ac:dyDescent="0.3">
      <c r="A8">
        <v>1</v>
      </c>
      <c r="B8">
        <v>7</v>
      </c>
      <c r="C8">
        <v>8</v>
      </c>
    </row>
    <row r="9" spans="1:3" x14ac:dyDescent="0.3">
      <c r="A9">
        <v>1</v>
      </c>
      <c r="B9">
        <v>8</v>
      </c>
      <c r="C9">
        <v>0</v>
      </c>
    </row>
    <row r="10" spans="1:3" x14ac:dyDescent="0.3">
      <c r="A10">
        <v>1</v>
      </c>
      <c r="B10">
        <v>9</v>
      </c>
      <c r="C10">
        <v>11</v>
      </c>
    </row>
    <row r="11" spans="1:3" x14ac:dyDescent="0.3">
      <c r="A11">
        <v>1</v>
      </c>
      <c r="B11">
        <v>10</v>
      </c>
      <c r="C11">
        <v>15</v>
      </c>
    </row>
    <row r="12" spans="1:3" x14ac:dyDescent="0.3">
      <c r="A12">
        <v>1</v>
      </c>
      <c r="B12">
        <v>11</v>
      </c>
      <c r="C12">
        <v>8</v>
      </c>
    </row>
    <row r="13" spans="1:3" x14ac:dyDescent="0.3">
      <c r="A13">
        <v>1</v>
      </c>
      <c r="B13">
        <v>12</v>
      </c>
      <c r="C13">
        <v>16</v>
      </c>
    </row>
    <row r="14" spans="1:3" x14ac:dyDescent="0.3">
      <c r="A14">
        <v>1</v>
      </c>
      <c r="B14">
        <v>13</v>
      </c>
      <c r="C14">
        <v>13</v>
      </c>
    </row>
    <row r="15" spans="1:3" x14ac:dyDescent="0.3">
      <c r="A15">
        <v>1</v>
      </c>
      <c r="B15">
        <v>14</v>
      </c>
      <c r="C15">
        <v>8</v>
      </c>
    </row>
    <row r="16" spans="1:3" x14ac:dyDescent="0.3">
      <c r="A16">
        <v>1</v>
      </c>
      <c r="B16">
        <v>15</v>
      </c>
      <c r="C16">
        <v>3</v>
      </c>
    </row>
    <row r="17" spans="1:3" x14ac:dyDescent="0.3">
      <c r="A17">
        <v>1</v>
      </c>
      <c r="B17">
        <v>16</v>
      </c>
      <c r="C17">
        <v>4</v>
      </c>
    </row>
    <row r="18" spans="1:3" x14ac:dyDescent="0.3">
      <c r="A18">
        <v>1</v>
      </c>
      <c r="B18">
        <v>17</v>
      </c>
      <c r="C18">
        <v>2</v>
      </c>
    </row>
    <row r="19" spans="1:3" x14ac:dyDescent="0.3">
      <c r="A19">
        <v>1</v>
      </c>
      <c r="B19">
        <v>18</v>
      </c>
      <c r="C19">
        <v>16</v>
      </c>
    </row>
    <row r="20" spans="1:3" x14ac:dyDescent="0.3">
      <c r="A20">
        <v>1</v>
      </c>
      <c r="B20">
        <v>19</v>
      </c>
      <c r="C20">
        <v>4</v>
      </c>
    </row>
    <row r="21" spans="1:3" x14ac:dyDescent="0.3">
      <c r="A21">
        <v>1</v>
      </c>
      <c r="B21">
        <v>20</v>
      </c>
      <c r="C21">
        <v>26</v>
      </c>
    </row>
    <row r="22" spans="1:3" x14ac:dyDescent="0.3">
      <c r="A22">
        <v>1</v>
      </c>
      <c r="B22">
        <v>21</v>
      </c>
      <c r="C22">
        <v>24</v>
      </c>
    </row>
    <row r="23" spans="1:3" x14ac:dyDescent="0.3">
      <c r="A23">
        <v>1</v>
      </c>
      <c r="B23">
        <v>22</v>
      </c>
      <c r="C23">
        <v>29</v>
      </c>
    </row>
    <row r="24" spans="1:3" x14ac:dyDescent="0.3">
      <c r="A24">
        <v>1</v>
      </c>
      <c r="B24">
        <v>23</v>
      </c>
      <c r="C24">
        <v>9</v>
      </c>
    </row>
    <row r="25" spans="1:3" x14ac:dyDescent="0.3">
      <c r="A25">
        <v>1</v>
      </c>
      <c r="B25">
        <v>24</v>
      </c>
      <c r="C25">
        <v>10</v>
      </c>
    </row>
    <row r="26" spans="1:3" x14ac:dyDescent="0.3">
      <c r="A26">
        <v>1</v>
      </c>
      <c r="B26">
        <v>25</v>
      </c>
      <c r="C26">
        <v>10</v>
      </c>
    </row>
    <row r="27" spans="1:3" x14ac:dyDescent="0.3">
      <c r="A27">
        <v>1</v>
      </c>
      <c r="B27">
        <v>26</v>
      </c>
      <c r="C27">
        <v>16</v>
      </c>
    </row>
    <row r="28" spans="1:3" x14ac:dyDescent="0.3">
      <c r="A28">
        <v>1</v>
      </c>
      <c r="B28">
        <v>27</v>
      </c>
      <c r="C28">
        <v>21</v>
      </c>
    </row>
    <row r="29" spans="1:3" x14ac:dyDescent="0.3">
      <c r="A29">
        <v>1</v>
      </c>
      <c r="B29">
        <v>28</v>
      </c>
      <c r="C29">
        <v>20</v>
      </c>
    </row>
    <row r="30" spans="1:3" x14ac:dyDescent="0.3">
      <c r="A30">
        <v>1</v>
      </c>
      <c r="B30">
        <v>29</v>
      </c>
      <c r="C30">
        <v>13</v>
      </c>
    </row>
    <row r="31" spans="1:3" x14ac:dyDescent="0.3">
      <c r="A31">
        <v>1</v>
      </c>
      <c r="B31">
        <v>30</v>
      </c>
      <c r="C31">
        <v>30</v>
      </c>
    </row>
    <row r="32" spans="1:3" x14ac:dyDescent="0.3">
      <c r="A32">
        <v>1</v>
      </c>
      <c r="B32">
        <v>31</v>
      </c>
      <c r="C32">
        <v>2</v>
      </c>
    </row>
    <row r="33" spans="1:3" x14ac:dyDescent="0.3">
      <c r="A33">
        <v>1</v>
      </c>
      <c r="B33">
        <v>32</v>
      </c>
      <c r="C33">
        <v>0</v>
      </c>
    </row>
    <row r="34" spans="1:3" x14ac:dyDescent="0.3">
      <c r="A34">
        <v>1</v>
      </c>
      <c r="B34">
        <v>33</v>
      </c>
      <c r="C34">
        <v>10</v>
      </c>
    </row>
    <row r="35" spans="1:3" x14ac:dyDescent="0.3">
      <c r="A35">
        <v>1</v>
      </c>
      <c r="B35">
        <v>34</v>
      </c>
      <c r="C35">
        <v>2</v>
      </c>
    </row>
    <row r="36" spans="1:3" x14ac:dyDescent="0.3">
      <c r="A36">
        <v>1</v>
      </c>
      <c r="B36">
        <v>35</v>
      </c>
      <c r="C36">
        <v>18</v>
      </c>
    </row>
    <row r="37" spans="1:3" x14ac:dyDescent="0.3">
      <c r="A37">
        <v>1</v>
      </c>
      <c r="B37">
        <v>36</v>
      </c>
      <c r="C37">
        <v>26</v>
      </c>
    </row>
    <row r="38" spans="1:3" x14ac:dyDescent="0.3">
      <c r="A38">
        <v>1</v>
      </c>
      <c r="B38">
        <v>37</v>
      </c>
      <c r="C38">
        <v>12</v>
      </c>
    </row>
    <row r="39" spans="1:3" x14ac:dyDescent="0.3">
      <c r="A39">
        <v>1</v>
      </c>
      <c r="B39">
        <v>38</v>
      </c>
      <c r="C39">
        <v>13</v>
      </c>
    </row>
    <row r="40" spans="1:3" x14ac:dyDescent="0.3">
      <c r="A40">
        <v>1</v>
      </c>
      <c r="B40">
        <v>39</v>
      </c>
      <c r="C40">
        <v>2</v>
      </c>
    </row>
    <row r="41" spans="1:3" x14ac:dyDescent="0.3">
      <c r="A41">
        <v>1</v>
      </c>
      <c r="B41">
        <v>40</v>
      </c>
      <c r="C41">
        <v>24</v>
      </c>
    </row>
    <row r="42" spans="1:3" x14ac:dyDescent="0.3">
      <c r="A42">
        <v>1</v>
      </c>
      <c r="B42">
        <v>41</v>
      </c>
      <c r="C42">
        <v>10</v>
      </c>
    </row>
    <row r="43" spans="1:3" x14ac:dyDescent="0.3">
      <c r="A43">
        <v>1</v>
      </c>
      <c r="B43">
        <v>42</v>
      </c>
      <c r="C43">
        <v>0</v>
      </c>
    </row>
    <row r="44" spans="1:3" x14ac:dyDescent="0.3">
      <c r="A44">
        <v>1</v>
      </c>
      <c r="B44">
        <v>43</v>
      </c>
      <c r="C44">
        <v>2</v>
      </c>
    </row>
    <row r="45" spans="1:3" x14ac:dyDescent="0.3">
      <c r="A45">
        <v>1</v>
      </c>
      <c r="B45">
        <v>44</v>
      </c>
      <c r="C45">
        <v>1</v>
      </c>
    </row>
    <row r="46" spans="1:3" x14ac:dyDescent="0.3">
      <c r="A46">
        <v>1</v>
      </c>
      <c r="B46">
        <v>45</v>
      </c>
      <c r="C46">
        <v>15</v>
      </c>
    </row>
    <row r="47" spans="1:3" x14ac:dyDescent="0.3">
      <c r="A47">
        <v>1</v>
      </c>
      <c r="B47">
        <v>46</v>
      </c>
      <c r="C47">
        <v>19</v>
      </c>
    </row>
    <row r="48" spans="1:3" x14ac:dyDescent="0.3">
      <c r="A48">
        <v>1</v>
      </c>
      <c r="B48">
        <v>47</v>
      </c>
      <c r="C48">
        <v>21</v>
      </c>
    </row>
    <row r="49" spans="1:3" x14ac:dyDescent="0.3">
      <c r="A49">
        <v>1</v>
      </c>
      <c r="B49">
        <v>48</v>
      </c>
      <c r="C49">
        <v>5</v>
      </c>
    </row>
    <row r="50" spans="1:3" x14ac:dyDescent="0.3">
      <c r="A50">
        <v>1</v>
      </c>
      <c r="B50">
        <v>49</v>
      </c>
      <c r="C50">
        <v>8</v>
      </c>
    </row>
    <row r="51" spans="1:3" x14ac:dyDescent="0.3">
      <c r="A51">
        <v>1</v>
      </c>
      <c r="B51">
        <v>50</v>
      </c>
      <c r="C51">
        <v>29</v>
      </c>
    </row>
    <row r="52" spans="1:3" x14ac:dyDescent="0.3">
      <c r="A52">
        <v>1</v>
      </c>
      <c r="B52">
        <v>51</v>
      </c>
      <c r="C52">
        <v>2</v>
      </c>
    </row>
    <row r="53" spans="1:3" x14ac:dyDescent="0.3">
      <c r="A53">
        <v>1</v>
      </c>
      <c r="B53">
        <v>52</v>
      </c>
      <c r="C53">
        <v>18</v>
      </c>
    </row>
    <row r="54" spans="1:3" x14ac:dyDescent="0.3">
      <c r="A54">
        <v>1</v>
      </c>
      <c r="B54">
        <v>53</v>
      </c>
      <c r="C54">
        <v>17</v>
      </c>
    </row>
    <row r="55" spans="1:3" x14ac:dyDescent="0.3">
      <c r="A55">
        <v>1</v>
      </c>
      <c r="B55">
        <v>54</v>
      </c>
      <c r="C55">
        <v>11</v>
      </c>
    </row>
    <row r="56" spans="1:3" x14ac:dyDescent="0.3">
      <c r="A56">
        <v>1</v>
      </c>
      <c r="B56">
        <v>55</v>
      </c>
      <c r="C56">
        <v>11</v>
      </c>
    </row>
    <row r="57" spans="1:3" x14ac:dyDescent="0.3">
      <c r="A57">
        <v>1</v>
      </c>
      <c r="B57">
        <v>56</v>
      </c>
      <c r="C57">
        <v>15</v>
      </c>
    </row>
    <row r="58" spans="1:3" x14ac:dyDescent="0.3">
      <c r="A58">
        <v>1</v>
      </c>
      <c r="B58">
        <v>57</v>
      </c>
      <c r="C58">
        <v>1</v>
      </c>
    </row>
    <row r="59" spans="1:3" x14ac:dyDescent="0.3">
      <c r="A59">
        <v>1</v>
      </c>
      <c r="B59">
        <v>58</v>
      </c>
      <c r="C59">
        <v>1</v>
      </c>
    </row>
    <row r="60" spans="1:3" x14ac:dyDescent="0.3">
      <c r="A60">
        <v>1</v>
      </c>
      <c r="B60">
        <v>59</v>
      </c>
      <c r="C60">
        <v>22</v>
      </c>
    </row>
    <row r="61" spans="1:3" x14ac:dyDescent="0.3">
      <c r="A61">
        <v>1</v>
      </c>
      <c r="B61">
        <v>60</v>
      </c>
      <c r="C61">
        <v>19</v>
      </c>
    </row>
    <row r="62" spans="1:3" x14ac:dyDescent="0.3">
      <c r="A62">
        <v>1</v>
      </c>
      <c r="B62">
        <v>61</v>
      </c>
      <c r="C62">
        <v>30</v>
      </c>
    </row>
    <row r="63" spans="1:3" x14ac:dyDescent="0.3">
      <c r="A63">
        <v>1</v>
      </c>
      <c r="B63">
        <v>62</v>
      </c>
      <c r="C63">
        <v>21</v>
      </c>
    </row>
    <row r="64" spans="1:3" x14ac:dyDescent="0.3">
      <c r="A64">
        <v>1</v>
      </c>
      <c r="B64">
        <v>63</v>
      </c>
      <c r="C64">
        <v>4</v>
      </c>
    </row>
    <row r="65" spans="1:3" x14ac:dyDescent="0.3">
      <c r="A65">
        <v>1</v>
      </c>
      <c r="B65">
        <v>64</v>
      </c>
      <c r="C65">
        <v>30</v>
      </c>
    </row>
    <row r="66" spans="1:3" x14ac:dyDescent="0.3">
      <c r="A66">
        <v>1</v>
      </c>
      <c r="B66">
        <v>65</v>
      </c>
      <c r="C66">
        <v>10</v>
      </c>
    </row>
    <row r="67" spans="1:3" x14ac:dyDescent="0.3">
      <c r="A67">
        <v>1</v>
      </c>
      <c r="B67">
        <v>66</v>
      </c>
      <c r="C67">
        <v>12</v>
      </c>
    </row>
    <row r="68" spans="1:3" x14ac:dyDescent="0.3">
      <c r="A68">
        <v>1</v>
      </c>
      <c r="B68">
        <v>67</v>
      </c>
      <c r="C68">
        <v>19</v>
      </c>
    </row>
    <row r="69" spans="1:3" x14ac:dyDescent="0.3">
      <c r="A69">
        <v>1</v>
      </c>
      <c r="B69">
        <v>68</v>
      </c>
      <c r="C69">
        <v>30</v>
      </c>
    </row>
    <row r="70" spans="1:3" x14ac:dyDescent="0.3">
      <c r="A70">
        <v>1</v>
      </c>
      <c r="B70">
        <v>69</v>
      </c>
      <c r="C70">
        <v>4</v>
      </c>
    </row>
    <row r="71" spans="1:3" x14ac:dyDescent="0.3">
      <c r="A71">
        <v>1</v>
      </c>
      <c r="B71">
        <v>70</v>
      </c>
      <c r="C71">
        <v>3</v>
      </c>
    </row>
    <row r="72" spans="1:3" x14ac:dyDescent="0.3">
      <c r="A72">
        <v>1</v>
      </c>
      <c r="B72">
        <v>71</v>
      </c>
      <c r="C72">
        <v>25</v>
      </c>
    </row>
    <row r="73" spans="1:3" x14ac:dyDescent="0.3">
      <c r="A73">
        <v>1</v>
      </c>
      <c r="B73">
        <v>72</v>
      </c>
      <c r="C73">
        <v>9</v>
      </c>
    </row>
    <row r="74" spans="1:3" x14ac:dyDescent="0.3">
      <c r="A74">
        <v>1</v>
      </c>
      <c r="B74">
        <v>73</v>
      </c>
      <c r="C74">
        <v>7</v>
      </c>
    </row>
    <row r="75" spans="1:3" x14ac:dyDescent="0.3">
      <c r="A75">
        <v>1</v>
      </c>
      <c r="B75">
        <v>74</v>
      </c>
      <c r="C75">
        <v>9</v>
      </c>
    </row>
    <row r="76" spans="1:3" x14ac:dyDescent="0.3">
      <c r="A76">
        <v>1</v>
      </c>
      <c r="B76">
        <v>75</v>
      </c>
      <c r="C76">
        <v>23</v>
      </c>
    </row>
    <row r="77" spans="1:3" x14ac:dyDescent="0.3">
      <c r="A77">
        <v>1</v>
      </c>
      <c r="B77">
        <v>76</v>
      </c>
      <c r="C77">
        <v>15</v>
      </c>
    </row>
    <row r="78" spans="1:3" x14ac:dyDescent="0.3">
      <c r="A78">
        <v>1</v>
      </c>
      <c r="B78">
        <v>77</v>
      </c>
      <c r="C78">
        <v>16</v>
      </c>
    </row>
    <row r="79" spans="1:3" x14ac:dyDescent="0.3">
      <c r="A79">
        <v>1</v>
      </c>
      <c r="B79">
        <v>78</v>
      </c>
      <c r="C79">
        <v>13</v>
      </c>
    </row>
    <row r="80" spans="1:3" x14ac:dyDescent="0.3">
      <c r="A80">
        <v>1</v>
      </c>
      <c r="B80">
        <v>79</v>
      </c>
      <c r="C80">
        <v>13</v>
      </c>
    </row>
    <row r="81" spans="1:3" x14ac:dyDescent="0.3">
      <c r="A81">
        <v>1</v>
      </c>
      <c r="B81">
        <v>80</v>
      </c>
      <c r="C81">
        <v>11</v>
      </c>
    </row>
    <row r="82" spans="1:3" x14ac:dyDescent="0.3">
      <c r="A82">
        <v>1</v>
      </c>
      <c r="B82">
        <v>81</v>
      </c>
      <c r="C82">
        <v>25</v>
      </c>
    </row>
    <row r="83" spans="1:3" x14ac:dyDescent="0.3">
      <c r="A83">
        <v>1</v>
      </c>
      <c r="B83">
        <v>82</v>
      </c>
      <c r="C83">
        <v>1</v>
      </c>
    </row>
    <row r="84" spans="1:3" x14ac:dyDescent="0.3">
      <c r="A84">
        <v>1</v>
      </c>
      <c r="B84">
        <v>83</v>
      </c>
      <c r="C84">
        <v>13</v>
      </c>
    </row>
    <row r="85" spans="1:3" x14ac:dyDescent="0.3">
      <c r="A85">
        <v>1</v>
      </c>
      <c r="B85">
        <v>84</v>
      </c>
      <c r="C85">
        <v>11</v>
      </c>
    </row>
    <row r="86" spans="1:3" x14ac:dyDescent="0.3">
      <c r="A86">
        <v>1</v>
      </c>
      <c r="B86">
        <v>85</v>
      </c>
      <c r="C86">
        <v>23</v>
      </c>
    </row>
    <row r="87" spans="1:3" x14ac:dyDescent="0.3">
      <c r="A87">
        <v>1</v>
      </c>
      <c r="B87">
        <v>86</v>
      </c>
      <c r="C87">
        <v>19</v>
      </c>
    </row>
    <row r="88" spans="1:3" x14ac:dyDescent="0.3">
      <c r="A88">
        <v>1</v>
      </c>
      <c r="B88">
        <v>87</v>
      </c>
      <c r="C88">
        <v>27</v>
      </c>
    </row>
    <row r="89" spans="1:3" x14ac:dyDescent="0.3">
      <c r="A89">
        <v>1</v>
      </c>
      <c r="B89">
        <v>88</v>
      </c>
      <c r="C89">
        <v>7</v>
      </c>
    </row>
    <row r="90" spans="1:3" x14ac:dyDescent="0.3">
      <c r="A90">
        <v>1</v>
      </c>
      <c r="B90">
        <v>89</v>
      </c>
      <c r="C90">
        <v>9</v>
      </c>
    </row>
    <row r="91" spans="1:3" x14ac:dyDescent="0.3">
      <c r="A91">
        <v>1</v>
      </c>
      <c r="B91">
        <v>90</v>
      </c>
      <c r="C91">
        <v>4</v>
      </c>
    </row>
    <row r="92" spans="1:3" x14ac:dyDescent="0.3">
      <c r="A92">
        <v>1</v>
      </c>
      <c r="B92">
        <v>91</v>
      </c>
      <c r="C92">
        <v>8</v>
      </c>
    </row>
    <row r="93" spans="1:3" x14ac:dyDescent="0.3">
      <c r="A93">
        <v>1</v>
      </c>
      <c r="B93">
        <v>92</v>
      </c>
      <c r="C93">
        <v>0</v>
      </c>
    </row>
    <row r="94" spans="1:3" x14ac:dyDescent="0.3">
      <c r="A94">
        <v>1</v>
      </c>
      <c r="B94">
        <v>93</v>
      </c>
      <c r="C94">
        <v>22</v>
      </c>
    </row>
    <row r="95" spans="1:3" x14ac:dyDescent="0.3">
      <c r="A95">
        <v>1</v>
      </c>
      <c r="B95">
        <v>94</v>
      </c>
      <c r="C95">
        <v>6</v>
      </c>
    </row>
    <row r="96" spans="1:3" x14ac:dyDescent="0.3">
      <c r="A96">
        <v>1</v>
      </c>
      <c r="B96">
        <v>95</v>
      </c>
      <c r="C96">
        <v>25</v>
      </c>
    </row>
    <row r="97" spans="1:3" x14ac:dyDescent="0.3">
      <c r="A97">
        <v>1</v>
      </c>
      <c r="B97">
        <v>96</v>
      </c>
      <c r="C97">
        <v>20</v>
      </c>
    </row>
    <row r="98" spans="1:3" x14ac:dyDescent="0.3">
      <c r="A98">
        <v>1</v>
      </c>
      <c r="B98">
        <v>97</v>
      </c>
      <c r="C98">
        <v>20</v>
      </c>
    </row>
    <row r="99" spans="1:3" x14ac:dyDescent="0.3">
      <c r="A99">
        <v>1</v>
      </c>
      <c r="B99">
        <v>98</v>
      </c>
      <c r="C99">
        <v>28</v>
      </c>
    </row>
    <row r="100" spans="1:3" x14ac:dyDescent="0.3">
      <c r="A100">
        <v>1</v>
      </c>
      <c r="B100">
        <v>99</v>
      </c>
      <c r="C100">
        <v>28</v>
      </c>
    </row>
    <row r="101" spans="1:3" x14ac:dyDescent="0.3">
      <c r="A101">
        <v>1</v>
      </c>
      <c r="B101">
        <v>100</v>
      </c>
      <c r="C101">
        <v>15</v>
      </c>
    </row>
    <row r="102" spans="1:3" x14ac:dyDescent="0.3">
      <c r="A102">
        <v>1</v>
      </c>
      <c r="B102">
        <v>101</v>
      </c>
      <c r="C102">
        <v>17</v>
      </c>
    </row>
    <row r="103" spans="1:3" x14ac:dyDescent="0.3">
      <c r="A103">
        <v>1</v>
      </c>
      <c r="B103">
        <v>102</v>
      </c>
      <c r="C103">
        <v>9</v>
      </c>
    </row>
    <row r="104" spans="1:3" x14ac:dyDescent="0.3">
      <c r="A104">
        <v>1</v>
      </c>
      <c r="B104">
        <v>103</v>
      </c>
      <c r="C104">
        <v>13</v>
      </c>
    </row>
    <row r="105" spans="1:3" x14ac:dyDescent="0.3">
      <c r="A105">
        <v>1</v>
      </c>
      <c r="B105">
        <v>104</v>
      </c>
      <c r="C105">
        <v>25</v>
      </c>
    </row>
    <row r="106" spans="1:3" x14ac:dyDescent="0.3">
      <c r="A106">
        <v>1</v>
      </c>
      <c r="B106">
        <v>105</v>
      </c>
      <c r="C106">
        <v>7</v>
      </c>
    </row>
    <row r="107" spans="1:3" x14ac:dyDescent="0.3">
      <c r="A107">
        <v>1</v>
      </c>
      <c r="B107">
        <v>106</v>
      </c>
      <c r="C107">
        <v>30</v>
      </c>
    </row>
    <row r="108" spans="1:3" x14ac:dyDescent="0.3">
      <c r="A108">
        <v>1</v>
      </c>
      <c r="B108">
        <v>107</v>
      </c>
      <c r="C108">
        <v>20</v>
      </c>
    </row>
    <row r="109" spans="1:3" x14ac:dyDescent="0.3">
      <c r="A109">
        <v>1</v>
      </c>
      <c r="B109">
        <v>108</v>
      </c>
      <c r="C109">
        <v>15</v>
      </c>
    </row>
    <row r="110" spans="1:3" x14ac:dyDescent="0.3">
      <c r="A110">
        <v>1</v>
      </c>
      <c r="B110">
        <v>109</v>
      </c>
      <c r="C110">
        <v>30</v>
      </c>
    </row>
    <row r="111" spans="1:3" x14ac:dyDescent="0.3">
      <c r="A111">
        <v>1</v>
      </c>
      <c r="B111">
        <v>110</v>
      </c>
      <c r="C111">
        <v>1</v>
      </c>
    </row>
    <row r="112" spans="1:3" x14ac:dyDescent="0.3">
      <c r="A112">
        <v>1</v>
      </c>
      <c r="B112">
        <v>111</v>
      </c>
      <c r="C112">
        <v>11</v>
      </c>
    </row>
    <row r="113" spans="1:3" x14ac:dyDescent="0.3">
      <c r="A113">
        <v>1</v>
      </c>
      <c r="B113">
        <v>112</v>
      </c>
      <c r="C113">
        <v>17</v>
      </c>
    </row>
    <row r="114" spans="1:3" x14ac:dyDescent="0.3">
      <c r="A114">
        <v>1</v>
      </c>
      <c r="B114">
        <v>113</v>
      </c>
      <c r="C114">
        <v>24</v>
      </c>
    </row>
    <row r="115" spans="1:3" x14ac:dyDescent="0.3">
      <c r="A115">
        <v>1</v>
      </c>
      <c r="B115">
        <v>114</v>
      </c>
      <c r="C115">
        <v>3</v>
      </c>
    </row>
    <row r="116" spans="1:3" x14ac:dyDescent="0.3">
      <c r="A116">
        <v>1</v>
      </c>
      <c r="B116">
        <v>115</v>
      </c>
      <c r="C116">
        <v>10</v>
      </c>
    </row>
    <row r="117" spans="1:3" x14ac:dyDescent="0.3">
      <c r="A117">
        <v>1</v>
      </c>
      <c r="B117">
        <v>116</v>
      </c>
      <c r="C117">
        <v>24</v>
      </c>
    </row>
    <row r="118" spans="1:3" x14ac:dyDescent="0.3">
      <c r="A118">
        <v>1</v>
      </c>
      <c r="B118">
        <v>117</v>
      </c>
      <c r="C118">
        <v>15</v>
      </c>
    </row>
    <row r="119" spans="1:3" x14ac:dyDescent="0.3">
      <c r="A119">
        <v>1</v>
      </c>
      <c r="B119">
        <v>118</v>
      </c>
      <c r="C119">
        <v>12</v>
      </c>
    </row>
    <row r="120" spans="1:3" x14ac:dyDescent="0.3">
      <c r="A120">
        <v>1</v>
      </c>
      <c r="B120">
        <v>119</v>
      </c>
      <c r="C120">
        <v>17</v>
      </c>
    </row>
    <row r="121" spans="1:3" x14ac:dyDescent="0.3">
      <c r="A121">
        <v>1</v>
      </c>
      <c r="B121">
        <v>120</v>
      </c>
      <c r="C121">
        <v>23</v>
      </c>
    </row>
    <row r="122" spans="1:3" x14ac:dyDescent="0.3">
      <c r="A122">
        <v>1</v>
      </c>
      <c r="B122">
        <v>121</v>
      </c>
      <c r="C122">
        <v>19</v>
      </c>
    </row>
    <row r="123" spans="1:3" x14ac:dyDescent="0.3">
      <c r="A123">
        <v>1</v>
      </c>
      <c r="B123">
        <v>122</v>
      </c>
      <c r="C123">
        <v>22</v>
      </c>
    </row>
    <row r="124" spans="1:3" x14ac:dyDescent="0.3">
      <c r="A124">
        <v>1</v>
      </c>
      <c r="B124">
        <v>123</v>
      </c>
      <c r="C124">
        <v>8</v>
      </c>
    </row>
    <row r="125" spans="1:3" x14ac:dyDescent="0.3">
      <c r="A125">
        <v>1</v>
      </c>
      <c r="B125">
        <v>124</v>
      </c>
      <c r="C125">
        <v>23</v>
      </c>
    </row>
    <row r="126" spans="1:3" x14ac:dyDescent="0.3">
      <c r="A126">
        <v>1</v>
      </c>
      <c r="B126">
        <v>125</v>
      </c>
      <c r="C126">
        <v>22</v>
      </c>
    </row>
    <row r="127" spans="1:3" x14ac:dyDescent="0.3">
      <c r="A127">
        <v>1</v>
      </c>
      <c r="B127">
        <v>126</v>
      </c>
      <c r="C127">
        <v>28</v>
      </c>
    </row>
    <row r="128" spans="1:3" x14ac:dyDescent="0.3">
      <c r="A128">
        <v>1</v>
      </c>
      <c r="B128">
        <v>127</v>
      </c>
      <c r="C128">
        <v>12</v>
      </c>
    </row>
    <row r="129" spans="1:3" x14ac:dyDescent="0.3">
      <c r="A129">
        <v>1</v>
      </c>
      <c r="B129">
        <v>128</v>
      </c>
      <c r="C129">
        <v>11</v>
      </c>
    </row>
    <row r="130" spans="1:3" x14ac:dyDescent="0.3">
      <c r="A130">
        <v>1</v>
      </c>
      <c r="B130">
        <v>129</v>
      </c>
      <c r="C130">
        <v>21</v>
      </c>
    </row>
    <row r="131" spans="1:3" x14ac:dyDescent="0.3">
      <c r="A131">
        <v>1</v>
      </c>
      <c r="B131">
        <v>130</v>
      </c>
      <c r="C131">
        <v>22</v>
      </c>
    </row>
    <row r="132" spans="1:3" x14ac:dyDescent="0.3">
      <c r="A132">
        <v>1</v>
      </c>
      <c r="B132">
        <v>131</v>
      </c>
      <c r="C132">
        <v>20</v>
      </c>
    </row>
    <row r="133" spans="1:3" x14ac:dyDescent="0.3">
      <c r="A133">
        <v>1</v>
      </c>
      <c r="B133">
        <v>132</v>
      </c>
      <c r="C133">
        <v>1</v>
      </c>
    </row>
    <row r="134" spans="1:3" x14ac:dyDescent="0.3">
      <c r="A134">
        <v>1</v>
      </c>
      <c r="B134">
        <v>133</v>
      </c>
      <c r="C134">
        <v>9</v>
      </c>
    </row>
    <row r="135" spans="1:3" x14ac:dyDescent="0.3">
      <c r="A135">
        <v>1</v>
      </c>
      <c r="B135">
        <v>134</v>
      </c>
      <c r="C135">
        <v>26</v>
      </c>
    </row>
    <row r="136" spans="1:3" x14ac:dyDescent="0.3">
      <c r="A136">
        <v>1</v>
      </c>
      <c r="B136">
        <v>135</v>
      </c>
      <c r="C136">
        <v>15</v>
      </c>
    </row>
    <row r="137" spans="1:3" x14ac:dyDescent="0.3">
      <c r="A137">
        <v>1</v>
      </c>
      <c r="B137">
        <v>136</v>
      </c>
      <c r="C137">
        <v>12</v>
      </c>
    </row>
    <row r="138" spans="1:3" x14ac:dyDescent="0.3">
      <c r="A138">
        <v>1</v>
      </c>
      <c r="B138">
        <v>137</v>
      </c>
      <c r="C138">
        <v>12</v>
      </c>
    </row>
    <row r="139" spans="1:3" x14ac:dyDescent="0.3">
      <c r="A139">
        <v>1</v>
      </c>
      <c r="B139">
        <v>138</v>
      </c>
      <c r="C139">
        <v>6</v>
      </c>
    </row>
    <row r="140" spans="1:3" x14ac:dyDescent="0.3">
      <c r="A140">
        <v>1</v>
      </c>
      <c r="B140">
        <v>139</v>
      </c>
      <c r="C140">
        <v>17</v>
      </c>
    </row>
    <row r="141" spans="1:3" x14ac:dyDescent="0.3">
      <c r="A141">
        <v>1</v>
      </c>
      <c r="B141">
        <v>140</v>
      </c>
      <c r="C141">
        <v>3</v>
      </c>
    </row>
    <row r="142" spans="1:3" x14ac:dyDescent="0.3">
      <c r="A142">
        <v>1</v>
      </c>
      <c r="B142">
        <v>141</v>
      </c>
      <c r="C142">
        <v>21</v>
      </c>
    </row>
    <row r="143" spans="1:3" x14ac:dyDescent="0.3">
      <c r="A143">
        <v>1</v>
      </c>
      <c r="B143">
        <v>142</v>
      </c>
      <c r="C143">
        <v>22</v>
      </c>
    </row>
    <row r="144" spans="1:3" x14ac:dyDescent="0.3">
      <c r="A144">
        <v>1</v>
      </c>
      <c r="B144">
        <v>143</v>
      </c>
      <c r="C144">
        <v>19</v>
      </c>
    </row>
    <row r="145" spans="1:3" x14ac:dyDescent="0.3">
      <c r="A145">
        <v>1</v>
      </c>
      <c r="B145">
        <v>144</v>
      </c>
      <c r="C145">
        <v>7</v>
      </c>
    </row>
    <row r="146" spans="1:3" x14ac:dyDescent="0.3">
      <c r="A146">
        <v>1</v>
      </c>
      <c r="B146">
        <v>145</v>
      </c>
      <c r="C146">
        <v>5</v>
      </c>
    </row>
    <row r="147" spans="1:3" x14ac:dyDescent="0.3">
      <c r="A147">
        <v>1</v>
      </c>
      <c r="B147">
        <v>146</v>
      </c>
      <c r="C147">
        <v>6</v>
      </c>
    </row>
    <row r="148" spans="1:3" x14ac:dyDescent="0.3">
      <c r="A148">
        <v>1</v>
      </c>
      <c r="B148">
        <v>147</v>
      </c>
      <c r="C148">
        <v>8</v>
      </c>
    </row>
    <row r="149" spans="1:3" x14ac:dyDescent="0.3">
      <c r="A149">
        <v>1</v>
      </c>
      <c r="B149">
        <v>148</v>
      </c>
      <c r="C149">
        <v>6</v>
      </c>
    </row>
    <row r="150" spans="1:3" x14ac:dyDescent="0.3">
      <c r="A150">
        <v>1</v>
      </c>
      <c r="B150">
        <v>149</v>
      </c>
      <c r="C150">
        <v>1</v>
      </c>
    </row>
    <row r="151" spans="1:3" x14ac:dyDescent="0.3">
      <c r="A151">
        <v>1</v>
      </c>
      <c r="B151">
        <v>150</v>
      </c>
      <c r="C151">
        <v>22</v>
      </c>
    </row>
    <row r="152" spans="1:3" x14ac:dyDescent="0.3">
      <c r="A152">
        <v>1</v>
      </c>
      <c r="B152">
        <v>151</v>
      </c>
      <c r="C152">
        <v>24</v>
      </c>
    </row>
    <row r="153" spans="1:3" x14ac:dyDescent="0.3">
      <c r="A153">
        <v>1</v>
      </c>
      <c r="B153">
        <v>152</v>
      </c>
      <c r="C153">
        <v>12</v>
      </c>
    </row>
    <row r="154" spans="1:3" x14ac:dyDescent="0.3">
      <c r="A154">
        <v>1</v>
      </c>
      <c r="B154">
        <v>153</v>
      </c>
      <c r="C154">
        <v>25</v>
      </c>
    </row>
    <row r="155" spans="1:3" x14ac:dyDescent="0.3">
      <c r="A155">
        <v>1</v>
      </c>
      <c r="B155">
        <v>154</v>
      </c>
      <c r="C155">
        <v>13</v>
      </c>
    </row>
    <row r="156" spans="1:3" x14ac:dyDescent="0.3">
      <c r="A156">
        <v>1</v>
      </c>
      <c r="B156">
        <v>155</v>
      </c>
      <c r="C156">
        <v>8</v>
      </c>
    </row>
    <row r="157" spans="1:3" x14ac:dyDescent="0.3">
      <c r="A157">
        <v>1</v>
      </c>
      <c r="B157">
        <v>156</v>
      </c>
      <c r="C157">
        <v>13</v>
      </c>
    </row>
    <row r="158" spans="1:3" x14ac:dyDescent="0.3">
      <c r="A158">
        <v>1</v>
      </c>
      <c r="B158">
        <v>157</v>
      </c>
      <c r="C158">
        <v>25</v>
      </c>
    </row>
    <row r="159" spans="1:3" x14ac:dyDescent="0.3">
      <c r="A159">
        <v>1</v>
      </c>
      <c r="B159">
        <v>158</v>
      </c>
      <c r="C159">
        <v>11</v>
      </c>
    </row>
    <row r="160" spans="1:3" x14ac:dyDescent="0.3">
      <c r="A160">
        <v>1</v>
      </c>
      <c r="B160">
        <v>159</v>
      </c>
      <c r="C160">
        <v>18</v>
      </c>
    </row>
    <row r="161" spans="1:3" x14ac:dyDescent="0.3">
      <c r="A161">
        <v>1</v>
      </c>
      <c r="B161">
        <v>160</v>
      </c>
      <c r="C161">
        <v>0</v>
      </c>
    </row>
    <row r="162" spans="1:3" x14ac:dyDescent="0.3">
      <c r="A162">
        <v>1</v>
      </c>
      <c r="B162">
        <v>161</v>
      </c>
      <c r="C162">
        <v>17</v>
      </c>
    </row>
    <row r="163" spans="1:3" x14ac:dyDescent="0.3">
      <c r="A163">
        <v>1</v>
      </c>
      <c r="B163">
        <v>162</v>
      </c>
      <c r="C163">
        <v>14</v>
      </c>
    </row>
    <row r="164" spans="1:3" x14ac:dyDescent="0.3">
      <c r="A164">
        <v>1</v>
      </c>
      <c r="B164">
        <v>163</v>
      </c>
      <c r="C164">
        <v>0</v>
      </c>
    </row>
    <row r="165" spans="1:3" x14ac:dyDescent="0.3">
      <c r="A165">
        <v>1</v>
      </c>
      <c r="B165">
        <v>164</v>
      </c>
      <c r="C165">
        <v>15</v>
      </c>
    </row>
    <row r="166" spans="1:3" x14ac:dyDescent="0.3">
      <c r="A166">
        <v>1</v>
      </c>
      <c r="B166">
        <v>165</v>
      </c>
      <c r="C166">
        <v>16</v>
      </c>
    </row>
    <row r="167" spans="1:3" x14ac:dyDescent="0.3">
      <c r="A167">
        <v>1</v>
      </c>
      <c r="B167">
        <v>166</v>
      </c>
      <c r="C167">
        <v>23</v>
      </c>
    </row>
    <row r="168" spans="1:3" x14ac:dyDescent="0.3">
      <c r="A168">
        <v>1</v>
      </c>
      <c r="B168">
        <v>167</v>
      </c>
      <c r="C168">
        <v>28</v>
      </c>
    </row>
    <row r="169" spans="1:3" x14ac:dyDescent="0.3">
      <c r="A169">
        <v>1</v>
      </c>
      <c r="B169">
        <v>168</v>
      </c>
      <c r="C169">
        <v>0</v>
      </c>
    </row>
    <row r="170" spans="1:3" x14ac:dyDescent="0.3">
      <c r="A170">
        <v>1</v>
      </c>
      <c r="B170">
        <v>169</v>
      </c>
      <c r="C170">
        <v>25</v>
      </c>
    </row>
    <row r="171" spans="1:3" x14ac:dyDescent="0.3">
      <c r="A171">
        <v>1</v>
      </c>
      <c r="B171">
        <v>170</v>
      </c>
      <c r="C171">
        <v>14</v>
      </c>
    </row>
    <row r="172" spans="1:3" x14ac:dyDescent="0.3">
      <c r="A172">
        <v>1</v>
      </c>
      <c r="B172">
        <v>171</v>
      </c>
      <c r="C172">
        <v>3</v>
      </c>
    </row>
    <row r="173" spans="1:3" x14ac:dyDescent="0.3">
      <c r="A173">
        <v>1</v>
      </c>
      <c r="B173">
        <v>172</v>
      </c>
      <c r="C173">
        <v>3</v>
      </c>
    </row>
    <row r="174" spans="1:3" x14ac:dyDescent="0.3">
      <c r="A174">
        <v>1</v>
      </c>
      <c r="B174">
        <v>173</v>
      </c>
      <c r="C174">
        <v>2</v>
      </c>
    </row>
    <row r="175" spans="1:3" x14ac:dyDescent="0.3">
      <c r="A175">
        <v>1</v>
      </c>
      <c r="B175">
        <v>174</v>
      </c>
      <c r="C175">
        <v>26</v>
      </c>
    </row>
    <row r="176" spans="1:3" x14ac:dyDescent="0.3">
      <c r="A176">
        <v>1</v>
      </c>
      <c r="B176">
        <v>175</v>
      </c>
      <c r="C176">
        <v>2</v>
      </c>
    </row>
    <row r="177" spans="1:3" x14ac:dyDescent="0.3">
      <c r="A177">
        <v>1</v>
      </c>
      <c r="B177">
        <v>176</v>
      </c>
      <c r="C177">
        <v>11</v>
      </c>
    </row>
    <row r="178" spans="1:3" x14ac:dyDescent="0.3">
      <c r="A178">
        <v>1</v>
      </c>
      <c r="B178">
        <v>177</v>
      </c>
      <c r="C178">
        <v>19</v>
      </c>
    </row>
    <row r="179" spans="1:3" x14ac:dyDescent="0.3">
      <c r="A179">
        <v>1</v>
      </c>
      <c r="B179">
        <v>178</v>
      </c>
      <c r="C179">
        <v>23</v>
      </c>
    </row>
    <row r="180" spans="1:3" x14ac:dyDescent="0.3">
      <c r="A180">
        <v>1</v>
      </c>
      <c r="B180">
        <v>179</v>
      </c>
      <c r="C180">
        <v>16</v>
      </c>
    </row>
    <row r="181" spans="1:3" x14ac:dyDescent="0.3">
      <c r="A181">
        <v>1</v>
      </c>
      <c r="B181">
        <v>180</v>
      </c>
      <c r="C181">
        <v>5</v>
      </c>
    </row>
    <row r="182" spans="1:3" x14ac:dyDescent="0.3">
      <c r="A182">
        <v>1</v>
      </c>
      <c r="B182">
        <v>181</v>
      </c>
      <c r="C182">
        <v>19</v>
      </c>
    </row>
    <row r="183" spans="1:3" x14ac:dyDescent="0.3">
      <c r="A183">
        <v>1</v>
      </c>
      <c r="B183">
        <v>182</v>
      </c>
      <c r="C183">
        <v>28</v>
      </c>
    </row>
    <row r="184" spans="1:3" x14ac:dyDescent="0.3">
      <c r="A184">
        <v>1</v>
      </c>
      <c r="B184">
        <v>183</v>
      </c>
      <c r="C184">
        <v>11</v>
      </c>
    </row>
    <row r="185" spans="1:3" x14ac:dyDescent="0.3">
      <c r="A185">
        <v>1</v>
      </c>
      <c r="B185">
        <v>184</v>
      </c>
      <c r="C185">
        <v>4</v>
      </c>
    </row>
    <row r="186" spans="1:3" x14ac:dyDescent="0.3">
      <c r="A186">
        <v>1</v>
      </c>
      <c r="B186">
        <v>185</v>
      </c>
      <c r="C186">
        <v>3</v>
      </c>
    </row>
    <row r="187" spans="1:3" x14ac:dyDescent="0.3">
      <c r="A187">
        <v>1</v>
      </c>
      <c r="B187">
        <v>186</v>
      </c>
      <c r="C187">
        <v>1</v>
      </c>
    </row>
    <row r="188" spans="1:3" x14ac:dyDescent="0.3">
      <c r="A188">
        <v>1</v>
      </c>
      <c r="B188">
        <v>187</v>
      </c>
      <c r="C188">
        <v>16</v>
      </c>
    </row>
    <row r="189" spans="1:3" x14ac:dyDescent="0.3">
      <c r="A189">
        <v>1</v>
      </c>
      <c r="B189">
        <v>188</v>
      </c>
      <c r="C189">
        <v>30</v>
      </c>
    </row>
    <row r="190" spans="1:3" x14ac:dyDescent="0.3">
      <c r="A190">
        <v>1</v>
      </c>
      <c r="B190">
        <v>189</v>
      </c>
      <c r="C190">
        <v>6</v>
      </c>
    </row>
    <row r="191" spans="1:3" x14ac:dyDescent="0.3">
      <c r="A191">
        <v>1</v>
      </c>
      <c r="B191">
        <v>190</v>
      </c>
      <c r="C191">
        <v>21</v>
      </c>
    </row>
    <row r="192" spans="1:3" x14ac:dyDescent="0.3">
      <c r="A192">
        <v>1</v>
      </c>
      <c r="B192">
        <v>191</v>
      </c>
      <c r="C192">
        <v>21</v>
      </c>
    </row>
    <row r="193" spans="1:3" x14ac:dyDescent="0.3">
      <c r="A193">
        <v>1</v>
      </c>
      <c r="B193">
        <v>192</v>
      </c>
      <c r="C193">
        <v>20</v>
      </c>
    </row>
    <row r="194" spans="1:3" x14ac:dyDescent="0.3">
      <c r="A194">
        <v>1</v>
      </c>
      <c r="B194">
        <v>193</v>
      </c>
      <c r="C194">
        <v>30</v>
      </c>
    </row>
    <row r="195" spans="1:3" x14ac:dyDescent="0.3">
      <c r="A195">
        <v>1</v>
      </c>
      <c r="B195">
        <v>194</v>
      </c>
      <c r="C195">
        <v>24</v>
      </c>
    </row>
    <row r="196" spans="1:3" x14ac:dyDescent="0.3">
      <c r="A196">
        <v>1</v>
      </c>
      <c r="B196">
        <v>195</v>
      </c>
      <c r="C196">
        <v>1</v>
      </c>
    </row>
    <row r="197" spans="1:3" x14ac:dyDescent="0.3">
      <c r="A197">
        <v>1</v>
      </c>
      <c r="B197">
        <v>196</v>
      </c>
      <c r="C197">
        <v>26</v>
      </c>
    </row>
    <row r="198" spans="1:3" x14ac:dyDescent="0.3">
      <c r="A198">
        <v>1</v>
      </c>
      <c r="B198">
        <v>197</v>
      </c>
      <c r="C198">
        <v>22</v>
      </c>
    </row>
    <row r="199" spans="1:3" x14ac:dyDescent="0.3">
      <c r="A199">
        <v>1</v>
      </c>
      <c r="B199">
        <v>198</v>
      </c>
      <c r="C199">
        <v>1</v>
      </c>
    </row>
    <row r="200" spans="1:3" x14ac:dyDescent="0.3">
      <c r="A200">
        <v>1</v>
      </c>
      <c r="B200">
        <v>199</v>
      </c>
      <c r="C200">
        <v>2</v>
      </c>
    </row>
    <row r="201" spans="1:3" x14ac:dyDescent="0.3">
      <c r="A201">
        <v>1</v>
      </c>
      <c r="B201">
        <v>200</v>
      </c>
      <c r="C201">
        <v>27</v>
      </c>
    </row>
    <row r="202" spans="1:3" x14ac:dyDescent="0.3">
      <c r="A202">
        <v>1</v>
      </c>
      <c r="B202">
        <v>201</v>
      </c>
      <c r="C202">
        <v>16</v>
      </c>
    </row>
    <row r="203" spans="1:3" x14ac:dyDescent="0.3">
      <c r="A203">
        <v>1</v>
      </c>
      <c r="B203">
        <v>202</v>
      </c>
      <c r="C203">
        <v>5</v>
      </c>
    </row>
    <row r="204" spans="1:3" x14ac:dyDescent="0.3">
      <c r="A204">
        <v>1</v>
      </c>
      <c r="B204">
        <v>203</v>
      </c>
      <c r="C204">
        <v>4</v>
      </c>
    </row>
    <row r="205" spans="1:3" x14ac:dyDescent="0.3">
      <c r="A205">
        <v>1</v>
      </c>
      <c r="B205">
        <v>204</v>
      </c>
      <c r="C205">
        <v>23</v>
      </c>
    </row>
    <row r="206" spans="1:3" x14ac:dyDescent="0.3">
      <c r="A206">
        <v>1</v>
      </c>
      <c r="B206">
        <v>205</v>
      </c>
      <c r="C206">
        <v>9</v>
      </c>
    </row>
    <row r="207" spans="1:3" x14ac:dyDescent="0.3">
      <c r="A207">
        <v>1</v>
      </c>
      <c r="B207">
        <v>206</v>
      </c>
      <c r="C207">
        <v>10</v>
      </c>
    </row>
    <row r="208" spans="1:3" x14ac:dyDescent="0.3">
      <c r="A208">
        <v>1</v>
      </c>
      <c r="B208">
        <v>207</v>
      </c>
      <c r="C208">
        <v>27</v>
      </c>
    </row>
    <row r="209" spans="1:3" x14ac:dyDescent="0.3">
      <c r="A209">
        <v>1</v>
      </c>
      <c r="B209">
        <v>208</v>
      </c>
      <c r="C209">
        <v>13</v>
      </c>
    </row>
    <row r="210" spans="1:3" x14ac:dyDescent="0.3">
      <c r="A210">
        <v>1</v>
      </c>
      <c r="B210">
        <v>209</v>
      </c>
      <c r="C210">
        <v>22</v>
      </c>
    </row>
    <row r="211" spans="1:3" x14ac:dyDescent="0.3">
      <c r="A211">
        <v>1</v>
      </c>
      <c r="B211">
        <v>210</v>
      </c>
      <c r="C211">
        <v>25</v>
      </c>
    </row>
    <row r="212" spans="1:3" x14ac:dyDescent="0.3">
      <c r="A212">
        <v>1</v>
      </c>
      <c r="B212">
        <v>211</v>
      </c>
      <c r="C212">
        <v>13</v>
      </c>
    </row>
    <row r="213" spans="1:3" x14ac:dyDescent="0.3">
      <c r="A213">
        <v>1</v>
      </c>
      <c r="B213">
        <v>212</v>
      </c>
      <c r="C213">
        <v>17</v>
      </c>
    </row>
    <row r="214" spans="1:3" x14ac:dyDescent="0.3">
      <c r="A214">
        <v>1</v>
      </c>
      <c r="B214">
        <v>213</v>
      </c>
      <c r="C214">
        <v>14</v>
      </c>
    </row>
    <row r="215" spans="1:3" x14ac:dyDescent="0.3">
      <c r="A215">
        <v>1</v>
      </c>
      <c r="B215">
        <v>214</v>
      </c>
      <c r="C215">
        <v>4</v>
      </c>
    </row>
    <row r="216" spans="1:3" x14ac:dyDescent="0.3">
      <c r="A216">
        <v>1</v>
      </c>
      <c r="B216">
        <v>215</v>
      </c>
      <c r="C216">
        <v>1</v>
      </c>
    </row>
    <row r="217" spans="1:3" x14ac:dyDescent="0.3">
      <c r="A217">
        <v>1</v>
      </c>
      <c r="B217">
        <v>216</v>
      </c>
      <c r="C217">
        <v>11</v>
      </c>
    </row>
    <row r="218" spans="1:3" x14ac:dyDescent="0.3">
      <c r="A218">
        <v>1</v>
      </c>
      <c r="B218">
        <v>217</v>
      </c>
      <c r="C218">
        <v>11</v>
      </c>
    </row>
    <row r="219" spans="1:3" x14ac:dyDescent="0.3">
      <c r="A219">
        <v>1</v>
      </c>
      <c r="B219">
        <v>218</v>
      </c>
      <c r="C219">
        <v>27</v>
      </c>
    </row>
    <row r="220" spans="1:3" x14ac:dyDescent="0.3">
      <c r="A220">
        <v>1</v>
      </c>
      <c r="B220">
        <v>219</v>
      </c>
      <c r="C220">
        <v>30</v>
      </c>
    </row>
    <row r="221" spans="1:3" x14ac:dyDescent="0.3">
      <c r="A221">
        <v>1</v>
      </c>
      <c r="B221">
        <v>220</v>
      </c>
      <c r="C221">
        <v>4</v>
      </c>
    </row>
    <row r="222" spans="1:3" x14ac:dyDescent="0.3">
      <c r="A222">
        <v>1</v>
      </c>
      <c r="B222">
        <v>221</v>
      </c>
      <c r="C222">
        <v>7</v>
      </c>
    </row>
    <row r="223" spans="1:3" x14ac:dyDescent="0.3">
      <c r="A223">
        <v>1</v>
      </c>
      <c r="B223">
        <v>222</v>
      </c>
      <c r="C223">
        <v>12</v>
      </c>
    </row>
    <row r="224" spans="1:3" x14ac:dyDescent="0.3">
      <c r="A224">
        <v>1</v>
      </c>
      <c r="B224">
        <v>223</v>
      </c>
      <c r="C224">
        <v>3</v>
      </c>
    </row>
    <row r="225" spans="1:3" x14ac:dyDescent="0.3">
      <c r="A225">
        <v>1</v>
      </c>
      <c r="B225">
        <v>224</v>
      </c>
      <c r="C225">
        <v>16</v>
      </c>
    </row>
    <row r="226" spans="1:3" x14ac:dyDescent="0.3">
      <c r="A226">
        <v>1</v>
      </c>
      <c r="B226">
        <v>225</v>
      </c>
      <c r="C226">
        <v>24</v>
      </c>
    </row>
    <row r="227" spans="1:3" x14ac:dyDescent="0.3">
      <c r="A227">
        <v>1</v>
      </c>
      <c r="B227">
        <v>226</v>
      </c>
      <c r="C227">
        <v>18</v>
      </c>
    </row>
    <row r="228" spans="1:3" x14ac:dyDescent="0.3">
      <c r="A228">
        <v>1</v>
      </c>
      <c r="B228">
        <v>227</v>
      </c>
      <c r="C228">
        <v>19</v>
      </c>
    </row>
    <row r="229" spans="1:3" x14ac:dyDescent="0.3">
      <c r="A229">
        <v>1</v>
      </c>
      <c r="B229">
        <v>228</v>
      </c>
      <c r="C229">
        <v>22</v>
      </c>
    </row>
    <row r="230" spans="1:3" x14ac:dyDescent="0.3">
      <c r="A230">
        <v>1</v>
      </c>
      <c r="B230">
        <v>229</v>
      </c>
      <c r="C230">
        <v>27</v>
      </c>
    </row>
    <row r="231" spans="1:3" x14ac:dyDescent="0.3">
      <c r="A231">
        <v>1</v>
      </c>
      <c r="B231">
        <v>230</v>
      </c>
      <c r="C231">
        <v>7</v>
      </c>
    </row>
    <row r="232" spans="1:3" x14ac:dyDescent="0.3">
      <c r="A232">
        <v>1</v>
      </c>
      <c r="B232">
        <v>231</v>
      </c>
      <c r="C232">
        <v>25</v>
      </c>
    </row>
    <row r="233" spans="1:3" x14ac:dyDescent="0.3">
      <c r="A233">
        <v>1</v>
      </c>
      <c r="B233">
        <v>232</v>
      </c>
      <c r="C233">
        <v>5</v>
      </c>
    </row>
    <row r="234" spans="1:3" x14ac:dyDescent="0.3">
      <c r="A234">
        <v>1</v>
      </c>
      <c r="B234">
        <v>233</v>
      </c>
      <c r="C234">
        <v>5</v>
      </c>
    </row>
    <row r="235" spans="1:3" x14ac:dyDescent="0.3">
      <c r="A235">
        <v>1</v>
      </c>
      <c r="B235">
        <v>234</v>
      </c>
      <c r="C235">
        <v>13</v>
      </c>
    </row>
    <row r="236" spans="1:3" x14ac:dyDescent="0.3">
      <c r="A236">
        <v>1</v>
      </c>
      <c r="B236">
        <v>235</v>
      </c>
      <c r="C236">
        <v>7</v>
      </c>
    </row>
    <row r="237" spans="1:3" x14ac:dyDescent="0.3">
      <c r="A237">
        <v>1</v>
      </c>
      <c r="B237">
        <v>236</v>
      </c>
      <c r="C237">
        <v>18</v>
      </c>
    </row>
    <row r="238" spans="1:3" x14ac:dyDescent="0.3">
      <c r="A238">
        <v>1</v>
      </c>
      <c r="B238">
        <v>237</v>
      </c>
      <c r="C238">
        <v>26</v>
      </c>
    </row>
    <row r="239" spans="1:3" x14ac:dyDescent="0.3">
      <c r="A239">
        <v>1</v>
      </c>
      <c r="B239">
        <v>238</v>
      </c>
      <c r="C239">
        <v>20</v>
      </c>
    </row>
    <row r="240" spans="1:3" x14ac:dyDescent="0.3">
      <c r="A240">
        <v>1</v>
      </c>
      <c r="B240">
        <v>239</v>
      </c>
      <c r="C240">
        <v>28</v>
      </c>
    </row>
    <row r="241" spans="1:3" x14ac:dyDescent="0.3">
      <c r="A241">
        <v>1</v>
      </c>
      <c r="B241">
        <v>240</v>
      </c>
      <c r="C241">
        <v>17</v>
      </c>
    </row>
    <row r="242" spans="1:3" x14ac:dyDescent="0.3">
      <c r="A242">
        <v>1</v>
      </c>
      <c r="B242">
        <v>241</v>
      </c>
      <c r="C242">
        <v>17</v>
      </c>
    </row>
    <row r="243" spans="1:3" x14ac:dyDescent="0.3">
      <c r="A243">
        <v>1</v>
      </c>
      <c r="B243">
        <v>242</v>
      </c>
      <c r="C243">
        <v>10</v>
      </c>
    </row>
    <row r="244" spans="1:3" x14ac:dyDescent="0.3">
      <c r="A244">
        <v>1</v>
      </c>
      <c r="B244">
        <v>243</v>
      </c>
      <c r="C244">
        <v>11</v>
      </c>
    </row>
    <row r="245" spans="1:3" x14ac:dyDescent="0.3">
      <c r="A245">
        <v>1</v>
      </c>
      <c r="B245">
        <v>244</v>
      </c>
      <c r="C245">
        <v>10</v>
      </c>
    </row>
    <row r="246" spans="1:3" x14ac:dyDescent="0.3">
      <c r="A246">
        <v>1</v>
      </c>
      <c r="B246">
        <v>245</v>
      </c>
      <c r="C246">
        <v>3</v>
      </c>
    </row>
    <row r="247" spans="1:3" x14ac:dyDescent="0.3">
      <c r="A247">
        <v>1</v>
      </c>
      <c r="B247">
        <v>246</v>
      </c>
      <c r="C247">
        <v>0</v>
      </c>
    </row>
    <row r="248" spans="1:3" x14ac:dyDescent="0.3">
      <c r="A248">
        <v>1</v>
      </c>
      <c r="B248">
        <v>247</v>
      </c>
      <c r="C248">
        <v>15</v>
      </c>
    </row>
    <row r="249" spans="1:3" x14ac:dyDescent="0.3">
      <c r="A249">
        <v>1</v>
      </c>
      <c r="B249">
        <v>248</v>
      </c>
      <c r="C249">
        <v>14</v>
      </c>
    </row>
    <row r="250" spans="1:3" x14ac:dyDescent="0.3">
      <c r="A250">
        <v>1</v>
      </c>
      <c r="B250">
        <v>249</v>
      </c>
      <c r="C250">
        <v>27</v>
      </c>
    </row>
    <row r="251" spans="1:3" x14ac:dyDescent="0.3">
      <c r="A251">
        <v>1</v>
      </c>
      <c r="B251">
        <v>250</v>
      </c>
      <c r="C251">
        <v>3</v>
      </c>
    </row>
    <row r="252" spans="1:3" x14ac:dyDescent="0.3">
      <c r="A252">
        <v>1</v>
      </c>
      <c r="B252">
        <v>251</v>
      </c>
      <c r="C252">
        <v>2</v>
      </c>
    </row>
    <row r="253" spans="1:3" x14ac:dyDescent="0.3">
      <c r="A253">
        <v>1</v>
      </c>
      <c r="B253">
        <v>252</v>
      </c>
      <c r="C253">
        <v>28</v>
      </c>
    </row>
    <row r="254" spans="1:3" x14ac:dyDescent="0.3">
      <c r="A254">
        <v>1</v>
      </c>
      <c r="B254">
        <v>253</v>
      </c>
      <c r="C254">
        <v>16</v>
      </c>
    </row>
    <row r="255" spans="1:3" x14ac:dyDescent="0.3">
      <c r="A255">
        <v>1</v>
      </c>
      <c r="B255">
        <v>254</v>
      </c>
      <c r="C255">
        <v>24</v>
      </c>
    </row>
    <row r="256" spans="1:3" x14ac:dyDescent="0.3">
      <c r="A256">
        <v>1</v>
      </c>
      <c r="B256">
        <v>255</v>
      </c>
      <c r="C256">
        <v>13</v>
      </c>
    </row>
    <row r="257" spans="1:3" x14ac:dyDescent="0.3">
      <c r="A257">
        <v>1</v>
      </c>
      <c r="B257">
        <v>256</v>
      </c>
      <c r="C257">
        <v>20</v>
      </c>
    </row>
    <row r="258" spans="1:3" x14ac:dyDescent="0.3">
      <c r="A258">
        <v>1</v>
      </c>
      <c r="B258">
        <v>257</v>
      </c>
      <c r="C258">
        <v>17</v>
      </c>
    </row>
    <row r="259" spans="1:3" x14ac:dyDescent="0.3">
      <c r="A259">
        <v>1</v>
      </c>
      <c r="B259">
        <v>258</v>
      </c>
      <c r="C259">
        <v>25</v>
      </c>
    </row>
    <row r="260" spans="1:3" x14ac:dyDescent="0.3">
      <c r="A260">
        <v>1</v>
      </c>
      <c r="B260">
        <v>259</v>
      </c>
      <c r="C260">
        <v>10</v>
      </c>
    </row>
    <row r="261" spans="1:3" x14ac:dyDescent="0.3">
      <c r="A261">
        <v>1</v>
      </c>
      <c r="B261">
        <v>260</v>
      </c>
      <c r="C261">
        <v>20</v>
      </c>
    </row>
    <row r="262" spans="1:3" x14ac:dyDescent="0.3">
      <c r="A262">
        <v>1</v>
      </c>
      <c r="B262">
        <v>261</v>
      </c>
      <c r="C262">
        <v>3</v>
      </c>
    </row>
    <row r="263" spans="1:3" x14ac:dyDescent="0.3">
      <c r="A263">
        <v>1</v>
      </c>
      <c r="B263">
        <v>262</v>
      </c>
      <c r="C263">
        <v>6</v>
      </c>
    </row>
    <row r="264" spans="1:3" x14ac:dyDescent="0.3">
      <c r="A264">
        <v>1</v>
      </c>
      <c r="B264">
        <v>263</v>
      </c>
      <c r="C264">
        <v>21</v>
      </c>
    </row>
    <row r="265" spans="1:3" x14ac:dyDescent="0.3">
      <c r="A265">
        <v>1</v>
      </c>
      <c r="B265">
        <v>264</v>
      </c>
      <c r="C265">
        <v>16</v>
      </c>
    </row>
    <row r="266" spans="1:3" x14ac:dyDescent="0.3">
      <c r="A266">
        <v>1</v>
      </c>
      <c r="B266">
        <v>265</v>
      </c>
      <c r="C266">
        <v>28</v>
      </c>
    </row>
    <row r="267" spans="1:3" x14ac:dyDescent="0.3">
      <c r="A267">
        <v>1</v>
      </c>
      <c r="B267">
        <v>266</v>
      </c>
      <c r="C267">
        <v>1</v>
      </c>
    </row>
    <row r="268" spans="1:3" x14ac:dyDescent="0.3">
      <c r="A268">
        <v>1</v>
      </c>
      <c r="B268">
        <v>267</v>
      </c>
      <c r="C268">
        <v>27</v>
      </c>
    </row>
    <row r="269" spans="1:3" x14ac:dyDescent="0.3">
      <c r="A269">
        <v>1</v>
      </c>
      <c r="B269">
        <v>268</v>
      </c>
      <c r="C269">
        <v>23</v>
      </c>
    </row>
    <row r="270" spans="1:3" x14ac:dyDescent="0.3">
      <c r="A270">
        <v>1</v>
      </c>
      <c r="B270">
        <v>269</v>
      </c>
      <c r="C270">
        <v>22</v>
      </c>
    </row>
    <row r="271" spans="1:3" x14ac:dyDescent="0.3">
      <c r="A271">
        <v>1</v>
      </c>
      <c r="B271">
        <v>270</v>
      </c>
      <c r="C271">
        <v>16</v>
      </c>
    </row>
    <row r="272" spans="1:3" x14ac:dyDescent="0.3">
      <c r="A272">
        <v>1</v>
      </c>
      <c r="B272">
        <v>271</v>
      </c>
      <c r="C272">
        <v>6</v>
      </c>
    </row>
    <row r="273" spans="1:3" x14ac:dyDescent="0.3">
      <c r="A273">
        <v>1</v>
      </c>
      <c r="B273">
        <v>272</v>
      </c>
      <c r="C273">
        <v>14</v>
      </c>
    </row>
    <row r="274" spans="1:3" x14ac:dyDescent="0.3">
      <c r="A274">
        <v>1</v>
      </c>
      <c r="B274">
        <v>273</v>
      </c>
      <c r="C274">
        <v>20</v>
      </c>
    </row>
    <row r="275" spans="1:3" x14ac:dyDescent="0.3">
      <c r="A275">
        <v>1</v>
      </c>
      <c r="B275">
        <v>274</v>
      </c>
      <c r="C275">
        <v>19</v>
      </c>
    </row>
    <row r="276" spans="1:3" x14ac:dyDescent="0.3">
      <c r="A276">
        <v>1</v>
      </c>
      <c r="B276">
        <v>275</v>
      </c>
      <c r="C276">
        <v>28</v>
      </c>
    </row>
    <row r="277" spans="1:3" x14ac:dyDescent="0.3">
      <c r="A277">
        <v>1</v>
      </c>
      <c r="B277">
        <v>276</v>
      </c>
      <c r="C277">
        <v>7</v>
      </c>
    </row>
    <row r="278" spans="1:3" x14ac:dyDescent="0.3">
      <c r="A278">
        <v>1</v>
      </c>
      <c r="B278">
        <v>277</v>
      </c>
      <c r="C278">
        <v>13</v>
      </c>
    </row>
    <row r="279" spans="1:3" x14ac:dyDescent="0.3">
      <c r="A279">
        <v>1</v>
      </c>
      <c r="B279">
        <v>278</v>
      </c>
      <c r="C279">
        <v>17</v>
      </c>
    </row>
    <row r="280" spans="1:3" x14ac:dyDescent="0.3">
      <c r="A280">
        <v>1</v>
      </c>
      <c r="B280">
        <v>279</v>
      </c>
      <c r="C280">
        <v>17</v>
      </c>
    </row>
    <row r="281" spans="1:3" x14ac:dyDescent="0.3">
      <c r="A281">
        <v>1</v>
      </c>
      <c r="B281">
        <v>280</v>
      </c>
      <c r="C281">
        <v>23</v>
      </c>
    </row>
    <row r="282" spans="1:3" x14ac:dyDescent="0.3">
      <c r="A282">
        <v>1</v>
      </c>
      <c r="B282">
        <v>281</v>
      </c>
      <c r="C282">
        <v>11</v>
      </c>
    </row>
    <row r="283" spans="1:3" x14ac:dyDescent="0.3">
      <c r="A283">
        <v>1</v>
      </c>
      <c r="B283">
        <v>282</v>
      </c>
      <c r="C283">
        <v>6</v>
      </c>
    </row>
    <row r="284" spans="1:3" x14ac:dyDescent="0.3">
      <c r="A284">
        <v>1</v>
      </c>
      <c r="B284">
        <v>283</v>
      </c>
      <c r="C284">
        <v>10</v>
      </c>
    </row>
    <row r="285" spans="1:3" x14ac:dyDescent="0.3">
      <c r="A285">
        <v>1</v>
      </c>
      <c r="B285">
        <v>284</v>
      </c>
      <c r="C285">
        <v>27</v>
      </c>
    </row>
    <row r="286" spans="1:3" x14ac:dyDescent="0.3">
      <c r="A286">
        <v>1</v>
      </c>
      <c r="B286">
        <v>285</v>
      </c>
      <c r="C286">
        <v>20</v>
      </c>
    </row>
    <row r="287" spans="1:3" x14ac:dyDescent="0.3">
      <c r="A287">
        <v>1</v>
      </c>
      <c r="B287">
        <v>286</v>
      </c>
      <c r="C287">
        <v>28</v>
      </c>
    </row>
    <row r="288" spans="1:3" x14ac:dyDescent="0.3">
      <c r="A288">
        <v>1</v>
      </c>
      <c r="B288">
        <v>287</v>
      </c>
      <c r="C288">
        <v>2</v>
      </c>
    </row>
    <row r="289" spans="1:3" x14ac:dyDescent="0.3">
      <c r="A289">
        <v>1</v>
      </c>
      <c r="B289">
        <v>288</v>
      </c>
      <c r="C289">
        <v>9</v>
      </c>
    </row>
    <row r="290" spans="1:3" x14ac:dyDescent="0.3">
      <c r="A290">
        <v>1</v>
      </c>
      <c r="B290">
        <v>289</v>
      </c>
      <c r="C290">
        <v>2</v>
      </c>
    </row>
    <row r="291" spans="1:3" x14ac:dyDescent="0.3">
      <c r="A291">
        <v>1</v>
      </c>
      <c r="B291">
        <v>290</v>
      </c>
      <c r="C291">
        <v>8</v>
      </c>
    </row>
    <row r="292" spans="1:3" x14ac:dyDescent="0.3">
      <c r="A292">
        <v>1</v>
      </c>
      <c r="B292">
        <v>291</v>
      </c>
      <c r="C292">
        <v>9</v>
      </c>
    </row>
    <row r="293" spans="1:3" x14ac:dyDescent="0.3">
      <c r="A293">
        <v>1</v>
      </c>
      <c r="B293">
        <v>292</v>
      </c>
      <c r="C293">
        <v>30</v>
      </c>
    </row>
    <row r="294" spans="1:3" x14ac:dyDescent="0.3">
      <c r="A294">
        <v>1</v>
      </c>
      <c r="B294">
        <v>293</v>
      </c>
      <c r="C294">
        <v>18</v>
      </c>
    </row>
    <row r="295" spans="1:3" x14ac:dyDescent="0.3">
      <c r="A295">
        <v>1</v>
      </c>
      <c r="B295">
        <v>294</v>
      </c>
      <c r="C295">
        <v>3</v>
      </c>
    </row>
    <row r="296" spans="1:3" x14ac:dyDescent="0.3">
      <c r="A296">
        <v>1</v>
      </c>
      <c r="B296">
        <v>295</v>
      </c>
      <c r="C296">
        <v>24</v>
      </c>
    </row>
    <row r="297" spans="1:3" x14ac:dyDescent="0.3">
      <c r="A297">
        <v>1</v>
      </c>
      <c r="B297">
        <v>296</v>
      </c>
      <c r="C297">
        <v>9</v>
      </c>
    </row>
    <row r="298" spans="1:3" x14ac:dyDescent="0.3">
      <c r="A298">
        <v>1</v>
      </c>
      <c r="B298">
        <v>297</v>
      </c>
      <c r="C298">
        <v>22</v>
      </c>
    </row>
    <row r="299" spans="1:3" x14ac:dyDescent="0.3">
      <c r="A299">
        <v>1</v>
      </c>
      <c r="B299">
        <v>298</v>
      </c>
      <c r="C299">
        <v>26</v>
      </c>
    </row>
    <row r="300" spans="1:3" x14ac:dyDescent="0.3">
      <c r="A300">
        <v>1</v>
      </c>
      <c r="B300">
        <v>299</v>
      </c>
      <c r="C300">
        <v>18</v>
      </c>
    </row>
    <row r="301" spans="1:3" x14ac:dyDescent="0.3">
      <c r="A301">
        <v>1</v>
      </c>
      <c r="B301">
        <v>300</v>
      </c>
      <c r="C301">
        <v>7</v>
      </c>
    </row>
    <row r="302" spans="1:3" x14ac:dyDescent="0.3">
      <c r="A302">
        <v>1</v>
      </c>
      <c r="B302">
        <v>301</v>
      </c>
      <c r="C302">
        <v>10</v>
      </c>
    </row>
    <row r="303" spans="1:3" x14ac:dyDescent="0.3">
      <c r="A303">
        <v>1</v>
      </c>
      <c r="B303">
        <v>302</v>
      </c>
      <c r="C303">
        <v>0</v>
      </c>
    </row>
    <row r="304" spans="1:3" x14ac:dyDescent="0.3">
      <c r="A304">
        <v>1</v>
      </c>
      <c r="B304">
        <v>303</v>
      </c>
      <c r="C304">
        <v>12</v>
      </c>
    </row>
    <row r="305" spans="1:3" x14ac:dyDescent="0.3">
      <c r="A305">
        <v>1</v>
      </c>
      <c r="B305">
        <v>304</v>
      </c>
      <c r="C305">
        <v>15</v>
      </c>
    </row>
    <row r="306" spans="1:3" x14ac:dyDescent="0.3">
      <c r="A306">
        <v>1</v>
      </c>
      <c r="B306">
        <v>305</v>
      </c>
      <c r="C306">
        <v>23</v>
      </c>
    </row>
    <row r="307" spans="1:3" x14ac:dyDescent="0.3">
      <c r="A307">
        <v>1</v>
      </c>
      <c r="B307">
        <v>306</v>
      </c>
      <c r="C307">
        <v>21</v>
      </c>
    </row>
    <row r="308" spans="1:3" x14ac:dyDescent="0.3">
      <c r="A308">
        <v>1</v>
      </c>
      <c r="B308">
        <v>307</v>
      </c>
      <c r="C308">
        <v>17</v>
      </c>
    </row>
    <row r="309" spans="1:3" x14ac:dyDescent="0.3">
      <c r="A309">
        <v>1</v>
      </c>
      <c r="B309">
        <v>308</v>
      </c>
      <c r="C309">
        <v>23</v>
      </c>
    </row>
    <row r="310" spans="1:3" x14ac:dyDescent="0.3">
      <c r="A310">
        <v>1</v>
      </c>
      <c r="B310">
        <v>309</v>
      </c>
      <c r="C310">
        <v>7</v>
      </c>
    </row>
    <row r="311" spans="1:3" x14ac:dyDescent="0.3">
      <c r="A311">
        <v>1</v>
      </c>
      <c r="B311">
        <v>310</v>
      </c>
      <c r="C311">
        <v>18</v>
      </c>
    </row>
    <row r="312" spans="1:3" x14ac:dyDescent="0.3">
      <c r="A312">
        <v>1</v>
      </c>
      <c r="B312">
        <v>311</v>
      </c>
      <c r="C312">
        <v>20</v>
      </c>
    </row>
    <row r="313" spans="1:3" x14ac:dyDescent="0.3">
      <c r="A313">
        <v>1</v>
      </c>
      <c r="B313">
        <v>312</v>
      </c>
      <c r="C313">
        <v>23</v>
      </c>
    </row>
    <row r="314" spans="1:3" x14ac:dyDescent="0.3">
      <c r="A314">
        <v>1</v>
      </c>
      <c r="B314">
        <v>313</v>
      </c>
      <c r="C314">
        <v>14</v>
      </c>
    </row>
    <row r="315" spans="1:3" x14ac:dyDescent="0.3">
      <c r="A315">
        <v>2</v>
      </c>
      <c r="B315">
        <v>1</v>
      </c>
      <c r="C315">
        <v>14</v>
      </c>
    </row>
    <row r="316" spans="1:3" x14ac:dyDescent="0.3">
      <c r="A316">
        <v>2</v>
      </c>
      <c r="B316">
        <v>2</v>
      </c>
      <c r="C316">
        <v>16</v>
      </c>
    </row>
    <row r="317" spans="1:3" x14ac:dyDescent="0.3">
      <c r="A317">
        <v>2</v>
      </c>
      <c r="B317">
        <v>3</v>
      </c>
      <c r="C317">
        <v>28</v>
      </c>
    </row>
    <row r="318" spans="1:3" x14ac:dyDescent="0.3">
      <c r="A318">
        <v>2</v>
      </c>
      <c r="B318">
        <v>4</v>
      </c>
      <c r="C318">
        <v>2</v>
      </c>
    </row>
    <row r="319" spans="1:3" x14ac:dyDescent="0.3">
      <c r="A319">
        <v>2</v>
      </c>
      <c r="B319">
        <v>5</v>
      </c>
      <c r="C319">
        <v>1</v>
      </c>
    </row>
    <row r="320" spans="1:3" x14ac:dyDescent="0.3">
      <c r="A320">
        <v>2</v>
      </c>
      <c r="B320">
        <v>6</v>
      </c>
      <c r="C320">
        <v>11</v>
      </c>
    </row>
    <row r="321" spans="1:3" x14ac:dyDescent="0.3">
      <c r="A321">
        <v>2</v>
      </c>
      <c r="B321">
        <v>7</v>
      </c>
      <c r="C321">
        <v>8</v>
      </c>
    </row>
    <row r="322" spans="1:3" x14ac:dyDescent="0.3">
      <c r="A322">
        <v>2</v>
      </c>
      <c r="B322">
        <v>8</v>
      </c>
      <c r="C322">
        <v>1</v>
      </c>
    </row>
    <row r="323" spans="1:3" x14ac:dyDescent="0.3">
      <c r="A323">
        <v>2</v>
      </c>
      <c r="B323">
        <v>9</v>
      </c>
      <c r="C323">
        <v>17</v>
      </c>
    </row>
    <row r="324" spans="1:3" x14ac:dyDescent="0.3">
      <c r="A324">
        <v>2</v>
      </c>
      <c r="B324">
        <v>10</v>
      </c>
      <c r="C324">
        <v>13</v>
      </c>
    </row>
    <row r="325" spans="1:3" x14ac:dyDescent="0.3">
      <c r="A325">
        <v>2</v>
      </c>
      <c r="B325">
        <v>11</v>
      </c>
      <c r="C325">
        <v>21</v>
      </c>
    </row>
    <row r="326" spans="1:3" x14ac:dyDescent="0.3">
      <c r="A326">
        <v>2</v>
      </c>
      <c r="B326">
        <v>12</v>
      </c>
      <c r="C326">
        <v>2</v>
      </c>
    </row>
    <row r="327" spans="1:3" x14ac:dyDescent="0.3">
      <c r="A327">
        <v>2</v>
      </c>
      <c r="B327">
        <v>13</v>
      </c>
      <c r="C327">
        <v>1</v>
      </c>
    </row>
    <row r="328" spans="1:3" x14ac:dyDescent="0.3">
      <c r="A328">
        <v>2</v>
      </c>
      <c r="B328">
        <v>14</v>
      </c>
      <c r="C328">
        <v>18</v>
      </c>
    </row>
    <row r="329" spans="1:3" x14ac:dyDescent="0.3">
      <c r="A329">
        <v>2</v>
      </c>
      <c r="B329">
        <v>15</v>
      </c>
      <c r="C329">
        <v>6</v>
      </c>
    </row>
    <row r="330" spans="1:3" x14ac:dyDescent="0.3">
      <c r="A330">
        <v>2</v>
      </c>
      <c r="B330">
        <v>16</v>
      </c>
      <c r="C330">
        <v>20</v>
      </c>
    </row>
    <row r="331" spans="1:3" x14ac:dyDescent="0.3">
      <c r="A331">
        <v>2</v>
      </c>
      <c r="B331">
        <v>17</v>
      </c>
      <c r="C331">
        <v>3</v>
      </c>
    </row>
    <row r="332" spans="1:3" x14ac:dyDescent="0.3">
      <c r="A332">
        <v>2</v>
      </c>
      <c r="B332">
        <v>18</v>
      </c>
      <c r="C332">
        <v>13</v>
      </c>
    </row>
    <row r="333" spans="1:3" x14ac:dyDescent="0.3">
      <c r="A333">
        <v>2</v>
      </c>
      <c r="B333">
        <v>19</v>
      </c>
      <c r="C333">
        <v>15</v>
      </c>
    </row>
    <row r="334" spans="1:3" x14ac:dyDescent="0.3">
      <c r="A334">
        <v>2</v>
      </c>
      <c r="B334">
        <v>20</v>
      </c>
      <c r="C334">
        <v>20</v>
      </c>
    </row>
    <row r="335" spans="1:3" x14ac:dyDescent="0.3">
      <c r="A335">
        <v>2</v>
      </c>
      <c r="B335">
        <v>21</v>
      </c>
      <c r="C335">
        <v>16</v>
      </c>
    </row>
    <row r="336" spans="1:3" x14ac:dyDescent="0.3">
      <c r="A336">
        <v>2</v>
      </c>
      <c r="B336">
        <v>22</v>
      </c>
      <c r="C336">
        <v>0</v>
      </c>
    </row>
    <row r="337" spans="1:3" x14ac:dyDescent="0.3">
      <c r="A337">
        <v>2</v>
      </c>
      <c r="B337">
        <v>23</v>
      </c>
      <c r="C337">
        <v>12</v>
      </c>
    </row>
    <row r="338" spans="1:3" x14ac:dyDescent="0.3">
      <c r="A338">
        <v>2</v>
      </c>
      <c r="B338">
        <v>24</v>
      </c>
      <c r="C338">
        <v>16</v>
      </c>
    </row>
    <row r="339" spans="1:3" x14ac:dyDescent="0.3">
      <c r="A339">
        <v>2</v>
      </c>
      <c r="B339">
        <v>25</v>
      </c>
      <c r="C339">
        <v>18</v>
      </c>
    </row>
    <row r="340" spans="1:3" x14ac:dyDescent="0.3">
      <c r="A340">
        <v>2</v>
      </c>
      <c r="B340">
        <v>26</v>
      </c>
      <c r="C340">
        <v>2</v>
      </c>
    </row>
    <row r="341" spans="1:3" x14ac:dyDescent="0.3">
      <c r="A341">
        <v>2</v>
      </c>
      <c r="B341">
        <v>27</v>
      </c>
      <c r="C341">
        <v>10</v>
      </c>
    </row>
    <row r="342" spans="1:3" x14ac:dyDescent="0.3">
      <c r="A342">
        <v>2</v>
      </c>
      <c r="B342">
        <v>28</v>
      </c>
      <c r="C342">
        <v>25</v>
      </c>
    </row>
    <row r="343" spans="1:3" x14ac:dyDescent="0.3">
      <c r="A343">
        <v>2</v>
      </c>
      <c r="B343">
        <v>29</v>
      </c>
      <c r="C343">
        <v>29</v>
      </c>
    </row>
    <row r="344" spans="1:3" x14ac:dyDescent="0.3">
      <c r="A344">
        <v>2</v>
      </c>
      <c r="B344">
        <v>30</v>
      </c>
      <c r="C344">
        <v>17</v>
      </c>
    </row>
    <row r="345" spans="1:3" x14ac:dyDescent="0.3">
      <c r="A345">
        <v>2</v>
      </c>
      <c r="B345">
        <v>31</v>
      </c>
      <c r="C345">
        <v>10</v>
      </c>
    </row>
    <row r="346" spans="1:3" x14ac:dyDescent="0.3">
      <c r="A346">
        <v>2</v>
      </c>
      <c r="B346">
        <v>32</v>
      </c>
      <c r="C346">
        <v>13</v>
      </c>
    </row>
    <row r="347" spans="1:3" x14ac:dyDescent="0.3">
      <c r="A347">
        <v>2</v>
      </c>
      <c r="B347">
        <v>33</v>
      </c>
      <c r="C347">
        <v>8</v>
      </c>
    </row>
    <row r="348" spans="1:3" x14ac:dyDescent="0.3">
      <c r="A348">
        <v>2</v>
      </c>
      <c r="B348">
        <v>34</v>
      </c>
      <c r="C348">
        <v>24</v>
      </c>
    </row>
    <row r="349" spans="1:3" x14ac:dyDescent="0.3">
      <c r="A349">
        <v>2</v>
      </c>
      <c r="B349">
        <v>35</v>
      </c>
      <c r="C349">
        <v>25</v>
      </c>
    </row>
    <row r="350" spans="1:3" x14ac:dyDescent="0.3">
      <c r="A350">
        <v>2</v>
      </c>
      <c r="B350">
        <v>36</v>
      </c>
      <c r="C350">
        <v>15</v>
      </c>
    </row>
    <row r="351" spans="1:3" x14ac:dyDescent="0.3">
      <c r="A351">
        <v>2</v>
      </c>
      <c r="B351">
        <v>37</v>
      </c>
      <c r="C351">
        <v>5</v>
      </c>
    </row>
    <row r="352" spans="1:3" x14ac:dyDescent="0.3">
      <c r="A352">
        <v>2</v>
      </c>
      <c r="B352">
        <v>38</v>
      </c>
      <c r="C352">
        <v>18</v>
      </c>
    </row>
    <row r="353" spans="1:3" x14ac:dyDescent="0.3">
      <c r="A353">
        <v>2</v>
      </c>
      <c r="B353">
        <v>39</v>
      </c>
      <c r="C353">
        <v>28</v>
      </c>
    </row>
    <row r="354" spans="1:3" x14ac:dyDescent="0.3">
      <c r="A354">
        <v>2</v>
      </c>
      <c r="B354">
        <v>40</v>
      </c>
      <c r="C354">
        <v>15</v>
      </c>
    </row>
    <row r="355" spans="1:3" x14ac:dyDescent="0.3">
      <c r="A355">
        <v>2</v>
      </c>
      <c r="B355">
        <v>41</v>
      </c>
      <c r="C355">
        <v>6</v>
      </c>
    </row>
    <row r="356" spans="1:3" x14ac:dyDescent="0.3">
      <c r="A356">
        <v>2</v>
      </c>
      <c r="B356">
        <v>42</v>
      </c>
      <c r="C356">
        <v>16</v>
      </c>
    </row>
    <row r="357" spans="1:3" x14ac:dyDescent="0.3">
      <c r="A357">
        <v>2</v>
      </c>
      <c r="B357">
        <v>43</v>
      </c>
      <c r="C357">
        <v>2</v>
      </c>
    </row>
    <row r="358" spans="1:3" x14ac:dyDescent="0.3">
      <c r="A358">
        <v>2</v>
      </c>
      <c r="B358">
        <v>44</v>
      </c>
      <c r="C358">
        <v>24</v>
      </c>
    </row>
    <row r="359" spans="1:3" x14ac:dyDescent="0.3">
      <c r="A359">
        <v>2</v>
      </c>
      <c r="B359">
        <v>45</v>
      </c>
      <c r="C359">
        <v>13</v>
      </c>
    </row>
    <row r="360" spans="1:3" x14ac:dyDescent="0.3">
      <c r="A360">
        <v>2</v>
      </c>
      <c r="B360">
        <v>46</v>
      </c>
      <c r="C360">
        <v>18</v>
      </c>
    </row>
    <row r="361" spans="1:3" x14ac:dyDescent="0.3">
      <c r="A361">
        <v>2</v>
      </c>
      <c r="B361">
        <v>47</v>
      </c>
      <c r="C361">
        <v>0</v>
      </c>
    </row>
    <row r="362" spans="1:3" x14ac:dyDescent="0.3">
      <c r="A362">
        <v>2</v>
      </c>
      <c r="B362">
        <v>48</v>
      </c>
      <c r="C362">
        <v>20</v>
      </c>
    </row>
    <row r="363" spans="1:3" x14ac:dyDescent="0.3">
      <c r="A363">
        <v>2</v>
      </c>
      <c r="B363">
        <v>49</v>
      </c>
      <c r="C363">
        <v>4</v>
      </c>
    </row>
    <row r="364" spans="1:3" x14ac:dyDescent="0.3">
      <c r="A364">
        <v>2</v>
      </c>
      <c r="B364">
        <v>50</v>
      </c>
      <c r="C364">
        <v>7</v>
      </c>
    </row>
    <row r="365" spans="1:3" x14ac:dyDescent="0.3">
      <c r="A365">
        <v>2</v>
      </c>
      <c r="B365">
        <v>51</v>
      </c>
      <c r="C365">
        <v>8</v>
      </c>
    </row>
    <row r="366" spans="1:3" x14ac:dyDescent="0.3">
      <c r="A366">
        <v>2</v>
      </c>
      <c r="B366">
        <v>52</v>
      </c>
      <c r="C366">
        <v>23</v>
      </c>
    </row>
    <row r="367" spans="1:3" x14ac:dyDescent="0.3">
      <c r="A367">
        <v>2</v>
      </c>
      <c r="B367">
        <v>53</v>
      </c>
      <c r="C367">
        <v>19</v>
      </c>
    </row>
    <row r="368" spans="1:3" x14ac:dyDescent="0.3">
      <c r="A368">
        <v>2</v>
      </c>
      <c r="B368">
        <v>54</v>
      </c>
      <c r="C368">
        <v>6</v>
      </c>
    </row>
    <row r="369" spans="1:3" x14ac:dyDescent="0.3">
      <c r="A369">
        <v>2</v>
      </c>
      <c r="B369">
        <v>55</v>
      </c>
      <c r="C369">
        <v>5</v>
      </c>
    </row>
    <row r="370" spans="1:3" x14ac:dyDescent="0.3">
      <c r="A370">
        <v>2</v>
      </c>
      <c r="B370">
        <v>56</v>
      </c>
      <c r="C370">
        <v>20</v>
      </c>
    </row>
    <row r="371" spans="1:3" x14ac:dyDescent="0.3">
      <c r="A371">
        <v>2</v>
      </c>
      <c r="B371">
        <v>57</v>
      </c>
      <c r="C371">
        <v>27</v>
      </c>
    </row>
    <row r="372" spans="1:3" x14ac:dyDescent="0.3">
      <c r="A372">
        <v>2</v>
      </c>
      <c r="B372">
        <v>58</v>
      </c>
      <c r="C372">
        <v>15</v>
      </c>
    </row>
    <row r="373" spans="1:3" x14ac:dyDescent="0.3">
      <c r="A373">
        <v>2</v>
      </c>
      <c r="B373">
        <v>59</v>
      </c>
      <c r="C373">
        <v>17</v>
      </c>
    </row>
    <row r="374" spans="1:3" x14ac:dyDescent="0.3">
      <c r="A374">
        <v>2</v>
      </c>
      <c r="B374">
        <v>60</v>
      </c>
      <c r="C374">
        <v>1</v>
      </c>
    </row>
    <row r="375" spans="1:3" x14ac:dyDescent="0.3">
      <c r="A375">
        <v>2</v>
      </c>
      <c r="B375">
        <v>61</v>
      </c>
      <c r="C375">
        <v>20</v>
      </c>
    </row>
    <row r="376" spans="1:3" x14ac:dyDescent="0.3">
      <c r="A376">
        <v>2</v>
      </c>
      <c r="B376">
        <v>62</v>
      </c>
      <c r="C376">
        <v>4</v>
      </c>
    </row>
    <row r="377" spans="1:3" x14ac:dyDescent="0.3">
      <c r="A377">
        <v>2</v>
      </c>
      <c r="B377">
        <v>63</v>
      </c>
      <c r="C377">
        <v>5</v>
      </c>
    </row>
    <row r="378" spans="1:3" x14ac:dyDescent="0.3">
      <c r="A378">
        <v>2</v>
      </c>
      <c r="B378">
        <v>64</v>
      </c>
      <c r="C378">
        <v>30</v>
      </c>
    </row>
    <row r="379" spans="1:3" x14ac:dyDescent="0.3">
      <c r="A379">
        <v>2</v>
      </c>
      <c r="B379">
        <v>65</v>
      </c>
      <c r="C379">
        <v>16</v>
      </c>
    </row>
    <row r="380" spans="1:3" x14ac:dyDescent="0.3">
      <c r="A380">
        <v>2</v>
      </c>
      <c r="B380">
        <v>66</v>
      </c>
      <c r="C380">
        <v>22</v>
      </c>
    </row>
    <row r="381" spans="1:3" x14ac:dyDescent="0.3">
      <c r="A381">
        <v>2</v>
      </c>
      <c r="B381">
        <v>67</v>
      </c>
      <c r="C381">
        <v>8</v>
      </c>
    </row>
    <row r="382" spans="1:3" x14ac:dyDescent="0.3">
      <c r="A382">
        <v>2</v>
      </c>
      <c r="B382">
        <v>68</v>
      </c>
      <c r="C382">
        <v>23</v>
      </c>
    </row>
    <row r="383" spans="1:3" x14ac:dyDescent="0.3">
      <c r="A383">
        <v>2</v>
      </c>
      <c r="B383">
        <v>69</v>
      </c>
      <c r="C383">
        <v>22</v>
      </c>
    </row>
    <row r="384" spans="1:3" x14ac:dyDescent="0.3">
      <c r="A384">
        <v>2</v>
      </c>
      <c r="B384">
        <v>70</v>
      </c>
      <c r="C384">
        <v>6</v>
      </c>
    </row>
    <row r="385" spans="1:3" x14ac:dyDescent="0.3">
      <c r="A385">
        <v>2</v>
      </c>
      <c r="B385">
        <v>71</v>
      </c>
      <c r="C385">
        <v>30</v>
      </c>
    </row>
    <row r="386" spans="1:3" x14ac:dyDescent="0.3">
      <c r="A386">
        <v>2</v>
      </c>
      <c r="B386">
        <v>72</v>
      </c>
      <c r="C386">
        <v>1</v>
      </c>
    </row>
    <row r="387" spans="1:3" x14ac:dyDescent="0.3">
      <c r="A387">
        <v>2</v>
      </c>
      <c r="B387">
        <v>73</v>
      </c>
      <c r="C387">
        <v>20</v>
      </c>
    </row>
    <row r="388" spans="1:3" x14ac:dyDescent="0.3">
      <c r="A388">
        <v>2</v>
      </c>
      <c r="B388">
        <v>74</v>
      </c>
      <c r="C388">
        <v>23</v>
      </c>
    </row>
    <row r="389" spans="1:3" x14ac:dyDescent="0.3">
      <c r="A389">
        <v>2</v>
      </c>
      <c r="B389">
        <v>75</v>
      </c>
      <c r="C389">
        <v>11</v>
      </c>
    </row>
    <row r="390" spans="1:3" x14ac:dyDescent="0.3">
      <c r="A390">
        <v>2</v>
      </c>
      <c r="B390">
        <v>76</v>
      </c>
      <c r="C390">
        <v>20</v>
      </c>
    </row>
    <row r="391" spans="1:3" x14ac:dyDescent="0.3">
      <c r="A391">
        <v>2</v>
      </c>
      <c r="B391">
        <v>77</v>
      </c>
      <c r="C391">
        <v>25</v>
      </c>
    </row>
    <row r="392" spans="1:3" x14ac:dyDescent="0.3">
      <c r="A392">
        <v>2</v>
      </c>
      <c r="B392">
        <v>78</v>
      </c>
      <c r="C392">
        <v>4</v>
      </c>
    </row>
    <row r="393" spans="1:3" x14ac:dyDescent="0.3">
      <c r="A393">
        <v>2</v>
      </c>
      <c r="B393">
        <v>79</v>
      </c>
      <c r="C393">
        <v>29</v>
      </c>
    </row>
    <row r="394" spans="1:3" x14ac:dyDescent="0.3">
      <c r="A394">
        <v>2</v>
      </c>
      <c r="B394">
        <v>80</v>
      </c>
      <c r="C394">
        <v>27</v>
      </c>
    </row>
    <row r="395" spans="1:3" x14ac:dyDescent="0.3">
      <c r="A395">
        <v>2</v>
      </c>
      <c r="B395">
        <v>81</v>
      </c>
      <c r="C395">
        <v>19</v>
      </c>
    </row>
    <row r="396" spans="1:3" x14ac:dyDescent="0.3">
      <c r="A396">
        <v>2</v>
      </c>
      <c r="B396">
        <v>82</v>
      </c>
      <c r="C396">
        <v>4</v>
      </c>
    </row>
    <row r="397" spans="1:3" x14ac:dyDescent="0.3">
      <c r="A397">
        <v>2</v>
      </c>
      <c r="B397">
        <v>83</v>
      </c>
      <c r="C397">
        <v>21</v>
      </c>
    </row>
    <row r="398" spans="1:3" x14ac:dyDescent="0.3">
      <c r="A398">
        <v>2</v>
      </c>
      <c r="B398">
        <v>84</v>
      </c>
      <c r="C398">
        <v>22</v>
      </c>
    </row>
    <row r="399" spans="1:3" x14ac:dyDescent="0.3">
      <c r="A399">
        <v>2</v>
      </c>
      <c r="B399">
        <v>85</v>
      </c>
      <c r="C399">
        <v>6</v>
      </c>
    </row>
    <row r="400" spans="1:3" x14ac:dyDescent="0.3">
      <c r="A400">
        <v>2</v>
      </c>
      <c r="B400">
        <v>86</v>
      </c>
      <c r="C400">
        <v>24</v>
      </c>
    </row>
    <row r="401" spans="1:3" x14ac:dyDescent="0.3">
      <c r="A401">
        <v>2</v>
      </c>
      <c r="B401">
        <v>87</v>
      </c>
      <c r="C401">
        <v>14</v>
      </c>
    </row>
    <row r="402" spans="1:3" x14ac:dyDescent="0.3">
      <c r="A402">
        <v>2</v>
      </c>
      <c r="B402">
        <v>88</v>
      </c>
      <c r="C402">
        <v>8</v>
      </c>
    </row>
    <row r="403" spans="1:3" x14ac:dyDescent="0.3">
      <c r="A403">
        <v>2</v>
      </c>
      <c r="B403">
        <v>89</v>
      </c>
      <c r="C403">
        <v>8</v>
      </c>
    </row>
    <row r="404" spans="1:3" x14ac:dyDescent="0.3">
      <c r="A404">
        <v>2</v>
      </c>
      <c r="B404">
        <v>90</v>
      </c>
      <c r="C404">
        <v>26</v>
      </c>
    </row>
    <row r="405" spans="1:3" x14ac:dyDescent="0.3">
      <c r="A405">
        <v>2</v>
      </c>
      <c r="B405">
        <v>91</v>
      </c>
      <c r="C405">
        <v>0</v>
      </c>
    </row>
    <row r="406" spans="1:3" x14ac:dyDescent="0.3">
      <c r="A406">
        <v>2</v>
      </c>
      <c r="B406">
        <v>92</v>
      </c>
      <c r="C406">
        <v>22</v>
      </c>
    </row>
    <row r="407" spans="1:3" x14ac:dyDescent="0.3">
      <c r="A407">
        <v>2</v>
      </c>
      <c r="B407">
        <v>93</v>
      </c>
      <c r="C407">
        <v>22</v>
      </c>
    </row>
    <row r="408" spans="1:3" x14ac:dyDescent="0.3">
      <c r="A408">
        <v>2</v>
      </c>
      <c r="B408">
        <v>94</v>
      </c>
      <c r="C408">
        <v>2</v>
      </c>
    </row>
    <row r="409" spans="1:3" x14ac:dyDescent="0.3">
      <c r="A409">
        <v>2</v>
      </c>
      <c r="B409">
        <v>95</v>
      </c>
      <c r="C409">
        <v>10</v>
      </c>
    </row>
    <row r="410" spans="1:3" x14ac:dyDescent="0.3">
      <c r="A410">
        <v>2</v>
      </c>
      <c r="B410">
        <v>96</v>
      </c>
      <c r="C410">
        <v>22</v>
      </c>
    </row>
    <row r="411" spans="1:3" x14ac:dyDescent="0.3">
      <c r="A411">
        <v>2</v>
      </c>
      <c r="B411">
        <v>97</v>
      </c>
      <c r="C411">
        <v>15</v>
      </c>
    </row>
    <row r="412" spans="1:3" x14ac:dyDescent="0.3">
      <c r="A412">
        <v>2</v>
      </c>
      <c r="B412">
        <v>98</v>
      </c>
      <c r="C412">
        <v>14</v>
      </c>
    </row>
    <row r="413" spans="1:3" x14ac:dyDescent="0.3">
      <c r="A413">
        <v>2</v>
      </c>
      <c r="B413">
        <v>99</v>
      </c>
      <c r="C413">
        <v>24</v>
      </c>
    </row>
    <row r="414" spans="1:3" x14ac:dyDescent="0.3">
      <c r="A414">
        <v>2</v>
      </c>
      <c r="B414">
        <v>100</v>
      </c>
      <c r="C414">
        <v>12</v>
      </c>
    </row>
    <row r="415" spans="1:3" x14ac:dyDescent="0.3">
      <c r="A415">
        <v>2</v>
      </c>
      <c r="B415">
        <v>101</v>
      </c>
      <c r="C415">
        <v>4</v>
      </c>
    </row>
    <row r="416" spans="1:3" x14ac:dyDescent="0.3">
      <c r="A416">
        <v>2</v>
      </c>
      <c r="B416">
        <v>102</v>
      </c>
      <c r="C416">
        <v>12</v>
      </c>
    </row>
    <row r="417" spans="1:3" x14ac:dyDescent="0.3">
      <c r="A417">
        <v>2</v>
      </c>
      <c r="B417">
        <v>103</v>
      </c>
      <c r="C417">
        <v>1</v>
      </c>
    </row>
    <row r="418" spans="1:3" x14ac:dyDescent="0.3">
      <c r="A418">
        <v>2</v>
      </c>
      <c r="B418">
        <v>104</v>
      </c>
      <c r="C418">
        <v>26</v>
      </c>
    </row>
    <row r="419" spans="1:3" x14ac:dyDescent="0.3">
      <c r="A419">
        <v>2</v>
      </c>
      <c r="B419">
        <v>105</v>
      </c>
      <c r="C419">
        <v>3</v>
      </c>
    </row>
    <row r="420" spans="1:3" x14ac:dyDescent="0.3">
      <c r="A420">
        <v>2</v>
      </c>
      <c r="B420">
        <v>106</v>
      </c>
      <c r="C420">
        <v>7</v>
      </c>
    </row>
    <row r="421" spans="1:3" x14ac:dyDescent="0.3">
      <c r="A421">
        <v>2</v>
      </c>
      <c r="B421">
        <v>107</v>
      </c>
      <c r="C421">
        <v>29</v>
      </c>
    </row>
    <row r="422" spans="1:3" x14ac:dyDescent="0.3">
      <c r="A422">
        <v>2</v>
      </c>
      <c r="B422">
        <v>108</v>
      </c>
      <c r="C422">
        <v>29</v>
      </c>
    </row>
    <row r="423" spans="1:3" x14ac:dyDescent="0.3">
      <c r="A423">
        <v>2</v>
      </c>
      <c r="B423">
        <v>109</v>
      </c>
      <c r="C423">
        <v>25</v>
      </c>
    </row>
    <row r="424" spans="1:3" x14ac:dyDescent="0.3">
      <c r="A424">
        <v>2</v>
      </c>
      <c r="B424">
        <v>110</v>
      </c>
      <c r="C424">
        <v>7</v>
      </c>
    </row>
    <row r="425" spans="1:3" x14ac:dyDescent="0.3">
      <c r="A425">
        <v>2</v>
      </c>
      <c r="B425">
        <v>111</v>
      </c>
      <c r="C425">
        <v>6</v>
      </c>
    </row>
    <row r="426" spans="1:3" x14ac:dyDescent="0.3">
      <c r="A426">
        <v>2</v>
      </c>
      <c r="B426">
        <v>112</v>
      </c>
      <c r="C426">
        <v>1</v>
      </c>
    </row>
    <row r="427" spans="1:3" x14ac:dyDescent="0.3">
      <c r="A427">
        <v>2</v>
      </c>
      <c r="B427">
        <v>113</v>
      </c>
      <c r="C427">
        <v>7</v>
      </c>
    </row>
    <row r="428" spans="1:3" x14ac:dyDescent="0.3">
      <c r="A428">
        <v>2</v>
      </c>
      <c r="B428">
        <v>114</v>
      </c>
      <c r="C428">
        <v>12</v>
      </c>
    </row>
    <row r="429" spans="1:3" x14ac:dyDescent="0.3">
      <c r="A429">
        <v>2</v>
      </c>
      <c r="B429">
        <v>115</v>
      </c>
      <c r="C429">
        <v>19</v>
      </c>
    </row>
    <row r="430" spans="1:3" x14ac:dyDescent="0.3">
      <c r="A430">
        <v>2</v>
      </c>
      <c r="B430">
        <v>116</v>
      </c>
      <c r="C430">
        <v>17</v>
      </c>
    </row>
    <row r="431" spans="1:3" x14ac:dyDescent="0.3">
      <c r="A431">
        <v>2</v>
      </c>
      <c r="B431">
        <v>117</v>
      </c>
      <c r="C431">
        <v>18</v>
      </c>
    </row>
    <row r="432" spans="1:3" x14ac:dyDescent="0.3">
      <c r="A432">
        <v>2</v>
      </c>
      <c r="B432">
        <v>118</v>
      </c>
      <c r="C432">
        <v>25</v>
      </c>
    </row>
    <row r="433" spans="1:3" x14ac:dyDescent="0.3">
      <c r="A433">
        <v>2</v>
      </c>
      <c r="B433">
        <v>119</v>
      </c>
      <c r="C433">
        <v>23</v>
      </c>
    </row>
    <row r="434" spans="1:3" x14ac:dyDescent="0.3">
      <c r="A434">
        <v>2</v>
      </c>
      <c r="B434">
        <v>120</v>
      </c>
      <c r="C434">
        <v>16</v>
      </c>
    </row>
    <row r="435" spans="1:3" x14ac:dyDescent="0.3">
      <c r="A435">
        <v>2</v>
      </c>
      <c r="B435">
        <v>121</v>
      </c>
      <c r="C435">
        <v>3</v>
      </c>
    </row>
    <row r="436" spans="1:3" x14ac:dyDescent="0.3">
      <c r="A436">
        <v>2</v>
      </c>
      <c r="B436">
        <v>122</v>
      </c>
      <c r="C436">
        <v>11</v>
      </c>
    </row>
    <row r="437" spans="1:3" x14ac:dyDescent="0.3">
      <c r="A437">
        <v>2</v>
      </c>
      <c r="B437">
        <v>123</v>
      </c>
      <c r="C437">
        <v>18</v>
      </c>
    </row>
    <row r="438" spans="1:3" x14ac:dyDescent="0.3">
      <c r="A438">
        <v>2</v>
      </c>
      <c r="B438">
        <v>124</v>
      </c>
      <c r="C438">
        <v>4</v>
      </c>
    </row>
    <row r="439" spans="1:3" x14ac:dyDescent="0.3">
      <c r="A439">
        <v>2</v>
      </c>
      <c r="B439">
        <v>125</v>
      </c>
      <c r="C439">
        <v>10</v>
      </c>
    </row>
    <row r="440" spans="1:3" x14ac:dyDescent="0.3">
      <c r="A440">
        <v>2</v>
      </c>
      <c r="B440">
        <v>126</v>
      </c>
      <c r="C440">
        <v>13</v>
      </c>
    </row>
    <row r="441" spans="1:3" x14ac:dyDescent="0.3">
      <c r="A441">
        <v>2</v>
      </c>
      <c r="B441">
        <v>127</v>
      </c>
      <c r="C441">
        <v>12</v>
      </c>
    </row>
    <row r="442" spans="1:3" x14ac:dyDescent="0.3">
      <c r="A442">
        <v>2</v>
      </c>
      <c r="B442">
        <v>128</v>
      </c>
      <c r="C442">
        <v>28</v>
      </c>
    </row>
    <row r="443" spans="1:3" x14ac:dyDescent="0.3">
      <c r="A443">
        <v>2</v>
      </c>
      <c r="B443">
        <v>129</v>
      </c>
      <c r="C443">
        <v>21</v>
      </c>
    </row>
    <row r="444" spans="1:3" x14ac:dyDescent="0.3">
      <c r="A444">
        <v>2</v>
      </c>
      <c r="B444">
        <v>130</v>
      </c>
      <c r="C444">
        <v>17</v>
      </c>
    </row>
    <row r="445" spans="1:3" x14ac:dyDescent="0.3">
      <c r="A445">
        <v>2</v>
      </c>
      <c r="B445">
        <v>131</v>
      </c>
      <c r="C445">
        <v>9</v>
      </c>
    </row>
    <row r="446" spans="1:3" x14ac:dyDescent="0.3">
      <c r="A446">
        <v>2</v>
      </c>
      <c r="B446">
        <v>132</v>
      </c>
      <c r="C446">
        <v>6</v>
      </c>
    </row>
    <row r="447" spans="1:3" x14ac:dyDescent="0.3">
      <c r="A447">
        <v>2</v>
      </c>
      <c r="B447">
        <v>133</v>
      </c>
      <c r="C447">
        <v>28</v>
      </c>
    </row>
    <row r="448" spans="1:3" x14ac:dyDescent="0.3">
      <c r="A448">
        <v>2</v>
      </c>
      <c r="B448">
        <v>134</v>
      </c>
      <c r="C448">
        <v>13</v>
      </c>
    </row>
    <row r="449" spans="1:3" x14ac:dyDescent="0.3">
      <c r="A449">
        <v>2</v>
      </c>
      <c r="B449">
        <v>135</v>
      </c>
      <c r="C449">
        <v>30</v>
      </c>
    </row>
    <row r="450" spans="1:3" x14ac:dyDescent="0.3">
      <c r="A450">
        <v>2</v>
      </c>
      <c r="B450">
        <v>136</v>
      </c>
      <c r="C450">
        <v>8</v>
      </c>
    </row>
    <row r="451" spans="1:3" x14ac:dyDescent="0.3">
      <c r="A451">
        <v>2</v>
      </c>
      <c r="B451">
        <v>137</v>
      </c>
      <c r="C451">
        <v>1</v>
      </c>
    </row>
    <row r="452" spans="1:3" x14ac:dyDescent="0.3">
      <c r="A452">
        <v>2</v>
      </c>
      <c r="B452">
        <v>138</v>
      </c>
      <c r="C452">
        <v>16</v>
      </c>
    </row>
    <row r="453" spans="1:3" x14ac:dyDescent="0.3">
      <c r="A453">
        <v>2</v>
      </c>
      <c r="B453">
        <v>139</v>
      </c>
      <c r="C453">
        <v>24</v>
      </c>
    </row>
    <row r="454" spans="1:3" x14ac:dyDescent="0.3">
      <c r="A454">
        <v>2</v>
      </c>
      <c r="B454">
        <v>140</v>
      </c>
      <c r="C454">
        <v>13</v>
      </c>
    </row>
    <row r="455" spans="1:3" x14ac:dyDescent="0.3">
      <c r="A455">
        <v>2</v>
      </c>
      <c r="B455">
        <v>141</v>
      </c>
      <c r="C455">
        <v>28</v>
      </c>
    </row>
    <row r="456" spans="1:3" x14ac:dyDescent="0.3">
      <c r="A456">
        <v>2</v>
      </c>
      <c r="B456">
        <v>142</v>
      </c>
      <c r="C456">
        <v>24</v>
      </c>
    </row>
    <row r="457" spans="1:3" x14ac:dyDescent="0.3">
      <c r="A457">
        <v>2</v>
      </c>
      <c r="B457">
        <v>143</v>
      </c>
      <c r="C457">
        <v>12</v>
      </c>
    </row>
    <row r="458" spans="1:3" x14ac:dyDescent="0.3">
      <c r="A458">
        <v>2</v>
      </c>
      <c r="B458">
        <v>144</v>
      </c>
      <c r="C458">
        <v>4</v>
      </c>
    </row>
    <row r="459" spans="1:3" x14ac:dyDescent="0.3">
      <c r="A459">
        <v>2</v>
      </c>
      <c r="B459">
        <v>145</v>
      </c>
      <c r="C459">
        <v>23</v>
      </c>
    </row>
    <row r="460" spans="1:3" x14ac:dyDescent="0.3">
      <c r="A460">
        <v>2</v>
      </c>
      <c r="B460">
        <v>146</v>
      </c>
      <c r="C460">
        <v>3</v>
      </c>
    </row>
    <row r="461" spans="1:3" x14ac:dyDescent="0.3">
      <c r="A461">
        <v>2</v>
      </c>
      <c r="B461">
        <v>147</v>
      </c>
      <c r="C461">
        <v>13</v>
      </c>
    </row>
    <row r="462" spans="1:3" x14ac:dyDescent="0.3">
      <c r="A462">
        <v>2</v>
      </c>
      <c r="B462">
        <v>148</v>
      </c>
      <c r="C462">
        <v>27</v>
      </c>
    </row>
    <row r="463" spans="1:3" x14ac:dyDescent="0.3">
      <c r="A463">
        <v>2</v>
      </c>
      <c r="B463">
        <v>149</v>
      </c>
      <c r="C463">
        <v>22</v>
      </c>
    </row>
    <row r="464" spans="1:3" x14ac:dyDescent="0.3">
      <c r="A464">
        <v>2</v>
      </c>
      <c r="B464">
        <v>150</v>
      </c>
      <c r="C464">
        <v>7</v>
      </c>
    </row>
    <row r="465" spans="1:3" x14ac:dyDescent="0.3">
      <c r="A465">
        <v>2</v>
      </c>
      <c r="B465">
        <v>151</v>
      </c>
      <c r="C465">
        <v>2</v>
      </c>
    </row>
    <row r="466" spans="1:3" x14ac:dyDescent="0.3">
      <c r="A466">
        <v>2</v>
      </c>
      <c r="B466">
        <v>152</v>
      </c>
      <c r="C466">
        <v>21</v>
      </c>
    </row>
    <row r="467" spans="1:3" x14ac:dyDescent="0.3">
      <c r="A467">
        <v>2</v>
      </c>
      <c r="B467">
        <v>153</v>
      </c>
      <c r="C467">
        <v>21</v>
      </c>
    </row>
    <row r="468" spans="1:3" x14ac:dyDescent="0.3">
      <c r="A468">
        <v>2</v>
      </c>
      <c r="B468">
        <v>154</v>
      </c>
      <c r="C468">
        <v>9</v>
      </c>
    </row>
    <row r="469" spans="1:3" x14ac:dyDescent="0.3">
      <c r="A469">
        <v>2</v>
      </c>
      <c r="B469">
        <v>155</v>
      </c>
      <c r="C469">
        <v>21</v>
      </c>
    </row>
    <row r="470" spans="1:3" x14ac:dyDescent="0.3">
      <c r="A470">
        <v>2</v>
      </c>
      <c r="B470">
        <v>156</v>
      </c>
      <c r="C470">
        <v>8</v>
      </c>
    </row>
    <row r="471" spans="1:3" x14ac:dyDescent="0.3">
      <c r="A471">
        <v>2</v>
      </c>
      <c r="B471">
        <v>157</v>
      </c>
      <c r="C471">
        <v>28</v>
      </c>
    </row>
    <row r="472" spans="1:3" x14ac:dyDescent="0.3">
      <c r="A472">
        <v>2</v>
      </c>
      <c r="B472">
        <v>158</v>
      </c>
      <c r="C472">
        <v>0</v>
      </c>
    </row>
    <row r="473" spans="1:3" x14ac:dyDescent="0.3">
      <c r="A473">
        <v>2</v>
      </c>
      <c r="B473">
        <v>159</v>
      </c>
      <c r="C473">
        <v>30</v>
      </c>
    </row>
    <row r="474" spans="1:3" x14ac:dyDescent="0.3">
      <c r="A474">
        <v>2</v>
      </c>
      <c r="B474">
        <v>160</v>
      </c>
      <c r="C474">
        <v>4</v>
      </c>
    </row>
    <row r="475" spans="1:3" x14ac:dyDescent="0.3">
      <c r="A475">
        <v>2</v>
      </c>
      <c r="B475">
        <v>161</v>
      </c>
      <c r="C475">
        <v>9</v>
      </c>
    </row>
    <row r="476" spans="1:3" x14ac:dyDescent="0.3">
      <c r="A476">
        <v>2</v>
      </c>
      <c r="B476">
        <v>162</v>
      </c>
      <c r="C476">
        <v>18</v>
      </c>
    </row>
    <row r="477" spans="1:3" x14ac:dyDescent="0.3">
      <c r="A477">
        <v>2</v>
      </c>
      <c r="B477">
        <v>163</v>
      </c>
      <c r="C477">
        <v>30</v>
      </c>
    </row>
    <row r="478" spans="1:3" x14ac:dyDescent="0.3">
      <c r="A478">
        <v>2</v>
      </c>
      <c r="B478">
        <v>164</v>
      </c>
      <c r="C478">
        <v>9</v>
      </c>
    </row>
    <row r="479" spans="1:3" x14ac:dyDescent="0.3">
      <c r="A479">
        <v>2</v>
      </c>
      <c r="B479">
        <v>165</v>
      </c>
      <c r="C479">
        <v>6</v>
      </c>
    </row>
    <row r="480" spans="1:3" x14ac:dyDescent="0.3">
      <c r="A480">
        <v>2</v>
      </c>
      <c r="B480">
        <v>166</v>
      </c>
      <c r="C480">
        <v>27</v>
      </c>
    </row>
    <row r="481" spans="1:3" x14ac:dyDescent="0.3">
      <c r="A481">
        <v>2</v>
      </c>
      <c r="B481">
        <v>167</v>
      </c>
      <c r="C481">
        <v>1</v>
      </c>
    </row>
    <row r="482" spans="1:3" x14ac:dyDescent="0.3">
      <c r="A482">
        <v>2</v>
      </c>
      <c r="B482">
        <v>168</v>
      </c>
      <c r="C482">
        <v>29</v>
      </c>
    </row>
    <row r="483" spans="1:3" x14ac:dyDescent="0.3">
      <c r="A483">
        <v>2</v>
      </c>
      <c r="B483">
        <v>169</v>
      </c>
      <c r="C483">
        <v>1</v>
      </c>
    </row>
    <row r="484" spans="1:3" x14ac:dyDescent="0.3">
      <c r="A484">
        <v>2</v>
      </c>
      <c r="B484">
        <v>170</v>
      </c>
      <c r="C484">
        <v>2</v>
      </c>
    </row>
    <row r="485" spans="1:3" x14ac:dyDescent="0.3">
      <c r="A485">
        <v>2</v>
      </c>
      <c r="B485">
        <v>171</v>
      </c>
      <c r="C485">
        <v>28</v>
      </c>
    </row>
    <row r="486" spans="1:3" x14ac:dyDescent="0.3">
      <c r="A486">
        <v>2</v>
      </c>
      <c r="B486">
        <v>172</v>
      </c>
      <c r="C486">
        <v>16</v>
      </c>
    </row>
    <row r="487" spans="1:3" x14ac:dyDescent="0.3">
      <c r="A487">
        <v>2</v>
      </c>
      <c r="B487">
        <v>173</v>
      </c>
      <c r="C487">
        <v>17</v>
      </c>
    </row>
    <row r="488" spans="1:3" x14ac:dyDescent="0.3">
      <c r="A488">
        <v>2</v>
      </c>
      <c r="B488">
        <v>174</v>
      </c>
      <c r="C488">
        <v>8</v>
      </c>
    </row>
    <row r="489" spans="1:3" x14ac:dyDescent="0.3">
      <c r="A489">
        <v>2</v>
      </c>
      <c r="B489">
        <v>175</v>
      </c>
      <c r="C489">
        <v>0</v>
      </c>
    </row>
    <row r="490" spans="1:3" x14ac:dyDescent="0.3">
      <c r="A490">
        <v>2</v>
      </c>
      <c r="B490">
        <v>176</v>
      </c>
      <c r="C490">
        <v>26</v>
      </c>
    </row>
    <row r="491" spans="1:3" x14ac:dyDescent="0.3">
      <c r="A491">
        <v>2</v>
      </c>
      <c r="B491">
        <v>177</v>
      </c>
      <c r="C491">
        <v>9</v>
      </c>
    </row>
    <row r="492" spans="1:3" x14ac:dyDescent="0.3">
      <c r="A492">
        <v>2</v>
      </c>
      <c r="B492">
        <v>178</v>
      </c>
      <c r="C492">
        <v>1</v>
      </c>
    </row>
    <row r="493" spans="1:3" x14ac:dyDescent="0.3">
      <c r="A493">
        <v>2</v>
      </c>
      <c r="B493">
        <v>179</v>
      </c>
      <c r="C493">
        <v>16</v>
      </c>
    </row>
    <row r="494" spans="1:3" x14ac:dyDescent="0.3">
      <c r="A494">
        <v>2</v>
      </c>
      <c r="B494">
        <v>180</v>
      </c>
      <c r="C494">
        <v>3</v>
      </c>
    </row>
    <row r="495" spans="1:3" x14ac:dyDescent="0.3">
      <c r="A495">
        <v>2</v>
      </c>
      <c r="B495">
        <v>181</v>
      </c>
      <c r="C495">
        <v>29</v>
      </c>
    </row>
    <row r="496" spans="1:3" x14ac:dyDescent="0.3">
      <c r="A496">
        <v>2</v>
      </c>
      <c r="B496">
        <v>182</v>
      </c>
      <c r="C496">
        <v>21</v>
      </c>
    </row>
    <row r="497" spans="1:3" x14ac:dyDescent="0.3">
      <c r="A497">
        <v>2</v>
      </c>
      <c r="B497">
        <v>183</v>
      </c>
      <c r="C497">
        <v>26</v>
      </c>
    </row>
    <row r="498" spans="1:3" x14ac:dyDescent="0.3">
      <c r="A498">
        <v>2</v>
      </c>
      <c r="B498">
        <v>184</v>
      </c>
      <c r="C498">
        <v>0</v>
      </c>
    </row>
    <row r="499" spans="1:3" x14ac:dyDescent="0.3">
      <c r="A499">
        <v>2</v>
      </c>
      <c r="B499">
        <v>185</v>
      </c>
      <c r="C499">
        <v>4</v>
      </c>
    </row>
    <row r="500" spans="1:3" x14ac:dyDescent="0.3">
      <c r="A500">
        <v>2</v>
      </c>
      <c r="B500">
        <v>186</v>
      </c>
      <c r="C500">
        <v>16</v>
      </c>
    </row>
    <row r="501" spans="1:3" x14ac:dyDescent="0.3">
      <c r="A501">
        <v>2</v>
      </c>
      <c r="B501">
        <v>187</v>
      </c>
      <c r="C501">
        <v>10</v>
      </c>
    </row>
    <row r="502" spans="1:3" x14ac:dyDescent="0.3">
      <c r="A502">
        <v>2</v>
      </c>
      <c r="B502">
        <v>188</v>
      </c>
      <c r="C502">
        <v>27</v>
      </c>
    </row>
    <row r="503" spans="1:3" x14ac:dyDescent="0.3">
      <c r="A503">
        <v>2</v>
      </c>
      <c r="B503">
        <v>189</v>
      </c>
      <c r="C503">
        <v>13</v>
      </c>
    </row>
    <row r="504" spans="1:3" x14ac:dyDescent="0.3">
      <c r="A504">
        <v>2</v>
      </c>
      <c r="B504">
        <v>190</v>
      </c>
      <c r="C504">
        <v>18</v>
      </c>
    </row>
    <row r="505" spans="1:3" x14ac:dyDescent="0.3">
      <c r="A505">
        <v>2</v>
      </c>
      <c r="B505">
        <v>191</v>
      </c>
      <c r="C505">
        <v>15</v>
      </c>
    </row>
    <row r="506" spans="1:3" x14ac:dyDescent="0.3">
      <c r="A506">
        <v>2</v>
      </c>
      <c r="B506">
        <v>192</v>
      </c>
      <c r="C506">
        <v>0</v>
      </c>
    </row>
    <row r="507" spans="1:3" x14ac:dyDescent="0.3">
      <c r="A507">
        <v>2</v>
      </c>
      <c r="B507">
        <v>193</v>
      </c>
      <c r="C507">
        <v>21</v>
      </c>
    </row>
    <row r="508" spans="1:3" x14ac:dyDescent="0.3">
      <c r="A508">
        <v>2</v>
      </c>
      <c r="B508">
        <v>194</v>
      </c>
      <c r="C508">
        <v>15</v>
      </c>
    </row>
    <row r="509" spans="1:3" x14ac:dyDescent="0.3">
      <c r="A509">
        <v>2</v>
      </c>
      <c r="B509">
        <v>195</v>
      </c>
      <c r="C509">
        <v>19</v>
      </c>
    </row>
    <row r="510" spans="1:3" x14ac:dyDescent="0.3">
      <c r="A510">
        <v>2</v>
      </c>
      <c r="B510">
        <v>196</v>
      </c>
      <c r="C510">
        <v>28</v>
      </c>
    </row>
    <row r="511" spans="1:3" x14ac:dyDescent="0.3">
      <c r="A511">
        <v>2</v>
      </c>
      <c r="B511">
        <v>197</v>
      </c>
      <c r="C511">
        <v>10</v>
      </c>
    </row>
    <row r="512" spans="1:3" x14ac:dyDescent="0.3">
      <c r="A512">
        <v>2</v>
      </c>
      <c r="B512">
        <v>198</v>
      </c>
      <c r="C512">
        <v>0</v>
      </c>
    </row>
    <row r="513" spans="1:3" x14ac:dyDescent="0.3">
      <c r="A513">
        <v>2</v>
      </c>
      <c r="B513">
        <v>199</v>
      </c>
      <c r="C513">
        <v>13</v>
      </c>
    </row>
    <row r="514" spans="1:3" x14ac:dyDescent="0.3">
      <c r="A514">
        <v>2</v>
      </c>
      <c r="B514">
        <v>200</v>
      </c>
      <c r="C514">
        <v>11</v>
      </c>
    </row>
    <row r="515" spans="1:3" x14ac:dyDescent="0.3">
      <c r="A515">
        <v>2</v>
      </c>
      <c r="B515">
        <v>201</v>
      </c>
      <c r="C515">
        <v>24</v>
      </c>
    </row>
    <row r="516" spans="1:3" x14ac:dyDescent="0.3">
      <c r="A516">
        <v>2</v>
      </c>
      <c r="B516">
        <v>202</v>
      </c>
      <c r="C516">
        <v>1</v>
      </c>
    </row>
    <row r="517" spans="1:3" x14ac:dyDescent="0.3">
      <c r="A517">
        <v>2</v>
      </c>
      <c r="B517">
        <v>203</v>
      </c>
      <c r="C517">
        <v>7</v>
      </c>
    </row>
    <row r="518" spans="1:3" x14ac:dyDescent="0.3">
      <c r="A518">
        <v>2</v>
      </c>
      <c r="B518">
        <v>204</v>
      </c>
      <c r="C518">
        <v>25</v>
      </c>
    </row>
    <row r="519" spans="1:3" x14ac:dyDescent="0.3">
      <c r="A519">
        <v>2</v>
      </c>
      <c r="B519">
        <v>205</v>
      </c>
      <c r="C519">
        <v>13</v>
      </c>
    </row>
    <row r="520" spans="1:3" x14ac:dyDescent="0.3">
      <c r="A520">
        <v>2</v>
      </c>
      <c r="B520">
        <v>206</v>
      </c>
      <c r="C520">
        <v>9</v>
      </c>
    </row>
    <row r="521" spans="1:3" x14ac:dyDescent="0.3">
      <c r="A521">
        <v>2</v>
      </c>
      <c r="B521">
        <v>207</v>
      </c>
      <c r="C521">
        <v>8</v>
      </c>
    </row>
    <row r="522" spans="1:3" x14ac:dyDescent="0.3">
      <c r="A522">
        <v>2</v>
      </c>
      <c r="B522">
        <v>208</v>
      </c>
      <c r="C522">
        <v>12</v>
      </c>
    </row>
    <row r="523" spans="1:3" x14ac:dyDescent="0.3">
      <c r="A523">
        <v>2</v>
      </c>
      <c r="B523">
        <v>209</v>
      </c>
      <c r="C523">
        <v>11</v>
      </c>
    </row>
    <row r="524" spans="1:3" x14ac:dyDescent="0.3">
      <c r="A524">
        <v>2</v>
      </c>
      <c r="B524">
        <v>210</v>
      </c>
      <c r="C524">
        <v>10</v>
      </c>
    </row>
    <row r="525" spans="1:3" x14ac:dyDescent="0.3">
      <c r="A525">
        <v>2</v>
      </c>
      <c r="B525">
        <v>211</v>
      </c>
      <c r="C525">
        <v>4</v>
      </c>
    </row>
    <row r="526" spans="1:3" x14ac:dyDescent="0.3">
      <c r="A526">
        <v>2</v>
      </c>
      <c r="B526">
        <v>212</v>
      </c>
      <c r="C526">
        <v>22</v>
      </c>
    </row>
    <row r="527" spans="1:3" x14ac:dyDescent="0.3">
      <c r="A527">
        <v>2</v>
      </c>
      <c r="B527">
        <v>213</v>
      </c>
      <c r="C527">
        <v>10</v>
      </c>
    </row>
    <row r="528" spans="1:3" x14ac:dyDescent="0.3">
      <c r="A528">
        <v>2</v>
      </c>
      <c r="B528">
        <v>214</v>
      </c>
      <c r="C528">
        <v>7</v>
      </c>
    </row>
    <row r="529" spans="1:3" x14ac:dyDescent="0.3">
      <c r="A529">
        <v>2</v>
      </c>
      <c r="B529">
        <v>215</v>
      </c>
      <c r="C529">
        <v>11</v>
      </c>
    </row>
    <row r="530" spans="1:3" x14ac:dyDescent="0.3">
      <c r="A530">
        <v>2</v>
      </c>
      <c r="B530">
        <v>216</v>
      </c>
      <c r="C530">
        <v>19</v>
      </c>
    </row>
    <row r="531" spans="1:3" x14ac:dyDescent="0.3">
      <c r="A531">
        <v>2</v>
      </c>
      <c r="B531">
        <v>217</v>
      </c>
      <c r="C531">
        <v>22</v>
      </c>
    </row>
    <row r="532" spans="1:3" x14ac:dyDescent="0.3">
      <c r="A532">
        <v>2</v>
      </c>
      <c r="B532">
        <v>218</v>
      </c>
      <c r="C532">
        <v>26</v>
      </c>
    </row>
    <row r="533" spans="1:3" x14ac:dyDescent="0.3">
      <c r="A533">
        <v>2</v>
      </c>
      <c r="B533">
        <v>219</v>
      </c>
      <c r="C533">
        <v>16</v>
      </c>
    </row>
    <row r="534" spans="1:3" x14ac:dyDescent="0.3">
      <c r="A534">
        <v>2</v>
      </c>
      <c r="B534">
        <v>220</v>
      </c>
      <c r="C534">
        <v>6</v>
      </c>
    </row>
    <row r="535" spans="1:3" x14ac:dyDescent="0.3">
      <c r="A535">
        <v>2</v>
      </c>
      <c r="B535">
        <v>221</v>
      </c>
      <c r="C535">
        <v>12</v>
      </c>
    </row>
    <row r="536" spans="1:3" x14ac:dyDescent="0.3">
      <c r="A536">
        <v>2</v>
      </c>
      <c r="B536">
        <v>222</v>
      </c>
      <c r="C536">
        <v>30</v>
      </c>
    </row>
    <row r="537" spans="1:3" x14ac:dyDescent="0.3">
      <c r="A537">
        <v>2</v>
      </c>
      <c r="B537">
        <v>223</v>
      </c>
      <c r="C537">
        <v>7</v>
      </c>
    </row>
    <row r="538" spans="1:3" x14ac:dyDescent="0.3">
      <c r="A538">
        <v>2</v>
      </c>
      <c r="B538">
        <v>224</v>
      </c>
      <c r="C538">
        <v>4</v>
      </c>
    </row>
    <row r="539" spans="1:3" x14ac:dyDescent="0.3">
      <c r="A539">
        <v>2</v>
      </c>
      <c r="B539">
        <v>225</v>
      </c>
      <c r="C539">
        <v>11</v>
      </c>
    </row>
    <row r="540" spans="1:3" x14ac:dyDescent="0.3">
      <c r="A540">
        <v>2</v>
      </c>
      <c r="B540">
        <v>226</v>
      </c>
      <c r="C540">
        <v>5</v>
      </c>
    </row>
    <row r="541" spans="1:3" x14ac:dyDescent="0.3">
      <c r="A541">
        <v>2</v>
      </c>
      <c r="B541">
        <v>227</v>
      </c>
      <c r="C541">
        <v>12</v>
      </c>
    </row>
    <row r="542" spans="1:3" x14ac:dyDescent="0.3">
      <c r="A542">
        <v>2</v>
      </c>
      <c r="B542">
        <v>228</v>
      </c>
      <c r="C542">
        <v>7</v>
      </c>
    </row>
    <row r="543" spans="1:3" x14ac:dyDescent="0.3">
      <c r="A543">
        <v>2</v>
      </c>
      <c r="B543">
        <v>229</v>
      </c>
      <c r="C543">
        <v>29</v>
      </c>
    </row>
    <row r="544" spans="1:3" x14ac:dyDescent="0.3">
      <c r="A544">
        <v>2</v>
      </c>
      <c r="B544">
        <v>230</v>
      </c>
      <c r="C544">
        <v>25</v>
      </c>
    </row>
    <row r="545" spans="1:3" x14ac:dyDescent="0.3">
      <c r="A545">
        <v>2</v>
      </c>
      <c r="B545">
        <v>231</v>
      </c>
      <c r="C545">
        <v>8</v>
      </c>
    </row>
    <row r="546" spans="1:3" x14ac:dyDescent="0.3">
      <c r="A546">
        <v>2</v>
      </c>
      <c r="B546">
        <v>232</v>
      </c>
      <c r="C546">
        <v>11</v>
      </c>
    </row>
    <row r="547" spans="1:3" x14ac:dyDescent="0.3">
      <c r="A547">
        <v>2</v>
      </c>
      <c r="B547">
        <v>233</v>
      </c>
      <c r="C547">
        <v>25</v>
      </c>
    </row>
    <row r="548" spans="1:3" x14ac:dyDescent="0.3">
      <c r="A548">
        <v>2</v>
      </c>
      <c r="B548">
        <v>234</v>
      </c>
      <c r="C548">
        <v>12</v>
      </c>
    </row>
    <row r="549" spans="1:3" x14ac:dyDescent="0.3">
      <c r="A549">
        <v>2</v>
      </c>
      <c r="B549">
        <v>235</v>
      </c>
      <c r="C549">
        <v>4</v>
      </c>
    </row>
    <row r="550" spans="1:3" x14ac:dyDescent="0.3">
      <c r="A550">
        <v>2</v>
      </c>
      <c r="B550">
        <v>236</v>
      </c>
      <c r="C550">
        <v>7</v>
      </c>
    </row>
    <row r="551" spans="1:3" x14ac:dyDescent="0.3">
      <c r="A551">
        <v>2</v>
      </c>
      <c r="B551">
        <v>237</v>
      </c>
      <c r="C551">
        <v>30</v>
      </c>
    </row>
    <row r="552" spans="1:3" x14ac:dyDescent="0.3">
      <c r="A552">
        <v>2</v>
      </c>
      <c r="B552">
        <v>238</v>
      </c>
      <c r="C552">
        <v>6</v>
      </c>
    </row>
    <row r="553" spans="1:3" x14ac:dyDescent="0.3">
      <c r="A553">
        <v>2</v>
      </c>
      <c r="B553">
        <v>239</v>
      </c>
      <c r="C553">
        <v>17</v>
      </c>
    </row>
    <row r="554" spans="1:3" x14ac:dyDescent="0.3">
      <c r="A554">
        <v>2</v>
      </c>
      <c r="B554">
        <v>240</v>
      </c>
      <c r="C554">
        <v>19</v>
      </c>
    </row>
    <row r="555" spans="1:3" x14ac:dyDescent="0.3">
      <c r="A555">
        <v>2</v>
      </c>
      <c r="B555">
        <v>241</v>
      </c>
      <c r="C555">
        <v>24</v>
      </c>
    </row>
    <row r="556" spans="1:3" x14ac:dyDescent="0.3">
      <c r="A556">
        <v>2</v>
      </c>
      <c r="B556">
        <v>242</v>
      </c>
      <c r="C556">
        <v>2</v>
      </c>
    </row>
    <row r="557" spans="1:3" x14ac:dyDescent="0.3">
      <c r="A557">
        <v>2</v>
      </c>
      <c r="B557">
        <v>243</v>
      </c>
      <c r="C557">
        <v>18</v>
      </c>
    </row>
    <row r="558" spans="1:3" x14ac:dyDescent="0.3">
      <c r="A558">
        <v>2</v>
      </c>
      <c r="B558">
        <v>244</v>
      </c>
      <c r="C558">
        <v>1</v>
      </c>
    </row>
    <row r="559" spans="1:3" x14ac:dyDescent="0.3">
      <c r="A559">
        <v>2</v>
      </c>
      <c r="B559">
        <v>245</v>
      </c>
      <c r="C559">
        <v>18</v>
      </c>
    </row>
    <row r="560" spans="1:3" x14ac:dyDescent="0.3">
      <c r="A560">
        <v>2</v>
      </c>
      <c r="B560">
        <v>246</v>
      </c>
      <c r="C560">
        <v>10</v>
      </c>
    </row>
    <row r="561" spans="1:3" x14ac:dyDescent="0.3">
      <c r="A561">
        <v>2</v>
      </c>
      <c r="B561">
        <v>247</v>
      </c>
      <c r="C561">
        <v>16</v>
      </c>
    </row>
    <row r="562" spans="1:3" x14ac:dyDescent="0.3">
      <c r="A562">
        <v>2</v>
      </c>
      <c r="B562">
        <v>248</v>
      </c>
      <c r="C562">
        <v>26</v>
      </c>
    </row>
    <row r="563" spans="1:3" x14ac:dyDescent="0.3">
      <c r="A563">
        <v>2</v>
      </c>
      <c r="B563">
        <v>249</v>
      </c>
      <c r="C563">
        <v>10</v>
      </c>
    </row>
    <row r="564" spans="1:3" x14ac:dyDescent="0.3">
      <c r="A564">
        <v>2</v>
      </c>
      <c r="B564">
        <v>250</v>
      </c>
      <c r="C564">
        <v>23</v>
      </c>
    </row>
    <row r="565" spans="1:3" x14ac:dyDescent="0.3">
      <c r="A565">
        <v>2</v>
      </c>
      <c r="B565">
        <v>251</v>
      </c>
      <c r="C565">
        <v>0</v>
      </c>
    </row>
    <row r="566" spans="1:3" x14ac:dyDescent="0.3">
      <c r="A566">
        <v>2</v>
      </c>
      <c r="B566">
        <v>252</v>
      </c>
      <c r="C566">
        <v>20</v>
      </c>
    </row>
    <row r="567" spans="1:3" x14ac:dyDescent="0.3">
      <c r="A567">
        <v>2</v>
      </c>
      <c r="B567">
        <v>253</v>
      </c>
      <c r="C567">
        <v>29</v>
      </c>
    </row>
    <row r="568" spans="1:3" x14ac:dyDescent="0.3">
      <c r="A568">
        <v>2</v>
      </c>
      <c r="B568">
        <v>254</v>
      </c>
      <c r="C568">
        <v>7</v>
      </c>
    </row>
    <row r="569" spans="1:3" x14ac:dyDescent="0.3">
      <c r="A569">
        <v>2</v>
      </c>
      <c r="B569">
        <v>255</v>
      </c>
      <c r="C569">
        <v>12</v>
      </c>
    </row>
    <row r="570" spans="1:3" x14ac:dyDescent="0.3">
      <c r="A570">
        <v>2</v>
      </c>
      <c r="B570">
        <v>256</v>
      </c>
      <c r="C570">
        <v>8</v>
      </c>
    </row>
    <row r="571" spans="1:3" x14ac:dyDescent="0.3">
      <c r="A571">
        <v>2</v>
      </c>
      <c r="B571">
        <v>257</v>
      </c>
      <c r="C571">
        <v>5</v>
      </c>
    </row>
    <row r="572" spans="1:3" x14ac:dyDescent="0.3">
      <c r="A572">
        <v>2</v>
      </c>
      <c r="B572">
        <v>258</v>
      </c>
      <c r="C572">
        <v>10</v>
      </c>
    </row>
    <row r="573" spans="1:3" x14ac:dyDescent="0.3">
      <c r="A573">
        <v>2</v>
      </c>
      <c r="B573">
        <v>259</v>
      </c>
      <c r="C573">
        <v>16</v>
      </c>
    </row>
    <row r="574" spans="1:3" x14ac:dyDescent="0.3">
      <c r="A574">
        <v>2</v>
      </c>
      <c r="B574">
        <v>260</v>
      </c>
      <c r="C574">
        <v>20</v>
      </c>
    </row>
    <row r="575" spans="1:3" x14ac:dyDescent="0.3">
      <c r="A575">
        <v>2</v>
      </c>
      <c r="B575">
        <v>261</v>
      </c>
      <c r="C575">
        <v>4</v>
      </c>
    </row>
    <row r="576" spans="1:3" x14ac:dyDescent="0.3">
      <c r="A576">
        <v>2</v>
      </c>
      <c r="B576">
        <v>262</v>
      </c>
      <c r="C576">
        <v>8</v>
      </c>
    </row>
    <row r="577" spans="1:3" x14ac:dyDescent="0.3">
      <c r="A577">
        <v>2</v>
      </c>
      <c r="B577">
        <v>263</v>
      </c>
      <c r="C577">
        <v>4</v>
      </c>
    </row>
    <row r="578" spans="1:3" x14ac:dyDescent="0.3">
      <c r="A578">
        <v>2</v>
      </c>
      <c r="B578">
        <v>264</v>
      </c>
      <c r="C578">
        <v>13</v>
      </c>
    </row>
    <row r="579" spans="1:3" x14ac:dyDescent="0.3">
      <c r="A579">
        <v>2</v>
      </c>
      <c r="B579">
        <v>265</v>
      </c>
      <c r="C579">
        <v>4</v>
      </c>
    </row>
    <row r="580" spans="1:3" x14ac:dyDescent="0.3">
      <c r="A580">
        <v>2</v>
      </c>
      <c r="B580">
        <v>266</v>
      </c>
      <c r="C580">
        <v>18</v>
      </c>
    </row>
    <row r="581" spans="1:3" x14ac:dyDescent="0.3">
      <c r="A581">
        <v>2</v>
      </c>
      <c r="B581">
        <v>267</v>
      </c>
      <c r="C581">
        <v>21</v>
      </c>
    </row>
    <row r="582" spans="1:3" x14ac:dyDescent="0.3">
      <c r="A582">
        <v>2</v>
      </c>
      <c r="B582">
        <v>268</v>
      </c>
      <c r="C582">
        <v>3</v>
      </c>
    </row>
    <row r="583" spans="1:3" x14ac:dyDescent="0.3">
      <c r="A583">
        <v>2</v>
      </c>
      <c r="B583">
        <v>269</v>
      </c>
      <c r="C583">
        <v>4</v>
      </c>
    </row>
    <row r="584" spans="1:3" x14ac:dyDescent="0.3">
      <c r="A584">
        <v>2</v>
      </c>
      <c r="B584">
        <v>270</v>
      </c>
      <c r="C584">
        <v>15</v>
      </c>
    </row>
    <row r="585" spans="1:3" x14ac:dyDescent="0.3">
      <c r="A585">
        <v>2</v>
      </c>
      <c r="B585">
        <v>271</v>
      </c>
      <c r="C585">
        <v>26</v>
      </c>
    </row>
    <row r="586" spans="1:3" x14ac:dyDescent="0.3">
      <c r="A586">
        <v>2</v>
      </c>
      <c r="B586">
        <v>272</v>
      </c>
      <c r="C586">
        <v>1</v>
      </c>
    </row>
    <row r="587" spans="1:3" x14ac:dyDescent="0.3">
      <c r="A587">
        <v>2</v>
      </c>
      <c r="B587">
        <v>273</v>
      </c>
      <c r="C587">
        <v>28</v>
      </c>
    </row>
    <row r="588" spans="1:3" x14ac:dyDescent="0.3">
      <c r="A588">
        <v>2</v>
      </c>
      <c r="B588">
        <v>274</v>
      </c>
      <c r="C588">
        <v>15</v>
      </c>
    </row>
    <row r="589" spans="1:3" x14ac:dyDescent="0.3">
      <c r="A589">
        <v>2</v>
      </c>
      <c r="B589">
        <v>275</v>
      </c>
      <c r="C589">
        <v>3</v>
      </c>
    </row>
    <row r="590" spans="1:3" x14ac:dyDescent="0.3">
      <c r="A590">
        <v>2</v>
      </c>
      <c r="B590">
        <v>276</v>
      </c>
      <c r="C590">
        <v>9</v>
      </c>
    </row>
    <row r="591" spans="1:3" x14ac:dyDescent="0.3">
      <c r="A591">
        <v>2</v>
      </c>
      <c r="B591">
        <v>277</v>
      </c>
      <c r="C591">
        <v>4</v>
      </c>
    </row>
    <row r="592" spans="1:3" x14ac:dyDescent="0.3">
      <c r="A592">
        <v>2</v>
      </c>
      <c r="B592">
        <v>278</v>
      </c>
      <c r="C592">
        <v>8</v>
      </c>
    </row>
    <row r="593" spans="1:3" x14ac:dyDescent="0.3">
      <c r="A593">
        <v>2</v>
      </c>
      <c r="B593">
        <v>279</v>
      </c>
      <c r="C593">
        <v>18</v>
      </c>
    </row>
    <row r="594" spans="1:3" x14ac:dyDescent="0.3">
      <c r="A594">
        <v>2</v>
      </c>
      <c r="B594">
        <v>280</v>
      </c>
      <c r="C594">
        <v>11</v>
      </c>
    </row>
    <row r="595" spans="1:3" x14ac:dyDescent="0.3">
      <c r="A595">
        <v>2</v>
      </c>
      <c r="B595">
        <v>281</v>
      </c>
      <c r="C595">
        <v>3</v>
      </c>
    </row>
    <row r="596" spans="1:3" x14ac:dyDescent="0.3">
      <c r="A596">
        <v>2</v>
      </c>
      <c r="B596">
        <v>282</v>
      </c>
      <c r="C596">
        <v>8</v>
      </c>
    </row>
    <row r="597" spans="1:3" x14ac:dyDescent="0.3">
      <c r="A597">
        <v>2</v>
      </c>
      <c r="B597">
        <v>283</v>
      </c>
      <c r="C597">
        <v>28</v>
      </c>
    </row>
    <row r="598" spans="1:3" x14ac:dyDescent="0.3">
      <c r="A598">
        <v>2</v>
      </c>
      <c r="B598">
        <v>284</v>
      </c>
      <c r="C598">
        <v>6</v>
      </c>
    </row>
    <row r="599" spans="1:3" x14ac:dyDescent="0.3">
      <c r="A599">
        <v>2</v>
      </c>
      <c r="B599">
        <v>285</v>
      </c>
      <c r="C599">
        <v>22</v>
      </c>
    </row>
    <row r="600" spans="1:3" x14ac:dyDescent="0.3">
      <c r="A600">
        <v>2</v>
      </c>
      <c r="B600">
        <v>286</v>
      </c>
      <c r="C600">
        <v>3</v>
      </c>
    </row>
    <row r="601" spans="1:3" x14ac:dyDescent="0.3">
      <c r="A601">
        <v>2</v>
      </c>
      <c r="B601">
        <v>287</v>
      </c>
      <c r="C601">
        <v>15</v>
      </c>
    </row>
    <row r="602" spans="1:3" x14ac:dyDescent="0.3">
      <c r="A602">
        <v>2</v>
      </c>
      <c r="B602">
        <v>288</v>
      </c>
      <c r="C602">
        <v>13</v>
      </c>
    </row>
    <row r="603" spans="1:3" x14ac:dyDescent="0.3">
      <c r="A603">
        <v>2</v>
      </c>
      <c r="B603">
        <v>289</v>
      </c>
      <c r="C603">
        <v>5</v>
      </c>
    </row>
    <row r="604" spans="1:3" x14ac:dyDescent="0.3">
      <c r="A604">
        <v>2</v>
      </c>
      <c r="B604">
        <v>290</v>
      </c>
      <c r="C604">
        <v>29</v>
      </c>
    </row>
    <row r="605" spans="1:3" x14ac:dyDescent="0.3">
      <c r="A605">
        <v>2</v>
      </c>
      <c r="B605">
        <v>291</v>
      </c>
      <c r="C605">
        <v>22</v>
      </c>
    </row>
    <row r="606" spans="1:3" x14ac:dyDescent="0.3">
      <c r="A606">
        <v>2</v>
      </c>
      <c r="B606">
        <v>292</v>
      </c>
      <c r="C606">
        <v>22</v>
      </c>
    </row>
    <row r="607" spans="1:3" x14ac:dyDescent="0.3">
      <c r="A607">
        <v>2</v>
      </c>
      <c r="B607">
        <v>293</v>
      </c>
      <c r="C607">
        <v>12</v>
      </c>
    </row>
    <row r="608" spans="1:3" x14ac:dyDescent="0.3">
      <c r="A608">
        <v>2</v>
      </c>
      <c r="B608">
        <v>294</v>
      </c>
      <c r="C608">
        <v>7</v>
      </c>
    </row>
    <row r="609" spans="1:3" x14ac:dyDescent="0.3">
      <c r="A609">
        <v>2</v>
      </c>
      <c r="B609">
        <v>295</v>
      </c>
      <c r="C609">
        <v>15</v>
      </c>
    </row>
    <row r="610" spans="1:3" x14ac:dyDescent="0.3">
      <c r="A610">
        <v>2</v>
      </c>
      <c r="B610">
        <v>296</v>
      </c>
      <c r="C610">
        <v>8</v>
      </c>
    </row>
    <row r="611" spans="1:3" x14ac:dyDescent="0.3">
      <c r="A611">
        <v>2</v>
      </c>
      <c r="B611">
        <v>297</v>
      </c>
      <c r="C611">
        <v>7</v>
      </c>
    </row>
    <row r="612" spans="1:3" x14ac:dyDescent="0.3">
      <c r="A612">
        <v>2</v>
      </c>
      <c r="B612">
        <v>298</v>
      </c>
      <c r="C612">
        <v>27</v>
      </c>
    </row>
    <row r="613" spans="1:3" x14ac:dyDescent="0.3">
      <c r="A613">
        <v>2</v>
      </c>
      <c r="B613">
        <v>299</v>
      </c>
      <c r="C613">
        <v>0</v>
      </c>
    </row>
    <row r="614" spans="1:3" x14ac:dyDescent="0.3">
      <c r="A614">
        <v>2</v>
      </c>
      <c r="B614">
        <v>300</v>
      </c>
      <c r="C614">
        <v>13</v>
      </c>
    </row>
    <row r="615" spans="1:3" x14ac:dyDescent="0.3">
      <c r="A615">
        <v>2</v>
      </c>
      <c r="B615">
        <v>301</v>
      </c>
      <c r="C615">
        <v>26</v>
      </c>
    </row>
    <row r="616" spans="1:3" x14ac:dyDescent="0.3">
      <c r="A616">
        <v>2</v>
      </c>
      <c r="B616">
        <v>302</v>
      </c>
      <c r="C616">
        <v>6</v>
      </c>
    </row>
    <row r="617" spans="1:3" x14ac:dyDescent="0.3">
      <c r="A617">
        <v>2</v>
      </c>
      <c r="B617">
        <v>303</v>
      </c>
      <c r="C617">
        <v>23</v>
      </c>
    </row>
    <row r="618" spans="1:3" x14ac:dyDescent="0.3">
      <c r="A618">
        <v>2</v>
      </c>
      <c r="B618">
        <v>304</v>
      </c>
      <c r="C618">
        <v>6</v>
      </c>
    </row>
    <row r="619" spans="1:3" x14ac:dyDescent="0.3">
      <c r="A619">
        <v>2</v>
      </c>
      <c r="B619">
        <v>305</v>
      </c>
      <c r="C619">
        <v>21</v>
      </c>
    </row>
    <row r="620" spans="1:3" x14ac:dyDescent="0.3">
      <c r="A620">
        <v>2</v>
      </c>
      <c r="B620">
        <v>306</v>
      </c>
      <c r="C620">
        <v>17</v>
      </c>
    </row>
    <row r="621" spans="1:3" x14ac:dyDescent="0.3">
      <c r="A621">
        <v>2</v>
      </c>
      <c r="B621">
        <v>307</v>
      </c>
      <c r="C621">
        <v>18</v>
      </c>
    </row>
    <row r="622" spans="1:3" x14ac:dyDescent="0.3">
      <c r="A622">
        <v>2</v>
      </c>
      <c r="B622">
        <v>308</v>
      </c>
      <c r="C622">
        <v>15</v>
      </c>
    </row>
    <row r="623" spans="1:3" x14ac:dyDescent="0.3">
      <c r="A623">
        <v>2</v>
      </c>
      <c r="B623">
        <v>309</v>
      </c>
      <c r="C623">
        <v>9</v>
      </c>
    </row>
    <row r="624" spans="1:3" x14ac:dyDescent="0.3">
      <c r="A624">
        <v>2</v>
      </c>
      <c r="B624">
        <v>310</v>
      </c>
      <c r="C624">
        <v>5</v>
      </c>
    </row>
    <row r="625" spans="1:3" x14ac:dyDescent="0.3">
      <c r="A625">
        <v>2</v>
      </c>
      <c r="B625">
        <v>311</v>
      </c>
      <c r="C625">
        <v>27</v>
      </c>
    </row>
    <row r="626" spans="1:3" x14ac:dyDescent="0.3">
      <c r="A626">
        <v>2</v>
      </c>
      <c r="B626">
        <v>312</v>
      </c>
      <c r="C626">
        <v>2</v>
      </c>
    </row>
    <row r="627" spans="1:3" x14ac:dyDescent="0.3">
      <c r="A627">
        <v>2</v>
      </c>
      <c r="B627">
        <v>313</v>
      </c>
      <c r="C627">
        <v>24</v>
      </c>
    </row>
    <row r="628" spans="1:3" x14ac:dyDescent="0.3">
      <c r="A628">
        <v>3</v>
      </c>
      <c r="B628">
        <v>1</v>
      </c>
      <c r="C628">
        <v>14</v>
      </c>
    </row>
    <row r="629" spans="1:3" x14ac:dyDescent="0.3">
      <c r="A629">
        <v>3</v>
      </c>
      <c r="B629">
        <v>2</v>
      </c>
      <c r="C629">
        <v>24</v>
      </c>
    </row>
    <row r="630" spans="1:3" x14ac:dyDescent="0.3">
      <c r="A630">
        <v>3</v>
      </c>
      <c r="B630">
        <v>3</v>
      </c>
      <c r="C630">
        <v>0</v>
      </c>
    </row>
    <row r="631" spans="1:3" x14ac:dyDescent="0.3">
      <c r="A631">
        <v>3</v>
      </c>
      <c r="B631">
        <v>4</v>
      </c>
      <c r="C631">
        <v>11</v>
      </c>
    </row>
    <row r="632" spans="1:3" x14ac:dyDescent="0.3">
      <c r="A632">
        <v>3</v>
      </c>
      <c r="B632">
        <v>5</v>
      </c>
      <c r="C632">
        <v>3</v>
      </c>
    </row>
    <row r="633" spans="1:3" x14ac:dyDescent="0.3">
      <c r="A633">
        <v>3</v>
      </c>
      <c r="B633">
        <v>6</v>
      </c>
      <c r="C633">
        <v>27</v>
      </c>
    </row>
    <row r="634" spans="1:3" x14ac:dyDescent="0.3">
      <c r="A634">
        <v>3</v>
      </c>
      <c r="B634">
        <v>7</v>
      </c>
      <c r="C634">
        <v>12</v>
      </c>
    </row>
    <row r="635" spans="1:3" x14ac:dyDescent="0.3">
      <c r="A635">
        <v>3</v>
      </c>
      <c r="B635">
        <v>8</v>
      </c>
      <c r="C635">
        <v>12</v>
      </c>
    </row>
    <row r="636" spans="1:3" x14ac:dyDescent="0.3">
      <c r="A636">
        <v>3</v>
      </c>
      <c r="B636">
        <v>9</v>
      </c>
      <c r="C636">
        <v>23</v>
      </c>
    </row>
    <row r="637" spans="1:3" x14ac:dyDescent="0.3">
      <c r="A637">
        <v>3</v>
      </c>
      <c r="B637">
        <v>10</v>
      </c>
      <c r="C637">
        <v>21</v>
      </c>
    </row>
    <row r="638" spans="1:3" x14ac:dyDescent="0.3">
      <c r="A638">
        <v>3</v>
      </c>
      <c r="B638">
        <v>11</v>
      </c>
      <c r="C638">
        <v>30</v>
      </c>
    </row>
    <row r="639" spans="1:3" x14ac:dyDescent="0.3">
      <c r="A639">
        <v>3</v>
      </c>
      <c r="B639">
        <v>12</v>
      </c>
      <c r="C639">
        <v>30</v>
      </c>
    </row>
    <row r="640" spans="1:3" x14ac:dyDescent="0.3">
      <c r="A640">
        <v>3</v>
      </c>
      <c r="B640">
        <v>13</v>
      </c>
      <c r="C640">
        <v>19</v>
      </c>
    </row>
    <row r="641" spans="1:3" x14ac:dyDescent="0.3">
      <c r="A641">
        <v>3</v>
      </c>
      <c r="B641">
        <v>14</v>
      </c>
      <c r="C641">
        <v>4</v>
      </c>
    </row>
    <row r="642" spans="1:3" x14ac:dyDescent="0.3">
      <c r="A642">
        <v>3</v>
      </c>
      <c r="B642">
        <v>15</v>
      </c>
      <c r="C642">
        <v>22</v>
      </c>
    </row>
    <row r="643" spans="1:3" x14ac:dyDescent="0.3">
      <c r="A643">
        <v>3</v>
      </c>
      <c r="B643">
        <v>16</v>
      </c>
      <c r="C643">
        <v>19</v>
      </c>
    </row>
    <row r="644" spans="1:3" x14ac:dyDescent="0.3">
      <c r="A644">
        <v>3</v>
      </c>
      <c r="B644">
        <v>17</v>
      </c>
      <c r="C644">
        <v>22</v>
      </c>
    </row>
    <row r="645" spans="1:3" x14ac:dyDescent="0.3">
      <c r="A645">
        <v>3</v>
      </c>
      <c r="B645">
        <v>18</v>
      </c>
      <c r="C645">
        <v>5</v>
      </c>
    </row>
    <row r="646" spans="1:3" x14ac:dyDescent="0.3">
      <c r="A646">
        <v>3</v>
      </c>
      <c r="B646">
        <v>19</v>
      </c>
      <c r="C646">
        <v>24</v>
      </c>
    </row>
    <row r="647" spans="1:3" x14ac:dyDescent="0.3">
      <c r="A647">
        <v>3</v>
      </c>
      <c r="B647">
        <v>20</v>
      </c>
      <c r="C647">
        <v>19</v>
      </c>
    </row>
    <row r="648" spans="1:3" x14ac:dyDescent="0.3">
      <c r="A648">
        <v>3</v>
      </c>
      <c r="B648">
        <v>21</v>
      </c>
      <c r="C648">
        <v>8</v>
      </c>
    </row>
    <row r="649" spans="1:3" x14ac:dyDescent="0.3">
      <c r="A649">
        <v>3</v>
      </c>
      <c r="B649">
        <v>22</v>
      </c>
      <c r="C649">
        <v>20</v>
      </c>
    </row>
    <row r="650" spans="1:3" x14ac:dyDescent="0.3">
      <c r="A650">
        <v>3</v>
      </c>
      <c r="B650">
        <v>23</v>
      </c>
      <c r="C650">
        <v>8</v>
      </c>
    </row>
    <row r="651" spans="1:3" x14ac:dyDescent="0.3">
      <c r="A651">
        <v>3</v>
      </c>
      <c r="B651">
        <v>24</v>
      </c>
      <c r="C651">
        <v>18</v>
      </c>
    </row>
    <row r="652" spans="1:3" x14ac:dyDescent="0.3">
      <c r="A652">
        <v>3</v>
      </c>
      <c r="B652">
        <v>25</v>
      </c>
      <c r="C652">
        <v>15</v>
      </c>
    </row>
    <row r="653" spans="1:3" x14ac:dyDescent="0.3">
      <c r="A653">
        <v>3</v>
      </c>
      <c r="B653">
        <v>26</v>
      </c>
      <c r="C653">
        <v>27</v>
      </c>
    </row>
    <row r="654" spans="1:3" x14ac:dyDescent="0.3">
      <c r="A654">
        <v>3</v>
      </c>
      <c r="B654">
        <v>27</v>
      </c>
      <c r="C654">
        <v>21</v>
      </c>
    </row>
    <row r="655" spans="1:3" x14ac:dyDescent="0.3">
      <c r="A655">
        <v>3</v>
      </c>
      <c r="B655">
        <v>28</v>
      </c>
      <c r="C655">
        <v>20</v>
      </c>
    </row>
    <row r="656" spans="1:3" x14ac:dyDescent="0.3">
      <c r="A656">
        <v>3</v>
      </c>
      <c r="B656">
        <v>29</v>
      </c>
      <c r="C656">
        <v>11</v>
      </c>
    </row>
    <row r="657" spans="1:3" x14ac:dyDescent="0.3">
      <c r="A657">
        <v>3</v>
      </c>
      <c r="B657">
        <v>30</v>
      </c>
      <c r="C657">
        <v>23</v>
      </c>
    </row>
    <row r="658" spans="1:3" x14ac:dyDescent="0.3">
      <c r="A658">
        <v>3</v>
      </c>
      <c r="B658">
        <v>31</v>
      </c>
      <c r="C658">
        <v>10</v>
      </c>
    </row>
    <row r="659" spans="1:3" x14ac:dyDescent="0.3">
      <c r="A659">
        <v>3</v>
      </c>
      <c r="B659">
        <v>32</v>
      </c>
      <c r="C659">
        <v>14</v>
      </c>
    </row>
    <row r="660" spans="1:3" x14ac:dyDescent="0.3">
      <c r="A660">
        <v>3</v>
      </c>
      <c r="B660">
        <v>33</v>
      </c>
      <c r="C660">
        <v>14</v>
      </c>
    </row>
    <row r="661" spans="1:3" x14ac:dyDescent="0.3">
      <c r="A661">
        <v>3</v>
      </c>
      <c r="B661">
        <v>34</v>
      </c>
      <c r="C661">
        <v>6</v>
      </c>
    </row>
    <row r="662" spans="1:3" x14ac:dyDescent="0.3">
      <c r="A662">
        <v>3</v>
      </c>
      <c r="B662">
        <v>35</v>
      </c>
      <c r="C662">
        <v>3</v>
      </c>
    </row>
    <row r="663" spans="1:3" x14ac:dyDescent="0.3">
      <c r="A663">
        <v>3</v>
      </c>
      <c r="B663">
        <v>36</v>
      </c>
      <c r="C663">
        <v>28</v>
      </c>
    </row>
    <row r="664" spans="1:3" x14ac:dyDescent="0.3">
      <c r="A664">
        <v>3</v>
      </c>
      <c r="B664">
        <v>37</v>
      </c>
      <c r="C664">
        <v>30</v>
      </c>
    </row>
    <row r="665" spans="1:3" x14ac:dyDescent="0.3">
      <c r="A665">
        <v>3</v>
      </c>
      <c r="B665">
        <v>38</v>
      </c>
      <c r="C665">
        <v>23</v>
      </c>
    </row>
    <row r="666" spans="1:3" x14ac:dyDescent="0.3">
      <c r="A666">
        <v>3</v>
      </c>
      <c r="B666">
        <v>39</v>
      </c>
      <c r="C666">
        <v>22</v>
      </c>
    </row>
    <row r="667" spans="1:3" x14ac:dyDescent="0.3">
      <c r="A667">
        <v>3</v>
      </c>
      <c r="B667">
        <v>40</v>
      </c>
      <c r="C667">
        <v>2</v>
      </c>
    </row>
    <row r="668" spans="1:3" x14ac:dyDescent="0.3">
      <c r="A668">
        <v>3</v>
      </c>
      <c r="B668">
        <v>41</v>
      </c>
      <c r="C668">
        <v>25</v>
      </c>
    </row>
    <row r="669" spans="1:3" x14ac:dyDescent="0.3">
      <c r="A669">
        <v>3</v>
      </c>
      <c r="B669">
        <v>42</v>
      </c>
      <c r="C669">
        <v>9</v>
      </c>
    </row>
    <row r="670" spans="1:3" x14ac:dyDescent="0.3">
      <c r="A670">
        <v>3</v>
      </c>
      <c r="B670">
        <v>43</v>
      </c>
      <c r="C670">
        <v>26</v>
      </c>
    </row>
    <row r="671" spans="1:3" x14ac:dyDescent="0.3">
      <c r="A671">
        <v>3</v>
      </c>
      <c r="B671">
        <v>44</v>
      </c>
      <c r="C671">
        <v>26</v>
      </c>
    </row>
    <row r="672" spans="1:3" x14ac:dyDescent="0.3">
      <c r="A672">
        <v>3</v>
      </c>
      <c r="B672">
        <v>45</v>
      </c>
      <c r="C672">
        <v>1</v>
      </c>
    </row>
    <row r="673" spans="1:3" x14ac:dyDescent="0.3">
      <c r="A673">
        <v>3</v>
      </c>
      <c r="B673">
        <v>46</v>
      </c>
      <c r="C673">
        <v>16</v>
      </c>
    </row>
    <row r="674" spans="1:3" x14ac:dyDescent="0.3">
      <c r="A674">
        <v>3</v>
      </c>
      <c r="B674">
        <v>47</v>
      </c>
      <c r="C674">
        <v>14</v>
      </c>
    </row>
    <row r="675" spans="1:3" x14ac:dyDescent="0.3">
      <c r="A675">
        <v>3</v>
      </c>
      <c r="B675">
        <v>48</v>
      </c>
      <c r="C675">
        <v>2</v>
      </c>
    </row>
    <row r="676" spans="1:3" x14ac:dyDescent="0.3">
      <c r="A676">
        <v>3</v>
      </c>
      <c r="B676">
        <v>49</v>
      </c>
      <c r="C676">
        <v>4</v>
      </c>
    </row>
    <row r="677" spans="1:3" x14ac:dyDescent="0.3">
      <c r="A677">
        <v>3</v>
      </c>
      <c r="B677">
        <v>50</v>
      </c>
      <c r="C677">
        <v>25</v>
      </c>
    </row>
    <row r="678" spans="1:3" x14ac:dyDescent="0.3">
      <c r="A678">
        <v>3</v>
      </c>
      <c r="B678">
        <v>51</v>
      </c>
      <c r="C678">
        <v>2</v>
      </c>
    </row>
    <row r="679" spans="1:3" x14ac:dyDescent="0.3">
      <c r="A679">
        <v>3</v>
      </c>
      <c r="B679">
        <v>52</v>
      </c>
      <c r="C679">
        <v>8</v>
      </c>
    </row>
    <row r="680" spans="1:3" x14ac:dyDescent="0.3">
      <c r="A680">
        <v>3</v>
      </c>
      <c r="B680">
        <v>53</v>
      </c>
      <c r="C680">
        <v>6</v>
      </c>
    </row>
    <row r="681" spans="1:3" x14ac:dyDescent="0.3">
      <c r="A681">
        <v>3</v>
      </c>
      <c r="B681">
        <v>54</v>
      </c>
      <c r="C681">
        <v>13</v>
      </c>
    </row>
    <row r="682" spans="1:3" x14ac:dyDescent="0.3">
      <c r="A682">
        <v>3</v>
      </c>
      <c r="B682">
        <v>55</v>
      </c>
      <c r="C682">
        <v>5</v>
      </c>
    </row>
    <row r="683" spans="1:3" x14ac:dyDescent="0.3">
      <c r="A683">
        <v>3</v>
      </c>
      <c r="B683">
        <v>56</v>
      </c>
      <c r="C683">
        <v>19</v>
      </c>
    </row>
    <row r="684" spans="1:3" x14ac:dyDescent="0.3">
      <c r="A684">
        <v>3</v>
      </c>
      <c r="B684">
        <v>57</v>
      </c>
      <c r="C684">
        <v>9</v>
      </c>
    </row>
    <row r="685" spans="1:3" x14ac:dyDescent="0.3">
      <c r="A685">
        <v>3</v>
      </c>
      <c r="B685">
        <v>58</v>
      </c>
      <c r="C685">
        <v>27</v>
      </c>
    </row>
    <row r="686" spans="1:3" x14ac:dyDescent="0.3">
      <c r="A686">
        <v>3</v>
      </c>
      <c r="B686">
        <v>59</v>
      </c>
      <c r="C686">
        <v>0</v>
      </c>
    </row>
    <row r="687" spans="1:3" x14ac:dyDescent="0.3">
      <c r="A687">
        <v>3</v>
      </c>
      <c r="B687">
        <v>60</v>
      </c>
      <c r="C687">
        <v>7</v>
      </c>
    </row>
    <row r="688" spans="1:3" x14ac:dyDescent="0.3">
      <c r="A688">
        <v>3</v>
      </c>
      <c r="B688">
        <v>61</v>
      </c>
      <c r="C688">
        <v>28</v>
      </c>
    </row>
    <row r="689" spans="1:3" x14ac:dyDescent="0.3">
      <c r="A689">
        <v>3</v>
      </c>
      <c r="B689">
        <v>62</v>
      </c>
      <c r="C689">
        <v>4</v>
      </c>
    </row>
    <row r="690" spans="1:3" x14ac:dyDescent="0.3">
      <c r="A690">
        <v>3</v>
      </c>
      <c r="B690">
        <v>63</v>
      </c>
      <c r="C690">
        <v>8</v>
      </c>
    </row>
    <row r="691" spans="1:3" x14ac:dyDescent="0.3">
      <c r="A691">
        <v>3</v>
      </c>
      <c r="B691">
        <v>64</v>
      </c>
      <c r="C691">
        <v>22</v>
      </c>
    </row>
    <row r="692" spans="1:3" x14ac:dyDescent="0.3">
      <c r="A692">
        <v>3</v>
      </c>
      <c r="B692">
        <v>65</v>
      </c>
      <c r="C692">
        <v>1</v>
      </c>
    </row>
    <row r="693" spans="1:3" x14ac:dyDescent="0.3">
      <c r="A693">
        <v>3</v>
      </c>
      <c r="B693">
        <v>66</v>
      </c>
      <c r="C693">
        <v>3</v>
      </c>
    </row>
    <row r="694" spans="1:3" x14ac:dyDescent="0.3">
      <c r="A694">
        <v>3</v>
      </c>
      <c r="B694">
        <v>67</v>
      </c>
      <c r="C694">
        <v>6</v>
      </c>
    </row>
    <row r="695" spans="1:3" x14ac:dyDescent="0.3">
      <c r="A695">
        <v>3</v>
      </c>
      <c r="B695">
        <v>68</v>
      </c>
      <c r="C695">
        <v>18</v>
      </c>
    </row>
    <row r="696" spans="1:3" x14ac:dyDescent="0.3">
      <c r="A696">
        <v>3</v>
      </c>
      <c r="B696">
        <v>69</v>
      </c>
      <c r="C696">
        <v>29</v>
      </c>
    </row>
    <row r="697" spans="1:3" x14ac:dyDescent="0.3">
      <c r="A697">
        <v>3</v>
      </c>
      <c r="B697">
        <v>70</v>
      </c>
      <c r="C697">
        <v>2</v>
      </c>
    </row>
    <row r="698" spans="1:3" x14ac:dyDescent="0.3">
      <c r="A698">
        <v>3</v>
      </c>
      <c r="B698">
        <v>71</v>
      </c>
      <c r="C698">
        <v>13</v>
      </c>
    </row>
    <row r="699" spans="1:3" x14ac:dyDescent="0.3">
      <c r="A699">
        <v>3</v>
      </c>
      <c r="B699">
        <v>72</v>
      </c>
      <c r="C699">
        <v>6</v>
      </c>
    </row>
    <row r="700" spans="1:3" x14ac:dyDescent="0.3">
      <c r="A700">
        <v>3</v>
      </c>
      <c r="B700">
        <v>73</v>
      </c>
      <c r="C700">
        <v>3</v>
      </c>
    </row>
    <row r="701" spans="1:3" x14ac:dyDescent="0.3">
      <c r="A701">
        <v>3</v>
      </c>
      <c r="B701">
        <v>74</v>
      </c>
      <c r="C701">
        <v>17</v>
      </c>
    </row>
    <row r="702" spans="1:3" x14ac:dyDescent="0.3">
      <c r="A702">
        <v>3</v>
      </c>
      <c r="B702">
        <v>75</v>
      </c>
      <c r="C702">
        <v>29</v>
      </c>
    </row>
    <row r="703" spans="1:3" x14ac:dyDescent="0.3">
      <c r="A703">
        <v>3</v>
      </c>
      <c r="B703">
        <v>76</v>
      </c>
      <c r="C703">
        <v>23</v>
      </c>
    </row>
    <row r="704" spans="1:3" x14ac:dyDescent="0.3">
      <c r="A704">
        <v>3</v>
      </c>
      <c r="B704">
        <v>77</v>
      </c>
      <c r="C704">
        <v>23</v>
      </c>
    </row>
    <row r="705" spans="1:3" x14ac:dyDescent="0.3">
      <c r="A705">
        <v>3</v>
      </c>
      <c r="B705">
        <v>78</v>
      </c>
      <c r="C705">
        <v>19</v>
      </c>
    </row>
    <row r="706" spans="1:3" x14ac:dyDescent="0.3">
      <c r="A706">
        <v>3</v>
      </c>
      <c r="B706">
        <v>79</v>
      </c>
      <c r="C706">
        <v>29</v>
      </c>
    </row>
    <row r="707" spans="1:3" x14ac:dyDescent="0.3">
      <c r="A707">
        <v>3</v>
      </c>
      <c r="B707">
        <v>80</v>
      </c>
      <c r="C707">
        <v>22</v>
      </c>
    </row>
    <row r="708" spans="1:3" x14ac:dyDescent="0.3">
      <c r="A708">
        <v>3</v>
      </c>
      <c r="B708">
        <v>81</v>
      </c>
      <c r="C708">
        <v>18</v>
      </c>
    </row>
    <row r="709" spans="1:3" x14ac:dyDescent="0.3">
      <c r="A709">
        <v>3</v>
      </c>
      <c r="B709">
        <v>82</v>
      </c>
      <c r="C709">
        <v>7</v>
      </c>
    </row>
    <row r="710" spans="1:3" x14ac:dyDescent="0.3">
      <c r="A710">
        <v>3</v>
      </c>
      <c r="B710">
        <v>83</v>
      </c>
      <c r="C710">
        <v>23</v>
      </c>
    </row>
    <row r="711" spans="1:3" x14ac:dyDescent="0.3">
      <c r="A711">
        <v>3</v>
      </c>
      <c r="B711">
        <v>84</v>
      </c>
      <c r="C711">
        <v>15</v>
      </c>
    </row>
    <row r="712" spans="1:3" x14ac:dyDescent="0.3">
      <c r="A712">
        <v>3</v>
      </c>
      <c r="B712">
        <v>85</v>
      </c>
      <c r="C712">
        <v>15</v>
      </c>
    </row>
    <row r="713" spans="1:3" x14ac:dyDescent="0.3">
      <c r="A713">
        <v>3</v>
      </c>
      <c r="B713">
        <v>86</v>
      </c>
      <c r="C713">
        <v>27</v>
      </c>
    </row>
    <row r="714" spans="1:3" x14ac:dyDescent="0.3">
      <c r="A714">
        <v>3</v>
      </c>
      <c r="B714">
        <v>87</v>
      </c>
      <c r="C714">
        <v>16</v>
      </c>
    </row>
    <row r="715" spans="1:3" x14ac:dyDescent="0.3">
      <c r="A715">
        <v>3</v>
      </c>
      <c r="B715">
        <v>88</v>
      </c>
      <c r="C715">
        <v>28</v>
      </c>
    </row>
    <row r="716" spans="1:3" x14ac:dyDescent="0.3">
      <c r="A716">
        <v>3</v>
      </c>
      <c r="B716">
        <v>89</v>
      </c>
      <c r="C716">
        <v>22</v>
      </c>
    </row>
    <row r="717" spans="1:3" x14ac:dyDescent="0.3">
      <c r="A717">
        <v>3</v>
      </c>
      <c r="B717">
        <v>90</v>
      </c>
      <c r="C717">
        <v>9</v>
      </c>
    </row>
    <row r="718" spans="1:3" x14ac:dyDescent="0.3">
      <c r="A718">
        <v>3</v>
      </c>
      <c r="B718">
        <v>91</v>
      </c>
      <c r="C718">
        <v>8</v>
      </c>
    </row>
    <row r="719" spans="1:3" x14ac:dyDescent="0.3">
      <c r="A719">
        <v>3</v>
      </c>
      <c r="B719">
        <v>92</v>
      </c>
      <c r="C719">
        <v>28</v>
      </c>
    </row>
    <row r="720" spans="1:3" x14ac:dyDescent="0.3">
      <c r="A720">
        <v>3</v>
      </c>
      <c r="B720">
        <v>93</v>
      </c>
      <c r="C720">
        <v>18</v>
      </c>
    </row>
    <row r="721" spans="1:3" x14ac:dyDescent="0.3">
      <c r="A721">
        <v>3</v>
      </c>
      <c r="B721">
        <v>94</v>
      </c>
      <c r="C721">
        <v>15</v>
      </c>
    </row>
    <row r="722" spans="1:3" x14ac:dyDescent="0.3">
      <c r="A722">
        <v>3</v>
      </c>
      <c r="B722">
        <v>95</v>
      </c>
      <c r="C722">
        <v>14</v>
      </c>
    </row>
    <row r="723" spans="1:3" x14ac:dyDescent="0.3">
      <c r="A723">
        <v>3</v>
      </c>
      <c r="B723">
        <v>96</v>
      </c>
      <c r="C723">
        <v>1</v>
      </c>
    </row>
    <row r="724" spans="1:3" x14ac:dyDescent="0.3">
      <c r="A724">
        <v>3</v>
      </c>
      <c r="B724">
        <v>97</v>
      </c>
      <c r="C724">
        <v>28</v>
      </c>
    </row>
    <row r="725" spans="1:3" x14ac:dyDescent="0.3">
      <c r="A725">
        <v>3</v>
      </c>
      <c r="B725">
        <v>98</v>
      </c>
      <c r="C725">
        <v>5</v>
      </c>
    </row>
    <row r="726" spans="1:3" x14ac:dyDescent="0.3">
      <c r="A726">
        <v>3</v>
      </c>
      <c r="B726">
        <v>99</v>
      </c>
      <c r="C726">
        <v>19</v>
      </c>
    </row>
    <row r="727" spans="1:3" x14ac:dyDescent="0.3">
      <c r="A727">
        <v>3</v>
      </c>
      <c r="B727">
        <v>100</v>
      </c>
      <c r="C727">
        <v>28</v>
      </c>
    </row>
    <row r="728" spans="1:3" x14ac:dyDescent="0.3">
      <c r="A728">
        <v>3</v>
      </c>
      <c r="B728">
        <v>101</v>
      </c>
      <c r="C728">
        <v>17</v>
      </c>
    </row>
    <row r="729" spans="1:3" x14ac:dyDescent="0.3">
      <c r="A729">
        <v>3</v>
      </c>
      <c r="B729">
        <v>102</v>
      </c>
      <c r="C729">
        <v>22</v>
      </c>
    </row>
    <row r="730" spans="1:3" x14ac:dyDescent="0.3">
      <c r="A730">
        <v>3</v>
      </c>
      <c r="B730">
        <v>103</v>
      </c>
      <c r="C730">
        <v>10</v>
      </c>
    </row>
    <row r="731" spans="1:3" x14ac:dyDescent="0.3">
      <c r="A731">
        <v>3</v>
      </c>
      <c r="B731">
        <v>104</v>
      </c>
      <c r="C731">
        <v>22</v>
      </c>
    </row>
    <row r="732" spans="1:3" x14ac:dyDescent="0.3">
      <c r="A732">
        <v>3</v>
      </c>
      <c r="B732">
        <v>105</v>
      </c>
      <c r="C732">
        <v>1</v>
      </c>
    </row>
    <row r="733" spans="1:3" x14ac:dyDescent="0.3">
      <c r="A733">
        <v>3</v>
      </c>
      <c r="B733">
        <v>106</v>
      </c>
      <c r="C733">
        <v>1</v>
      </c>
    </row>
    <row r="734" spans="1:3" x14ac:dyDescent="0.3">
      <c r="A734">
        <v>3</v>
      </c>
      <c r="B734">
        <v>107</v>
      </c>
      <c r="C734">
        <v>11</v>
      </c>
    </row>
    <row r="735" spans="1:3" x14ac:dyDescent="0.3">
      <c r="A735">
        <v>3</v>
      </c>
      <c r="B735">
        <v>108</v>
      </c>
      <c r="C735">
        <v>23</v>
      </c>
    </row>
    <row r="736" spans="1:3" x14ac:dyDescent="0.3">
      <c r="A736">
        <v>3</v>
      </c>
      <c r="B736">
        <v>109</v>
      </c>
      <c r="C736">
        <v>24</v>
      </c>
    </row>
    <row r="737" spans="1:3" x14ac:dyDescent="0.3">
      <c r="A737">
        <v>3</v>
      </c>
      <c r="B737">
        <v>110</v>
      </c>
      <c r="C737">
        <v>11</v>
      </c>
    </row>
    <row r="738" spans="1:3" x14ac:dyDescent="0.3">
      <c r="A738">
        <v>3</v>
      </c>
      <c r="B738">
        <v>111</v>
      </c>
      <c r="C738">
        <v>29</v>
      </c>
    </row>
    <row r="739" spans="1:3" x14ac:dyDescent="0.3">
      <c r="A739">
        <v>3</v>
      </c>
      <c r="B739">
        <v>112</v>
      </c>
      <c r="C739">
        <v>24</v>
      </c>
    </row>
    <row r="740" spans="1:3" x14ac:dyDescent="0.3">
      <c r="A740">
        <v>3</v>
      </c>
      <c r="B740">
        <v>113</v>
      </c>
      <c r="C740">
        <v>23</v>
      </c>
    </row>
    <row r="741" spans="1:3" x14ac:dyDescent="0.3">
      <c r="A741">
        <v>3</v>
      </c>
      <c r="B741">
        <v>114</v>
      </c>
      <c r="C741">
        <v>12</v>
      </c>
    </row>
    <row r="742" spans="1:3" x14ac:dyDescent="0.3">
      <c r="A742">
        <v>3</v>
      </c>
      <c r="B742">
        <v>115</v>
      </c>
      <c r="C742">
        <v>25</v>
      </c>
    </row>
    <row r="743" spans="1:3" x14ac:dyDescent="0.3">
      <c r="A743">
        <v>3</v>
      </c>
      <c r="B743">
        <v>116</v>
      </c>
      <c r="C743">
        <v>30</v>
      </c>
    </row>
    <row r="744" spans="1:3" x14ac:dyDescent="0.3">
      <c r="A744">
        <v>3</v>
      </c>
      <c r="B744">
        <v>117</v>
      </c>
      <c r="C744">
        <v>23</v>
      </c>
    </row>
    <row r="745" spans="1:3" x14ac:dyDescent="0.3">
      <c r="A745">
        <v>3</v>
      </c>
      <c r="B745">
        <v>118</v>
      </c>
      <c r="C745">
        <v>9</v>
      </c>
    </row>
    <row r="746" spans="1:3" x14ac:dyDescent="0.3">
      <c r="A746">
        <v>3</v>
      </c>
      <c r="B746">
        <v>119</v>
      </c>
      <c r="C746">
        <v>29</v>
      </c>
    </row>
    <row r="747" spans="1:3" x14ac:dyDescent="0.3">
      <c r="A747">
        <v>3</v>
      </c>
      <c r="B747">
        <v>120</v>
      </c>
      <c r="C747">
        <v>25</v>
      </c>
    </row>
    <row r="748" spans="1:3" x14ac:dyDescent="0.3">
      <c r="A748">
        <v>3</v>
      </c>
      <c r="B748">
        <v>121</v>
      </c>
      <c r="C748">
        <v>4</v>
      </c>
    </row>
    <row r="749" spans="1:3" x14ac:dyDescent="0.3">
      <c r="A749">
        <v>3</v>
      </c>
      <c r="B749">
        <v>122</v>
      </c>
      <c r="C749">
        <v>8</v>
      </c>
    </row>
    <row r="750" spans="1:3" x14ac:dyDescent="0.3">
      <c r="A750">
        <v>3</v>
      </c>
      <c r="B750">
        <v>123</v>
      </c>
      <c r="C750">
        <v>15</v>
      </c>
    </row>
    <row r="751" spans="1:3" x14ac:dyDescent="0.3">
      <c r="A751">
        <v>3</v>
      </c>
      <c r="B751">
        <v>124</v>
      </c>
      <c r="C751">
        <v>11</v>
      </c>
    </row>
    <row r="752" spans="1:3" x14ac:dyDescent="0.3">
      <c r="A752">
        <v>3</v>
      </c>
      <c r="B752">
        <v>125</v>
      </c>
      <c r="C752">
        <v>2</v>
      </c>
    </row>
    <row r="753" spans="1:3" x14ac:dyDescent="0.3">
      <c r="A753">
        <v>3</v>
      </c>
      <c r="B753">
        <v>126</v>
      </c>
      <c r="C753">
        <v>5</v>
      </c>
    </row>
    <row r="754" spans="1:3" x14ac:dyDescent="0.3">
      <c r="A754">
        <v>3</v>
      </c>
      <c r="B754">
        <v>127</v>
      </c>
      <c r="C754">
        <v>4</v>
      </c>
    </row>
    <row r="755" spans="1:3" x14ac:dyDescent="0.3">
      <c r="A755">
        <v>3</v>
      </c>
      <c r="B755">
        <v>128</v>
      </c>
      <c r="C755">
        <v>20</v>
      </c>
    </row>
    <row r="756" spans="1:3" x14ac:dyDescent="0.3">
      <c r="A756">
        <v>3</v>
      </c>
      <c r="B756">
        <v>129</v>
      </c>
      <c r="C756">
        <v>10</v>
      </c>
    </row>
    <row r="757" spans="1:3" x14ac:dyDescent="0.3">
      <c r="A757">
        <v>3</v>
      </c>
      <c r="B757">
        <v>130</v>
      </c>
      <c r="C757">
        <v>20</v>
      </c>
    </row>
    <row r="758" spans="1:3" x14ac:dyDescent="0.3">
      <c r="A758">
        <v>3</v>
      </c>
      <c r="B758">
        <v>131</v>
      </c>
      <c r="C758">
        <v>23</v>
      </c>
    </row>
    <row r="759" spans="1:3" x14ac:dyDescent="0.3">
      <c r="A759">
        <v>3</v>
      </c>
      <c r="B759">
        <v>132</v>
      </c>
      <c r="C759">
        <v>16</v>
      </c>
    </row>
    <row r="760" spans="1:3" x14ac:dyDescent="0.3">
      <c r="A760">
        <v>3</v>
      </c>
      <c r="B760">
        <v>133</v>
      </c>
      <c r="C760">
        <v>16</v>
      </c>
    </row>
    <row r="761" spans="1:3" x14ac:dyDescent="0.3">
      <c r="A761">
        <v>3</v>
      </c>
      <c r="B761">
        <v>134</v>
      </c>
      <c r="C761">
        <v>17</v>
      </c>
    </row>
    <row r="762" spans="1:3" x14ac:dyDescent="0.3">
      <c r="A762">
        <v>3</v>
      </c>
      <c r="B762">
        <v>135</v>
      </c>
      <c r="C762">
        <v>15</v>
      </c>
    </row>
    <row r="763" spans="1:3" x14ac:dyDescent="0.3">
      <c r="A763">
        <v>3</v>
      </c>
      <c r="B763">
        <v>136</v>
      </c>
      <c r="C763">
        <v>4</v>
      </c>
    </row>
    <row r="764" spans="1:3" x14ac:dyDescent="0.3">
      <c r="A764">
        <v>3</v>
      </c>
      <c r="B764">
        <v>137</v>
      </c>
      <c r="C764">
        <v>17</v>
      </c>
    </row>
    <row r="765" spans="1:3" x14ac:dyDescent="0.3">
      <c r="A765">
        <v>3</v>
      </c>
      <c r="B765">
        <v>138</v>
      </c>
      <c r="C765">
        <v>17</v>
      </c>
    </row>
    <row r="766" spans="1:3" x14ac:dyDescent="0.3">
      <c r="A766">
        <v>3</v>
      </c>
      <c r="B766">
        <v>139</v>
      </c>
      <c r="C766">
        <v>21</v>
      </c>
    </row>
    <row r="767" spans="1:3" x14ac:dyDescent="0.3">
      <c r="A767">
        <v>3</v>
      </c>
      <c r="B767">
        <v>140</v>
      </c>
      <c r="C767">
        <v>3</v>
      </c>
    </row>
    <row r="768" spans="1:3" x14ac:dyDescent="0.3">
      <c r="A768">
        <v>3</v>
      </c>
      <c r="B768">
        <v>141</v>
      </c>
      <c r="C768">
        <v>4</v>
      </c>
    </row>
    <row r="769" spans="1:3" x14ac:dyDescent="0.3">
      <c r="A769">
        <v>3</v>
      </c>
      <c r="B769">
        <v>142</v>
      </c>
      <c r="C769">
        <v>29</v>
      </c>
    </row>
    <row r="770" spans="1:3" x14ac:dyDescent="0.3">
      <c r="A770">
        <v>3</v>
      </c>
      <c r="B770">
        <v>143</v>
      </c>
      <c r="C770">
        <v>9</v>
      </c>
    </row>
    <row r="771" spans="1:3" x14ac:dyDescent="0.3">
      <c r="A771">
        <v>3</v>
      </c>
      <c r="B771">
        <v>144</v>
      </c>
      <c r="C771">
        <v>9</v>
      </c>
    </row>
    <row r="772" spans="1:3" x14ac:dyDescent="0.3">
      <c r="A772">
        <v>3</v>
      </c>
      <c r="B772">
        <v>145</v>
      </c>
      <c r="C772">
        <v>11</v>
      </c>
    </row>
    <row r="773" spans="1:3" x14ac:dyDescent="0.3">
      <c r="A773">
        <v>3</v>
      </c>
      <c r="B773">
        <v>146</v>
      </c>
      <c r="C773">
        <v>9</v>
      </c>
    </row>
    <row r="774" spans="1:3" x14ac:dyDescent="0.3">
      <c r="A774">
        <v>3</v>
      </c>
      <c r="B774">
        <v>147</v>
      </c>
      <c r="C774">
        <v>3</v>
      </c>
    </row>
    <row r="775" spans="1:3" x14ac:dyDescent="0.3">
      <c r="A775">
        <v>3</v>
      </c>
      <c r="B775">
        <v>148</v>
      </c>
      <c r="C775">
        <v>6</v>
      </c>
    </row>
    <row r="776" spans="1:3" x14ac:dyDescent="0.3">
      <c r="A776">
        <v>3</v>
      </c>
      <c r="B776">
        <v>149</v>
      </c>
      <c r="C776">
        <v>1</v>
      </c>
    </row>
    <row r="777" spans="1:3" x14ac:dyDescent="0.3">
      <c r="A777">
        <v>3</v>
      </c>
      <c r="B777">
        <v>150</v>
      </c>
      <c r="C777">
        <v>21</v>
      </c>
    </row>
    <row r="778" spans="1:3" x14ac:dyDescent="0.3">
      <c r="A778">
        <v>3</v>
      </c>
      <c r="B778">
        <v>151</v>
      </c>
      <c r="C778">
        <v>1</v>
      </c>
    </row>
    <row r="779" spans="1:3" x14ac:dyDescent="0.3">
      <c r="A779">
        <v>3</v>
      </c>
      <c r="B779">
        <v>152</v>
      </c>
      <c r="C779">
        <v>1</v>
      </c>
    </row>
    <row r="780" spans="1:3" x14ac:dyDescent="0.3">
      <c r="A780">
        <v>3</v>
      </c>
      <c r="B780">
        <v>153</v>
      </c>
      <c r="C780">
        <v>7</v>
      </c>
    </row>
    <row r="781" spans="1:3" x14ac:dyDescent="0.3">
      <c r="A781">
        <v>3</v>
      </c>
      <c r="B781">
        <v>154</v>
      </c>
      <c r="C781">
        <v>22</v>
      </c>
    </row>
    <row r="782" spans="1:3" x14ac:dyDescent="0.3">
      <c r="A782">
        <v>3</v>
      </c>
      <c r="B782">
        <v>155</v>
      </c>
      <c r="C782">
        <v>25</v>
      </c>
    </row>
    <row r="783" spans="1:3" x14ac:dyDescent="0.3">
      <c r="A783">
        <v>3</v>
      </c>
      <c r="B783">
        <v>156</v>
      </c>
      <c r="C783">
        <v>14</v>
      </c>
    </row>
    <row r="784" spans="1:3" x14ac:dyDescent="0.3">
      <c r="A784">
        <v>3</v>
      </c>
      <c r="B784">
        <v>157</v>
      </c>
      <c r="C784">
        <v>12</v>
      </c>
    </row>
    <row r="785" spans="1:3" x14ac:dyDescent="0.3">
      <c r="A785">
        <v>3</v>
      </c>
      <c r="B785">
        <v>158</v>
      </c>
      <c r="C785">
        <v>17</v>
      </c>
    </row>
    <row r="786" spans="1:3" x14ac:dyDescent="0.3">
      <c r="A786">
        <v>3</v>
      </c>
      <c r="B786">
        <v>159</v>
      </c>
      <c r="C786">
        <v>6</v>
      </c>
    </row>
    <row r="787" spans="1:3" x14ac:dyDescent="0.3">
      <c r="A787">
        <v>3</v>
      </c>
      <c r="B787">
        <v>160</v>
      </c>
      <c r="C787">
        <v>27</v>
      </c>
    </row>
    <row r="788" spans="1:3" x14ac:dyDescent="0.3">
      <c r="A788">
        <v>3</v>
      </c>
      <c r="B788">
        <v>161</v>
      </c>
      <c r="C788">
        <v>11</v>
      </c>
    </row>
    <row r="789" spans="1:3" x14ac:dyDescent="0.3">
      <c r="A789">
        <v>3</v>
      </c>
      <c r="B789">
        <v>162</v>
      </c>
      <c r="C789">
        <v>11</v>
      </c>
    </row>
    <row r="790" spans="1:3" x14ac:dyDescent="0.3">
      <c r="A790">
        <v>3</v>
      </c>
      <c r="B790">
        <v>163</v>
      </c>
      <c r="C790">
        <v>11</v>
      </c>
    </row>
    <row r="791" spans="1:3" x14ac:dyDescent="0.3">
      <c r="A791">
        <v>3</v>
      </c>
      <c r="B791">
        <v>164</v>
      </c>
      <c r="C791">
        <v>18</v>
      </c>
    </row>
    <row r="792" spans="1:3" x14ac:dyDescent="0.3">
      <c r="A792">
        <v>3</v>
      </c>
      <c r="B792">
        <v>165</v>
      </c>
      <c r="C792">
        <v>19</v>
      </c>
    </row>
    <row r="793" spans="1:3" x14ac:dyDescent="0.3">
      <c r="A793">
        <v>3</v>
      </c>
      <c r="B793">
        <v>166</v>
      </c>
      <c r="C793">
        <v>27</v>
      </c>
    </row>
    <row r="794" spans="1:3" x14ac:dyDescent="0.3">
      <c r="A794">
        <v>3</v>
      </c>
      <c r="B794">
        <v>167</v>
      </c>
      <c r="C794">
        <v>8</v>
      </c>
    </row>
    <row r="795" spans="1:3" x14ac:dyDescent="0.3">
      <c r="A795">
        <v>3</v>
      </c>
      <c r="B795">
        <v>168</v>
      </c>
      <c r="C795">
        <v>23</v>
      </c>
    </row>
    <row r="796" spans="1:3" x14ac:dyDescent="0.3">
      <c r="A796">
        <v>3</v>
      </c>
      <c r="B796">
        <v>169</v>
      </c>
      <c r="C796">
        <v>3</v>
      </c>
    </row>
    <row r="797" spans="1:3" x14ac:dyDescent="0.3">
      <c r="A797">
        <v>3</v>
      </c>
      <c r="B797">
        <v>170</v>
      </c>
      <c r="C797">
        <v>13</v>
      </c>
    </row>
    <row r="798" spans="1:3" x14ac:dyDescent="0.3">
      <c r="A798">
        <v>3</v>
      </c>
      <c r="B798">
        <v>171</v>
      </c>
      <c r="C798">
        <v>11</v>
      </c>
    </row>
    <row r="799" spans="1:3" x14ac:dyDescent="0.3">
      <c r="A799">
        <v>3</v>
      </c>
      <c r="B799">
        <v>172</v>
      </c>
      <c r="C799">
        <v>22</v>
      </c>
    </row>
    <row r="800" spans="1:3" x14ac:dyDescent="0.3">
      <c r="A800">
        <v>3</v>
      </c>
      <c r="B800">
        <v>173</v>
      </c>
      <c r="C800">
        <v>15</v>
      </c>
    </row>
    <row r="801" spans="1:3" x14ac:dyDescent="0.3">
      <c r="A801">
        <v>3</v>
      </c>
      <c r="B801">
        <v>174</v>
      </c>
      <c r="C801">
        <v>1</v>
      </c>
    </row>
    <row r="802" spans="1:3" x14ac:dyDescent="0.3">
      <c r="A802">
        <v>3</v>
      </c>
      <c r="B802">
        <v>175</v>
      </c>
      <c r="C802">
        <v>3</v>
      </c>
    </row>
    <row r="803" spans="1:3" x14ac:dyDescent="0.3">
      <c r="A803">
        <v>3</v>
      </c>
      <c r="B803">
        <v>176</v>
      </c>
      <c r="C803">
        <v>6</v>
      </c>
    </row>
    <row r="804" spans="1:3" x14ac:dyDescent="0.3">
      <c r="A804">
        <v>3</v>
      </c>
      <c r="B804">
        <v>177</v>
      </c>
      <c r="C804">
        <v>2</v>
      </c>
    </row>
    <row r="805" spans="1:3" x14ac:dyDescent="0.3">
      <c r="A805">
        <v>3</v>
      </c>
      <c r="B805">
        <v>178</v>
      </c>
      <c r="C805">
        <v>12</v>
      </c>
    </row>
    <row r="806" spans="1:3" x14ac:dyDescent="0.3">
      <c r="A806">
        <v>3</v>
      </c>
      <c r="B806">
        <v>179</v>
      </c>
      <c r="C806">
        <v>20</v>
      </c>
    </row>
    <row r="807" spans="1:3" x14ac:dyDescent="0.3">
      <c r="A807">
        <v>3</v>
      </c>
      <c r="B807">
        <v>180</v>
      </c>
      <c r="C807">
        <v>6</v>
      </c>
    </row>
    <row r="808" spans="1:3" x14ac:dyDescent="0.3">
      <c r="A808">
        <v>3</v>
      </c>
      <c r="B808">
        <v>181</v>
      </c>
      <c r="C808">
        <v>8</v>
      </c>
    </row>
    <row r="809" spans="1:3" x14ac:dyDescent="0.3">
      <c r="A809">
        <v>3</v>
      </c>
      <c r="B809">
        <v>182</v>
      </c>
      <c r="C809">
        <v>28</v>
      </c>
    </row>
    <row r="810" spans="1:3" x14ac:dyDescent="0.3">
      <c r="A810">
        <v>3</v>
      </c>
      <c r="B810">
        <v>183</v>
      </c>
      <c r="C810">
        <v>26</v>
      </c>
    </row>
    <row r="811" spans="1:3" x14ac:dyDescent="0.3">
      <c r="A811">
        <v>3</v>
      </c>
      <c r="B811">
        <v>184</v>
      </c>
      <c r="C811">
        <v>21</v>
      </c>
    </row>
    <row r="812" spans="1:3" x14ac:dyDescent="0.3">
      <c r="A812">
        <v>3</v>
      </c>
      <c r="B812">
        <v>185</v>
      </c>
      <c r="C812">
        <v>15</v>
      </c>
    </row>
    <row r="813" spans="1:3" x14ac:dyDescent="0.3">
      <c r="A813">
        <v>3</v>
      </c>
      <c r="B813">
        <v>186</v>
      </c>
      <c r="C813">
        <v>30</v>
      </c>
    </row>
    <row r="814" spans="1:3" x14ac:dyDescent="0.3">
      <c r="A814">
        <v>3</v>
      </c>
      <c r="B814">
        <v>187</v>
      </c>
      <c r="C814">
        <v>2</v>
      </c>
    </row>
    <row r="815" spans="1:3" x14ac:dyDescent="0.3">
      <c r="A815">
        <v>3</v>
      </c>
      <c r="B815">
        <v>188</v>
      </c>
      <c r="C815">
        <v>29</v>
      </c>
    </row>
    <row r="816" spans="1:3" x14ac:dyDescent="0.3">
      <c r="A816">
        <v>3</v>
      </c>
      <c r="B816">
        <v>189</v>
      </c>
      <c r="C816">
        <v>20</v>
      </c>
    </row>
    <row r="817" spans="1:3" x14ac:dyDescent="0.3">
      <c r="A817">
        <v>3</v>
      </c>
      <c r="B817">
        <v>190</v>
      </c>
      <c r="C817">
        <v>20</v>
      </c>
    </row>
    <row r="818" spans="1:3" x14ac:dyDescent="0.3">
      <c r="A818">
        <v>3</v>
      </c>
      <c r="B818">
        <v>191</v>
      </c>
      <c r="C818">
        <v>23</v>
      </c>
    </row>
    <row r="819" spans="1:3" x14ac:dyDescent="0.3">
      <c r="A819">
        <v>3</v>
      </c>
      <c r="B819">
        <v>192</v>
      </c>
      <c r="C819">
        <v>10</v>
      </c>
    </row>
    <row r="820" spans="1:3" x14ac:dyDescent="0.3">
      <c r="A820">
        <v>3</v>
      </c>
      <c r="B820">
        <v>193</v>
      </c>
      <c r="C820">
        <v>5</v>
      </c>
    </row>
    <row r="821" spans="1:3" x14ac:dyDescent="0.3">
      <c r="A821">
        <v>3</v>
      </c>
      <c r="B821">
        <v>194</v>
      </c>
      <c r="C821">
        <v>20</v>
      </c>
    </row>
    <row r="822" spans="1:3" x14ac:dyDescent="0.3">
      <c r="A822">
        <v>3</v>
      </c>
      <c r="B822">
        <v>195</v>
      </c>
      <c r="C822">
        <v>20</v>
      </c>
    </row>
    <row r="823" spans="1:3" x14ac:dyDescent="0.3">
      <c r="A823">
        <v>3</v>
      </c>
      <c r="B823">
        <v>196</v>
      </c>
      <c r="C823">
        <v>25</v>
      </c>
    </row>
    <row r="824" spans="1:3" x14ac:dyDescent="0.3">
      <c r="A824">
        <v>3</v>
      </c>
      <c r="B824">
        <v>197</v>
      </c>
      <c r="C824">
        <v>8</v>
      </c>
    </row>
    <row r="825" spans="1:3" x14ac:dyDescent="0.3">
      <c r="A825">
        <v>3</v>
      </c>
      <c r="B825">
        <v>198</v>
      </c>
      <c r="C825">
        <v>27</v>
      </c>
    </row>
    <row r="826" spans="1:3" x14ac:dyDescent="0.3">
      <c r="A826">
        <v>3</v>
      </c>
      <c r="B826">
        <v>199</v>
      </c>
      <c r="C826">
        <v>5</v>
      </c>
    </row>
    <row r="827" spans="1:3" x14ac:dyDescent="0.3">
      <c r="A827">
        <v>3</v>
      </c>
      <c r="B827">
        <v>200</v>
      </c>
      <c r="C827">
        <v>29</v>
      </c>
    </row>
    <row r="828" spans="1:3" x14ac:dyDescent="0.3">
      <c r="A828">
        <v>3</v>
      </c>
      <c r="B828">
        <v>201</v>
      </c>
      <c r="C828">
        <v>30</v>
      </c>
    </row>
    <row r="829" spans="1:3" x14ac:dyDescent="0.3">
      <c r="A829">
        <v>3</v>
      </c>
      <c r="B829">
        <v>202</v>
      </c>
      <c r="C829">
        <v>11</v>
      </c>
    </row>
    <row r="830" spans="1:3" x14ac:dyDescent="0.3">
      <c r="A830">
        <v>3</v>
      </c>
      <c r="B830">
        <v>203</v>
      </c>
      <c r="C830">
        <v>6</v>
      </c>
    </row>
    <row r="831" spans="1:3" x14ac:dyDescent="0.3">
      <c r="A831">
        <v>3</v>
      </c>
      <c r="B831">
        <v>204</v>
      </c>
      <c r="C831">
        <v>16</v>
      </c>
    </row>
    <row r="832" spans="1:3" x14ac:dyDescent="0.3">
      <c r="A832">
        <v>3</v>
      </c>
      <c r="B832">
        <v>205</v>
      </c>
      <c r="C832">
        <v>3</v>
      </c>
    </row>
    <row r="833" spans="1:3" x14ac:dyDescent="0.3">
      <c r="A833">
        <v>3</v>
      </c>
      <c r="B833">
        <v>206</v>
      </c>
      <c r="C833">
        <v>29</v>
      </c>
    </row>
    <row r="834" spans="1:3" x14ac:dyDescent="0.3">
      <c r="A834">
        <v>3</v>
      </c>
      <c r="B834">
        <v>207</v>
      </c>
      <c r="C834">
        <v>29</v>
      </c>
    </row>
    <row r="835" spans="1:3" x14ac:dyDescent="0.3">
      <c r="A835">
        <v>3</v>
      </c>
      <c r="B835">
        <v>208</v>
      </c>
      <c r="C835">
        <v>12</v>
      </c>
    </row>
    <row r="836" spans="1:3" x14ac:dyDescent="0.3">
      <c r="A836">
        <v>3</v>
      </c>
      <c r="B836">
        <v>209</v>
      </c>
      <c r="C836">
        <v>1</v>
      </c>
    </row>
    <row r="837" spans="1:3" x14ac:dyDescent="0.3">
      <c r="A837">
        <v>3</v>
      </c>
      <c r="B837">
        <v>210</v>
      </c>
      <c r="C837">
        <v>22</v>
      </c>
    </row>
    <row r="838" spans="1:3" x14ac:dyDescent="0.3">
      <c r="A838">
        <v>3</v>
      </c>
      <c r="B838">
        <v>211</v>
      </c>
      <c r="C838">
        <v>3</v>
      </c>
    </row>
    <row r="839" spans="1:3" x14ac:dyDescent="0.3">
      <c r="A839">
        <v>3</v>
      </c>
      <c r="B839">
        <v>212</v>
      </c>
      <c r="C839">
        <v>23</v>
      </c>
    </row>
    <row r="840" spans="1:3" x14ac:dyDescent="0.3">
      <c r="A840">
        <v>3</v>
      </c>
      <c r="B840">
        <v>213</v>
      </c>
      <c r="C840">
        <v>10</v>
      </c>
    </row>
    <row r="841" spans="1:3" x14ac:dyDescent="0.3">
      <c r="A841">
        <v>3</v>
      </c>
      <c r="B841">
        <v>214</v>
      </c>
      <c r="C841">
        <v>30</v>
      </c>
    </row>
    <row r="842" spans="1:3" x14ac:dyDescent="0.3">
      <c r="A842">
        <v>3</v>
      </c>
      <c r="B842">
        <v>215</v>
      </c>
      <c r="C842">
        <v>12</v>
      </c>
    </row>
    <row r="843" spans="1:3" x14ac:dyDescent="0.3">
      <c r="A843">
        <v>3</v>
      </c>
      <c r="B843">
        <v>216</v>
      </c>
      <c r="C843">
        <v>5</v>
      </c>
    </row>
    <row r="844" spans="1:3" x14ac:dyDescent="0.3">
      <c r="A844">
        <v>3</v>
      </c>
      <c r="B844">
        <v>217</v>
      </c>
      <c r="C844">
        <v>4</v>
      </c>
    </row>
    <row r="845" spans="1:3" x14ac:dyDescent="0.3">
      <c r="A845">
        <v>3</v>
      </c>
      <c r="B845">
        <v>218</v>
      </c>
      <c r="C845">
        <v>21</v>
      </c>
    </row>
    <row r="846" spans="1:3" x14ac:dyDescent="0.3">
      <c r="A846">
        <v>3</v>
      </c>
      <c r="B846">
        <v>219</v>
      </c>
      <c r="C846">
        <v>29</v>
      </c>
    </row>
    <row r="847" spans="1:3" x14ac:dyDescent="0.3">
      <c r="A847">
        <v>3</v>
      </c>
      <c r="B847">
        <v>220</v>
      </c>
      <c r="C847">
        <v>0</v>
      </c>
    </row>
    <row r="848" spans="1:3" x14ac:dyDescent="0.3">
      <c r="A848">
        <v>3</v>
      </c>
      <c r="B848">
        <v>221</v>
      </c>
      <c r="C848">
        <v>25</v>
      </c>
    </row>
    <row r="849" spans="1:3" x14ac:dyDescent="0.3">
      <c r="A849">
        <v>3</v>
      </c>
      <c r="B849">
        <v>222</v>
      </c>
      <c r="C849">
        <v>12</v>
      </c>
    </row>
    <row r="850" spans="1:3" x14ac:dyDescent="0.3">
      <c r="A850">
        <v>3</v>
      </c>
      <c r="B850">
        <v>223</v>
      </c>
      <c r="C850">
        <v>29</v>
      </c>
    </row>
    <row r="851" spans="1:3" x14ac:dyDescent="0.3">
      <c r="A851">
        <v>3</v>
      </c>
      <c r="B851">
        <v>224</v>
      </c>
      <c r="C851">
        <v>23</v>
      </c>
    </row>
    <row r="852" spans="1:3" x14ac:dyDescent="0.3">
      <c r="A852">
        <v>3</v>
      </c>
      <c r="B852">
        <v>225</v>
      </c>
      <c r="C852">
        <v>12</v>
      </c>
    </row>
    <row r="853" spans="1:3" x14ac:dyDescent="0.3">
      <c r="A853">
        <v>3</v>
      </c>
      <c r="B853">
        <v>226</v>
      </c>
      <c r="C853">
        <v>14</v>
      </c>
    </row>
    <row r="854" spans="1:3" x14ac:dyDescent="0.3">
      <c r="A854">
        <v>3</v>
      </c>
      <c r="B854">
        <v>227</v>
      </c>
      <c r="C854">
        <v>22</v>
      </c>
    </row>
    <row r="855" spans="1:3" x14ac:dyDescent="0.3">
      <c r="A855">
        <v>3</v>
      </c>
      <c r="B855">
        <v>228</v>
      </c>
      <c r="C855">
        <v>29</v>
      </c>
    </row>
    <row r="856" spans="1:3" x14ac:dyDescent="0.3">
      <c r="A856">
        <v>3</v>
      </c>
      <c r="B856">
        <v>229</v>
      </c>
      <c r="C856">
        <v>7</v>
      </c>
    </row>
    <row r="857" spans="1:3" x14ac:dyDescent="0.3">
      <c r="A857">
        <v>3</v>
      </c>
      <c r="B857">
        <v>230</v>
      </c>
      <c r="C857">
        <v>29</v>
      </c>
    </row>
    <row r="858" spans="1:3" x14ac:dyDescent="0.3">
      <c r="A858">
        <v>3</v>
      </c>
      <c r="B858">
        <v>231</v>
      </c>
      <c r="C858">
        <v>6</v>
      </c>
    </row>
    <row r="859" spans="1:3" x14ac:dyDescent="0.3">
      <c r="A859">
        <v>3</v>
      </c>
      <c r="B859">
        <v>232</v>
      </c>
      <c r="C859">
        <v>16</v>
      </c>
    </row>
    <row r="860" spans="1:3" x14ac:dyDescent="0.3">
      <c r="A860">
        <v>3</v>
      </c>
      <c r="B860">
        <v>233</v>
      </c>
      <c r="C860">
        <v>9</v>
      </c>
    </row>
    <row r="861" spans="1:3" x14ac:dyDescent="0.3">
      <c r="A861">
        <v>3</v>
      </c>
      <c r="B861">
        <v>234</v>
      </c>
      <c r="C861">
        <v>24</v>
      </c>
    </row>
    <row r="862" spans="1:3" x14ac:dyDescent="0.3">
      <c r="A862">
        <v>3</v>
      </c>
      <c r="B862">
        <v>235</v>
      </c>
      <c r="C862">
        <v>1</v>
      </c>
    </row>
    <row r="863" spans="1:3" x14ac:dyDescent="0.3">
      <c r="A863">
        <v>3</v>
      </c>
      <c r="B863">
        <v>236</v>
      </c>
      <c r="C863">
        <v>3</v>
      </c>
    </row>
    <row r="864" spans="1:3" x14ac:dyDescent="0.3">
      <c r="A864">
        <v>3</v>
      </c>
      <c r="B864">
        <v>237</v>
      </c>
      <c r="C864">
        <v>16</v>
      </c>
    </row>
    <row r="865" spans="1:3" x14ac:dyDescent="0.3">
      <c r="A865">
        <v>3</v>
      </c>
      <c r="B865">
        <v>238</v>
      </c>
      <c r="C865">
        <v>12</v>
      </c>
    </row>
    <row r="866" spans="1:3" x14ac:dyDescent="0.3">
      <c r="A866">
        <v>3</v>
      </c>
      <c r="B866">
        <v>239</v>
      </c>
      <c r="C866">
        <v>29</v>
      </c>
    </row>
    <row r="867" spans="1:3" x14ac:dyDescent="0.3">
      <c r="A867">
        <v>3</v>
      </c>
      <c r="B867">
        <v>240</v>
      </c>
      <c r="C867">
        <v>26</v>
      </c>
    </row>
    <row r="868" spans="1:3" x14ac:dyDescent="0.3">
      <c r="A868">
        <v>3</v>
      </c>
      <c r="B868">
        <v>241</v>
      </c>
      <c r="C868">
        <v>8</v>
      </c>
    </row>
    <row r="869" spans="1:3" x14ac:dyDescent="0.3">
      <c r="A869">
        <v>3</v>
      </c>
      <c r="B869">
        <v>242</v>
      </c>
      <c r="C869">
        <v>5</v>
      </c>
    </row>
    <row r="870" spans="1:3" x14ac:dyDescent="0.3">
      <c r="A870">
        <v>3</v>
      </c>
      <c r="B870">
        <v>243</v>
      </c>
      <c r="C870">
        <v>7</v>
      </c>
    </row>
    <row r="871" spans="1:3" x14ac:dyDescent="0.3">
      <c r="A871">
        <v>3</v>
      </c>
      <c r="B871">
        <v>244</v>
      </c>
      <c r="C871">
        <v>5</v>
      </c>
    </row>
    <row r="872" spans="1:3" x14ac:dyDescent="0.3">
      <c r="A872">
        <v>3</v>
      </c>
      <c r="B872">
        <v>245</v>
      </c>
      <c r="C872">
        <v>10</v>
      </c>
    </row>
    <row r="873" spans="1:3" x14ac:dyDescent="0.3">
      <c r="A873">
        <v>3</v>
      </c>
      <c r="B873">
        <v>246</v>
      </c>
      <c r="C873">
        <v>7</v>
      </c>
    </row>
    <row r="874" spans="1:3" x14ac:dyDescent="0.3">
      <c r="A874">
        <v>3</v>
      </c>
      <c r="B874">
        <v>247</v>
      </c>
      <c r="C874">
        <v>3</v>
      </c>
    </row>
    <row r="875" spans="1:3" x14ac:dyDescent="0.3">
      <c r="A875">
        <v>3</v>
      </c>
      <c r="B875">
        <v>248</v>
      </c>
      <c r="C875">
        <v>11</v>
      </c>
    </row>
    <row r="876" spans="1:3" x14ac:dyDescent="0.3">
      <c r="A876">
        <v>3</v>
      </c>
      <c r="B876">
        <v>249</v>
      </c>
      <c r="C876">
        <v>6</v>
      </c>
    </row>
    <row r="877" spans="1:3" x14ac:dyDescent="0.3">
      <c r="A877">
        <v>3</v>
      </c>
      <c r="B877">
        <v>250</v>
      </c>
      <c r="C877">
        <v>16</v>
      </c>
    </row>
    <row r="878" spans="1:3" x14ac:dyDescent="0.3">
      <c r="A878">
        <v>3</v>
      </c>
      <c r="B878">
        <v>251</v>
      </c>
      <c r="C878">
        <v>10</v>
      </c>
    </row>
    <row r="879" spans="1:3" x14ac:dyDescent="0.3">
      <c r="A879">
        <v>3</v>
      </c>
      <c r="B879">
        <v>252</v>
      </c>
      <c r="C879">
        <v>27</v>
      </c>
    </row>
    <row r="880" spans="1:3" x14ac:dyDescent="0.3">
      <c r="A880">
        <v>3</v>
      </c>
      <c r="B880">
        <v>253</v>
      </c>
      <c r="C880">
        <v>15</v>
      </c>
    </row>
    <row r="881" spans="1:3" x14ac:dyDescent="0.3">
      <c r="A881">
        <v>3</v>
      </c>
      <c r="B881">
        <v>254</v>
      </c>
      <c r="C881">
        <v>4</v>
      </c>
    </row>
    <row r="882" spans="1:3" x14ac:dyDescent="0.3">
      <c r="A882">
        <v>3</v>
      </c>
      <c r="B882">
        <v>255</v>
      </c>
      <c r="C882">
        <v>17</v>
      </c>
    </row>
    <row r="883" spans="1:3" x14ac:dyDescent="0.3">
      <c r="A883">
        <v>3</v>
      </c>
      <c r="B883">
        <v>256</v>
      </c>
      <c r="C883">
        <v>1</v>
      </c>
    </row>
    <row r="884" spans="1:3" x14ac:dyDescent="0.3">
      <c r="A884">
        <v>3</v>
      </c>
      <c r="B884">
        <v>257</v>
      </c>
      <c r="C884">
        <v>25</v>
      </c>
    </row>
    <row r="885" spans="1:3" x14ac:dyDescent="0.3">
      <c r="A885">
        <v>3</v>
      </c>
      <c r="B885">
        <v>258</v>
      </c>
      <c r="C885">
        <v>10</v>
      </c>
    </row>
    <row r="886" spans="1:3" x14ac:dyDescent="0.3">
      <c r="A886">
        <v>3</v>
      </c>
      <c r="B886">
        <v>259</v>
      </c>
      <c r="C886">
        <v>0</v>
      </c>
    </row>
    <row r="887" spans="1:3" x14ac:dyDescent="0.3">
      <c r="A887">
        <v>3</v>
      </c>
      <c r="B887">
        <v>260</v>
      </c>
      <c r="C887">
        <v>5</v>
      </c>
    </row>
    <row r="888" spans="1:3" x14ac:dyDescent="0.3">
      <c r="A888">
        <v>3</v>
      </c>
      <c r="B888">
        <v>261</v>
      </c>
      <c r="C888">
        <v>24</v>
      </c>
    </row>
    <row r="889" spans="1:3" x14ac:dyDescent="0.3">
      <c r="A889">
        <v>3</v>
      </c>
      <c r="B889">
        <v>262</v>
      </c>
      <c r="C889">
        <v>29</v>
      </c>
    </row>
    <row r="890" spans="1:3" x14ac:dyDescent="0.3">
      <c r="A890">
        <v>3</v>
      </c>
      <c r="B890">
        <v>263</v>
      </c>
      <c r="C890">
        <v>21</v>
      </c>
    </row>
    <row r="891" spans="1:3" x14ac:dyDescent="0.3">
      <c r="A891">
        <v>3</v>
      </c>
      <c r="B891">
        <v>264</v>
      </c>
      <c r="C891">
        <v>7</v>
      </c>
    </row>
    <row r="892" spans="1:3" x14ac:dyDescent="0.3">
      <c r="A892">
        <v>3</v>
      </c>
      <c r="B892">
        <v>265</v>
      </c>
      <c r="C892">
        <v>22</v>
      </c>
    </row>
    <row r="893" spans="1:3" x14ac:dyDescent="0.3">
      <c r="A893">
        <v>3</v>
      </c>
      <c r="B893">
        <v>266</v>
      </c>
      <c r="C893">
        <v>18</v>
      </c>
    </row>
    <row r="894" spans="1:3" x14ac:dyDescent="0.3">
      <c r="A894">
        <v>3</v>
      </c>
      <c r="B894">
        <v>267</v>
      </c>
      <c r="C894">
        <v>12</v>
      </c>
    </row>
    <row r="895" spans="1:3" x14ac:dyDescent="0.3">
      <c r="A895">
        <v>3</v>
      </c>
      <c r="B895">
        <v>268</v>
      </c>
      <c r="C895">
        <v>17</v>
      </c>
    </row>
    <row r="896" spans="1:3" x14ac:dyDescent="0.3">
      <c r="A896">
        <v>3</v>
      </c>
      <c r="B896">
        <v>269</v>
      </c>
      <c r="C896">
        <v>26</v>
      </c>
    </row>
    <row r="897" spans="1:3" x14ac:dyDescent="0.3">
      <c r="A897">
        <v>3</v>
      </c>
      <c r="B897">
        <v>270</v>
      </c>
      <c r="C897">
        <v>6</v>
      </c>
    </row>
    <row r="898" spans="1:3" x14ac:dyDescent="0.3">
      <c r="A898">
        <v>3</v>
      </c>
      <c r="B898">
        <v>271</v>
      </c>
      <c r="C898">
        <v>23</v>
      </c>
    </row>
    <row r="899" spans="1:3" x14ac:dyDescent="0.3">
      <c r="A899">
        <v>3</v>
      </c>
      <c r="B899">
        <v>272</v>
      </c>
      <c r="C899">
        <v>12</v>
      </c>
    </row>
    <row r="900" spans="1:3" x14ac:dyDescent="0.3">
      <c r="A900">
        <v>3</v>
      </c>
      <c r="B900">
        <v>273</v>
      </c>
      <c r="C900">
        <v>19</v>
      </c>
    </row>
    <row r="901" spans="1:3" x14ac:dyDescent="0.3">
      <c r="A901">
        <v>3</v>
      </c>
      <c r="B901">
        <v>274</v>
      </c>
      <c r="C901">
        <v>7</v>
      </c>
    </row>
    <row r="902" spans="1:3" x14ac:dyDescent="0.3">
      <c r="A902">
        <v>3</v>
      </c>
      <c r="B902">
        <v>275</v>
      </c>
      <c r="C902">
        <v>23</v>
      </c>
    </row>
    <row r="903" spans="1:3" x14ac:dyDescent="0.3">
      <c r="A903">
        <v>3</v>
      </c>
      <c r="B903">
        <v>276</v>
      </c>
      <c r="C903">
        <v>14</v>
      </c>
    </row>
    <row r="904" spans="1:3" x14ac:dyDescent="0.3">
      <c r="A904">
        <v>3</v>
      </c>
      <c r="B904">
        <v>277</v>
      </c>
      <c r="C904">
        <v>26</v>
      </c>
    </row>
    <row r="905" spans="1:3" x14ac:dyDescent="0.3">
      <c r="A905">
        <v>3</v>
      </c>
      <c r="B905">
        <v>278</v>
      </c>
      <c r="C905">
        <v>15</v>
      </c>
    </row>
    <row r="906" spans="1:3" x14ac:dyDescent="0.3">
      <c r="A906">
        <v>3</v>
      </c>
      <c r="B906">
        <v>279</v>
      </c>
      <c r="C906">
        <v>15</v>
      </c>
    </row>
    <row r="907" spans="1:3" x14ac:dyDescent="0.3">
      <c r="A907">
        <v>3</v>
      </c>
      <c r="B907">
        <v>280</v>
      </c>
      <c r="C907">
        <v>1</v>
      </c>
    </row>
    <row r="908" spans="1:3" x14ac:dyDescent="0.3">
      <c r="A908">
        <v>3</v>
      </c>
      <c r="B908">
        <v>281</v>
      </c>
      <c r="C908">
        <v>2</v>
      </c>
    </row>
    <row r="909" spans="1:3" x14ac:dyDescent="0.3">
      <c r="A909">
        <v>3</v>
      </c>
      <c r="B909">
        <v>282</v>
      </c>
      <c r="C909">
        <v>18</v>
      </c>
    </row>
    <row r="910" spans="1:3" x14ac:dyDescent="0.3">
      <c r="A910">
        <v>3</v>
      </c>
      <c r="B910">
        <v>283</v>
      </c>
      <c r="C910">
        <v>1</v>
      </c>
    </row>
    <row r="911" spans="1:3" x14ac:dyDescent="0.3">
      <c r="A911">
        <v>3</v>
      </c>
      <c r="B911">
        <v>284</v>
      </c>
      <c r="C911">
        <v>26</v>
      </c>
    </row>
    <row r="912" spans="1:3" x14ac:dyDescent="0.3">
      <c r="A912">
        <v>3</v>
      </c>
      <c r="B912">
        <v>285</v>
      </c>
      <c r="C912">
        <v>2</v>
      </c>
    </row>
    <row r="913" spans="1:3" x14ac:dyDescent="0.3">
      <c r="A913">
        <v>3</v>
      </c>
      <c r="B913">
        <v>286</v>
      </c>
      <c r="C913">
        <v>7</v>
      </c>
    </row>
    <row r="914" spans="1:3" x14ac:dyDescent="0.3">
      <c r="A914">
        <v>3</v>
      </c>
      <c r="B914">
        <v>287</v>
      </c>
      <c r="C914">
        <v>26</v>
      </c>
    </row>
    <row r="915" spans="1:3" x14ac:dyDescent="0.3">
      <c r="A915">
        <v>3</v>
      </c>
      <c r="B915">
        <v>288</v>
      </c>
      <c r="C915">
        <v>2</v>
      </c>
    </row>
    <row r="916" spans="1:3" x14ac:dyDescent="0.3">
      <c r="A916">
        <v>3</v>
      </c>
      <c r="B916">
        <v>289</v>
      </c>
      <c r="C916">
        <v>2</v>
      </c>
    </row>
    <row r="917" spans="1:3" x14ac:dyDescent="0.3">
      <c r="A917">
        <v>3</v>
      </c>
      <c r="B917">
        <v>290</v>
      </c>
      <c r="C917">
        <v>6</v>
      </c>
    </row>
    <row r="918" spans="1:3" x14ac:dyDescent="0.3">
      <c r="A918">
        <v>3</v>
      </c>
      <c r="B918">
        <v>291</v>
      </c>
      <c r="C918">
        <v>10</v>
      </c>
    </row>
    <row r="919" spans="1:3" x14ac:dyDescent="0.3">
      <c r="A919">
        <v>3</v>
      </c>
      <c r="B919">
        <v>292</v>
      </c>
      <c r="C919">
        <v>16</v>
      </c>
    </row>
    <row r="920" spans="1:3" x14ac:dyDescent="0.3">
      <c r="A920">
        <v>3</v>
      </c>
      <c r="B920">
        <v>293</v>
      </c>
      <c r="C920">
        <v>14</v>
      </c>
    </row>
    <row r="921" spans="1:3" x14ac:dyDescent="0.3">
      <c r="A921">
        <v>3</v>
      </c>
      <c r="B921">
        <v>294</v>
      </c>
      <c r="C921">
        <v>13</v>
      </c>
    </row>
    <row r="922" spans="1:3" x14ac:dyDescent="0.3">
      <c r="A922">
        <v>3</v>
      </c>
      <c r="B922">
        <v>295</v>
      </c>
      <c r="C922">
        <v>9</v>
      </c>
    </row>
    <row r="923" spans="1:3" x14ac:dyDescent="0.3">
      <c r="A923">
        <v>3</v>
      </c>
      <c r="B923">
        <v>296</v>
      </c>
      <c r="C923">
        <v>12</v>
      </c>
    </row>
    <row r="924" spans="1:3" x14ac:dyDescent="0.3">
      <c r="A924">
        <v>3</v>
      </c>
      <c r="B924">
        <v>297</v>
      </c>
      <c r="C924">
        <v>22</v>
      </c>
    </row>
    <row r="925" spans="1:3" x14ac:dyDescent="0.3">
      <c r="A925">
        <v>3</v>
      </c>
      <c r="B925">
        <v>298</v>
      </c>
      <c r="C925">
        <v>14</v>
      </c>
    </row>
    <row r="926" spans="1:3" x14ac:dyDescent="0.3">
      <c r="A926">
        <v>3</v>
      </c>
      <c r="B926">
        <v>299</v>
      </c>
      <c r="C926">
        <v>29</v>
      </c>
    </row>
    <row r="927" spans="1:3" x14ac:dyDescent="0.3">
      <c r="A927">
        <v>3</v>
      </c>
      <c r="B927">
        <v>300</v>
      </c>
      <c r="C927">
        <v>3</v>
      </c>
    </row>
    <row r="928" spans="1:3" x14ac:dyDescent="0.3">
      <c r="A928">
        <v>3</v>
      </c>
      <c r="B928">
        <v>301</v>
      </c>
      <c r="C928">
        <v>29</v>
      </c>
    </row>
    <row r="929" spans="1:3" x14ac:dyDescent="0.3">
      <c r="A929">
        <v>3</v>
      </c>
      <c r="B929">
        <v>302</v>
      </c>
      <c r="C929">
        <v>6</v>
      </c>
    </row>
    <row r="930" spans="1:3" x14ac:dyDescent="0.3">
      <c r="A930">
        <v>3</v>
      </c>
      <c r="B930">
        <v>303</v>
      </c>
      <c r="C930">
        <v>13</v>
      </c>
    </row>
    <row r="931" spans="1:3" x14ac:dyDescent="0.3">
      <c r="A931">
        <v>3</v>
      </c>
      <c r="B931">
        <v>304</v>
      </c>
      <c r="C931">
        <v>23</v>
      </c>
    </row>
    <row r="932" spans="1:3" x14ac:dyDescent="0.3">
      <c r="A932">
        <v>3</v>
      </c>
      <c r="B932">
        <v>305</v>
      </c>
      <c r="C932">
        <v>11</v>
      </c>
    </row>
    <row r="933" spans="1:3" x14ac:dyDescent="0.3">
      <c r="A933">
        <v>3</v>
      </c>
      <c r="B933">
        <v>306</v>
      </c>
      <c r="C933">
        <v>7</v>
      </c>
    </row>
    <row r="934" spans="1:3" x14ac:dyDescent="0.3">
      <c r="A934">
        <v>3</v>
      </c>
      <c r="B934">
        <v>307</v>
      </c>
      <c r="C934">
        <v>17</v>
      </c>
    </row>
    <row r="935" spans="1:3" x14ac:dyDescent="0.3">
      <c r="A935">
        <v>3</v>
      </c>
      <c r="B935">
        <v>308</v>
      </c>
      <c r="C935">
        <v>9</v>
      </c>
    </row>
    <row r="936" spans="1:3" x14ac:dyDescent="0.3">
      <c r="A936">
        <v>3</v>
      </c>
      <c r="B936">
        <v>309</v>
      </c>
      <c r="C936">
        <v>30</v>
      </c>
    </row>
    <row r="937" spans="1:3" x14ac:dyDescent="0.3">
      <c r="A937">
        <v>3</v>
      </c>
      <c r="B937">
        <v>310</v>
      </c>
      <c r="C937">
        <v>8</v>
      </c>
    </row>
    <row r="938" spans="1:3" x14ac:dyDescent="0.3">
      <c r="A938">
        <v>3</v>
      </c>
      <c r="B938">
        <v>311</v>
      </c>
      <c r="C938">
        <v>23</v>
      </c>
    </row>
    <row r="939" spans="1:3" x14ac:dyDescent="0.3">
      <c r="A939">
        <v>3</v>
      </c>
      <c r="B939">
        <v>312</v>
      </c>
      <c r="C939">
        <v>18</v>
      </c>
    </row>
    <row r="940" spans="1:3" x14ac:dyDescent="0.3">
      <c r="A940">
        <v>3</v>
      </c>
      <c r="B940">
        <v>313</v>
      </c>
      <c r="C940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0C750-2E52-40A3-B3A5-8D511D5467AF}">
  <sheetPr codeName="Sheet10"/>
  <dimension ref="A1:H4"/>
  <sheetViews>
    <sheetView workbookViewId="0">
      <selection activeCell="H20" sqref="H20"/>
    </sheetView>
  </sheetViews>
  <sheetFormatPr defaultRowHeight="14.4" x14ac:dyDescent="0.3"/>
  <cols>
    <col min="1" max="1" width="10" bestFit="1" customWidth="1"/>
    <col min="2" max="2" width="14.33203125" bestFit="1" customWidth="1"/>
    <col min="3" max="3" width="13.33203125" bestFit="1" customWidth="1"/>
    <col min="4" max="4" width="19.33203125" bestFit="1" customWidth="1"/>
    <col min="5" max="5" width="18.44140625" bestFit="1" customWidth="1"/>
    <col min="6" max="6" width="9.5546875" bestFit="1" customWidth="1"/>
    <col min="7" max="7" width="7.33203125" bestFit="1" customWidth="1"/>
    <col min="8" max="8" width="10.6640625" bestFit="1" customWidth="1"/>
  </cols>
  <sheetData>
    <row r="1" spans="1:8" x14ac:dyDescent="0.3">
      <c r="A1" t="s">
        <v>5271</v>
      </c>
      <c r="B1" t="s">
        <v>5606</v>
      </c>
      <c r="C1" t="s">
        <v>23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</row>
    <row r="2" spans="1:8" x14ac:dyDescent="0.3">
      <c r="A2">
        <v>1</v>
      </c>
      <c r="B2" t="s">
        <v>5607</v>
      </c>
      <c r="C2" t="s">
        <v>5608</v>
      </c>
      <c r="D2" t="s">
        <v>5609</v>
      </c>
      <c r="E2" t="s">
        <v>5610</v>
      </c>
      <c r="F2" t="s">
        <v>928</v>
      </c>
      <c r="G2" t="s">
        <v>41</v>
      </c>
      <c r="H2">
        <v>95060</v>
      </c>
    </row>
    <row r="3" spans="1:8" x14ac:dyDescent="0.3">
      <c r="A3">
        <v>2</v>
      </c>
      <c r="B3" t="s">
        <v>5611</v>
      </c>
      <c r="C3" t="s">
        <v>5612</v>
      </c>
      <c r="D3" t="s">
        <v>5613</v>
      </c>
      <c r="E3" t="s">
        <v>5614</v>
      </c>
      <c r="F3" t="s">
        <v>75</v>
      </c>
      <c r="G3" t="s">
        <v>35</v>
      </c>
      <c r="H3">
        <v>11432</v>
      </c>
    </row>
    <row r="4" spans="1:8" x14ac:dyDescent="0.3">
      <c r="A4">
        <v>3</v>
      </c>
      <c r="B4" t="s">
        <v>5615</v>
      </c>
      <c r="C4" t="s">
        <v>5598</v>
      </c>
      <c r="D4" t="s">
        <v>5616</v>
      </c>
      <c r="E4" t="s">
        <v>5617</v>
      </c>
      <c r="F4" t="s">
        <v>368</v>
      </c>
      <c r="G4" t="s">
        <v>100</v>
      </c>
      <c r="H4">
        <v>75088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AF2CFC-D960-47FA-A0A6-DFBA535A434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Pivottable </vt:lpstr>
      <vt:lpstr>Stats </vt:lpstr>
      <vt:lpstr>Brands</vt:lpstr>
      <vt:lpstr>Categories</vt:lpstr>
      <vt:lpstr>Customers</vt:lpstr>
      <vt:lpstr>Order_items</vt:lpstr>
      <vt:lpstr>Orders</vt:lpstr>
      <vt:lpstr>Products</vt:lpstr>
      <vt:lpstr>Staffs</vt:lpstr>
      <vt:lpstr>Stocks</vt:lpstr>
      <vt:lpstr>Stores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Anurudh B A</dc:creator>
  <cp:lastModifiedBy>Anurudh B A</cp:lastModifiedBy>
  <cp:lastPrinted>2025-05-14T11:15:34Z</cp:lastPrinted>
  <dcterms:created xsi:type="dcterms:W3CDTF">2015-06-05T18:17:20Z</dcterms:created>
  <dcterms:modified xsi:type="dcterms:W3CDTF">2025-05-14T11:53:08Z</dcterms:modified>
</cp:coreProperties>
</file>